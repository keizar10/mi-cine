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e Data Base by Keizar" sheetId="1" state="visible" r:id="rId3"/>
    <sheet name="Series" sheetId="2" state="visible" r:id="rId4"/>
    <sheet name="Análisis" sheetId="3" state="visible" r:id="rId5"/>
  </sheets>
  <definedNames>
    <definedName function="false" hidden="true" localSheetId="0" name="_xlnm._FilterDatabase" vbProcedure="false">'Movie Data Base by Keizar'!$A$1:$Y$4000</definedName>
    <definedName function="false" hidden="true" localSheetId="1" name="_xlnm._FilterDatabase" vbProcedure="false">Series!$A$1:$R$2000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<sst xmlns="http://schemas.openxmlformats.org/spreadsheetml/2006/main" count="26646" uniqueCount="11911">
  <si>
    <t xml:space="preserve">Película</t>
  </si>
  <si>
    <t xml:space="preserve">Año</t>
  </si>
  <si>
    <t xml:space="preserve">Década</t>
  </si>
  <si>
    <t xml:space="preserve">Duración</t>
  </si>
  <si>
    <t xml:space="preserve">Director</t>
  </si>
  <si>
    <t xml:space="preserve">IMDb</t>
  </si>
  <si>
    <t xml:space="preserve">Mi nota</t>
  </si>
  <si>
    <t xml:space="preserve">Votos</t>
  </si>
  <si>
    <t xml:space="preserve">País</t>
  </si>
  <si>
    <t xml:space="preserve">Género</t>
  </si>
  <si>
    <t xml:space="preserve">Subgénero</t>
  </si>
  <si>
    <t xml:space="preserve">VOD (04/10/2026)</t>
  </si>
  <si>
    <t xml:space="preserve">Sinopsis</t>
  </si>
  <si>
    <t xml:space="preserve">Óscars</t>
  </si>
  <si>
    <t xml:space="preserve">Óscar Peli</t>
  </si>
  <si>
    <t xml:space="preserve">Óscar Dir.</t>
  </si>
  <si>
    <t xml:space="preserve">Nom. Óscar</t>
  </si>
  <si>
    <t xml:space="preserve">Festivales</t>
  </si>
  <si>
    <t xml:space="preserve">Globo Oro</t>
  </si>
  <si>
    <t xml:space="preserve">S&amp;S</t>
  </si>
  <si>
    <t xml:space="preserve">Puntos premios</t>
  </si>
  <si>
    <t xml:space="preserve">Importancia histórica</t>
  </si>
  <si>
    <t xml:space="preserve">Rank J.Wild</t>
  </si>
  <si>
    <t xml:space="preserve">Top150 XXI</t>
  </si>
  <si>
    <t xml:space="preserve">IMDb ID</t>
  </si>
  <si>
    <t xml:space="preserve">La vida es bella</t>
  </si>
  <si>
    <t xml:space="preserve">1990s</t>
  </si>
  <si>
    <t xml:space="preserve">Roberto Benigni</t>
  </si>
  <si>
    <t xml:space="preserve">Italia</t>
  </si>
  <si>
    <t xml:space="preserve">Romance</t>
  </si>
  <si>
    <t xml:space="preserve">Comedia</t>
  </si>
  <si>
    <t xml:space="preserve">Un padre utiliza humor para proteger a su hijo en un campo nazi.</t>
  </si>
  <si>
    <t xml:space="preserve">La vida es bella (1997) popularizó una aproximación agridulce al Holocausto, combinando humor y tragedia de.</t>
  </si>
  <si>
    <t xml:space="preserve">tt0118799</t>
  </si>
  <si>
    <t xml:space="preserve">El señor de los anillos: El retorno del rey</t>
  </si>
  <si>
    <t xml:space="preserve">2000s</t>
  </si>
  <si>
    <t xml:space="preserve">Peter Jackson</t>
  </si>
  <si>
    <t xml:space="preserve">EE.UU., Nueva Zelanda</t>
  </si>
  <si>
    <t xml:space="preserve">Fantasía</t>
  </si>
  <si>
    <t xml:space="preserve">Aventura</t>
  </si>
  <si>
    <t xml:space="preserve">Disney+, Movistar Plus+ Ficción Total , HBO Max, HBO Max Amazon Channel</t>
  </si>
  <si>
    <t xml:space="preserve">La batalla final contra Sauron mientras Frodo llega al Monte del Destino.</t>
  </si>
  <si>
    <t xml:space="preserve">El retorno del Rey (2003) marcó un antes y un después en la fantasía épica cinematográfica, culminando una.</t>
  </si>
  <si>
    <t xml:space="preserve">tt0167260</t>
  </si>
  <si>
    <t xml:space="preserve">La lista de Schindler</t>
  </si>
  <si>
    <t xml:space="preserve">Steven Spielberg</t>
  </si>
  <si>
    <t xml:space="preserve">EE.UU.</t>
  </si>
  <si>
    <t xml:space="preserve">Drama</t>
  </si>
  <si>
    <t xml:space="preserve">Biográfico</t>
  </si>
  <si>
    <t xml:space="preserve">Oskar Schindler salva a cientos de judíos durante el Holocausto.</t>
  </si>
  <si>
    <t xml:space="preserve">La lista de Schindler (1993) es uno de los retratos más potentes del Holocausto, clave en la memoria.</t>
  </si>
  <si>
    <t xml:space="preserve">tt0108052</t>
  </si>
  <si>
    <t xml:space="preserve">Pulp Fiction</t>
  </si>
  <si>
    <t xml:space="preserve">Quentin Tarantino</t>
  </si>
  <si>
    <t xml:space="preserve">Crimen</t>
  </si>
  <si>
    <t xml:space="preserve">Movistar Plus+ Ficción Total , HBO Max, HBO Max Amazon Channel</t>
  </si>
  <si>
    <t xml:space="preserve">Historias cruzadas de sicarios, un boxeador y una cita.</t>
  </si>
  <si>
    <t xml:space="preserve">Popularizó la narrativa fragmentada y no lineal, el diálogo pop y revitalizó el cine independiente de los 90.</t>
  </si>
  <si>
    <t xml:space="preserve">TOP 30-40</t>
  </si>
  <si>
    <t xml:space="preserve">tt0110912</t>
  </si>
  <si>
    <t xml:space="preserve">El padrino</t>
  </si>
  <si>
    <t xml:space="preserve">1970s</t>
  </si>
  <si>
    <t xml:space="preserve">Francis F. Coppola</t>
  </si>
  <si>
    <t xml:space="preserve">Netflix, Movistar Plus+ Ficción Total , Filmin, SkyShowtime</t>
  </si>
  <si>
    <t xml:space="preserve">Una familia mafiosa y el hijo que no quería heredarla.</t>
  </si>
  <si>
    <t xml:space="preserve">El padrino (1972) fijó el canon del cine de mafia moderno, con un equilibrio perfecto entre drama familiar y.</t>
  </si>
  <si>
    <t xml:space="preserve">tt0068646</t>
  </si>
  <si>
    <t xml:space="preserve">Cadena perpetua</t>
  </si>
  <si>
    <t xml:space="preserve">Frank Darabont</t>
  </si>
  <si>
    <t xml:space="preserve">Prime, Movistar Plus+ Ficción Total , HBO Max, HBO Max Amazon Channel</t>
  </si>
  <si>
    <t xml:space="preserve">La amistad entre dos presos condenados y su lucha por la esperanza en prisión.</t>
  </si>
  <si>
    <t xml:space="preserve">Cadena perpetua (1994) se ha convertido con los años en un clásico moderno sobre esperanza y amistad en la.</t>
  </si>
  <si>
    <t xml:space="preserve">tt0111161</t>
  </si>
  <si>
    <t xml:space="preserve">Million Dollar Baby</t>
  </si>
  <si>
    <t xml:space="preserve">Clint Eastwood</t>
  </si>
  <si>
    <t xml:space="preserve">Deportivo</t>
  </si>
  <si>
    <t xml:space="preserve">Prime, Movistar, Movistar Plus+ Ficción Total , HBO Max, Acontra, HBO Max Amazon Channel</t>
  </si>
  <si>
    <t xml:space="preserve">Un entrenador veterano forma a una boxeadora tardía.</t>
  </si>
  <si>
    <t xml:space="preserve">Ganó cuatro Óscars y reabrió el debate sobre la eutanasia.</t>
  </si>
  <si>
    <t xml:space="preserve">tt0405159</t>
  </si>
  <si>
    <t xml:space="preserve">American History X</t>
  </si>
  <si>
    <t xml:space="preserve">Tony Kaye</t>
  </si>
  <si>
    <t xml:space="preserve">Carcelario</t>
  </si>
  <si>
    <t xml:space="preserve">3Cat</t>
  </si>
  <si>
    <t xml:space="preserve">Un neonazi reformado intenta evitar que su hermano siga sus pasos.</t>
  </si>
  <si>
    <t xml:space="preserve">American History X (1998) es una de las representaciones más intensas del odio racial y la radicalización.</t>
  </si>
  <si>
    <t xml:space="preserve">tt0120586</t>
  </si>
  <si>
    <t xml:space="preserve">El pianista</t>
  </si>
  <si>
    <t xml:space="preserve">Roman Polanski</t>
  </si>
  <si>
    <t xml:space="preserve">Francia, Polonia</t>
  </si>
  <si>
    <t xml:space="preserve">Musical</t>
  </si>
  <si>
    <t xml:space="preserve">Prime, Disney+, Movistar, Movistar Plus+ Ficción Total , FlixOlé, FlixOlé Amazon Channel</t>
  </si>
  <si>
    <t xml:space="preserve">Un pianista judío lucha por sobrevivir durante el Holocausto.</t>
  </si>
  <si>
    <t xml:space="preserve">El pianista (2002) es uno de los grandes retratos sobrios del Holocausto, centrado en la supervivencia.</t>
  </si>
  <si>
    <t xml:space="preserve">tt0253474</t>
  </si>
  <si>
    <t xml:space="preserve">Luces de la ciudad</t>
  </si>
  <si>
    <t xml:space="preserve">1930s</t>
  </si>
  <si>
    <t xml:space="preserve">Charles Chaplin</t>
  </si>
  <si>
    <t xml:space="preserve">Acontra, Acontra Plus Amazon Channel</t>
  </si>
  <si>
    <t xml:space="preserve">Chaplin interpreta a un vagabundo enamorado de una florista ciega.</t>
  </si>
  <si>
    <t xml:space="preserve">Luces de la ciudad (1931) representa la fusión perfecta del slapstick de Chaplin con un profundo componente.</t>
  </si>
  <si>
    <t xml:space="preserve">tt0021749</t>
  </si>
  <si>
    <t xml:space="preserve">Gran Torino</t>
  </si>
  <si>
    <t xml:space="preserve">Mafia</t>
  </si>
  <si>
    <t xml:space="preserve">Prime, Movistar, Movistar Plus+ Ficción Total , HBO Max, HBO Max Amazon Channel</t>
  </si>
  <si>
    <t xml:space="preserve">Un veterano se enfrenta a sus prejuicios y entabla amistad con un joven hmong.</t>
  </si>
  <si>
    <t xml:space="preserve">Gran Torino (2008) es considerada una obra clave del cine de su época, y una pieza importante en la.</t>
  </si>
  <si>
    <t xml:space="preserve">tt1205489</t>
  </si>
  <si>
    <t xml:space="preserve">Terminator</t>
  </si>
  <si>
    <t xml:space="preserve">1980s</t>
  </si>
  <si>
    <t xml:space="preserve">James Cameron</t>
  </si>
  <si>
    <t xml:space="preserve">Ciencia ficción</t>
  </si>
  <si>
    <t xml:space="preserve">Acción</t>
  </si>
  <si>
    <t xml:space="preserve">Prime</t>
  </si>
  <si>
    <t xml:space="preserve">Un cyborg asesino llega del futuro para matar a Sarah Connor, cuyo hijo aún no nacido será.</t>
  </si>
  <si>
    <t xml:space="preserve">tt0088247</t>
  </si>
  <si>
    <t xml:space="preserve">El padrino. Parte II</t>
  </si>
  <si>
    <t xml:space="preserve">Michael consolida su poder mientras se cuenta el ascenso de su padre.</t>
  </si>
  <si>
    <t xml:space="preserve">El padrino.</t>
  </si>
  <si>
    <t xml:space="preserve">#6</t>
  </si>
  <si>
    <t xml:space="preserve">tt0071562</t>
  </si>
  <si>
    <t xml:space="preserve">Harakiri</t>
  </si>
  <si>
    <t xml:space="preserve">1960s</t>
  </si>
  <si>
    <t xml:space="preserve">Masaki Kobayashi</t>
  </si>
  <si>
    <t xml:space="preserve">Japón</t>
  </si>
  <si>
    <t xml:space="preserve">Misterio</t>
  </si>
  <si>
    <t xml:space="preserve">Prime, Filmin, Acontra</t>
  </si>
  <si>
    <t xml:space="preserve">Un samurái sin señor pide morir en casa de un clan.</t>
  </si>
  <si>
    <t xml:space="preserve">Harakiri (1962) es considerada una obra clave del género drama, samurai, y una pieza importante en la.</t>
  </si>
  <si>
    <t xml:space="preserve">tt0056058</t>
  </si>
  <si>
    <t xml:space="preserve">Reservoir Dogs</t>
  </si>
  <si>
    <t xml:space="preserve">Thriller</t>
  </si>
  <si>
    <t xml:space="preserve">Atracos</t>
  </si>
  <si>
    <t xml:space="preserve">Filmin, Lionsgate+ Amazon Channel</t>
  </si>
  <si>
    <t xml:space="preserve">Criminales sospechan que uno de ellos es un infiltrado tras un atraco fallido.</t>
  </si>
  <si>
    <t xml:space="preserve">Reservoir Dogs (1992) supuso la irrupción de Tarantino y redefinió el cine independiente de los 90 con su.</t>
  </si>
  <si>
    <t xml:space="preserve">tt0105236</t>
  </si>
  <si>
    <t xml:space="preserve">Ciudad de Dios</t>
  </si>
  <si>
    <t xml:space="preserve">Fernando Meirelles</t>
  </si>
  <si>
    <t xml:space="preserve">Brasil</t>
  </si>
  <si>
    <t xml:space="preserve">Movistar, Movistar Plus+ Ficción Total , Acontra, Acontra Plus Amazon Channel, Runtime</t>
  </si>
  <si>
    <t xml:space="preserve">Dos chavales de una favela: uno fotógrafo, otro narco.</t>
  </si>
  <si>
    <t xml:space="preserve">Ciudad de Dios (2002) revolucionó el cine de barrio marginal con un estilo visual eléctrico y montaje.</t>
  </si>
  <si>
    <t xml:space="preserve">Casi top</t>
  </si>
  <si>
    <t xml:space="preserve">tt0317248</t>
  </si>
  <si>
    <t xml:space="preserve">Psicosis</t>
  </si>
  <si>
    <t xml:space="preserve">Alfred Hitchcock</t>
  </si>
  <si>
    <t xml:space="preserve">Terror</t>
  </si>
  <si>
    <t xml:space="preserve">Una joven desaparece tras robar dinero y termina en un motel regentado por Norman Bates.</t>
  </si>
  <si>
    <t xml:space="preserve">Psicosis (1960) es considerada una obra clave del género terror, thriller, y una pieza importante en la.</t>
  </si>
  <si>
    <t xml:space="preserve">tt0054215</t>
  </si>
  <si>
    <t xml:space="preserve">La chaqueta metálica</t>
  </si>
  <si>
    <t xml:space="preserve">Stanley Kubrick</t>
  </si>
  <si>
    <t xml:space="preserve">EE.UU., Reino Unido</t>
  </si>
  <si>
    <t xml:space="preserve">Bélico</t>
  </si>
  <si>
    <t xml:space="preserve">Movistar, Movistar Plus+ Ficción Total , HBO Max, HBO Max Amazon Channel</t>
  </si>
  <si>
    <t xml:space="preserve">Reclutas marines viven un entrenamiento brutal antes del combate.</t>
  </si>
  <si>
    <t xml:space="preserve">La chaqueta metálica (1987) es considerada una obra clave del cine de su época, y una pieza importante en la.</t>
  </si>
  <si>
    <t xml:space="preserve">tt0093058</t>
  </si>
  <si>
    <t xml:space="preserve">Réquiem por un sueño</t>
  </si>
  <si>
    <t xml:space="preserve">Darren Aronofsky</t>
  </si>
  <si>
    <t xml:space="preserve">Lionsgate+ Amazon Channel</t>
  </si>
  <si>
    <t xml:space="preserve">Harry (Jared Leto) y su madre (Ellen Burstyn) tienen sueños muy distintos: ella está.</t>
  </si>
  <si>
    <t xml:space="preserve">tt0180093</t>
  </si>
  <si>
    <t xml:space="preserve">Taxi Driver</t>
  </si>
  <si>
    <t xml:space="preserve">Martin Scorsese</t>
  </si>
  <si>
    <t xml:space="preserve">Movistar, Movistar Plus+ Ficción Total , Filmin</t>
  </si>
  <si>
    <t xml:space="preserve">Un taxista insomne se obsesiona con limpiar Nueva York.</t>
  </si>
  <si>
    <t xml:space="preserve">Cima del Nuevo Hollywood: el antihéroe urbano alienado y la violencia como catarsis, con el Nueva York.</t>
  </si>
  <si>
    <t xml:space="preserve">#9</t>
  </si>
  <si>
    <t xml:space="preserve">tt0075314</t>
  </si>
  <si>
    <t xml:space="preserve">Una mente maravillosa</t>
  </si>
  <si>
    <t xml:space="preserve">Ron Howard</t>
  </si>
  <si>
    <t xml:space="preserve">Obsesionado con la búsqueda de una idea matemática original, el brillante estudiante John.</t>
  </si>
  <si>
    <t xml:space="preserve">tt0268978</t>
  </si>
  <si>
    <t xml:space="preserve">Cisne negro</t>
  </si>
  <si>
    <t xml:space="preserve">2010s</t>
  </si>
  <si>
    <t xml:space="preserve">Disney+</t>
  </si>
  <si>
    <t xml:space="preserve">Nina (Natalie Portman), una brillante bailarina que forma parte de una compañía de ballet de.</t>
  </si>
  <si>
    <t xml:space="preserve">tt0947798</t>
  </si>
  <si>
    <t xml:space="preserve">Uno de los nuestros</t>
  </si>
  <si>
    <t xml:space="preserve">El ascenso y caída de un gánster de barrio.</t>
  </si>
  <si>
    <t xml:space="preserve">Uno de los nuestros (1990) redefinió el cine de mafia moderno con su voz en off, montaje vertiginoso y uso de.</t>
  </si>
  <si>
    <t xml:space="preserve">TOP 20-30</t>
  </si>
  <si>
    <t xml:space="preserve">tt0099685</t>
  </si>
  <si>
    <t xml:space="preserve">El apartamento</t>
  </si>
  <si>
    <t xml:space="preserve">Billy Wilder</t>
  </si>
  <si>
    <t xml:space="preserve">MGM Plus Amazon Channel</t>
  </si>
  <si>
    <t xml:space="preserve">Un oficinista presta su piso a los jefes para sus líos.</t>
  </si>
  <si>
    <t xml:space="preserve">El apartamento (1960) es considerada una obra clave del género comedia, romance, y una pieza importante en la.</t>
  </si>
  <si>
    <t xml:space="preserve">tt0053604</t>
  </si>
  <si>
    <t xml:space="preserve">Indiana Jones y el templo maldito</t>
  </si>
  <si>
    <t xml:space="preserve">Movistar Plus+ Ficción Total , SkyShowtime</t>
  </si>
  <si>
    <t xml:space="preserve">1935.</t>
  </si>
  <si>
    <t xml:space="preserve">tt0087469</t>
  </si>
  <si>
    <t xml:space="preserve">Los siete samuráis</t>
  </si>
  <si>
    <t xml:space="preserve">1950s</t>
  </si>
  <si>
    <t xml:space="preserve">Akira Kurosawa</t>
  </si>
  <si>
    <t xml:space="preserve">Movistar, Movistar Plus+ Ficción Total , Filmin, Acontra, Acontra Plus Amazon Channel, Tivify, Runtime</t>
  </si>
  <si>
    <t xml:space="preserve">Unos aldeanos contratan samuráis para defenderse de bandidos.</t>
  </si>
  <si>
    <t xml:space="preserve">Los siete samuráis (1954) es pilar del cine de aventuras y acción en grupo; su estructura ha sido imitada en.</t>
  </si>
  <si>
    <t xml:space="preserve">TOP 10-20</t>
  </si>
  <si>
    <t xml:space="preserve">tt0047478</t>
  </si>
  <si>
    <t xml:space="preserve">Alguien voló sobre el nido del cuco</t>
  </si>
  <si>
    <t xml:space="preserve">Milos Forman</t>
  </si>
  <si>
    <t xml:space="preserve">Filmin</t>
  </si>
  <si>
    <t xml:space="preserve">Un rebelde preso es enviado a un hospital psiquiátrico dominado por una enfermera tiránica.</t>
  </si>
  <si>
    <t xml:space="preserve">Alguien voló sobre el nido del cuco (1975) es símbolo de la rebelión contra las instituciones opresivas y.</t>
  </si>
  <si>
    <t xml:space="preserve">tt0073486</t>
  </si>
  <si>
    <t xml:space="preserve">La milla verde</t>
  </si>
  <si>
    <t xml:space="preserve">Movistar, Movistar Plus+ Ficción Total </t>
  </si>
  <si>
    <t xml:space="preserve">Un guardia de prisiones descubre que un condenado a muerte posee un don sobrenatural capaz de.</t>
  </si>
  <si>
    <t xml:space="preserve">tt0120689</t>
  </si>
  <si>
    <t xml:space="preserve">Apocalypse Now</t>
  </si>
  <si>
    <t xml:space="preserve">Un capitán remonta el río para eliminar a un coronel renegado.</t>
  </si>
  <si>
    <t xml:space="preserve">Apocalypse Now (1979) es considerada una obra clave del género bélico, drama, y una pieza importante en la.</t>
  </si>
  <si>
    <t xml:space="preserve">tt0078788</t>
  </si>
  <si>
    <t xml:space="preserve">La evasión</t>
  </si>
  <si>
    <t xml:space="preserve">Jacques Becker</t>
  </si>
  <si>
    <t xml:space="preserve">Francia</t>
  </si>
  <si>
    <t xml:space="preserve">Tivify</t>
  </si>
  <si>
    <t xml:space="preserve">Un preso político trama una fuga minuciosa durante la Segunda Guerra Mundial.</t>
  </si>
  <si>
    <t xml:space="preserve">La evasión (1960) es considerada una obra clave del género crimen, thriller, prisión, y una pieza importante.</t>
  </si>
  <si>
    <t xml:space="preserve">tt0054407</t>
  </si>
  <si>
    <t xml:space="preserve">Seven</t>
  </si>
  <si>
    <t xml:space="preserve">David Fincher</t>
  </si>
  <si>
    <t xml:space="preserve">Prime, Movistar Plus+ Ficción Total </t>
  </si>
  <si>
    <t xml:space="preserve">Dos detectives persiguen a un asesino serial que usa los siete pecados capitales.</t>
  </si>
  <si>
    <t xml:space="preserve">Seven (1995) redefinió el thriller oscuro contemporáneo, con un final impactante y una atmósfera opresiva muy.</t>
  </si>
  <si>
    <t xml:space="preserve">tt0114369</t>
  </si>
  <si>
    <t xml:space="preserve">Mar adentro</t>
  </si>
  <si>
    <t xml:space="preserve">Alejandro Amenábar</t>
  </si>
  <si>
    <t xml:space="preserve">España</t>
  </si>
  <si>
    <t xml:space="preserve">Netflix, Movistar Plus+ Ficción Total , FlixOlé, HBO Max, FlixOlé Amazon Channel, HBO Max Amazon Channel</t>
  </si>
  <si>
    <t xml:space="preserve">Ramón (Javier Bardem) lleva casi treinta años postrado en una cama al cuidado de su familia.</t>
  </si>
  <si>
    <t xml:space="preserve">tt0369702</t>
  </si>
  <si>
    <t xml:space="preserve">El golpe</t>
  </si>
  <si>
    <t xml:space="preserve">George Roy Hill</t>
  </si>
  <si>
    <t xml:space="preserve">Netflix</t>
  </si>
  <si>
    <t xml:space="preserve">Dos estafadores planean un gran golpe en los años 30.</t>
  </si>
  <si>
    <t xml:space="preserve">El golpe (1973) consolidó el cine de estafas como gran espectáculo popular, con un guion modélico lleno de.</t>
  </si>
  <si>
    <t xml:space="preserve">tt0070735</t>
  </si>
  <si>
    <t xml:space="preserve">Casablanca</t>
  </si>
  <si>
    <t xml:space="preserve">1940s</t>
  </si>
  <si>
    <t xml:space="preserve">Michael Curtiz</t>
  </si>
  <si>
    <t xml:space="preserve">Espionaje</t>
  </si>
  <si>
    <t xml:space="preserve">Un hombre debe elegir entre su amor y ayudar a la resistencia durante la Segunda Guerra.</t>
  </si>
  <si>
    <t xml:space="preserve">Casablanca (1942) es un melodrama romántico icónico, estudiado por su guion, diálogos y uso del contexto.</t>
  </si>
  <si>
    <t xml:space="preserve">tt0034583</t>
  </si>
  <si>
    <t xml:space="preserve">Cinema Paradiso</t>
  </si>
  <si>
    <t xml:space="preserve">Giuseppe Tornatore</t>
  </si>
  <si>
    <t xml:space="preserve">Coming of age</t>
  </si>
  <si>
    <t xml:space="preserve">Prime, Acontra</t>
  </si>
  <si>
    <t xml:space="preserve">Un cineasta recuerda su infancia marcada por su amistad con el proyeccionista del cine local.</t>
  </si>
  <si>
    <t xml:space="preserve">Cinema Paradiso (1988) es quizá la carta de amor al cine más famosa, consolidando la idea del cine como.</t>
  </si>
  <si>
    <t xml:space="preserve">tt0095765</t>
  </si>
  <si>
    <t xml:space="preserve">La historia interminable</t>
  </si>
  <si>
    <t xml:space="preserve">Wolfgang Petersen</t>
  </si>
  <si>
    <t xml:space="preserve">Alemania</t>
  </si>
  <si>
    <t xml:space="preserve">Familiar</t>
  </si>
  <si>
    <t xml:space="preserve">Lionsgate+ Amazon Channel, Rakuten</t>
  </si>
  <si>
    <t xml:space="preserve">Un niño viaja a un mundo mágico para salvar a la Emperatriz Infantil y detener la Nada que.</t>
  </si>
  <si>
    <t xml:space="preserve">tt0088323</t>
  </si>
  <si>
    <t xml:space="preserve">Con faldas y a lo loco</t>
  </si>
  <si>
    <t xml:space="preserve">Dos músicos huyen disfrazados de mujer tras presenciar un crimen.</t>
  </si>
  <si>
    <t xml:space="preserve">Con faldas y a lo loco (1959) es considerada una obra clave del género comedia, y una pieza importante en la.</t>
  </si>
  <si>
    <t xml:space="preserve">tt0053291</t>
  </si>
  <si>
    <t xml:space="preserve">Sin perdón</t>
  </si>
  <si>
    <t xml:space="preserve">Western</t>
  </si>
  <si>
    <t xml:space="preserve">Un pistolero retirado acepta un último encargo.</t>
  </si>
  <si>
    <t xml:space="preserve">Sin perdón (1992) es considerada una obra clave del género western, drama, y una pieza importante en la.</t>
  </si>
  <si>
    <t xml:space="preserve">tt0105695</t>
  </si>
  <si>
    <t xml:space="preserve">El precio del poder</t>
  </si>
  <si>
    <t xml:space="preserve">Brian De Palma</t>
  </si>
  <si>
    <t xml:space="preserve">Netflix, rtve</t>
  </si>
  <si>
    <t xml:space="preserve">Tony Montana asciende en el narcotráfico hasta caer víctima de su ambición.</t>
  </si>
  <si>
    <t xml:space="preserve">El precio del poder (1983) es considerada una obra clave del género crimen, y una pieza importante en la.</t>
  </si>
  <si>
    <t xml:space="preserve">tt0086250</t>
  </si>
  <si>
    <t xml:space="preserve">El discurso del Rey</t>
  </si>
  <si>
    <t xml:space="preserve">Tom Hooper</t>
  </si>
  <si>
    <t xml:space="preserve">Reino Unido</t>
  </si>
  <si>
    <t xml:space="preserve">Netflix, Prime, Disney+, Movistar, Movistar Plus+ Ficción Total </t>
  </si>
  <si>
    <t xml:space="preserve">El duque de York se convirtió en rey de Inglaterra con el nombre de Jorge VI (1936-1952), tras.</t>
  </si>
  <si>
    <t xml:space="preserve">tt1504320</t>
  </si>
  <si>
    <t xml:space="preserve">El hombre que mató a Liberty Valance</t>
  </si>
  <si>
    <t xml:space="preserve">John Ford</t>
  </si>
  <si>
    <t xml:space="preserve">Un abogado se hace famoso por matar a un pistolero.</t>
  </si>
  <si>
    <t xml:space="preserve">El hombre que mató a Liberty Valance (1962) es considerada una obra clave del género western, y una pieza.</t>
  </si>
  <si>
    <t xml:space="preserve">#3</t>
  </si>
  <si>
    <t xml:space="preserve">tt0056217</t>
  </si>
  <si>
    <t xml:space="preserve">El secreto de sus ojos</t>
  </si>
  <si>
    <t xml:space="preserve">Juan José Campanella</t>
  </si>
  <si>
    <t xml:space="preserve">Argentina</t>
  </si>
  <si>
    <t xml:space="preserve">Netflix, Movistar, Movistar Plus+ Ficción Total , FlixOlé, HBO Max, HBO Max Amazon Channel</t>
  </si>
  <si>
    <t xml:space="preserve">Benjamín Espósito es oficial de un Juzgado de Instrucción de Buenos Aires recién retirado.</t>
  </si>
  <si>
    <t xml:space="preserve">tt1305806</t>
  </si>
  <si>
    <t xml:space="preserve">Bailando con lobos</t>
  </si>
  <si>
    <t xml:space="preserve">Kevin Costner</t>
  </si>
  <si>
    <t xml:space="preserve">Tras la Guerra de Secesión (1861-1865) y en plena colonización del Oeste (1785-1890), el.</t>
  </si>
  <si>
    <t xml:space="preserve">tt0099348</t>
  </si>
  <si>
    <t xml:space="preserve">Babel</t>
  </si>
  <si>
    <t xml:space="preserve">Alejandro González Iñárritu</t>
  </si>
  <si>
    <t xml:space="preserve">Ambientada en Marruecos, Túnez, México y Japón.</t>
  </si>
  <si>
    <t xml:space="preserve">tt0449467</t>
  </si>
  <si>
    <t xml:space="preserve">El gran dictador</t>
  </si>
  <si>
    <t xml:space="preserve">Acontra, Acontra Plus Amazon Channel, Tivify, Runtime</t>
  </si>
  <si>
    <t xml:space="preserve">Chaplin satiriza a Hitler y los regímenes totalitarios.</t>
  </si>
  <si>
    <t xml:space="preserve">El gran dictador (1940) es una sátira temprana y valiente contra Hitler y el fascismo, esencial para entender.</t>
  </si>
  <si>
    <t xml:space="preserve">tt0032553</t>
  </si>
  <si>
    <t xml:space="preserve">Los chicos del coro</t>
  </si>
  <si>
    <t xml:space="preserve">Christophe Barratier</t>
  </si>
  <si>
    <t xml:space="preserve">Prime, Disney+, Movistar Plus+ Ficción Total , FlixOlé, FlixOlé Amazon Channel, Tivify, AMC Channels Amazon Channel</t>
  </si>
  <si>
    <t xml:space="preserve">En 1948 Clément Mathieu, profesor de música desempleado, acepta un puesto como profesor.</t>
  </si>
  <si>
    <t xml:space="preserve">tt0372824</t>
  </si>
  <si>
    <t xml:space="preserve">M, el vampiro de Düsseldorf</t>
  </si>
  <si>
    <t xml:space="preserve">Fritz Lang</t>
  </si>
  <si>
    <t xml:space="preserve">Prime, Filmin, Plex</t>
  </si>
  <si>
    <t xml:space="preserve">Un asesino de niñas aterroriza Berlín mientras criminales y policía lo persiguen.</t>
  </si>
  <si>
    <t xml:space="preserve">M, el vampiro de Düsseldorf (1931) es considerada una obra clave del género thriller, y una pieza importante.</t>
  </si>
  <si>
    <t xml:space="preserve">tt0022100</t>
  </si>
  <si>
    <t xml:space="preserve">En el nombre del padre</t>
  </si>
  <si>
    <t xml:space="preserve">Jim Sheridan</t>
  </si>
  <si>
    <t xml:space="preserve">Reino Unido, Irlanda</t>
  </si>
  <si>
    <t xml:space="preserve">Un hombre condenado injustamente lucha por demostrar su inocencia.</t>
  </si>
  <si>
    <t xml:space="preserve">En el nombre del padre (1993) es considerada una obra clave del cine de su época, y una pieza importante en.</t>
  </si>
  <si>
    <t xml:space="preserve">tt0107207</t>
  </si>
  <si>
    <t xml:space="preserve">Forrest Gump</t>
  </si>
  <si>
    <t xml:space="preserve">Robert Zemeckis</t>
  </si>
  <si>
    <t xml:space="preserve">Vietnam</t>
  </si>
  <si>
    <t xml:space="preserve">Un hombre bondadoso vive eventos históricos clave mientras busca a su amor de infancia.</t>
  </si>
  <si>
    <t xml:space="preserve">Forrest Gump (1994) es un fenómeno cultural que mezcla melodrama y recorrido histórico, muy influyente en el.</t>
  </si>
  <si>
    <t xml:space="preserve">tt0109830</t>
  </si>
  <si>
    <t xml:space="preserve">Ciudadano Kane</t>
  </si>
  <si>
    <t xml:space="preserve">Orson Welles</t>
  </si>
  <si>
    <t xml:space="preserve">Prime, Movistar, Movistar Plus+ Ficción Total , FlixOlé</t>
  </si>
  <si>
    <t xml:space="preserve">Un periodista investiga la última palabra de un magnate.</t>
  </si>
  <si>
    <t xml:space="preserve">Ciudadano Kane (1941) es quizá la película más analizada de la historia del cine por sus innovaciones.</t>
  </si>
  <si>
    <t xml:space="preserve">#5</t>
  </si>
  <si>
    <t xml:space="preserve">tt0033467</t>
  </si>
  <si>
    <t xml:space="preserve">El silencio de los corderos</t>
  </si>
  <si>
    <t xml:space="preserve">Jonathan Demme</t>
  </si>
  <si>
    <t xml:space="preserve">Una agente del FBI consulta a Hannibal Lecter para capturar a un asesino serial.</t>
  </si>
  <si>
    <t xml:space="preserve">El silencio de los corderos (1991) consolidó el thriller psicológico de asesinos en serie y creó una figura.</t>
  </si>
  <si>
    <t xml:space="preserve">tt0102926</t>
  </si>
  <si>
    <t xml:space="preserve">La naranja mecánica</t>
  </si>
  <si>
    <t xml:space="preserve">Un joven ultra violento se somete a una terapia experimental.</t>
  </si>
  <si>
    <t xml:space="preserve">La naranja mecánica (1971) es una de las obras más polémicas de Kubrick y referencia del cine distópico sobre.</t>
  </si>
  <si>
    <t xml:space="preserve">tt0066921</t>
  </si>
  <si>
    <t xml:space="preserve">Todo sobre mi madre</t>
  </si>
  <si>
    <t xml:space="preserve">Pedro Almodóvar</t>
  </si>
  <si>
    <t xml:space="preserve">Netflix, Movistar, Movistar Plus+ Ficción Total , rtve</t>
  </si>
  <si>
    <t xml:space="preserve">Tras la muerte de su hijo, una madre viaja a Barcelona en busca del padre del chico.</t>
  </si>
  <si>
    <t xml:space="preserve">Consagró a Almodóvar y ganó el Óscar a mejor película extranjera.</t>
  </si>
  <si>
    <t xml:space="preserve">tt0185125</t>
  </si>
  <si>
    <t xml:space="preserve">Good bye, Lenin!</t>
  </si>
  <si>
    <t xml:space="preserve">Wolfgang Becker</t>
  </si>
  <si>
    <t xml:space="preserve">Berlín, octubre de 1989.</t>
  </si>
  <si>
    <t xml:space="preserve">tt0301357</t>
  </si>
  <si>
    <t xml:space="preserve">El resplandor</t>
  </si>
  <si>
    <t xml:space="preserve">Reino Unido, EE.UU.</t>
  </si>
  <si>
    <t xml:space="preserve">Un escritor se enfrenta a fuerzas malignas en un hotel aislado.</t>
  </si>
  <si>
    <t xml:space="preserve">El resplandor (1980) es un pilar del terror moderno, con imágenes icónicas y una ambigüedad interpretativa.</t>
  </si>
  <si>
    <t xml:space="preserve">tt0081505</t>
  </si>
  <si>
    <t xml:space="preserve">La vida de los otros</t>
  </si>
  <si>
    <t xml:space="preserve">Florian Henckel von Donnersmarck</t>
  </si>
  <si>
    <t xml:space="preserve">República Democrática Alemana, año 1984.</t>
  </si>
  <si>
    <t xml:space="preserve">tt0405094</t>
  </si>
  <si>
    <t xml:space="preserve">Nueve reinas</t>
  </si>
  <si>
    <t xml:space="preserve">Fabián Bielinsky</t>
  </si>
  <si>
    <t xml:space="preserve">Netflix, Prime, Movistar, Movistar Plus+ Ficción Total , Acontra</t>
  </si>
  <si>
    <t xml:space="preserve">Buenos Aires.</t>
  </si>
  <si>
    <t xml:space="preserve">tt0247586</t>
  </si>
  <si>
    <t xml:space="preserve">Amores perros</t>
  </si>
  <si>
    <t xml:space="preserve">México</t>
  </si>
  <si>
    <t xml:space="preserve">MUBI, MUBI Amazon Channel</t>
  </si>
  <si>
    <t xml:space="preserve">En Ciudad de México, un fatal accidente automovilístico afecta trágicamente a tres personas.</t>
  </si>
  <si>
    <t xml:space="preserve">tt0245712</t>
  </si>
  <si>
    <t xml:space="preserve">As bestas</t>
  </si>
  <si>
    <t xml:space="preserve">2020s</t>
  </si>
  <si>
    <t xml:space="preserve">Rodrigo Sorogoyen</t>
  </si>
  <si>
    <t xml:space="preserve">rtve</t>
  </si>
  <si>
    <t xml:space="preserve">Antoine y Olga son una pareja francesa que se instaló hace tiempo en una aldea del interior de.</t>
  </si>
  <si>
    <t xml:space="preserve">tt15006566</t>
  </si>
  <si>
    <t xml:space="preserve">Los Goonies</t>
  </si>
  <si>
    <t xml:space="preserve">Richard Donner</t>
  </si>
  <si>
    <t xml:space="preserve">Un grupo de niños encuentra un mapa del tesoro y emprende una aventura llena de trampas.</t>
  </si>
  <si>
    <t xml:space="preserve">tt0089218</t>
  </si>
  <si>
    <t xml:space="preserve">Annie Hall</t>
  </si>
  <si>
    <t xml:space="preserve">Woody Allen</t>
  </si>
  <si>
    <t xml:space="preserve">Un humorista revisa su relación con Annie Hall, explorando neurosis, inseguridades y la.</t>
  </si>
  <si>
    <t xml:space="preserve">Cambió la comedia romántica y ganó el Óscar a mejor película.</t>
  </si>
  <si>
    <t xml:space="preserve">tt0075686</t>
  </si>
  <si>
    <t xml:space="preserve">La ventana indiscreta</t>
  </si>
  <si>
    <t xml:space="preserve">Un fotógrafo escayolado cree ver un crimen desde su ventana.</t>
  </si>
  <si>
    <t xml:space="preserve">La ventana indiscreta (1954) es considerada una obra clave del género thriller, y una pieza importante en la.</t>
  </si>
  <si>
    <t xml:space="preserve">tt0047396</t>
  </si>
  <si>
    <t xml:space="preserve">Vértigo (De entre los muertos)</t>
  </si>
  <si>
    <t xml:space="preserve">Un detective con vértigo se obsesiona con la mujer que vigila.</t>
  </si>
  <si>
    <t xml:space="preserve">Vértigo (1958) ha pasado a encabezar listas de mejores películas de la historia, clave en el estudio de la.</t>
  </si>
  <si>
    <t xml:space="preserve">#2</t>
  </si>
  <si>
    <t xml:space="preserve">tt0052357</t>
  </si>
  <si>
    <t xml:space="preserve">Con la muerte en los talones</t>
  </si>
  <si>
    <t xml:space="preserve">Un ejecutivo es confundido con un agente del gobierno y perseguido por una organización.</t>
  </si>
  <si>
    <t xml:space="preserve">Con la muerte en los talones (1959) es considerada una obra clave del género thriller, suspense, espionaje, y.</t>
  </si>
  <si>
    <t xml:space="preserve">tt0053125</t>
  </si>
  <si>
    <t xml:space="preserve">Abre los ojos</t>
  </si>
  <si>
    <t xml:space="preserve">Netflix, Disney+, Movistar, Movistar Plus+ Ficción Total , FlixOlé, HBO Max, FlixOlé Amazon Channel, HBO Max Amazon Channel</t>
  </si>
  <si>
    <t xml:space="preserve">César, un joven acomodado, vive una historia de amor que se transforma en pesadilla tras un.</t>
  </si>
  <si>
    <t xml:space="preserve">tt0125659</t>
  </si>
  <si>
    <t xml:space="preserve">Doce hombres sin piedad</t>
  </si>
  <si>
    <t xml:space="preserve">Sidney Lumet</t>
  </si>
  <si>
    <t xml:space="preserve">Doce jurados deliberan sobre un caso de asesinato, enfrentando prejuicios y dudas.</t>
  </si>
  <si>
    <t xml:space="preserve">Doce hombres sin piedad (1957) es el drama judicial por excelencia, ejemplo paradigmático de cómo sacar.</t>
  </si>
  <si>
    <t xml:space="preserve">tt0050083</t>
  </si>
  <si>
    <t xml:space="preserve">Desafío total</t>
  </si>
  <si>
    <t xml:space="preserve">Paul Verhoeven</t>
  </si>
  <si>
    <t xml:space="preserve">Prime, Filmin</t>
  </si>
  <si>
    <t xml:space="preserve">Un hombre descubre que sus recuerdos podrían ser implantados y se ve envuelto en una.</t>
  </si>
  <si>
    <t xml:space="preserve">tt0100802</t>
  </si>
  <si>
    <t xml:space="preserve">Billy Elliot</t>
  </si>
  <si>
    <t xml:space="preserve">Stephen Daldry</t>
  </si>
  <si>
    <t xml:space="preserve">Prime, Movistar Plus+ Ficción Total , Filmin, FlixOlé, FlixOlé Amazon Channel</t>
  </si>
  <si>
    <t xml:space="preserve">En 1984, durante una huelga de mineros en el condado de Durham, se suceden los enfrentamientos.</t>
  </si>
  <si>
    <t xml:space="preserve">tt0249462</t>
  </si>
  <si>
    <t xml:space="preserve">El paciente inglés</t>
  </si>
  <si>
    <t xml:space="preserve">Anthony Minghella</t>
  </si>
  <si>
    <t xml:space="preserve">Durante la Segunda Guerra Mundial, una mujer cuida a un misterioso hombre gravemente herido.</t>
  </si>
  <si>
    <t xml:space="preserve">tt0116209</t>
  </si>
  <si>
    <t xml:space="preserve">Memories of Murder</t>
  </si>
  <si>
    <t xml:space="preserve">Bong Joon-ho</t>
  </si>
  <si>
    <t xml:space="preserve">Corea del Sur</t>
  </si>
  <si>
    <t xml:space="preserve">Prime, rtve</t>
  </si>
  <si>
    <t xml:space="preserve">Dos policías rurales investigan asesinatos en serie.</t>
  </si>
  <si>
    <t xml:space="preserve">Consolidó el thriller coreano y lanzó a Bong Joon-ho.</t>
  </si>
  <si>
    <t xml:space="preserve">tt0353969</t>
  </si>
  <si>
    <t xml:space="preserve">Dogville</t>
  </si>
  <si>
    <t xml:space="preserve">Lars von Trier</t>
  </si>
  <si>
    <t xml:space="preserve">Dinamarca</t>
  </si>
  <si>
    <t xml:space="preserve">Grace llega al remoto pueblo de Dogville huyendo de una banda de gángsters.</t>
  </si>
  <si>
    <t xml:space="preserve">tt0276919</t>
  </si>
  <si>
    <t xml:space="preserve">Crimen perfecto</t>
  </si>
  <si>
    <t xml:space="preserve">Un hombre planea un asesinato perfecto que sale mal.</t>
  </si>
  <si>
    <t xml:space="preserve">Crimen perfecto (1954) es considerada una obra clave del cine de su época, y una pieza importante en la.</t>
  </si>
  <si>
    <t xml:space="preserve">tt0046912</t>
  </si>
  <si>
    <t xml:space="preserve">El bueno, el feo y el malo</t>
  </si>
  <si>
    <t xml:space="preserve">Sergio Leone</t>
  </si>
  <si>
    <t xml:space="preserve">Italia, España, EE.UU.</t>
  </si>
  <si>
    <t xml:space="preserve">Movistar Plus+ Ficción Total , FlixOlé, FlixOlé Amazon Channel</t>
  </si>
  <si>
    <t xml:space="preserve">Tres pistoleros compiten por un tesoro enterrado.</t>
  </si>
  <si>
    <t xml:space="preserve">El bueno, el feo y el malo (1966) definió para siempre el spaghetti western con su música, puesta en escena y.</t>
  </si>
  <si>
    <t xml:space="preserve">tt0060196</t>
  </si>
  <si>
    <t xml:space="preserve">La delgada línea roja</t>
  </si>
  <si>
    <t xml:space="preserve">Terrence Malick</t>
  </si>
  <si>
    <t xml:space="preserve">Histórico</t>
  </si>
  <si>
    <t xml:space="preserve">Soldados estadounidenses libran la batalla de Guadalcanal enfrentándose no solo al enemigo.</t>
  </si>
  <si>
    <t xml:space="preserve">tt0120863</t>
  </si>
  <si>
    <t xml:space="preserve">La gran evasión</t>
  </si>
  <si>
    <t xml:space="preserve">John Sturges</t>
  </si>
  <si>
    <t xml:space="preserve">Prisioneros aliados planean una fuga masiva de un campo nazi.</t>
  </si>
  <si>
    <t xml:space="preserve">La gran evasión (1963) es considerada una obra clave del cine de su época, y una pieza importante en la.</t>
  </si>
  <si>
    <t xml:space="preserve">tt0057115</t>
  </si>
  <si>
    <t xml:space="preserve">Funny Games</t>
  </si>
  <si>
    <t xml:space="preserve">Michael Haneke</t>
  </si>
  <si>
    <t xml:space="preserve">Austria</t>
  </si>
  <si>
    <t xml:space="preserve">Asesino en serie</t>
  </si>
  <si>
    <t xml:space="preserve">Movistar, Movistar Plus+ Ficción Total , Acontra</t>
  </si>
  <si>
    <t xml:space="preserve">Anna, Georg y su hijo Georgie van a pasar las vacaciones a su bonita casa a orillas de un lago.</t>
  </si>
  <si>
    <t xml:space="preserve">tt0119167</t>
  </si>
  <si>
    <t xml:space="preserve">La princesa prometida</t>
  </si>
  <si>
    <t xml:space="preserve">Rob Reiner</t>
  </si>
  <si>
    <t xml:space="preserve">Disney+, Filmin, Lionsgate+ Amazon Channel, 3Cat</t>
  </si>
  <si>
    <t xml:space="preserve">Después de buscar fortuna durante cinco años, Westley (Cary Elwes) retorna a su tierra para.</t>
  </si>
  <si>
    <t xml:space="preserve">tt0093779</t>
  </si>
  <si>
    <t xml:space="preserve">¿Qué fue de Baby Jane?</t>
  </si>
  <si>
    <t xml:space="preserve">Robert Aldrich</t>
  </si>
  <si>
    <t xml:space="preserve">Dos hermanas viven aisladas mientras resurgen viejas rivalidades y locura.</t>
  </si>
  <si>
    <t xml:space="preserve">tt0056687</t>
  </si>
  <si>
    <t xml:space="preserve">Tiempos modernos</t>
  </si>
  <si>
    <t xml:space="preserve">Acontra, Acontra Plus Amazon Channel, Tivify</t>
  </si>
  <si>
    <t xml:space="preserve">Un obrero lucha contra el trabajo moderno y sus dificultades sociales.</t>
  </si>
  <si>
    <t xml:space="preserve">Tiempos modernos (1936) es una crítica universal a la deshumanización del trabajo industrial y sigue siendo.</t>
  </si>
  <si>
    <t xml:space="preserve">tt0027977</t>
  </si>
  <si>
    <t xml:space="preserve">Perversidad</t>
  </si>
  <si>
    <t xml:space="preserve">Noir</t>
  </si>
  <si>
    <t xml:space="preserve">Filmin, FlixOlé, Acontra, Acontra Plus Amazon Channel, Artiflix, JustWatch TV, Tivify, Plex, Runtime</t>
  </si>
  <si>
    <t xml:space="preserve">Un cajero bancario se enamora de una femme fatale que lo lleva a la ruina.</t>
  </si>
  <si>
    <t xml:space="preserve">Perversidad (1945) es considerada una obra clave del cine de su época, y una pieza importante en la.</t>
  </si>
  <si>
    <t xml:space="preserve">tt0038057</t>
  </si>
  <si>
    <t xml:space="preserve">Traffic</t>
  </si>
  <si>
    <t xml:space="preserve">Steven Soderbergh</t>
  </si>
  <si>
    <t xml:space="preserve">Varias historias conectadas muestran distintos frentes de la guerra contra las drogas.</t>
  </si>
  <si>
    <t xml:space="preserve">tt0181865</t>
  </si>
  <si>
    <t xml:space="preserve">Los lunes al sol</t>
  </si>
  <si>
    <t xml:space="preserve">Fernando León de Aranoa</t>
  </si>
  <si>
    <t xml:space="preserve">En una ciudad costera del norte de España, a la que el desarrollo industrial ha hecho crecer.</t>
  </si>
  <si>
    <t xml:space="preserve">tt0319769</t>
  </si>
  <si>
    <t xml:space="preserve">Tigre y dragón</t>
  </si>
  <si>
    <t xml:space="preserve">Ang Lee</t>
  </si>
  <si>
    <t xml:space="preserve">Taiwán, Hong Kong, China, EE.UU.</t>
  </si>
  <si>
    <t xml:space="preserve">Netflix, Acontra, Acontra Plus Amazon Channel, Tivify</t>
  </si>
  <si>
    <t xml:space="preserve">Una espada legendaria robada desata una persecución donde se cruzan guerreros, amor prohibido.</t>
  </si>
  <si>
    <t xml:space="preserve">tt0190332</t>
  </si>
  <si>
    <t xml:space="preserve">Master and Commander</t>
  </si>
  <si>
    <t xml:space="preserve">Peter Weir</t>
  </si>
  <si>
    <t xml:space="preserve">Guerras napoleónicas, año 1805.</t>
  </si>
  <si>
    <t xml:space="preserve">tt0311113</t>
  </si>
  <si>
    <t xml:space="preserve">Toro Salvaje</t>
  </si>
  <si>
    <t xml:space="preserve">Prime, Movistar, Movistar Plus+ Ficción Total </t>
  </si>
  <si>
    <t xml:space="preserve">La vida del boxeador Jake LaMotta, marcada por su talento y su carácter autodestructivo dentro.</t>
  </si>
  <si>
    <t xml:space="preserve">Su montaje y coreografía de combate redefinieron el cine deportivo.</t>
  </si>
  <si>
    <t xml:space="preserve">tt0081398</t>
  </si>
  <si>
    <t xml:space="preserve">Tarde de perros</t>
  </si>
  <si>
    <t xml:space="preserve">Un hombre desesperado intenta atracar un banco en Brooklyn para pagar una operación urgente.</t>
  </si>
  <si>
    <t xml:space="preserve">tt0072890</t>
  </si>
  <si>
    <t xml:space="preserve">The Artist</t>
  </si>
  <si>
    <t xml:space="preserve">Michel Hazanavicius</t>
  </si>
  <si>
    <t xml:space="preserve">Cine mudo</t>
  </si>
  <si>
    <t xml:space="preserve">Filmin, Acontra, Acontra Plus Amazon Channel, Tivify</t>
  </si>
  <si>
    <t xml:space="preserve">Hollywood, 1927.</t>
  </si>
  <si>
    <t xml:space="preserve">tt1655442</t>
  </si>
  <si>
    <t xml:space="preserve">El hombre elefante</t>
  </si>
  <si>
    <t xml:space="preserve">David Lynch</t>
  </si>
  <si>
    <t xml:space="preserve">Prime, Movistar, Movistar Plus+ Ficción Total , Filmin</t>
  </si>
  <si>
    <t xml:space="preserve">Joseph Merrick, un hombre con graves deformidades, lucha por ser tratado con dignidad en una.</t>
  </si>
  <si>
    <t xml:space="preserve">tt0080678</t>
  </si>
  <si>
    <t xml:space="preserve">Sed de mal</t>
  </si>
  <si>
    <t xml:space="preserve">Plex</t>
  </si>
  <si>
    <t xml:space="preserve">Un detective corrupto y un agente mexicano investigan un atentado.</t>
  </si>
  <si>
    <t xml:space="preserve">Sed de mal (1958) es considerada una obra clave del cine de su época, y una pieza importante en la.</t>
  </si>
  <si>
    <t xml:space="preserve">tt0052311</t>
  </si>
  <si>
    <t xml:space="preserve">Encuentros en la tercera fase</t>
  </si>
  <si>
    <t xml:space="preserve">Filmin, Tivify</t>
  </si>
  <si>
    <t xml:space="preserve">Un electricista es testigo de sucesos extraños tras el contacto con un OVNI.</t>
  </si>
  <si>
    <t xml:space="preserve">tt0075860</t>
  </si>
  <si>
    <t xml:space="preserve">Roma, ciudad abierta</t>
  </si>
  <si>
    <t xml:space="preserve">Roberto Rossellini</t>
  </si>
  <si>
    <t xml:space="preserve">Prime, Movistar, Movistar Plus+ Ficción Total , Filmin, Artiflix</t>
  </si>
  <si>
    <t xml:space="preserve">La resistencia romana bajo la ocupación alemana.</t>
  </si>
  <si>
    <t xml:space="preserve">Roma, ciudad abierta (1945) es fundacional del neorrealismo italiano y una de las primeras respuestas.</t>
  </si>
  <si>
    <t xml:space="preserve">tt0038890</t>
  </si>
  <si>
    <t xml:space="preserve">La strada</t>
  </si>
  <si>
    <t xml:space="preserve">Federico Fellini</t>
  </si>
  <si>
    <t xml:space="preserve">Una joven es vendida a un artista ambulante y busca su lugar.</t>
  </si>
  <si>
    <t xml:space="preserve">La Strada (1954) consolidó a Fellini como autor internacional y es clave en el drama poético sobre personajes.</t>
  </si>
  <si>
    <t xml:space="preserve">tt0047528</t>
  </si>
  <si>
    <t xml:space="preserve">Los inmortales</t>
  </si>
  <si>
    <t xml:space="preserve">Russell Mulcahy</t>
  </si>
  <si>
    <t xml:space="preserve">Prime, Movistar Plus+ Ficción Total , FlixOlé, FlixOlé Amazon Channel</t>
  </si>
  <si>
    <t xml:space="preserve">Un guerrero inmortal debe enfrentarse a otros inmortales en batallas decisivas, pues solo.</t>
  </si>
  <si>
    <t xml:space="preserve">tt0091203</t>
  </si>
  <si>
    <t xml:space="preserve">Érase una vez en América</t>
  </si>
  <si>
    <t xml:space="preserve">Italia, EE.UU.</t>
  </si>
  <si>
    <t xml:space="preserve">Disney+, Tivify</t>
  </si>
  <si>
    <t xml:space="preserve">La vida de un grupo de amigos criminales a lo largo de varias décadas.</t>
  </si>
  <si>
    <t xml:space="preserve">Érase una vez en América (1984) es una épica criminal nostálgica que cerró la carrera de Leone y ha sido muy.</t>
  </si>
  <si>
    <t xml:space="preserve">tt0087843</t>
  </si>
  <si>
    <t xml:space="preserve">Mi vida sin mí</t>
  </si>
  <si>
    <t xml:space="preserve">Isabel Coixet</t>
  </si>
  <si>
    <t xml:space="preserve">Ann tiene 23 años, dos hijas, un marido que pasa más tiempo en paro que trabajando, una madre.</t>
  </si>
  <si>
    <t xml:space="preserve">tt0314412</t>
  </si>
  <si>
    <t xml:space="preserve">Bitelchús</t>
  </si>
  <si>
    <t xml:space="preserve">Tim Burton</t>
  </si>
  <si>
    <t xml:space="preserve">Movistar Plus+ Ficción Total </t>
  </si>
  <si>
    <t xml:space="preserve">Un espíritu bromista especializado en sustos trata de expulsar a los nuevos ocupantes de una.</t>
  </si>
  <si>
    <t xml:space="preserve">tt0094721</t>
  </si>
  <si>
    <t xml:space="preserve">Perdida</t>
  </si>
  <si>
    <t xml:space="preserve">El día de su quinto aniversario de boda, Nick Dunne (Ben Affleck) informa que su esposa Amy.</t>
  </si>
  <si>
    <t xml:space="preserve">tt2267998</t>
  </si>
  <si>
    <t xml:space="preserve">Clerks</t>
  </si>
  <si>
    <t xml:space="preserve">Kevin Smith</t>
  </si>
  <si>
    <t xml:space="preserve">Narra en clave de humor la vida, amores y excentricidades de dos jóvenes cajeros de New Jersey.</t>
  </si>
  <si>
    <t xml:space="preserve">tt0109445</t>
  </si>
  <si>
    <t xml:space="preserve">Senderos de gloria</t>
  </si>
  <si>
    <t xml:space="preserve">Movistar, Movistar Plus+ Ficción Total , MGM Plus Amazon Channel</t>
  </si>
  <si>
    <t xml:space="preserve">Un coronel debe liderar un ataque suicida durante la Primera Guerra Mundial.</t>
  </si>
  <si>
    <t xml:space="preserve">Senderos de gloria (1957) es considerada una obra clave del género bélico, drama, y una pieza importante en.</t>
  </si>
  <si>
    <t xml:space="preserve">tt0050825</t>
  </si>
  <si>
    <t xml:space="preserve">Coco</t>
  </si>
  <si>
    <t xml:space="preserve">Lee Unkrich, Adrián Molina</t>
  </si>
  <si>
    <t xml:space="preserve">Animación</t>
  </si>
  <si>
    <t xml:space="preserve">Miguel es un joven con el sueño de convertirse en leyenda de la música a pesar de la.</t>
  </si>
  <si>
    <t xml:space="preserve">tt2380307</t>
  </si>
  <si>
    <t xml:space="preserve">Terciopelo azul</t>
  </si>
  <si>
    <t xml:space="preserve">Una mañana, Jeffrey Beaumont (Kyle MacLachlan), después de visitar a su padre en el hospital.</t>
  </si>
  <si>
    <t xml:space="preserve">Fijó el imaginario de Lynch: la podredumbre bajo el suburbio idílico.</t>
  </si>
  <si>
    <t xml:space="preserve">tt0090756</t>
  </si>
  <si>
    <t xml:space="preserve">Hable con ella</t>
  </si>
  <si>
    <t xml:space="preserve">Netflix, Movistar, Movistar Plus+ Ficción Total </t>
  </si>
  <si>
    <t xml:space="preserve">Dos hombres cuidan a mujeres en coma y entablan una amistad marcada por la soledad, los.</t>
  </si>
  <si>
    <t xml:space="preserve">tt0287467</t>
  </si>
  <si>
    <t xml:space="preserve">Manhattan</t>
  </si>
  <si>
    <t xml:space="preserve">Adaptación literaria</t>
  </si>
  <si>
    <t xml:space="preserve">Movistar Plus+ Ficción Total , MGM Plus Amazon Channel</t>
  </si>
  <si>
    <t xml:space="preserve">Un escritor neoyorquino atraviesa crisis amorosas y existenciales mientras intenta dar sentido.</t>
  </si>
  <si>
    <t xml:space="preserve">tt0079522</t>
  </si>
  <si>
    <t xml:space="preserve">La tumba de las luciérnagas</t>
  </si>
  <si>
    <t xml:space="preserve">Isao Takahata</t>
  </si>
  <si>
    <t xml:space="preserve">Dos hermanos intentan sobrevivir al final de la Segunda Guerra Mundial en un relato.</t>
  </si>
  <si>
    <t xml:space="preserve">Demostró que la animación podía sostener una tragedia adulta.</t>
  </si>
  <si>
    <t xml:space="preserve">tt0095327</t>
  </si>
  <si>
    <t xml:space="preserve">El hijo de la novia</t>
  </si>
  <si>
    <t xml:space="preserve">Netflix, Prime, Movistar, Movistar Plus+ Ficción Total , FlixOlé, FlixOlé Amazon Channel</t>
  </si>
  <si>
    <t xml:space="preserve">Rafael dedica 24 horas al día a su restaurante, está divorciado, ve muy poco a su hija, no.</t>
  </si>
  <si>
    <t xml:space="preserve">tt0292542</t>
  </si>
  <si>
    <t xml:space="preserve">¡Qué bello es vivir!</t>
  </si>
  <si>
    <t xml:space="preserve">Frank Capra</t>
  </si>
  <si>
    <t xml:space="preserve">Un ángel muestra a un hombre cómo sería el mundo sin él.</t>
  </si>
  <si>
    <t xml:space="preserve">tt0038650</t>
  </si>
  <si>
    <t xml:space="preserve">Los amantes del círculo polar</t>
  </si>
  <si>
    <t xml:space="preserve">Julio Medem</t>
  </si>
  <si>
    <t xml:space="preserve">Netflix, Movistar, Movistar Plus+ Ficción Total , FlixOlé, FlixOlé Amazon Channel</t>
  </si>
  <si>
    <t xml:space="preserve">Ana y Otto cuentan su apasionada y secreta historia de amor que se extiende desde los ocho.</t>
  </si>
  <si>
    <t xml:space="preserve">tt0133363</t>
  </si>
  <si>
    <t xml:space="preserve">Orgullo y prejuicio</t>
  </si>
  <si>
    <t xml:space="preserve">Joe Wright</t>
  </si>
  <si>
    <t xml:space="preserve">Lizzy Bennet y el señor Darcy chocan por orgullo y prejuicios, pero deben superar.</t>
  </si>
  <si>
    <t xml:space="preserve">tt0414387</t>
  </si>
  <si>
    <t xml:space="preserve">El jardinero fiel</t>
  </si>
  <si>
    <t xml:space="preserve">Justin Quayle (Fiennes) es un diplomático británico destinado en Kenya cuya mujer es asesinada.</t>
  </si>
  <si>
    <t xml:space="preserve">tt0387131</t>
  </si>
  <si>
    <t xml:space="preserve">Cuando Harry encontró a Sally</t>
  </si>
  <si>
    <t xml:space="preserve">Prime, Movistar, Movistar Plus+ Ficción Total , AMC Channels Amazon Channel</t>
  </si>
  <si>
    <t xml:space="preserve">Harry y Sally debaten durante años si un hombre y una mujer pueden ser solo amigos, hasta que.</t>
  </si>
  <si>
    <t xml:space="preserve">tt0098635</t>
  </si>
  <si>
    <t xml:space="preserve">Criadas y señoras</t>
  </si>
  <si>
    <t xml:space="preserve">Tate Taylor</t>
  </si>
  <si>
    <t xml:space="preserve">Mississippi, años 60.</t>
  </si>
  <si>
    <t xml:space="preserve">tt1454029</t>
  </si>
  <si>
    <t xml:space="preserve">La cosa (El enigma de otro mundo)</t>
  </si>
  <si>
    <t xml:space="preserve">John Carpenter</t>
  </si>
  <si>
    <t xml:space="preserve">Una base antártica sitiada por un organismo que imita a las personas.</t>
  </si>
  <si>
    <t xml:space="preserve">Fracasó en taquilla y se volvió de culto: los efectos prácticos de Rob Bottin siguen siendo referencia del.</t>
  </si>
  <si>
    <t xml:space="preserve">#10</t>
  </si>
  <si>
    <t xml:space="preserve">tt0084787</t>
  </si>
  <si>
    <t xml:space="preserve">Las dos caras de la verdad</t>
  </si>
  <si>
    <t xml:space="preserve">Gregory Hoblit</t>
  </si>
  <si>
    <t xml:space="preserve">Netflix, Prime</t>
  </si>
  <si>
    <t xml:space="preserve">Un joven acusado de asesinato parece inocente, pero un abogado descubre capas de manipulación.</t>
  </si>
  <si>
    <t xml:space="preserve">tt0117381</t>
  </si>
  <si>
    <t xml:space="preserve">El cazador</t>
  </si>
  <si>
    <t xml:space="preserve">Michael Cimino</t>
  </si>
  <si>
    <t xml:space="preserve">Prime, Movistar, Movistar Plus+ Ficción Total , Filmin, FlixOlé, FlixOlé Amazon Channel</t>
  </si>
  <si>
    <t xml:space="preserve">Tres amigos ven sus vidas quebradas por su experiencia traumática en la guerra de Vietnam.</t>
  </si>
  <si>
    <t xml:space="preserve">Primera gran película sobre el trauma de Vietnam; ganó cinco Óscars.</t>
  </si>
  <si>
    <t xml:space="preserve">tt0077416</t>
  </si>
  <si>
    <t xml:space="preserve">Matar a un ruiseñor</t>
  </si>
  <si>
    <t xml:space="preserve">Robert Mulligan</t>
  </si>
  <si>
    <t xml:space="preserve">JustWatch TV</t>
  </si>
  <si>
    <t xml:space="preserve">Un abogado defiende a un hombre negro acusado injustamente en los años 30.</t>
  </si>
  <si>
    <t xml:space="preserve">Matar a un ruiseñor (1962) es fundamental en el cine de derechos civiles en EE.UU., con la figura de Atticus.</t>
  </si>
  <si>
    <t xml:space="preserve">tt0056592</t>
  </si>
  <si>
    <t xml:space="preserve">El crack</t>
  </si>
  <si>
    <t xml:space="preserve">José Luis Garci</t>
  </si>
  <si>
    <t xml:space="preserve">Un detective privado investiga el asesinato de un financiero, descubriendo corrupción, poder y.</t>
  </si>
  <si>
    <t xml:space="preserve">tt0082210</t>
  </si>
  <si>
    <t xml:space="preserve">El último emperador</t>
  </si>
  <si>
    <t xml:space="preserve">Bernardo Bertolucci</t>
  </si>
  <si>
    <t xml:space="preserve">Filmin, Acontra, Acontra Plus Amazon Channel, Runtime</t>
  </si>
  <si>
    <t xml:space="preserve">La vida del último emperador de China, Pu Yi, desde su ascenso al trono en la infancia hasta.</t>
  </si>
  <si>
    <t xml:space="preserve">tt0093389</t>
  </si>
  <si>
    <t xml:space="preserve">Descubriendo nunca jamás</t>
  </si>
  <si>
    <t xml:space="preserve">Marc Forster</t>
  </si>
  <si>
    <t xml:space="preserve">La relación entre J.</t>
  </si>
  <si>
    <t xml:space="preserve">tt0308644</t>
  </si>
  <si>
    <t xml:space="preserve">The reader (el lector)</t>
  </si>
  <si>
    <t xml:space="preserve">Alemania después de la II Guerra Mundial.</t>
  </si>
  <si>
    <t xml:space="preserve">tt0976051</t>
  </si>
  <si>
    <t xml:space="preserve">El piano</t>
  </si>
  <si>
    <t xml:space="preserve">Jane Campion</t>
  </si>
  <si>
    <t xml:space="preserve">Nueva Zelanda</t>
  </si>
  <si>
    <t xml:space="preserve">Prime, Acontra, Acontra Plus Amazon Channel, Tivify, Runtime</t>
  </si>
  <si>
    <t xml:space="preserve">Año 1851.</t>
  </si>
  <si>
    <t xml:space="preserve">Primera película dirigida por una mujer en ganar la Palma de Oro.</t>
  </si>
  <si>
    <t xml:space="preserve">tt0107822</t>
  </si>
  <si>
    <t xml:space="preserve">Boyhood</t>
  </si>
  <si>
    <t xml:space="preserve">Richard Linklater</t>
  </si>
  <si>
    <t xml:space="preserve">Historia dramática que recorre 12 años (2002-2013) de la vida de Mason (Ellar Coltrane) de los.</t>
  </si>
  <si>
    <t xml:space="preserve">tt1065073</t>
  </si>
  <si>
    <t xml:space="preserve">Puñales por la espalda</t>
  </si>
  <si>
    <t xml:space="preserve">Rian Johnson</t>
  </si>
  <si>
    <t xml:space="preserve">Netflix, Movistar, Movistar Plus+ Ficción Total , Lionsgate+ Amazon Channel</t>
  </si>
  <si>
    <t xml:space="preserve">El detective Benoit Blanc investiga la muerte de un patriarca rodeado de familiares.</t>
  </si>
  <si>
    <t xml:space="preserve">tt8946378</t>
  </si>
  <si>
    <t xml:space="preserve">Bailar en la oscuridad</t>
  </si>
  <si>
    <t xml:space="preserve">Selma, inmigrante checa y madre soltera, trabaja en la fábrica de un pueblo de los EEUU.</t>
  </si>
  <si>
    <t xml:space="preserve">tt0168629</t>
  </si>
  <si>
    <t xml:space="preserve">El crepúsculo de los dioses</t>
  </si>
  <si>
    <t xml:space="preserve">Una estrella caída manipula a un guionista para recuperar notoriedad.</t>
  </si>
  <si>
    <t xml:space="preserve">El crepúsculo de los dioses (1950) es una de las miradas más corrosivas hacia Hollywood, pionera en su tono.</t>
  </si>
  <si>
    <t xml:space="preserve">tt0043014</t>
  </si>
  <si>
    <t xml:space="preserve">Antes de amanecer</t>
  </si>
  <si>
    <t xml:space="preserve">Céline (Julie Delpy), una estudiante francesa, y Jesse (Ethan Hawke), un joven estadounidense.</t>
  </si>
  <si>
    <t xml:space="preserve">tt0112471</t>
  </si>
  <si>
    <t xml:space="preserve">Sleepers</t>
  </si>
  <si>
    <t xml:space="preserve">Barry Levinson</t>
  </si>
  <si>
    <t xml:space="preserve">Judicial</t>
  </si>
  <si>
    <t xml:space="preserve">Durante los años 60, la iglesia de los Santos Ángeles y su escuela eran el centro de la.</t>
  </si>
  <si>
    <t xml:space="preserve">tt0117665</t>
  </si>
  <si>
    <t xml:space="preserve">La habitación</t>
  </si>
  <si>
    <t xml:space="preserve">Lenny Abrahamson</t>
  </si>
  <si>
    <t xml:space="preserve">Irlanda</t>
  </si>
  <si>
    <t xml:space="preserve">Para Jack, un niño de cinco años, la habitación es el mundo entero, el lugar donde nació.</t>
  </si>
  <si>
    <t xml:space="preserve">tt3170832</t>
  </si>
  <si>
    <t xml:space="preserve">The fighter</t>
  </si>
  <si>
    <t xml:space="preserve">David O. Russell</t>
  </si>
  <si>
    <t xml:space="preserve">La historia real del boxeador Micky Ward y su hermano Dicky, cuya relación tóxica y complicada.</t>
  </si>
  <si>
    <t xml:space="preserve">tt0964517</t>
  </si>
  <si>
    <t xml:space="preserve">Una noche en la ópera</t>
  </si>
  <si>
    <t xml:space="preserve">Sam Wood</t>
  </si>
  <si>
    <t xml:space="preserve">Los Hermanos Marx destrozan una ópera desde dentro.</t>
  </si>
  <si>
    <t xml:space="preserve">Una noche en la ópera (1935) es considerada una obra clave del género comedia, y una pieza importante en la.</t>
  </si>
  <si>
    <t xml:space="preserve">tt0026778</t>
  </si>
  <si>
    <t xml:space="preserve">Los santos inocentes</t>
  </si>
  <si>
    <t xml:space="preserve">Mario Camus</t>
  </si>
  <si>
    <t xml:space="preserve">Movistar Plus+ Ficción Total , FlixOlé, FlixOlé Amazon Channel, Tivify</t>
  </si>
  <si>
    <t xml:space="preserve">Una familia humilde sufre la opresión de una élite terrateniente.</t>
  </si>
  <si>
    <t xml:space="preserve">Los santos inocentes (1984) es una referencia del cine social español, retrato demoledor de la España rural.</t>
  </si>
  <si>
    <t xml:space="preserve">tt0088040</t>
  </si>
  <si>
    <t xml:space="preserve">Delicatessen</t>
  </si>
  <si>
    <t xml:space="preserve">Jean-Pierre Jeunet, Marc Caro</t>
  </si>
  <si>
    <t xml:space="preserve">Movistar, Movistar Plus+ Ficción Total , MUBI, MUBI Amazon Channel</t>
  </si>
  <si>
    <t xml:space="preserve">En un edificio decadente, sus habitantes viven bajo un carnicero sin escrúpulos.</t>
  </si>
  <si>
    <t xml:space="preserve">tt0101700</t>
  </si>
  <si>
    <t xml:space="preserve">Testigo de cargo</t>
  </si>
  <si>
    <t xml:space="preserve">Un abogado intenta demostrar la inocencia de un hombre acusado de asesinato.</t>
  </si>
  <si>
    <t xml:space="preserve">Testigo de cargo (1957) es uno de los grandes títulos de Billy Wilder, modelo de thriller judicial con giros.</t>
  </si>
  <si>
    <t xml:space="preserve">tt0051201</t>
  </si>
  <si>
    <t xml:space="preserve">El luchador</t>
  </si>
  <si>
    <t xml:space="preserve">Un luchador profesional en decadencia intenta recomponer su vida, su salud y su relación con.</t>
  </si>
  <si>
    <t xml:space="preserve">tt1125849</t>
  </si>
  <si>
    <t xml:space="preserve">El tercer hombre</t>
  </si>
  <si>
    <t xml:space="preserve">Carol Reed</t>
  </si>
  <si>
    <t xml:space="preserve">Prime, Filmin, Artiflix, Tivify, Plex, Runtime</t>
  </si>
  <si>
    <t xml:space="preserve">Un escritor investiga la muerte de su amigo en la Viena ocupada.</t>
  </si>
  <si>
    <t xml:space="preserve">El tercer hombre (1949) es considerada una obra clave del género noir, misterio, y una pieza importante en la.</t>
  </si>
  <si>
    <t xml:space="preserve">TOP 40-50</t>
  </si>
  <si>
    <t xml:space="preserve">tt0041959</t>
  </si>
  <si>
    <t xml:space="preserve">Un dios salvaje</t>
  </si>
  <si>
    <t xml:space="preserve">Dos parejas se reúnen para hablar civilizadamente de una pelea entre sus hijos, pero la.</t>
  </si>
  <si>
    <t xml:space="preserve">tt1692486</t>
  </si>
  <si>
    <t xml:space="preserve">La profecía</t>
  </si>
  <si>
    <t xml:space="preserve">Cuando Kathy Thorn da a luz a un bebé muerto, su esposo Robert le oculta la verdad y sustituye.</t>
  </si>
  <si>
    <t xml:space="preserve">tt0075005</t>
  </si>
  <si>
    <t xml:space="preserve">Persépolis</t>
  </si>
  <si>
    <t xml:space="preserve">Marjane Satrapi, Vincent Paronnaud</t>
  </si>
  <si>
    <t xml:space="preserve">Movistar Plus+ Ficción Total , Filmin, FlixOlé, Tivify, AMC Channels Amazon Channel</t>
  </si>
  <si>
    <t xml:space="preserve">Narra la conmovedora historia de una niña iraní desde la revolución islámica hasta nuestros.</t>
  </si>
  <si>
    <t xml:space="preserve">tt0808417</t>
  </si>
  <si>
    <t xml:space="preserve">Los miserables</t>
  </si>
  <si>
    <t xml:space="preserve">El expresidiario Jean Valjean (Hugh Jackman) es perseguido durante décadas por el despiadado.</t>
  </si>
  <si>
    <t xml:space="preserve">tt1707386</t>
  </si>
  <si>
    <t xml:space="preserve">Te doy mis ojos</t>
  </si>
  <si>
    <t xml:space="preserve">Icíar Bollaín</t>
  </si>
  <si>
    <t xml:space="preserve">Una noche de invierno, Pilar sale huyendo de su casa.</t>
  </si>
  <si>
    <t xml:space="preserve">tt0350193</t>
  </si>
  <si>
    <t xml:space="preserve">Las vidas posibles de Mr. Nobody</t>
  </si>
  <si>
    <t xml:space="preserve">Jaco Van Dormael</t>
  </si>
  <si>
    <t xml:space="preserve">Bélgica</t>
  </si>
  <si>
    <t xml:space="preserve">En el año de 2092, Nemo Nobody, que tiene 120 años, es el último ser humano mortal de la.</t>
  </si>
  <si>
    <t xml:space="preserve">tt0485947</t>
  </si>
  <si>
    <t xml:space="preserve">12 monos</t>
  </si>
  <si>
    <t xml:space="preserve">Terry Gilliam</t>
  </si>
  <si>
    <t xml:space="preserve">Año 2035.</t>
  </si>
  <si>
    <t xml:space="preserve">tt0114746</t>
  </si>
  <si>
    <t xml:space="preserve">Cyrano de Bergerac</t>
  </si>
  <si>
    <t xml:space="preserve">Jean-Paul Rappeneau</t>
  </si>
  <si>
    <t xml:space="preserve">Prime, Filmin, Acontra, Tivify</t>
  </si>
  <si>
    <t xml:space="preserve">El valiente y brillante Cyrano, enamorado de su prima Roxane, presta sus palabras a otro.</t>
  </si>
  <si>
    <t xml:space="preserve">tt0099334</t>
  </si>
  <si>
    <t xml:space="preserve">El dilema</t>
  </si>
  <si>
    <t xml:space="preserve">Michael Mann</t>
  </si>
  <si>
    <t xml:space="preserve">Un químico de la industria tabacalera denuncia prácticas que ocultan los riesgos del tabaco.</t>
  </si>
  <si>
    <t xml:space="preserve">tt0140352</t>
  </si>
  <si>
    <t xml:space="preserve">Tres colores: Azul</t>
  </si>
  <si>
    <t xml:space="preserve">Krzysztof Kieślowski</t>
  </si>
  <si>
    <t xml:space="preserve">En un accidente de coche, Julie pierde a su marido Patrice, un prestigioso compositor, y a su.</t>
  </si>
  <si>
    <t xml:space="preserve">tt0108394</t>
  </si>
  <si>
    <t xml:space="preserve">Kramer contra Kramer</t>
  </si>
  <si>
    <t xml:space="preserve">Robert Benton</t>
  </si>
  <si>
    <t xml:space="preserve">Apple TV, Movistar, Movistar Plus+ Ficción Total , Filmin, Apple TV Amazon Channel</t>
  </si>
  <si>
    <t xml:space="preserve">Un divorcio enfrenta a un matrimonio en los tribunales mientras su hijo sufre entre ellos.</t>
  </si>
  <si>
    <t xml:space="preserve">tt0079417</t>
  </si>
  <si>
    <t xml:space="preserve">Camino</t>
  </si>
  <si>
    <t xml:space="preserve">Javier Fesser</t>
  </si>
  <si>
    <t xml:space="preserve">Prime, Movistar Plus+ Ficción Total , Filmin, SkyShowtime</t>
  </si>
  <si>
    <t xml:space="preserve">Inspirada en hechos reales, narra la historia de una niña que afronta una enfermedad terminal.</t>
  </si>
  <si>
    <t xml:space="preserve">tt1206285</t>
  </si>
  <si>
    <t xml:space="preserve">El verdugo</t>
  </si>
  <si>
    <t xml:space="preserve">Luis García Berlanga</t>
  </si>
  <si>
    <t xml:space="preserve">Un joven empleado es presionado para convertirse en verdugo, sátira feroz del franquismo.</t>
  </si>
  <si>
    <t xml:space="preserve">El verdugo (1963) es considerada una obra clave del género comedia negra, drama, y una pieza importante en la.</t>
  </si>
  <si>
    <t xml:space="preserve">tt0057643</t>
  </si>
  <si>
    <t xml:space="preserve">Los falsificadores</t>
  </si>
  <si>
    <t xml:space="preserve">Stefan Ruzowitzky</t>
  </si>
  <si>
    <t xml:space="preserve">Austria, Alemania</t>
  </si>
  <si>
    <t xml:space="preserve">En un campo de concentración nazi, prisioneros expertos en falsificación son obligados a.</t>
  </si>
  <si>
    <t xml:space="preserve">tt0813547</t>
  </si>
  <si>
    <t xml:space="preserve">Hotel Rwanda</t>
  </si>
  <si>
    <t xml:space="preserve">Terry George</t>
  </si>
  <si>
    <t xml:space="preserve">1994, guerra civil de Ruanda.</t>
  </si>
  <si>
    <t xml:space="preserve">tt0395169</t>
  </si>
  <si>
    <t xml:space="preserve">Deseando amar</t>
  </si>
  <si>
    <t xml:space="preserve">Wong Kar-Wai</t>
  </si>
  <si>
    <t xml:space="preserve">Hong Kong</t>
  </si>
  <si>
    <t xml:space="preserve">Prime, Filmin, Rakuten</t>
  </si>
  <si>
    <t xml:space="preserve">Dos vecinos descubren que sus cónyuges les engañan.</t>
  </si>
  <si>
    <t xml:space="preserve">Wong Kar-Wai hizo del deseo contenido una cuestión de forma: ralentizados, repeticiones y una paleta.</t>
  </si>
  <si>
    <t xml:space="preserve">tt0118694</t>
  </si>
  <si>
    <t xml:space="preserve">Cinderella Man</t>
  </si>
  <si>
    <t xml:space="preserve">Basada en una historia real.</t>
  </si>
  <si>
    <t xml:space="preserve">tt0352248</t>
  </si>
  <si>
    <t xml:space="preserve">Antes del atardecer</t>
  </si>
  <si>
    <t xml:space="preserve">Dos antiguos amantes se reencuentran nueve años después en París.</t>
  </si>
  <si>
    <t xml:space="preserve">Rodada casi en tiempo real; modelo de la trilogía como relato vital.</t>
  </si>
  <si>
    <t xml:space="preserve">tt0381681</t>
  </si>
  <si>
    <t xml:space="preserve">Pena de muerte</t>
  </si>
  <si>
    <t xml:space="preserve">Tim Robbins</t>
  </si>
  <si>
    <t xml:space="preserve">Tivify, MGM Plus Amazon Channel, AMC Channels Amazon Channel</t>
  </si>
  <si>
    <t xml:space="preserve">Matthew Poncelet (Sean Penn), un hombre condenado a la pena capital por el asesinato de dos.</t>
  </si>
  <si>
    <t xml:space="preserve">tt0112818</t>
  </si>
  <si>
    <t xml:space="preserve">Una cuestión de tiempo</t>
  </si>
  <si>
    <t xml:space="preserve">Richard Curtis</t>
  </si>
  <si>
    <t xml:space="preserve">Un joven con capacidad de viajar en el tiempo usa su don para mejorar su vida familiar y.</t>
  </si>
  <si>
    <t xml:space="preserve">tt2194499</t>
  </si>
  <si>
    <t xml:space="preserve">La sociedad de la nieve</t>
  </si>
  <si>
    <t xml:space="preserve">J.A. Bayona</t>
  </si>
  <si>
    <t xml:space="preserve">En 1972, el vuelo 571 de la Fuerza Aérea Uruguaya, fletado para llevar a un equipo de rugby a.</t>
  </si>
  <si>
    <t xml:space="preserve">tt16277242</t>
  </si>
  <si>
    <t xml:space="preserve">AzulOscuroCasiNegro</t>
  </si>
  <si>
    <t xml:space="preserve">Daniel Sánchez Arévalo</t>
  </si>
  <si>
    <t xml:space="preserve">Un joven responsable y agobiado por cuidar a su padre deberá replantearse su vida cuando.</t>
  </si>
  <si>
    <t xml:space="preserve">tt0452971</t>
  </si>
  <si>
    <t xml:space="preserve">Tomates verdes fritos</t>
  </si>
  <si>
    <t xml:space="preserve">Jon Avnet</t>
  </si>
  <si>
    <t xml:space="preserve">Movistar, Movistar Plus+ Ficción Total , rtve</t>
  </si>
  <si>
    <t xml:space="preserve">Evelyn (Kathy Bates), una mujer madura que vive frustrada por su gordura y por la.</t>
  </si>
  <si>
    <t xml:space="preserve">tt0101921</t>
  </si>
  <si>
    <t xml:space="preserve">Rush</t>
  </si>
  <si>
    <t xml:space="preserve">Reino Unido, EE.UU., Alemania</t>
  </si>
  <si>
    <t xml:space="preserve">La rivalidad entre los pilotos de Fórmula 1 James Hunt y Niki Lauda en los años 70, marcada.</t>
  </si>
  <si>
    <t xml:space="preserve">tt1979320</t>
  </si>
  <si>
    <t xml:space="preserve">Gandhi</t>
  </si>
  <si>
    <t xml:space="preserve">Richard Attenborough</t>
  </si>
  <si>
    <t xml:space="preserve">Después de defender los derechos de sus compatriotas en Sudáfrica, Mahatma Gandhi.</t>
  </si>
  <si>
    <t xml:space="preserve">tt0083987</t>
  </si>
  <si>
    <t xml:space="preserve">Las ventajas de ser un marginado</t>
  </si>
  <si>
    <t xml:space="preserve">Stephen Chbosky</t>
  </si>
  <si>
    <t xml:space="preserve">Netflix, Lionsgate+ Amazon Channel</t>
  </si>
  <si>
    <t xml:space="preserve">Charlie, un adolescente introvertido, confronta traumas pasados mientras encuentra su lugar a.</t>
  </si>
  <si>
    <t xml:space="preserve">tt1659337</t>
  </si>
  <si>
    <t xml:space="preserve">Metrópolis</t>
  </si>
  <si>
    <t xml:space="preserve">1920s</t>
  </si>
  <si>
    <t xml:space="preserve">Robots e IA</t>
  </si>
  <si>
    <t xml:space="preserve">Filmin, Artiflix</t>
  </si>
  <si>
    <t xml:space="preserve">En una ciudad futurista, la élite domina mientras los obreros sobreviven en condiciones.</t>
  </si>
  <si>
    <t xml:space="preserve">Metrópolis (1927) es considerada una obra clave del género ciencia ficción, distopía, y una pieza importante.</t>
  </si>
  <si>
    <t xml:space="preserve">tt0017136</t>
  </si>
  <si>
    <t xml:space="preserve">Sentido y sensibilidad</t>
  </si>
  <si>
    <t xml:space="preserve">Dos hermanas afrontan amor, desengaños y las limitaciones sociales del siglo XIX, intentando.</t>
  </si>
  <si>
    <t xml:space="preserve">tt0114388</t>
  </si>
  <si>
    <t xml:space="preserve">Sangre fácil</t>
  </si>
  <si>
    <t xml:space="preserve">Joel Coen</t>
  </si>
  <si>
    <t xml:space="preserve">Dos asesinos sin experiencia intentan escapar tras un violento encargo que sale mal.</t>
  </si>
  <si>
    <t xml:space="preserve">tt0086979</t>
  </si>
  <si>
    <t xml:space="preserve">Ed Wood</t>
  </si>
  <si>
    <t xml:space="preserve">Ed Wood es un joven director de cine, un visionario sin ninguna formación académica.</t>
  </si>
  <si>
    <t xml:space="preserve">tt0109707</t>
  </si>
  <si>
    <t xml:space="preserve">Si la cosa funciona</t>
  </si>
  <si>
    <t xml:space="preserve">Boris, un misántropo brillante, inicia una relación con una joven ingenua mientras la llegada.</t>
  </si>
  <si>
    <t xml:space="preserve">tt1178663</t>
  </si>
  <si>
    <t xml:space="preserve">Rebeca</t>
  </si>
  <si>
    <t xml:space="preserve">JustWatch TV, Filmzie</t>
  </si>
  <si>
    <t xml:space="preserve">Una joven esposa vive bajo la sombra inquietante de la difunta primera mujer de su marido.</t>
  </si>
  <si>
    <t xml:space="preserve">Rebeca (1940) es un hito del gótico romántico y el único film de Hitchcock ganador del Óscar a Mejor Película.</t>
  </si>
  <si>
    <t xml:space="preserve">tt0032976</t>
  </si>
  <si>
    <t xml:space="preserve">Yo soy Sam</t>
  </si>
  <si>
    <t xml:space="preserve">Jessie Nelson</t>
  </si>
  <si>
    <t xml:space="preserve">Sam Dawson (Sean Penn) es un deficiente mental que deberá luchar por conservar la custodia de.</t>
  </si>
  <si>
    <t xml:space="preserve">tt0277027</t>
  </si>
  <si>
    <t xml:space="preserve">Paseando a Miss Daisy</t>
  </si>
  <si>
    <t xml:space="preserve">Bruce Beresford</t>
  </si>
  <si>
    <t xml:space="preserve">Prime, Movistar, Movistar Plus+ Ficción Total , FlixOlé, FlixOlé Amazon Channel</t>
  </si>
  <si>
    <t xml:space="preserve">La relación entre una mujer blanca adinerada y su chófer afroamericano se transforma de.</t>
  </si>
  <si>
    <t xml:space="preserve">tt0097239</t>
  </si>
  <si>
    <t xml:space="preserve">La cinta blanca</t>
  </si>
  <si>
    <t xml:space="preserve">Prime, Filmin, Acontra, Tivify, Runtime</t>
  </si>
  <si>
    <t xml:space="preserve">Sucesos inquietantes en un pueblo alemán antes de la Gran Guerra.</t>
  </si>
  <si>
    <t xml:space="preserve">Palma de Oro que ligó la infancia autoritaria al origen del fascismo.</t>
  </si>
  <si>
    <t xml:space="preserve">tt1149362</t>
  </si>
  <si>
    <t xml:space="preserve">The Man from Earth</t>
  </si>
  <si>
    <t xml:space="preserve">Richard Schenkman</t>
  </si>
  <si>
    <t xml:space="preserve">Prime, Plex</t>
  </si>
  <si>
    <t xml:space="preserve">Un hombre reúne a sus amigos para despedirse de ellos, ya que se va a mudar a otro lugar.</t>
  </si>
  <si>
    <t xml:space="preserve">tt0756683</t>
  </si>
  <si>
    <t xml:space="preserve">La maldición del escorpión de jade</t>
  </si>
  <si>
    <t xml:space="preserve">EE.UU., Alemania</t>
  </si>
  <si>
    <t xml:space="preserve">En el Nueva York de los años 40, un investigador de seguros y una experta en eficiencia son.</t>
  </si>
  <si>
    <t xml:space="preserve">tt0256524</t>
  </si>
  <si>
    <t xml:space="preserve">Alta fidelidad</t>
  </si>
  <si>
    <t xml:space="preserve">Stephen Frears</t>
  </si>
  <si>
    <t xml:space="preserve">Un fanático de la música repasa sus relaciones fallidas intentando entender sus errores y su.</t>
  </si>
  <si>
    <t xml:space="preserve">tt0146882</t>
  </si>
  <si>
    <t xml:space="preserve">Ladrón de bicicletas</t>
  </si>
  <si>
    <t xml:space="preserve">Vittorio De Sica</t>
  </si>
  <si>
    <t xml:space="preserve">Un hombre busca desesperadamente su bicicleta robada, esencial para su trabajo.</t>
  </si>
  <si>
    <t xml:space="preserve">Ladrón de bicicletas (1948) es piedra angular del neorrealismo italiano y referencia para todo el cine social.</t>
  </si>
  <si>
    <t xml:space="preserve">tt0040522</t>
  </si>
  <si>
    <t xml:space="preserve">Las horas</t>
  </si>
  <si>
    <t xml:space="preserve">Historia de tres mujeres de épocas diferentes que tratan de encontrarle un sentido a la vida.</t>
  </si>
  <si>
    <t xml:space="preserve">tt0274558</t>
  </si>
  <si>
    <t xml:space="preserve">Amor a quemarropa</t>
  </si>
  <si>
    <t xml:space="preserve">Tony Scott</t>
  </si>
  <si>
    <t xml:space="preserve">Un joven tímido se fuga con su novia tras robar un maletín a la mafia.</t>
  </si>
  <si>
    <t xml:space="preserve">tt0108399</t>
  </si>
  <si>
    <t xml:space="preserve">Barry Lyndon</t>
  </si>
  <si>
    <t xml:space="preserve">La ascensión y caída de Barry Lyndon, un oportunista del siglo XVIII cuya ambición lo conduce.</t>
  </si>
  <si>
    <t xml:space="preserve">Kubrick rodó los interiores solo con luz de velas usando ópticas de la NASA, componiendo cada plano como.</t>
  </si>
  <si>
    <t xml:space="preserve">tt0072684</t>
  </si>
  <si>
    <t xml:space="preserve">Eva al desnudo</t>
  </si>
  <si>
    <t xml:space="preserve">Joseph L. Mankiewicz</t>
  </si>
  <si>
    <t xml:space="preserve">Artiflix</t>
  </si>
  <si>
    <t xml:space="preserve">Ambición, traición y manipulación en el mundo del teatro neoyorquino.</t>
  </si>
  <si>
    <t xml:space="preserve">El infierno del odio (1963) es un thriller social adelantado a su época, donde Kurosawa expone con maestría.</t>
  </si>
  <si>
    <t xml:space="preserve">tt0042192</t>
  </si>
  <si>
    <t xml:space="preserve">Granujas a todo ritmo</t>
  </si>
  <si>
    <t xml:space="preserve">John Landis</t>
  </si>
  <si>
    <t xml:space="preserve">Dos hermanos músicos se embarcan en una misión “divina” para salvar el orfanato donde.</t>
  </si>
  <si>
    <t xml:space="preserve">tt0080455</t>
  </si>
  <si>
    <t xml:space="preserve">¡Jo, qué noche!</t>
  </si>
  <si>
    <t xml:space="preserve">Un oficinista vive una noche absurda y caótica en Nueva York: encuentros inquietantes.</t>
  </si>
  <si>
    <t xml:space="preserve">tt0088680</t>
  </si>
  <si>
    <t xml:space="preserve">Ser o no ser</t>
  </si>
  <si>
    <t xml:space="preserve">Ernst Lubitsch</t>
  </si>
  <si>
    <t xml:space="preserve">Una compañía teatral se involucra en una trama política en la Polonia nazi.</t>
  </si>
  <si>
    <t xml:space="preserve">Ser o no ser (1942) es una sátira adelantada a su tiempo que ridiculiza al nazismo en pleno conflicto bélico.</t>
  </si>
  <si>
    <t xml:space="preserve">tt0035446</t>
  </si>
  <si>
    <t xml:space="preserve">La última noche</t>
  </si>
  <si>
    <t xml:space="preserve">Spike Lee</t>
  </si>
  <si>
    <t xml:space="preserve">Las últimas 24 horas de un traficante antes de entrar en prisión.</t>
  </si>
  <si>
    <t xml:space="preserve">Primera gran película que integró el duelo por el 11-S.</t>
  </si>
  <si>
    <t xml:space="preserve">tt0307901</t>
  </si>
  <si>
    <t xml:space="preserve">El cartero (y Pablo Neruda)</t>
  </si>
  <si>
    <t xml:space="preserve">Michael Radford</t>
  </si>
  <si>
    <t xml:space="preserve">Mario (Massimo Troisi) es un hombre sencillo que acepta un empleo de cartero.</t>
  </si>
  <si>
    <t xml:space="preserve">tt0110877</t>
  </si>
  <si>
    <t xml:space="preserve">Todos los hombres del presidente</t>
  </si>
  <si>
    <t xml:space="preserve">Alan J. Pakula</t>
  </si>
  <si>
    <t xml:space="preserve">Dos periodistas investigan el caso Watergate enfrentándose a presiones, conspiraciones y a una.</t>
  </si>
  <si>
    <t xml:space="preserve">tt0074119</t>
  </si>
  <si>
    <t xml:space="preserve">Un mundo perfecto</t>
  </si>
  <si>
    <t xml:space="preserve">Texas, año 1963.</t>
  </si>
  <si>
    <t xml:space="preserve">tt0107808</t>
  </si>
  <si>
    <t xml:space="preserve">Brazil</t>
  </si>
  <si>
    <t xml:space="preserve">Post-apocalíptico</t>
  </si>
  <si>
    <t xml:space="preserve">Prime, Rakuten</t>
  </si>
  <si>
    <t xml:space="preserve">En una sociedad burocrática y opresiva, un burócrata torpe se convierte en fugitivo cuando.</t>
  </si>
  <si>
    <t xml:space="preserve">tt0088846</t>
  </si>
  <si>
    <t xml:space="preserve">Soul</t>
  </si>
  <si>
    <t xml:space="preserve">Pete Docter, Kemp Powers</t>
  </si>
  <si>
    <t xml:space="preserve">¿Alguna vez te has preguntado de dónde provienen tu pasión, tus sueños y tus intereses?</t>
  </si>
  <si>
    <t xml:space="preserve">tt2948372</t>
  </si>
  <si>
    <t xml:space="preserve">Perdición</t>
  </si>
  <si>
    <t xml:space="preserve">Un agente de seguros se enamora de una mujer peligrosa que trama un asesinato.</t>
  </si>
  <si>
    <t xml:space="preserve">Perdición (1944) es considerada una obra clave del género noir, suspense, y una pieza importante en la.</t>
  </si>
  <si>
    <t xml:space="preserve">tt0036775</t>
  </si>
  <si>
    <t xml:space="preserve">Hero</t>
  </si>
  <si>
    <t xml:space="preserve">Zhang Yimou</t>
  </si>
  <si>
    <t xml:space="preserve">China</t>
  </si>
  <si>
    <t xml:space="preserve">Cuando China estaba dividida en siete reinos que se enfrentaron entre sí para conseguir la.</t>
  </si>
  <si>
    <t xml:space="preserve">tt0299977</t>
  </si>
  <si>
    <t xml:space="preserve">Hasta el último hombre</t>
  </si>
  <si>
    <t xml:space="preserve">Mel Gibson</t>
  </si>
  <si>
    <t xml:space="preserve">Netflix, Prime, Movistar, Movistar Plus+ Ficción Total </t>
  </si>
  <si>
    <t xml:space="preserve">La historia real de Desmond Doss, un soldado que se niega a portar armas pero salva decenas de.</t>
  </si>
  <si>
    <t xml:space="preserve">tt2119532</t>
  </si>
  <si>
    <t xml:space="preserve">El sargento de hierro</t>
  </si>
  <si>
    <t xml:space="preserve">Un sargento duro y veterano se enfrenta a un grupo de reclutas indisciplinados mientras lidia.</t>
  </si>
  <si>
    <t xml:space="preserve">tt0091187</t>
  </si>
  <si>
    <t xml:space="preserve">Following</t>
  </si>
  <si>
    <t xml:space="preserve">Christopher Nolan</t>
  </si>
  <si>
    <t xml:space="preserve">Un escritor sigue a desconocidos por las calles de Londres hasta quedar envuelto en un robo.</t>
  </si>
  <si>
    <t xml:space="preserve">tt0154506</t>
  </si>
  <si>
    <t xml:space="preserve">Dersu Uzala (El cazador)</t>
  </si>
  <si>
    <t xml:space="preserve">URSS, Japón</t>
  </si>
  <si>
    <t xml:space="preserve">Un cazador nómada enseña su sabiduría a un explorador ruso.</t>
  </si>
  <si>
    <t xml:space="preserve">Dersu Uzala (1975) es clave en el cine sobre la relación ser humano‑naturaleza y un raro cruce entre el cine.</t>
  </si>
  <si>
    <t xml:space="preserve">tt0071411</t>
  </si>
  <si>
    <t xml:space="preserve">Cuenta conmigo</t>
  </si>
  <si>
    <t xml:space="preserve">Cuatro niños emprenden una excursión para encontrar el cadáver de un desaparecido.</t>
  </si>
  <si>
    <t xml:space="preserve">tt0092005</t>
  </si>
  <si>
    <t xml:space="preserve">Trece vidas</t>
  </si>
  <si>
    <t xml:space="preserve">Rescate de un equipo de fútbol de la cueva de Tham Luang, en Tailandia, tras quedar atrapado.</t>
  </si>
  <si>
    <t xml:space="preserve">tt12262116</t>
  </si>
  <si>
    <t xml:space="preserve">Mulholland Drive</t>
  </si>
  <si>
    <t xml:space="preserve">EE.UU., Francia</t>
  </si>
  <si>
    <t xml:space="preserve">Una aspirante a actriz y una amnésica en un Hollywood onírico.</t>
  </si>
  <si>
    <t xml:space="preserve">Lynch llevó la lógica onírica al centro del relato; encabeza numerosas encuestas como mejor película del.</t>
  </si>
  <si>
    <t xml:space="preserve">tt0166924</t>
  </si>
  <si>
    <t xml:space="preserve">El chico</t>
  </si>
  <si>
    <t xml:space="preserve">Prime, Acontra, JustWatch TV</t>
  </si>
  <si>
    <t xml:space="preserve">Un vagabundo acoge a un niño abandonado y forma con él un vínculo inseparable.</t>
  </si>
  <si>
    <t xml:space="preserve">El chico (1921) es considerada una obra clave del género comedia, drama, y una pieza importante en la.</t>
  </si>
  <si>
    <t xml:space="preserve">tt0012349</t>
  </si>
  <si>
    <t xml:space="preserve">This is England</t>
  </si>
  <si>
    <t xml:space="preserve">Shane Meadows</t>
  </si>
  <si>
    <t xml:space="preserve">Drogas</t>
  </si>
  <si>
    <t xml:space="preserve">Prime, Movistar, Movistar Plus+ Ficción Total , Filmin, FlixOlé</t>
  </si>
  <si>
    <t xml:space="preserve">Shaun, un chico solitario en los 80, se une a un grupo de skinheads.</t>
  </si>
  <si>
    <t xml:space="preserve">tt0480025</t>
  </si>
  <si>
    <t xml:space="preserve">Hombres de honor</t>
  </si>
  <si>
    <t xml:space="preserve">George Tillman Jr.</t>
  </si>
  <si>
    <t xml:space="preserve">Carl Brashear lucha contra el racismo institucional para convertirse en el 1rbuzo de rescate.</t>
  </si>
  <si>
    <t xml:space="preserve">tt0203019</t>
  </si>
  <si>
    <t xml:space="preserve">Historia de un matrimonio</t>
  </si>
  <si>
    <t xml:space="preserve">Noah Baumbach</t>
  </si>
  <si>
    <t xml:space="preserve">Charlie, un director de teatro neoyorquino y su mujer actriz, Nicole, luchan por superar un.</t>
  </si>
  <si>
    <t xml:space="preserve">tt7653254</t>
  </si>
  <si>
    <t xml:space="preserve">Poltergeist (Fenómenos extraños)</t>
  </si>
  <si>
    <t xml:space="preserve">Tobe Hooper</t>
  </si>
  <si>
    <t xml:space="preserve">Una familia es acosada por fuerzas malignas que se manifiestan en su hogar y secuestran a su.</t>
  </si>
  <si>
    <t xml:space="preserve">tt0084516</t>
  </si>
  <si>
    <t xml:space="preserve">¡Viven!</t>
  </si>
  <si>
    <t xml:space="preserve">Frank Marshall</t>
  </si>
  <si>
    <t xml:space="preserve">Tras un accidente aéreo en los Andes, los supervivientes deben tomar decisiones extremas para.</t>
  </si>
  <si>
    <t xml:space="preserve">tt0106246</t>
  </si>
  <si>
    <t xml:space="preserve">Jungla de cristal</t>
  </si>
  <si>
    <t xml:space="preserve">John McTiernan</t>
  </si>
  <si>
    <t xml:space="preserve">John McClane, policía de Nueva York, queda atrapado en un rascacielos tomado por terroristas.</t>
  </si>
  <si>
    <t xml:space="preserve">tt0095016</t>
  </si>
  <si>
    <t xml:space="preserve">Entrevista con el vampiro</t>
  </si>
  <si>
    <t xml:space="preserve">Neil Jordan</t>
  </si>
  <si>
    <t xml:space="preserve">Prime, Movistar, Movistar Plus+ Ficción Total , HBO Max, Tivify</t>
  </si>
  <si>
    <t xml:space="preserve">Un periodista recibe el don de la inmortalidad de manos del vampiro Lestat y relata su trágica.</t>
  </si>
  <si>
    <t xml:space="preserve">tt0110148</t>
  </si>
  <si>
    <t xml:space="preserve">Dentro del laberinto</t>
  </si>
  <si>
    <t xml:space="preserve">Jim Henson</t>
  </si>
  <si>
    <t xml:space="preserve">Prime, Acontra, Tivify, Plex</t>
  </si>
  <si>
    <t xml:space="preserve">Sarah debe resolver acertijos y enfrentar criaturas en un laberinto mágico para rescatar a su.</t>
  </si>
  <si>
    <t xml:space="preserve">tt0091369</t>
  </si>
  <si>
    <t xml:space="preserve">Leaving Las Vegas</t>
  </si>
  <si>
    <t xml:space="preserve">Mike Figgis</t>
  </si>
  <si>
    <t xml:space="preserve">Un alcohólico autodestructivo se muda a Las Vegas decidido a beber hasta morir, pero la.</t>
  </si>
  <si>
    <t xml:space="preserve">tt0113627</t>
  </si>
  <si>
    <t xml:space="preserve">Carretera perdida</t>
  </si>
  <si>
    <t xml:space="preserve">MUBI</t>
  </si>
  <si>
    <t xml:space="preserve">Fred Madison (Bill Pullman), un músico de jazz que vive con su esposa Renee (Patricia.</t>
  </si>
  <si>
    <t xml:space="preserve">tt0116922</t>
  </si>
  <si>
    <t xml:space="preserve">Amor</t>
  </si>
  <si>
    <t xml:space="preserve">Prime, Acontra, Tivify</t>
  </si>
  <si>
    <t xml:space="preserve">Georges y Anne, dos ancianos de ochenta años, son profesores de música clásica jubilados que.</t>
  </si>
  <si>
    <t xml:space="preserve">tt1602620</t>
  </si>
  <si>
    <t xml:space="preserve">Mi nombre es Harvey Milk</t>
  </si>
  <si>
    <t xml:space="preserve">Gus Van Sant</t>
  </si>
  <si>
    <t xml:space="preserve">La vida de Harvey Milk, activista LGTB+ y 1rpolítico abiertamente gay elegido en California.</t>
  </si>
  <si>
    <t xml:space="preserve">tt1013753</t>
  </si>
  <si>
    <t xml:space="preserve">Soñadores</t>
  </si>
  <si>
    <t xml:space="preserve">Francia, Reino Unido, Italia</t>
  </si>
  <si>
    <t xml:space="preserve">Prime, Movistar, Movistar Plus+ Ficción Total , Filmin, Acontra, Tivify, Runtime</t>
  </si>
  <si>
    <t xml:space="preserve">Un joven estadounidense se involucra emocional y sexualmente con dos hermanos durante las.</t>
  </si>
  <si>
    <t xml:space="preserve">tt0309987</t>
  </si>
  <si>
    <t xml:space="preserve">Nebraska</t>
  </si>
  <si>
    <t xml:space="preserve">Alexander Payne</t>
  </si>
  <si>
    <t xml:space="preserve">Road movie</t>
  </si>
  <si>
    <t xml:space="preserve">A Woody Grant, un anciano con síntomas de demencia, le comunican por correo que ha ganado un.</t>
  </si>
  <si>
    <t xml:space="preserve">tt1821549</t>
  </si>
  <si>
    <t xml:space="preserve">El buscavidas</t>
  </si>
  <si>
    <t xml:space="preserve">Robert Rossen</t>
  </si>
  <si>
    <t xml:space="preserve">Un jugador de billar lucha contra su ambición y adicciones.</t>
  </si>
  <si>
    <t xml:space="preserve">El buscavidas (1961) es considerada una obra clave del cine de su época, y una pieza importante en la.</t>
  </si>
  <si>
    <t xml:space="preserve">tt0054997</t>
  </si>
  <si>
    <t xml:space="preserve">El hombre que nunca estuvo allí</t>
  </si>
  <si>
    <t xml:space="preserve">Verano de 1949.</t>
  </si>
  <si>
    <t xml:space="preserve">tt0243133</t>
  </si>
  <si>
    <t xml:space="preserve">Thelma &amp; Louise</t>
  </si>
  <si>
    <t xml:space="preserve">Ridley Scott</t>
  </si>
  <si>
    <t xml:space="preserve">Dos amigas emprenden un viaje para escapar de su rutina, pero un incidente violento las.</t>
  </si>
  <si>
    <t xml:space="preserve">tt0103074</t>
  </si>
  <si>
    <t xml:space="preserve">Barrio</t>
  </si>
  <si>
    <t xml:space="preserve">Movistar, Movistar Plus+ Ficción Total , FlixOlé, FlixOlé Amazon Channel</t>
  </si>
  <si>
    <t xml:space="preserve">Tres adolescentes de un barrio obrero intentan sobrevivir entre precariedad, delincuencia y.</t>
  </si>
  <si>
    <t xml:space="preserve">tt0146468</t>
  </si>
  <si>
    <t xml:space="preserve">Quiéreme si te atreves</t>
  </si>
  <si>
    <t xml:space="preserve">Yann Samuell</t>
  </si>
  <si>
    <t xml:space="preserve">Lo que comenzó como un juego de infancia entre Sophie y Julien, un juego de atrevidos retos.</t>
  </si>
  <si>
    <t xml:space="preserve">tt0364517</t>
  </si>
  <si>
    <t xml:space="preserve">Una historia de violencia</t>
  </si>
  <si>
    <t xml:space="preserve">David Cronenberg</t>
  </si>
  <si>
    <t xml:space="preserve">Un padre de familia se revela como otro tras un atraco.</t>
  </si>
  <si>
    <t xml:space="preserve">Cronenberg trasladó su body horror al thriller americano.</t>
  </si>
  <si>
    <t xml:space="preserve">tt0399146</t>
  </si>
  <si>
    <t xml:space="preserve">Como agua para chocolate</t>
  </si>
  <si>
    <t xml:space="preserve">Alfonso Arau</t>
  </si>
  <si>
    <t xml:space="preserve">Una joven descubre secretos familiares y pasiones prohibidas a través de una receta mágica.</t>
  </si>
  <si>
    <t xml:space="preserve">tt0103994</t>
  </si>
  <si>
    <t xml:space="preserve">El maquinista de La General</t>
  </si>
  <si>
    <t xml:space="preserve">Buster Keaton</t>
  </si>
  <si>
    <t xml:space="preserve">Prime, Movistar, Movistar Plus+ Ficción Total , Filmin, Acontra, Acontra Plus Amazon Channel, Artiflix, JustWatch TV, Tivify, Rakuten, Plex, Filmzie, Runtime</t>
  </si>
  <si>
    <t xml:space="preserve">Un maquinista intenta recuperar su locomotora y salvar a su amada.</t>
  </si>
  <si>
    <t xml:space="preserve">El maquinista de La General (1926) es considerada una obra clave del género comedia, aventura, y una pieza.</t>
  </si>
  <si>
    <t xml:space="preserve">tt0017925</t>
  </si>
  <si>
    <t xml:space="preserve">Call me by your Name</t>
  </si>
  <si>
    <t xml:space="preserve">Luca Guadagnino</t>
  </si>
  <si>
    <t xml:space="preserve">LGTB</t>
  </si>
  <si>
    <t xml:space="preserve">Elio Perlman (Timothée Chalamet), un joven de 17 años, pasa el cálido y soleado verano de 1983.</t>
  </si>
  <si>
    <t xml:space="preserve">tt5726616</t>
  </si>
  <si>
    <t xml:space="preserve">El hombre que pudo reinar</t>
  </si>
  <si>
    <t xml:space="preserve">John Huston</t>
  </si>
  <si>
    <t xml:space="preserve">Dos soldados británicos intentan ser reyes en una remota región, enfrentando ambición, engaño.</t>
  </si>
  <si>
    <t xml:space="preserve">tt0073341</t>
  </si>
  <si>
    <t xml:space="preserve">Incendies</t>
  </si>
  <si>
    <t xml:space="preserve">Denis Villeneuve</t>
  </si>
  <si>
    <t xml:space="preserve">Canadá</t>
  </si>
  <si>
    <t xml:space="preserve">Jeanne y Simon Marwan son dos gemelos que viven en Canadá cuya madre Nawal, tras pasar sus.</t>
  </si>
  <si>
    <t xml:space="preserve">tt1255953</t>
  </si>
  <si>
    <t xml:space="preserve">El sentido de la vida</t>
  </si>
  <si>
    <t xml:space="preserve">Terry Jones, Terry Gilliam</t>
  </si>
  <si>
    <t xml:space="preserve">Los Monty Python analizan el absurdo de la existencia humana a través de sketches delirantes.</t>
  </si>
  <si>
    <t xml:space="preserve">tt0085959</t>
  </si>
  <si>
    <t xml:space="preserve">Al final de la escalera</t>
  </si>
  <si>
    <t xml:space="preserve">Peter Medak</t>
  </si>
  <si>
    <t xml:space="preserve">Filmin, Bloodstream, Shadowz Amazon Channel</t>
  </si>
  <si>
    <t xml:space="preserve">Un compositor que ha perdido a su familia se muda a una antigua mansión donde una presencia.</t>
  </si>
  <si>
    <t xml:space="preserve">tt0080516</t>
  </si>
  <si>
    <t xml:space="preserve">Zatoichi</t>
  </si>
  <si>
    <t xml:space="preserve">Takeshi Kitano</t>
  </si>
  <si>
    <t xml:space="preserve">Un masajista ciego y espadachín llega a un pueblo dominado por bandas.</t>
  </si>
  <si>
    <t xml:space="preserve">Kitano modernizó el chanbara con humor y percusión.</t>
  </si>
  <si>
    <t xml:space="preserve">tt0363226</t>
  </si>
  <si>
    <t xml:space="preserve">Corazón salvaje</t>
  </si>
  <si>
    <t xml:space="preserve">Una pareja joven huye en un viaje lleno de violencia y erotismo frenético mientras el destino.</t>
  </si>
  <si>
    <t xml:space="preserve">tt0100935</t>
  </si>
  <si>
    <t xml:space="preserve">Wall Street</t>
  </si>
  <si>
    <t xml:space="preserve">Oliver Stone</t>
  </si>
  <si>
    <t xml:space="preserve">Un joven corredor de bolsa es seducido por la ambición y los métodos turbios de un magnate de.</t>
  </si>
  <si>
    <t xml:space="preserve">tt0094291</t>
  </si>
  <si>
    <t xml:space="preserve">Warrior</t>
  </si>
  <si>
    <t xml:space="preserve">Gavin O'Connor</t>
  </si>
  <si>
    <t xml:space="preserve">Un veterano de Vietnam (Nolte) abandona el mundo de las artes marciales mixtas para trabajar.</t>
  </si>
  <si>
    <t xml:space="preserve">tt1291584</t>
  </si>
  <si>
    <t xml:space="preserve">Ran</t>
  </si>
  <si>
    <t xml:space="preserve">Venganza</t>
  </si>
  <si>
    <t xml:space="preserve">Un señor feudal divide su reino entre sus hijos, desatando traiciones y caos en una tragedia.</t>
  </si>
  <si>
    <t xml:space="preserve">Trasladó el Rey Lear al Japón feudal con un despliegue histórico.</t>
  </si>
  <si>
    <t xml:space="preserve">tt0089881</t>
  </si>
  <si>
    <t xml:space="preserve">La quimera del oro</t>
  </si>
  <si>
    <t xml:space="preserve">Acontra, Acontra Plus Amazon Channel, Artiflix</t>
  </si>
  <si>
    <t xml:space="preserve">Charlot busca oro en Klondike mientras lucha contra el hambre y el frío.</t>
  </si>
  <si>
    <t xml:space="preserve">La quimera del oro (1925) es considerada una obra clave del género comedia, aventura, y una pieza importante.</t>
  </si>
  <si>
    <t xml:space="preserve">tt0015864</t>
  </si>
  <si>
    <t xml:space="preserve">La caza del Octubre rojo</t>
  </si>
  <si>
    <t xml:space="preserve">Un analista de la CIA persigue un submarino soviético de tecnología avanzada cuyo capitán.</t>
  </si>
  <si>
    <t xml:space="preserve">tt0099810</t>
  </si>
  <si>
    <t xml:space="preserve">La vida secreta de las palabras</t>
  </si>
  <si>
    <t xml:space="preserve">Una enfermera traumatizada cuida a un trabajador herido en una plataforma petrolífera.</t>
  </si>
  <si>
    <t xml:space="preserve">tt0430576</t>
  </si>
  <si>
    <t xml:space="preserve">Dark City</t>
  </si>
  <si>
    <t xml:space="preserve">Alex Proyas</t>
  </si>
  <si>
    <t xml:space="preserve">Un hombre sin recuerdos lucha contra seres que manipulan la realidad y el tiempo en una ciudad.</t>
  </si>
  <si>
    <t xml:space="preserve">tt0118929</t>
  </si>
  <si>
    <t xml:space="preserve">Otra ronda</t>
  </si>
  <si>
    <t xml:space="preserve">Thomas Vinterberg</t>
  </si>
  <si>
    <t xml:space="preserve">Prime, Movistar, Movistar Plus+ Ficción Total , Filmin, HBO Max, HBO Max Amazon Channel, rtve</t>
  </si>
  <si>
    <t xml:space="preserve">Cuatro profesores prueban la teoría de mantener un nivel constante de alcohol para mejorar su.</t>
  </si>
  <si>
    <t xml:space="preserve">tt10288566</t>
  </si>
  <si>
    <t xml:space="preserve">En la cuerda floja</t>
  </si>
  <si>
    <t xml:space="preserve">James Mangold</t>
  </si>
  <si>
    <t xml:space="preserve">La vida de Johnny Cash, marcada por su ascenso en el mundo de la música, su lucha contra las.</t>
  </si>
  <si>
    <t xml:space="preserve">tt0358273</t>
  </si>
  <si>
    <t xml:space="preserve">Uno, dos, tres</t>
  </si>
  <si>
    <t xml:space="preserve">Un directivo de Coca-Cola lidia con caos político y familiar en Berlín.</t>
  </si>
  <si>
    <t xml:space="preserve">Uno, dos, tres (1961) es considerada una obra clave del cine de su época, y una pieza importante en la.</t>
  </si>
  <si>
    <t xml:space="preserve">tt0055256</t>
  </si>
  <si>
    <t xml:space="preserve">Plan oculto</t>
  </si>
  <si>
    <t xml:space="preserve">Un ladrón perfeccionista ejecuta un atraco magistral a un banco; un detective intenta.</t>
  </si>
  <si>
    <t xml:space="preserve">tt0454848</t>
  </si>
  <si>
    <t xml:space="preserve">Hasta que llegó su hora</t>
  </si>
  <si>
    <t xml:space="preserve">Una viuda y dos forajidos se cruzan en una historia de venganza.</t>
  </si>
  <si>
    <t xml:space="preserve">Hasta que llegó su hora (1968) es considerada una obra clave del cine de su época, y una pieza importante en.</t>
  </si>
  <si>
    <t xml:space="preserve">tt0064116</t>
  </si>
  <si>
    <t xml:space="preserve">Once (una vez)</t>
  </si>
  <si>
    <t xml:space="preserve">John Carney</t>
  </si>
  <si>
    <t xml:space="preserve">Glen Hansard es un cantante y compositor que interpreta sus canciones por las calles de.</t>
  </si>
  <si>
    <t xml:space="preserve">tt0907657</t>
  </si>
  <si>
    <t xml:space="preserve">Barton Fink</t>
  </si>
  <si>
    <t xml:space="preserve">Un escritor bloqueado es contratado para escribir un guion, pero un misterioso vecino lo.</t>
  </si>
  <si>
    <t xml:space="preserve">tt0101410</t>
  </si>
  <si>
    <t xml:space="preserve">Siempre a tu lado (Hachiko)</t>
  </si>
  <si>
    <t xml:space="preserve">Lasse Hallström</t>
  </si>
  <si>
    <t xml:space="preserve">Prime, Movistar, Movistar Plus+ Ficción Total , Filmin, FlixOlé, FlixOlé Amazon Channel, Tivify, Rakuten, Runtime</t>
  </si>
  <si>
    <t xml:space="preserve">Basada en hechos reales, cuenta la historia del perro Hachiko, cuya fidelidad incondicional lo.</t>
  </si>
  <si>
    <t xml:space="preserve">tt1028532</t>
  </si>
  <si>
    <t xml:space="preserve">Boogie Nights</t>
  </si>
  <si>
    <t xml:space="preserve">Paul Thomas Anderson</t>
  </si>
  <si>
    <t xml:space="preserve">Retrato de la industria pornográfica en los 70 y 80 a través del ascenso y caída de un joven.</t>
  </si>
  <si>
    <t xml:space="preserve">tt0118749</t>
  </si>
  <si>
    <t xml:space="preserve">The Gentlemen: los señores de la mafia</t>
  </si>
  <si>
    <t xml:space="preserve">Guy Ritchie</t>
  </si>
  <si>
    <t xml:space="preserve">Un capo de la marihuana quiere vender su imperio, pero rivales y oportunistas intentan.</t>
  </si>
  <si>
    <t xml:space="preserve">tt8367814</t>
  </si>
  <si>
    <t xml:space="preserve">Fantástico Sr Fox</t>
  </si>
  <si>
    <t xml:space="preserve">Wes Anderson</t>
  </si>
  <si>
    <t xml:space="preserve">Prime, Disney+, Rakuten</t>
  </si>
  <si>
    <t xml:space="preserve">Un astuto zorro llamado Fox (voz original de George Clooney) parece llevar una vida idílica.</t>
  </si>
  <si>
    <t xml:space="preserve">tt0432283</t>
  </si>
  <si>
    <t xml:space="preserve">Canino</t>
  </si>
  <si>
    <t xml:space="preserve">Yorgos Lanthimos</t>
  </si>
  <si>
    <t xml:space="preserve">Grecia</t>
  </si>
  <si>
    <t xml:space="preserve">Tres hermanos son educados en total aislamiento por sus padres, generando una realidad absurda.</t>
  </si>
  <si>
    <t xml:space="preserve">tt1379182</t>
  </si>
  <si>
    <t xml:space="preserve">Un profeta</t>
  </si>
  <si>
    <t xml:space="preserve">Jacques Audiard</t>
  </si>
  <si>
    <t xml:space="preserve">Movistar Plus+ Ficción Total , HBO Max, Acontra, HBO Max Amazon Channel, Tivify, 3Cat</t>
  </si>
  <si>
    <t xml:space="preserve">Un joven árabe asciende en la jerarquía de una prisión francesa.</t>
  </si>
  <si>
    <t xml:space="preserve">Renovó el cine carcelario europeo; Gran Premio en Cannes.</t>
  </si>
  <si>
    <t xml:space="preserve">tt1235166</t>
  </si>
  <si>
    <t xml:space="preserve">Excalibur</t>
  </si>
  <si>
    <t xml:space="preserve">John Boorman</t>
  </si>
  <si>
    <t xml:space="preserve">La leyenda del Rey Arturo y los Caballeros de la Mesa Redonda narrada con fuerza épica, magia.</t>
  </si>
  <si>
    <t xml:space="preserve">tt0082348</t>
  </si>
  <si>
    <t xml:space="preserve">Belle Époque</t>
  </si>
  <si>
    <t xml:space="preserve">Fernando Trueba</t>
  </si>
  <si>
    <t xml:space="preserve">Política</t>
  </si>
  <si>
    <t xml:space="preserve">Movistar, Movistar Plus+ Ficción Total , FlixOlé, HBO Max, FlixOlé Amazon Channel, HBO Max Amazon Channel</t>
  </si>
  <si>
    <t xml:space="preserve">Un joven artista español vive un romance en la España previa a la Guerra Civil, descubriendo.</t>
  </si>
  <si>
    <t xml:space="preserve">tt0103791</t>
  </si>
  <si>
    <t xml:space="preserve">Corre, Lola, corre</t>
  </si>
  <si>
    <t xml:space="preserve">Tom Tykwer</t>
  </si>
  <si>
    <t xml:space="preserve">Lola debe repetir tres veces el mismo día para salvar a su novio, cambiando el destino de.</t>
  </si>
  <si>
    <t xml:space="preserve">tt0130827</t>
  </si>
  <si>
    <t xml:space="preserve">Mary and Max</t>
  </si>
  <si>
    <t xml:space="preserve">Adam Elliot</t>
  </si>
  <si>
    <t xml:space="preserve">Australia</t>
  </si>
  <si>
    <t xml:space="preserve">Primer largometraje de Adam Elliot, ganador de un Oscar con el cortometraje "Harvey Krumpet".</t>
  </si>
  <si>
    <t xml:space="preserve">tt0978762</t>
  </si>
  <si>
    <t xml:space="preserve">El último duelo</t>
  </si>
  <si>
    <t xml:space="preserve">Prime, Disney+, Movistar, Movistar Plus+ Ficción Total </t>
  </si>
  <si>
    <t xml:space="preserve">En la Francia medieval, dos hombres se enfrentan en un duelo a muerte tras la acusación de.</t>
  </si>
  <si>
    <t xml:space="preserve">tt4244994</t>
  </si>
  <si>
    <t xml:space="preserve">Ray</t>
  </si>
  <si>
    <t xml:space="preserve">Taylor Hackford</t>
  </si>
  <si>
    <t xml:space="preserve">La vida de Ray Charles: su talento excepcional, sus problemas personales, el racismo y la.</t>
  </si>
  <si>
    <t xml:space="preserve">tt0350258</t>
  </si>
  <si>
    <t xml:space="preserve">Del revés 2</t>
  </si>
  <si>
    <t xml:space="preserve">Kelsey Mann</t>
  </si>
  <si>
    <t xml:space="preserve">Las emociones de Riley viven una nueva aventura cuando surge una emoción desconocida que.</t>
  </si>
  <si>
    <t xml:space="preserve">tt22022452</t>
  </si>
  <si>
    <t xml:space="preserve">Delitos y faltas</t>
  </si>
  <si>
    <t xml:space="preserve">Un hombre dividido entre moralidad y deseo enfrenta decisiones que mezclan humor negro y.</t>
  </si>
  <si>
    <t xml:space="preserve">tt0097123</t>
  </si>
  <si>
    <t xml:space="preserve">El club de los cinco</t>
  </si>
  <si>
    <t xml:space="preserve">John Hughes</t>
  </si>
  <si>
    <t xml:space="preserve">Cinco estudiantes castigados pasan un sábado juntos, descubriendo que tienen más en común de.</t>
  </si>
  <si>
    <t xml:space="preserve">tt0088847</t>
  </si>
  <si>
    <t xml:space="preserve">El último rey de escocia</t>
  </si>
  <si>
    <t xml:space="preserve">Kevin Macdonald</t>
  </si>
  <si>
    <t xml:space="preserve">Reino Unido, Alemania, Uganda</t>
  </si>
  <si>
    <t xml:space="preserve">Un médico escocés es seducido por el poder al convertirse en asesor del dictador Idi Amin.</t>
  </si>
  <si>
    <t xml:space="preserve">tt0455590</t>
  </si>
  <si>
    <t xml:space="preserve">Yo, Tonya</t>
  </si>
  <si>
    <t xml:space="preserve">Craig Gillespie</t>
  </si>
  <si>
    <t xml:space="preserve">La historia de Tonya Harding, su talento, su explosiva relación familiar y el escándalo que.</t>
  </si>
  <si>
    <t xml:space="preserve">tt5580036</t>
  </si>
  <si>
    <t xml:space="preserve">¿A quién ama Gilbert Grape?</t>
  </si>
  <si>
    <t xml:space="preserve">Prime, FlixOlé</t>
  </si>
  <si>
    <t xml:space="preserve">Gilbert cuida de su hermano con discapacidad mientras vive atrapado en un pequeño pueblo.</t>
  </si>
  <si>
    <t xml:space="preserve">tt0108550</t>
  </si>
  <si>
    <t xml:space="preserve">Despertares</t>
  </si>
  <si>
    <t xml:space="preserve">Penny Marshall</t>
  </si>
  <si>
    <t xml:space="preserve">A finales de los años sesenta, el doctor Malcolm Sayer (Robin Williams), un neurólogo.</t>
  </si>
  <si>
    <t xml:space="preserve">tt0099077</t>
  </si>
  <si>
    <t xml:space="preserve">Las uvas de la ira</t>
  </si>
  <si>
    <t xml:space="preserve">Una familia se desplaza durante la Gran Depresión en busca de oportunidades.</t>
  </si>
  <si>
    <t xml:space="preserve">Las uvas de la ira (1940) es considerada una obra clave del género drama, y una pieza importante en la.</t>
  </si>
  <si>
    <t xml:space="preserve">tt0032551</t>
  </si>
  <si>
    <t xml:space="preserve">Anatomía de una caída</t>
  </si>
  <si>
    <t xml:space="preserve">Justine Triet</t>
  </si>
  <si>
    <t xml:space="preserve">Movistar, Movistar Plus+ Ficción Total , Filmin, HBO Max, HBO Max Amazon Channel, rtve</t>
  </si>
  <si>
    <t xml:space="preserve">El juicio a una escritora tras la misteriosa muerte de su marido revela una compleja dinámica.</t>
  </si>
  <si>
    <t xml:space="preserve">tt17009710</t>
  </si>
  <si>
    <t xml:space="preserve">La pianista</t>
  </si>
  <si>
    <t xml:space="preserve">Filmin, Rakuten</t>
  </si>
  <si>
    <t xml:space="preserve">Una mujer, profesora de piano en un conservatorio, frecuenta cines porno y tiendas de sexo.</t>
  </si>
  <si>
    <t xml:space="preserve">tt0254686</t>
  </si>
  <si>
    <t xml:space="preserve">La parada de los monstruos</t>
  </si>
  <si>
    <t xml:space="preserve">Tod Browning</t>
  </si>
  <si>
    <t xml:space="preserve">Filmin, Bloodstream</t>
  </si>
  <si>
    <t xml:space="preserve">En un circo de fenómenos, una trapecista trama un cruel plan con consecuencias brutales.</t>
  </si>
  <si>
    <t xml:space="preserve">La parada de los monstruos (1932) es considerada una obra clave del cine de su época, y una pieza importante.</t>
  </si>
  <si>
    <t xml:space="preserve">tt0022913</t>
  </si>
  <si>
    <t xml:space="preserve">El color púrpura</t>
  </si>
  <si>
    <t xml:space="preserve">Principios del siglo XX.</t>
  </si>
  <si>
    <t xml:space="preserve">tt0088939</t>
  </si>
  <si>
    <t xml:space="preserve">Los asesinos de la luna</t>
  </si>
  <si>
    <t xml:space="preserve">Apple TV, Apple TV Amazon Channel</t>
  </si>
  <si>
    <t xml:space="preserve">Un agente del FBI investiga asesinatos de integrantes de la Nación Osage, cuyo petróleo.</t>
  </si>
  <si>
    <t xml:space="preserve">tt5537002</t>
  </si>
  <si>
    <t xml:space="preserve">Man on the Moon</t>
  </si>
  <si>
    <t xml:space="preserve">La vida del excéntrico cómico Andy Kaufman, marcada por su humor incomprendido, sus personajes.</t>
  </si>
  <si>
    <t xml:space="preserve">tt0125664</t>
  </si>
  <si>
    <t xml:space="preserve">Poderosa Afrodita</t>
  </si>
  <si>
    <t xml:space="preserve">Un periodista investiga la vida de una prostituta a la que ha descubierto como la mujer.</t>
  </si>
  <si>
    <t xml:space="preserve">tt0113819</t>
  </si>
  <si>
    <t xml:space="preserve">Fuego en el cuerpo</t>
  </si>
  <si>
    <t xml:space="preserve">Lawrence Kasdan</t>
  </si>
  <si>
    <t xml:space="preserve">Un abogado se enamora de una mujer manipuladora que lo arrastra a una espiral de pasión.</t>
  </si>
  <si>
    <t xml:space="preserve">tt0082089</t>
  </si>
  <si>
    <t xml:space="preserve">Ghost Dog, el camino del samurái</t>
  </si>
  <si>
    <t xml:space="preserve">Jim Jarmusch</t>
  </si>
  <si>
    <t xml:space="preserve">Un asesino samurái afroamericano ejecuta encargos siguiendo un estricto código.</t>
  </si>
  <si>
    <t xml:space="preserve">tt0165798</t>
  </si>
  <si>
    <t xml:space="preserve">Sin novedad en el frente</t>
  </si>
  <si>
    <t xml:space="preserve">Edward Berger</t>
  </si>
  <si>
    <t xml:space="preserve">Soldados alemanes sufren el horror y el sinsentido de la guerra en el frente occidental.</t>
  </si>
  <si>
    <t xml:space="preserve">tt1016150</t>
  </si>
  <si>
    <t xml:space="preserve">Carol</t>
  </si>
  <si>
    <t xml:space="preserve">Todd Haynes</t>
  </si>
  <si>
    <t xml:space="preserve">Una dependienta y una mujer casada se enamoran en los cincuenta.</t>
  </si>
  <si>
    <t xml:space="preserve">Melodrama lésbico de época que rompió el estigma del final trágico.</t>
  </si>
  <si>
    <t xml:space="preserve">tt2402927</t>
  </si>
  <si>
    <t xml:space="preserve">Le Mans 66</t>
  </si>
  <si>
    <t xml:space="preserve">Se centra en un excéntrico y decidido equipo americano de ingenieros y diseñadores, liderados.</t>
  </si>
  <si>
    <t xml:space="preserve">tt1950186</t>
  </si>
  <si>
    <t xml:space="preserve">La ballena</t>
  </si>
  <si>
    <t xml:space="preserve">Prime, AMC Channels Amazon Channel, rtve</t>
  </si>
  <si>
    <t xml:space="preserve">Un profesor obeso y aislado intenta reconectar con su hija adolescente mientras enfrenta su.</t>
  </si>
  <si>
    <t xml:space="preserve">tt13833688</t>
  </si>
  <si>
    <t xml:space="preserve">Gracias por fumar</t>
  </si>
  <si>
    <t xml:space="preserve">Jason Reitman</t>
  </si>
  <si>
    <t xml:space="preserve">Un portavoz de las tabacaleras defiende la industria con cinismo e inteligencia, mientras.</t>
  </si>
  <si>
    <t xml:space="preserve">tt0427944</t>
  </si>
  <si>
    <t xml:space="preserve">Lunas de hiel</t>
  </si>
  <si>
    <t xml:space="preserve">Una pareja conoce a un matrimonio que esconde un erotismo oscuro y destructivo que los.</t>
  </si>
  <si>
    <t xml:space="preserve">tt0104779</t>
  </si>
  <si>
    <t xml:space="preserve">Las invasiones bárbaras</t>
  </si>
  <si>
    <t xml:space="preserve">Denys Arcand</t>
  </si>
  <si>
    <t xml:space="preserve">Un hombre con un cáncer avanzado tiene dificultades para aceptar la realidad de su inminente.</t>
  </si>
  <si>
    <t xml:space="preserve">tt0338135</t>
  </si>
  <si>
    <t xml:space="preserve">El padre</t>
  </si>
  <si>
    <t xml:space="preserve">Florian Zeller</t>
  </si>
  <si>
    <t xml:space="preserve">Anthony, un hombre de 80 años mordaz, algo travieso y que tercamente ha decidido vivir solo.</t>
  </si>
  <si>
    <t xml:space="preserve">tt10272386</t>
  </si>
  <si>
    <t xml:space="preserve">La juventud</t>
  </si>
  <si>
    <t xml:space="preserve">Paolo Sorrentino</t>
  </si>
  <si>
    <t xml:space="preserve">Italia, Suiza, Francia, Reino Unido</t>
  </si>
  <si>
    <t xml:space="preserve">Dos amigos artistas envejecen mientras vacacionan en un balneario de lujo, reflexionando sobre.</t>
  </si>
  <si>
    <t xml:space="preserve">tt3312830</t>
  </si>
  <si>
    <t xml:space="preserve">Diario de un rebelde</t>
  </si>
  <si>
    <t xml:space="preserve">Scott Kalvert</t>
  </si>
  <si>
    <t xml:space="preserve">Un joven se sumerge en el mundo de las drogas durante los años 60 en Nueva York, luchando.</t>
  </si>
  <si>
    <t xml:space="preserve">tt0112461</t>
  </si>
  <si>
    <t xml:space="preserve">El gigante de hierro</t>
  </si>
  <si>
    <t xml:space="preserve">Brad Bird</t>
  </si>
  <si>
    <t xml:space="preserve">Un niño solitario descubre que un robot proveniente del espacio es perseguido por el ejército.</t>
  </si>
  <si>
    <t xml:space="preserve">tt0129167</t>
  </si>
  <si>
    <t xml:space="preserve">La fuerza del cariño</t>
  </si>
  <si>
    <t xml:space="preserve">James L. Brooks</t>
  </si>
  <si>
    <t xml:space="preserve">Una madre y su hija enfrentan amor, enfermedad y pérdida en un relato íntimo sobre la.</t>
  </si>
  <si>
    <t xml:space="preserve">tt0086425</t>
  </si>
  <si>
    <t xml:space="preserve">Stalingrado</t>
  </si>
  <si>
    <t xml:space="preserve">Joseph Vilsmaier</t>
  </si>
  <si>
    <t xml:space="preserve">Soldados alemanes viven el horror del frente oriental en Stalingrado, donde el frío, el hambre.</t>
  </si>
  <si>
    <t xml:space="preserve">tt0108211</t>
  </si>
  <si>
    <t xml:space="preserve">Almas en pena de Inisherin</t>
  </si>
  <si>
    <t xml:space="preserve">Martin McDonagh</t>
  </si>
  <si>
    <t xml:space="preserve">Irlanda, Reino Unido, EE.UU.</t>
  </si>
  <si>
    <t xml:space="preserve">Dos amigos de una isla remota rompen abruptamente su amistad, desencadenando un conflicto.</t>
  </si>
  <si>
    <t xml:space="preserve">tt11813216</t>
  </si>
  <si>
    <t xml:space="preserve">Vidas pasadas</t>
  </si>
  <si>
    <t xml:space="preserve">Celine Song</t>
  </si>
  <si>
    <t xml:space="preserve">EE.UU., Corea del Sur</t>
  </si>
  <si>
    <t xml:space="preserve">Movistar Plus+ Ficción Total , Filmin, HBO Max, HBO Max Amazon Channel, rtve</t>
  </si>
  <si>
    <t xml:space="preserve">Dos amigos de infancia coreanos se reencuentran décadas después.</t>
  </si>
  <si>
    <t xml:space="preserve">Introdujo el concepto coreano de inyeon en el cine occidental.</t>
  </si>
  <si>
    <t xml:space="preserve">tt13238346</t>
  </si>
  <si>
    <t xml:space="preserve">Wonder</t>
  </si>
  <si>
    <t xml:space="preserve">Lionsgate+ Amazon Channel, 3Cat</t>
  </si>
  <si>
    <t xml:space="preserve">Un niño con malformación facial enfrenta su 1r año en un colegio ordinario, inspirando empatía.</t>
  </si>
  <si>
    <t xml:space="preserve">tt2543472</t>
  </si>
  <si>
    <t xml:space="preserve">Marathon Man</t>
  </si>
  <si>
    <t xml:space="preserve">John Schlesinger</t>
  </si>
  <si>
    <t xml:space="preserve">Un estudiante se ve envuelto en una conspiración mortal cuando su hermano es perseguido por un.</t>
  </si>
  <si>
    <t xml:space="preserve">tt0074860</t>
  </si>
  <si>
    <t xml:space="preserve">Novecento (1900)</t>
  </si>
  <si>
    <t xml:space="preserve">Italia, Francia</t>
  </si>
  <si>
    <t xml:space="preserve">Dos hombres viven vidas paralelas en un siglo XX convulso.</t>
  </si>
  <si>
    <t xml:space="preserve">Novecento (1900) (1976) es considerada una obra clave del cine de su época, y una pieza importante en la.</t>
  </si>
  <si>
    <t xml:space="preserve">tt0074084</t>
  </si>
  <si>
    <t xml:space="preserve">Happiness</t>
  </si>
  <si>
    <t xml:space="preserve">Todd Solondz</t>
  </si>
  <si>
    <t xml:space="preserve">Tres hermanas y quienes las rodean enfrentan deseos reprimidos, frustración y comportamientos.</t>
  </si>
  <si>
    <t xml:space="preserve">Llevó el humor negro sobre temas tabú al límite del cine independiente.</t>
  </si>
  <si>
    <t xml:space="preserve">tt0147612</t>
  </si>
  <si>
    <t xml:space="preserve">Richard Jewell</t>
  </si>
  <si>
    <t xml:space="preserve">Richard Jewell, guardia de seguridad, pasa de héroe a sospechoso por un atentado.</t>
  </si>
  <si>
    <t xml:space="preserve">tt3513548</t>
  </si>
  <si>
    <t xml:space="preserve">La buena estrella</t>
  </si>
  <si>
    <t xml:space="preserve">Ricardo Franco</t>
  </si>
  <si>
    <t xml:space="preserve">Un hombre acoge a una joven que ha sufrido una agresión, desencadenando una relación marcada.</t>
  </si>
  <si>
    <t xml:space="preserve">tt0118788</t>
  </si>
  <si>
    <t xml:space="preserve">Mientras duermes</t>
  </si>
  <si>
    <t xml:space="preserve">Jaume Balagueró</t>
  </si>
  <si>
    <t xml:space="preserve">AMC Channels Amazon Channel</t>
  </si>
  <si>
    <t xml:space="preserve">Un portero obsesionado con la felicidad ajena vigila y manipula la vida de una vecina mientras.</t>
  </si>
  <si>
    <t xml:space="preserve">tt1437358</t>
  </si>
  <si>
    <t xml:space="preserve">La escafranda y la mariposa (nota: en realidad “La escafandra y la mariposa”)</t>
  </si>
  <si>
    <t xml:space="preserve">Julian Schnabel</t>
  </si>
  <si>
    <t xml:space="preserve">Se inspira en la novela "La escafandra y la mariposa" escrita por Jean Dominique Bauby a causa.</t>
  </si>
  <si>
    <t xml:space="preserve">tt0401383</t>
  </si>
  <si>
    <t xml:space="preserve">The Florida Project</t>
  </si>
  <si>
    <t xml:space="preserve">Sean Baker</t>
  </si>
  <si>
    <t xml:space="preserve">Una niña vive en un motel junto a su joven madre.</t>
  </si>
  <si>
    <t xml:space="preserve">tt5649144</t>
  </si>
  <si>
    <t xml:space="preserve">Los que se quedan</t>
  </si>
  <si>
    <t xml:space="preserve">Paul Hunham, un profesor cascarrabias de un prestigioso colegio de Nueva Inglaterra, se ve.</t>
  </si>
  <si>
    <t xml:space="preserve">tt14849194</t>
  </si>
  <si>
    <t xml:space="preserve">Acordes y desacuerdos</t>
  </si>
  <si>
    <t xml:space="preserve">Un director de cine recuerda la vida de un guitarrista de jazz que vivió entre éxitos.</t>
  </si>
  <si>
    <t xml:space="preserve">tt0158371</t>
  </si>
  <si>
    <t xml:space="preserve">Beautiful Girls</t>
  </si>
  <si>
    <t xml:space="preserve">Ted Demme</t>
  </si>
  <si>
    <t xml:space="preserve">Un grupo de amigos vuelve a reunirse en su pueblo natal, enfrentándose a sus inseguridades y a.</t>
  </si>
  <si>
    <t xml:space="preserve">tt0115639</t>
  </si>
  <si>
    <t xml:space="preserve">Las tortugas también vuelan</t>
  </si>
  <si>
    <t xml:space="preserve">Bahman Ghobadi</t>
  </si>
  <si>
    <t xml:space="preserve">Irán</t>
  </si>
  <si>
    <t xml:space="preserve">Los habitantes de un campo de refugiados del Kurdistán iraquí buscan desesperadamente una.</t>
  </si>
  <si>
    <t xml:space="preserve">tt0424227</t>
  </si>
  <si>
    <t xml:space="preserve">Fresa y chocolate</t>
  </si>
  <si>
    <t xml:space="preserve">Tomás Gutiérrez Alea, Juan Carlos Tabío</t>
  </si>
  <si>
    <t xml:space="preserve">Cuba</t>
  </si>
  <si>
    <t xml:space="preserve">Prime, Filmin, FlixOlé, Rakuten</t>
  </si>
  <si>
    <t xml:space="preserve">En la Cuba de los 90, un estudiante revolucionario y un artista homosexual forman una amistad.</t>
  </si>
  <si>
    <t xml:space="preserve">tt0106966</t>
  </si>
  <si>
    <t xml:space="preserve">Todos dicen I love you</t>
  </si>
  <si>
    <t xml:space="preserve">Una familia peculiar navega amores, rupturas y enredos mientras canta y baila en una historia.</t>
  </si>
  <si>
    <t xml:space="preserve">tt0116242</t>
  </si>
  <si>
    <t xml:space="preserve">Fanny y Alexander</t>
  </si>
  <si>
    <t xml:space="preserve">Ingmar Bergman</t>
  </si>
  <si>
    <t xml:space="preserve">Suecia</t>
  </si>
  <si>
    <t xml:space="preserve">Movistar, Movistar Plus+ Ficción Total , Filmin, Acontra, Acontra Plus Amazon Channel, Tivify</t>
  </si>
  <si>
    <t xml:space="preserve">Dos niños en una familia sueca experimentan alegrías, miedos y tragedias en un relato.</t>
  </si>
  <si>
    <t xml:space="preserve">Testamento de Bergman; ganó el Óscar a mejor película extranjera.</t>
  </si>
  <si>
    <t xml:space="preserve">tt0083922</t>
  </si>
  <si>
    <t xml:space="preserve">La última noche de Boris Grushenko</t>
  </si>
  <si>
    <t xml:space="preserve">Boris, un campesino cobarde reclutado para la guerra, termina envuelto en una absurda.</t>
  </si>
  <si>
    <t xml:space="preserve">tt0073312</t>
  </si>
  <si>
    <t xml:space="preserve">Mujercitas</t>
  </si>
  <si>
    <t xml:space="preserve">Greta Gerwig</t>
  </si>
  <si>
    <t xml:space="preserve">Amy, Jo, Beth y Meg son cuatro hermanas en plena adolescencia, que viven con su madre en una.</t>
  </si>
  <si>
    <t xml:space="preserve">tt3281548</t>
  </si>
  <si>
    <t xml:space="preserve">¿Qué he hecho yo para merecer esto?</t>
  </si>
  <si>
    <t xml:space="preserve">Una ama de casa madrileña vive rodeada de miseria y caos familiar, luchando por sobrevivir en.</t>
  </si>
  <si>
    <t xml:space="preserve">tt0088461</t>
  </si>
  <si>
    <t xml:space="preserve">Coherence</t>
  </si>
  <si>
    <t xml:space="preserve">James Ward Byrkit</t>
  </si>
  <si>
    <t xml:space="preserve">Psicológico</t>
  </si>
  <si>
    <t xml:space="preserve">Durante una cena entre amigos, el paso de un cometa provoca realidades alternativas.</t>
  </si>
  <si>
    <t xml:space="preserve">tt2866360</t>
  </si>
  <si>
    <t xml:space="preserve">La ley de la calle</t>
  </si>
  <si>
    <t xml:space="preserve">Dos hermanos marginales intentan sobrevivir entre pandillas y violencia en una ciudad sin.</t>
  </si>
  <si>
    <t xml:space="preserve">tt0086216</t>
  </si>
  <si>
    <t xml:space="preserve">Los Fabelman</t>
  </si>
  <si>
    <t xml:space="preserve">Un joven Steven Spielberg descubre su pasión por el cine mientras lidia con conflictos.</t>
  </si>
  <si>
    <t xml:space="preserve">tt14208870</t>
  </si>
  <si>
    <t xml:space="preserve">The Doors</t>
  </si>
  <si>
    <t xml:space="preserve">El ascenso y caída del mítico cantante Jim Morrison, entre creatividad, excesos y.</t>
  </si>
  <si>
    <t xml:space="preserve">tt0101761</t>
  </si>
  <si>
    <t xml:space="preserve">Léolo</t>
  </si>
  <si>
    <t xml:space="preserve">Jean-Claude Lauzon</t>
  </si>
  <si>
    <t xml:space="preserve">Prime, Movistar, Movistar Plus+ Ficción Total , Acontra, Acontra Plus Amazon Channel</t>
  </si>
  <si>
    <t xml:space="preserve">Léo, un niño de familia disfuncional en Montreal, se refugia en la fantasía para escapar de su.</t>
  </si>
  <si>
    <t xml:space="preserve">tt0104782</t>
  </si>
  <si>
    <t xml:space="preserve">Corazones de hierro</t>
  </si>
  <si>
    <t xml:space="preserve">Un pelotón estadounidense pierde cohesión moral en Vietnam, enfrentándose a atrocidades que.</t>
  </si>
  <si>
    <t xml:space="preserve">tt0097027</t>
  </si>
  <si>
    <t xml:space="preserve">La infiltrada</t>
  </si>
  <si>
    <t xml:space="preserve">Arantxa Echevarria</t>
  </si>
  <si>
    <t xml:space="preserve">Una espía se infiltra en una red criminal mientras debe proteger su identidad y soportar la.</t>
  </si>
  <si>
    <t xml:space="preserve">tt29270150</t>
  </si>
  <si>
    <t xml:space="preserve">Pride (Orgullo)</t>
  </si>
  <si>
    <t xml:space="preserve">Matthew Warchus</t>
  </si>
  <si>
    <t xml:space="preserve">En el verano de 1984, siendo primera ministra Margaret Thatcher, el Sindicato Nacional de.</t>
  </si>
  <si>
    <t xml:space="preserve">tt3169706</t>
  </si>
  <si>
    <t xml:space="preserve">Tres colores: Blanco</t>
  </si>
  <si>
    <t xml:space="preserve">Un hombre polaco intenta recuperar a su esposa francesa y rehacer su vida tras un divorcio.</t>
  </si>
  <si>
    <t xml:space="preserve">tt0111507</t>
  </si>
  <si>
    <t xml:space="preserve">Terroríficamente muertos</t>
  </si>
  <si>
    <t xml:space="preserve">Sam Raimi</t>
  </si>
  <si>
    <t xml:space="preserve">Shadowz Amazon Channel</t>
  </si>
  <si>
    <t xml:space="preserve">Un grupo de jóvenes se enfrenta a demonios de otro mundo tras leer un libro maldito que desata.</t>
  </si>
  <si>
    <t xml:space="preserve">tt0092991</t>
  </si>
  <si>
    <t xml:space="preserve">Dead Man</t>
  </si>
  <si>
    <t xml:space="preserve">Un contable se convierte en fugitivo y establece un vínculo con un extraño nativo americano.</t>
  </si>
  <si>
    <t xml:space="preserve">tt0112817</t>
  </si>
  <si>
    <t xml:space="preserve">Retrato de una mujer en llamas</t>
  </si>
  <si>
    <t xml:space="preserve">Céline Sciamma</t>
  </si>
  <si>
    <t xml:space="preserve">Filmin, Acontra, rtve</t>
  </si>
  <si>
    <t xml:space="preserve">Una pintora y su modelo se enamoran en una isla bretona.</t>
  </si>
  <si>
    <t xml:space="preserve">Sciamma articuló la 'mirada femenina' como tema y como método, invirtiendo la tradición del pintor y su.</t>
  </si>
  <si>
    <t xml:space="preserve">tt8613070</t>
  </si>
  <si>
    <t xml:space="preserve">El cielo sobre Berlín</t>
  </si>
  <si>
    <t xml:space="preserve">Wim Wenders</t>
  </si>
  <si>
    <t xml:space="preserve">Dos ángeles observan la vida cotidiana de Berlín hasta que uno de ellos decide renunciar a su.</t>
  </si>
  <si>
    <t xml:space="preserve">Su mirada angélica sobre el Berlín dividido se volvió icónica.</t>
  </si>
  <si>
    <t xml:space="preserve">tt0093191</t>
  </si>
  <si>
    <t xml:space="preserve">Un cadáver a los postres</t>
  </si>
  <si>
    <t xml:space="preserve">Robert Moore</t>
  </si>
  <si>
    <t xml:space="preserve">Los grandes detectives literarios son invitados a una mansión donde un excéntrico anfitrión.</t>
  </si>
  <si>
    <t xml:space="preserve">tt0074937</t>
  </si>
  <si>
    <t xml:space="preserve">Boys Don't Cry</t>
  </si>
  <si>
    <t xml:space="preserve">Kimberly Peirce</t>
  </si>
  <si>
    <t xml:space="preserve">Basada en hechos reales: Brandon Teena, un joven trans, lucha por vivir su identidad en un.</t>
  </si>
  <si>
    <t xml:space="preserve">tt0171804</t>
  </si>
  <si>
    <t xml:space="preserve">Los olvidados</t>
  </si>
  <si>
    <t xml:space="preserve">Luis Buñuel</t>
  </si>
  <si>
    <t xml:space="preserve">Cruda historia sobre niños de la calle en Ciudad de México.</t>
  </si>
  <si>
    <t xml:space="preserve">Los olvidados (1950) es considerada una obra clave del género drama, y una pieza importante en la filmografía.</t>
  </si>
  <si>
    <t xml:space="preserve">tt0042804</t>
  </si>
  <si>
    <t xml:space="preserve">Amanecer</t>
  </si>
  <si>
    <t xml:space="preserve">F.W. Murnau</t>
  </si>
  <si>
    <t xml:space="preserve">Filmin, JustWatch TV, Plex</t>
  </si>
  <si>
    <t xml:space="preserve">Un campesino planea matar a su esposa y se arrepiente.</t>
  </si>
  <si>
    <t xml:space="preserve">Amanecer (1927) es considerada una obra clave del género drama, romance, y una pieza importante en la.</t>
  </si>
  <si>
    <t xml:space="preserve">#4</t>
  </si>
  <si>
    <t xml:space="preserve">tt0018455</t>
  </si>
  <si>
    <t xml:space="preserve">Beasts of No Nation</t>
  </si>
  <si>
    <t xml:space="preserve">Cary Joji Fukunaga</t>
  </si>
  <si>
    <t xml:space="preserve">En plena guerra civil de un país africano, el pequeño Agu (Abraham Attah), separado de su.</t>
  </si>
  <si>
    <t xml:space="preserve">tt1365050</t>
  </si>
  <si>
    <t xml:space="preserve">Trumbo. La lista negra de Hollywood</t>
  </si>
  <si>
    <t xml:space="preserve">Jay Roach</t>
  </si>
  <si>
    <t xml:space="preserve">El guionista Dalton Trumbo enfrenta la persecución política del macartismo, luchando por.</t>
  </si>
  <si>
    <t xml:space="preserve">tt3203606</t>
  </si>
  <si>
    <t xml:space="preserve">C.R.A.Z.Y.</t>
  </si>
  <si>
    <t xml:space="preserve">Jean-Marc Vallée</t>
  </si>
  <si>
    <t xml:space="preserve">Movistar, Movistar Plus+ Ficción Total , Acontra, Tivify</t>
  </si>
  <si>
    <t xml:space="preserve">Drama familiar.</t>
  </si>
  <si>
    <t xml:space="preserve">tt0401085</t>
  </si>
  <si>
    <t xml:space="preserve">La invasión de los ultracuerpos</t>
  </si>
  <si>
    <t xml:space="preserve">Philip Kaufman</t>
  </si>
  <si>
    <t xml:space="preserve">Filmin, MGM Plus Amazon Channel</t>
  </si>
  <si>
    <t xml:space="preserve">Una invasión alienígena se apodera de cuerpos humanos reemplazándolos por copias sin emociones.</t>
  </si>
  <si>
    <t xml:space="preserve">tt0077745</t>
  </si>
  <si>
    <t xml:space="preserve">Veredicto final</t>
  </si>
  <si>
    <t xml:space="preserve">Un abogado en decadencia busca recuperar su dignidad enfrentándose a un corrupto sistema.</t>
  </si>
  <si>
    <t xml:space="preserve">tt0084855</t>
  </si>
  <si>
    <t xml:space="preserve">Wind River</t>
  </si>
  <si>
    <t xml:space="preserve">Taylor Sheridan</t>
  </si>
  <si>
    <t xml:space="preserve">Un cazador y un agente tribal investigan el asesinato de una joven nativa en un territorio.</t>
  </si>
  <si>
    <t xml:space="preserve">tt5362988</t>
  </si>
  <si>
    <t xml:space="preserve">Único testigo</t>
  </si>
  <si>
    <t xml:space="preserve">Un detective y una mujer amish se enamoran mientras buscan proteger a un niño testigo de un.</t>
  </si>
  <si>
    <t xml:space="preserve">tt0090329</t>
  </si>
  <si>
    <t xml:space="preserve">El año que vivimos peligrosamente</t>
  </si>
  <si>
    <t xml:space="preserve">Un periodista australiano vive la caída del régimen indonesio en una historia de amor.</t>
  </si>
  <si>
    <t xml:space="preserve">tt0086617</t>
  </si>
  <si>
    <t xml:space="preserve">El oso</t>
  </si>
  <si>
    <t xml:space="preserve">Jean-Jacques Annaud</t>
  </si>
  <si>
    <t xml:space="preserve">Prime, FlixOlé, FlixOlé Amazon Channel</t>
  </si>
  <si>
    <t xml:space="preserve">Un osezno perdido entabla vínculo con un gran oso mientras ambos sobreviven a los peligros de.</t>
  </si>
  <si>
    <t xml:space="preserve">tt0095800</t>
  </si>
  <si>
    <t xml:space="preserve">El verano de Kikujiro</t>
  </si>
  <si>
    <t xml:space="preserve">Un niño viaja para encontrar a su madre acompañado de Kikujiro, un hombre inmaduro y.</t>
  </si>
  <si>
    <t xml:space="preserve">tt0199683</t>
  </si>
  <si>
    <t xml:space="preserve">Cometas en el cielo</t>
  </si>
  <si>
    <t xml:space="preserve">Adaptación del best-seller de Khaled Hosseini.</t>
  </si>
  <si>
    <t xml:space="preserve">tt0419887</t>
  </si>
  <si>
    <t xml:space="preserve">Candilejas</t>
  </si>
  <si>
    <t xml:space="preserve">Un viejo cómico ayuda a una joven bailarina mientras afronta su decadencia personal.</t>
  </si>
  <si>
    <t xml:space="preserve">Candilejas (1952) es considerada una obra clave del género drama, y una pieza importante en la filmografía de.</t>
  </si>
  <si>
    <t xml:space="preserve">tt0044837</t>
  </si>
  <si>
    <t xml:space="preserve">Academia Rushmore</t>
  </si>
  <si>
    <t xml:space="preserve">Un estudiante excéntrico intenta conquistar a una profesora mientras compite con su propio.</t>
  </si>
  <si>
    <t xml:space="preserve">tt0128445</t>
  </si>
  <si>
    <t xml:space="preserve">El quimérico inquilino</t>
  </si>
  <si>
    <t xml:space="preserve">Un tímido hombre alquila un piso cuyo anterior inquilino intentó suicidarse.</t>
  </si>
  <si>
    <t xml:space="preserve">tt0074811</t>
  </si>
  <si>
    <t xml:space="preserve">¿Vencedores o vencidos? (El juicio de Nuremberg)</t>
  </si>
  <si>
    <t xml:space="preserve">Stanley Kramer</t>
  </si>
  <si>
    <t xml:space="preserve">Varios jueces nazis son juzgados por crímenes contra la humanidad.</t>
  </si>
  <si>
    <t xml:space="preserve">¿Vencedores o vencidos?</t>
  </si>
  <si>
    <t xml:space="preserve">tt0055031</t>
  </si>
  <si>
    <t xml:space="preserve">Familia</t>
  </si>
  <si>
    <t xml:space="preserve">Movistar Plus+ Ficción Total , FlixOlé</t>
  </si>
  <si>
    <t xml:space="preserve">Una familia peculiar celebra el cumpleaños del padre, revelando secretos, tensiones y afectos.</t>
  </si>
  <si>
    <t xml:space="preserve">tt0116274</t>
  </si>
  <si>
    <t xml:space="preserve">Haz lo que debas</t>
  </si>
  <si>
    <t xml:space="preserve">En un barrio multicultural de Brooklyn, la tensión racial estalla durante un día sofocante de.</t>
  </si>
  <si>
    <t xml:space="preserve">Llevó el conflicto racial urbano al cine comercial estadounidense.</t>
  </si>
  <si>
    <t xml:space="preserve">tt0097216</t>
  </si>
  <si>
    <t xml:space="preserve">¿Quién puede matar a un niño?</t>
  </si>
  <si>
    <t xml:space="preserve">Narciso Ibáñez Serrador</t>
  </si>
  <si>
    <t xml:space="preserve">Una pareja llega a una isla donde los niños han matado a todos los adultos.</t>
  </si>
  <si>
    <t xml:space="preserve">tt0075462</t>
  </si>
  <si>
    <t xml:space="preserve">El juego de Geri</t>
  </si>
  <si>
    <t xml:space="preserve">Jan Pinkava</t>
  </si>
  <si>
    <t xml:space="preserve">Un anciano juega una partida de ajedrez contra sí mismo en un parque.</t>
  </si>
  <si>
    <t xml:space="preserve">tt0131409</t>
  </si>
  <si>
    <t xml:space="preserve">24 Hour Party People</t>
  </si>
  <si>
    <t xml:space="preserve">Michael Winterbottom</t>
  </si>
  <si>
    <t xml:space="preserve">La escena musical de Mánchester vista por un promotor.</t>
  </si>
  <si>
    <t xml:space="preserve">Falso documental que fijó la memoria de la escena de Mánchester.</t>
  </si>
  <si>
    <t xml:space="preserve">tt0274309</t>
  </si>
  <si>
    <t xml:space="preserve">Pleasantville</t>
  </si>
  <si>
    <t xml:space="preserve">Gary Ross</t>
  </si>
  <si>
    <t xml:space="preserve">Dos hermanos de los años 50 son transportados a una serie televisiva perfecta, donde su.</t>
  </si>
  <si>
    <t xml:space="preserve">tt0120789</t>
  </si>
  <si>
    <t xml:space="preserve">En busca del fuego</t>
  </si>
  <si>
    <t xml:space="preserve">Prime, Filmin, Acontra, Artiflix, Tivify</t>
  </si>
  <si>
    <t xml:space="preserve">Tres hombres prehistóricos emprenden un viaje peligroso para obtener fuego, enfrentándose a.</t>
  </si>
  <si>
    <t xml:space="preserve">tt0082484</t>
  </si>
  <si>
    <t xml:space="preserve">Hair</t>
  </si>
  <si>
    <t xml:space="preserve">Un joven rebelde se une a un grupo hippie en la época de la Guerra de Vietnam, descubriendo.</t>
  </si>
  <si>
    <t xml:space="preserve">tt0079261</t>
  </si>
  <si>
    <t xml:space="preserve">Tierra y libertad</t>
  </si>
  <si>
    <t xml:space="preserve">Ken Loach</t>
  </si>
  <si>
    <t xml:space="preserve">FlixOlé, FlixOlé Amazon Channel</t>
  </si>
  <si>
    <t xml:space="preserve">Un joven inglés viaja a España para unirse a las Brigadas Internacionales durante la Guerra.</t>
  </si>
  <si>
    <t xml:space="preserve">tt0114671</t>
  </si>
  <si>
    <t xml:space="preserve">Flow, un mundo que salvar</t>
  </si>
  <si>
    <t xml:space="preserve">Gints Zilbalodis</t>
  </si>
  <si>
    <t xml:space="preserve">Letonia</t>
  </si>
  <si>
    <t xml:space="preserve">Filmin, Netflix</t>
  </si>
  <si>
    <t xml:space="preserve">Un gato se despierta en un mundo cubierto de agua, donde la raza humana parece haber.</t>
  </si>
  <si>
    <t xml:space="preserve">tt4772188</t>
  </si>
  <si>
    <t xml:space="preserve">¡Qué verde era mi valle!</t>
  </si>
  <si>
    <t xml:space="preserve">Una familia minera enfrenta pobreza e injusticia.</t>
  </si>
  <si>
    <t xml:space="preserve">tt0033729</t>
  </si>
  <si>
    <t xml:space="preserve">Willow</t>
  </si>
  <si>
    <t xml:space="preserve">Un granjero se convierte en el inesperado protector de un bebé destinado a destronar a una.</t>
  </si>
  <si>
    <t xml:space="preserve">tt0096446</t>
  </si>
  <si>
    <t xml:space="preserve">Cuentos de Tokio</t>
  </si>
  <si>
    <t xml:space="preserve">Yasujirō Ozu</t>
  </si>
  <si>
    <t xml:space="preserve">Movistar, Movistar Plus+ Ficción Total , Acontra, Acontra Plus Amazon Channel, Tivify, Plex</t>
  </si>
  <si>
    <t xml:space="preserve">Unos ancianos visitan a sus hijos y los encuentran indiferentes.</t>
  </si>
  <si>
    <t xml:space="preserve">Cuentos de Tokio (1953) es considerada una obra clave del género drama, y una pieza importante en la.</t>
  </si>
  <si>
    <t xml:space="preserve">tt0046438</t>
  </si>
  <si>
    <t xml:space="preserve">Twin Peaks: Fuego camina conmigo</t>
  </si>
  <si>
    <t xml:space="preserve">El asesinato de Laura Palmer revela oscuros secretos de su vida mientras se exploran los.</t>
  </si>
  <si>
    <t xml:space="preserve">Abucheada en Cannes y hoy reivindicada como cima de Lynch.</t>
  </si>
  <si>
    <t xml:space="preserve">tt0105665</t>
  </si>
  <si>
    <t xml:space="preserve">Eyes Wide Shut</t>
  </si>
  <si>
    <t xml:space="preserve">Movistar, Movistar Plus+ Ficción Total , HBO Max</t>
  </si>
  <si>
    <t xml:space="preserve">Un matrimonio de la alta sociedad se sumerge en un juego de secretos, deseo y celos que.</t>
  </si>
  <si>
    <t xml:space="preserve">tt0120663</t>
  </si>
  <si>
    <t xml:space="preserve">Nicky, la aprendiz de bruja</t>
  </si>
  <si>
    <t xml:space="preserve">Hayao Miyazaki</t>
  </si>
  <si>
    <t xml:space="preserve">Una joven bruja en prácticas debe adaptarse a una nueva ciudad mientras aprende independencia.</t>
  </si>
  <si>
    <t xml:space="preserve">tt0097814</t>
  </si>
  <si>
    <t xml:space="preserve">El talento de Mr. Ripley</t>
  </si>
  <si>
    <t xml:space="preserve">Tom Ripley, un joven manipulador, se obsesiona con un rico heredero y empieza a suplantar su.</t>
  </si>
  <si>
    <t xml:space="preserve">tt0134119</t>
  </si>
  <si>
    <t xml:space="preserve">Leyendas de pasión</t>
  </si>
  <si>
    <t xml:space="preserve">Edward Zwick</t>
  </si>
  <si>
    <t xml:space="preserve">Tres hermanos estadounidenses viven amores, pérdidas y tragedias familiares en un rancho de.</t>
  </si>
  <si>
    <t xml:space="preserve">tt0110322</t>
  </si>
  <si>
    <t xml:space="preserve">Pinocho (Guillermo del Toro)</t>
  </si>
  <si>
    <t xml:space="preserve">Guillermo del Toro</t>
  </si>
  <si>
    <t xml:space="preserve">Versión musical en animación stop motion del famoso cuento de 'Pinocho', ambientada en la.</t>
  </si>
  <si>
    <t xml:space="preserve">Una obra maestra del stop-motion Es considerada una revolución técnica: combina el stop-motion tradicional.</t>
  </si>
  <si>
    <t xml:space="preserve">tt1488589</t>
  </si>
  <si>
    <t xml:space="preserve">El abuelo</t>
  </si>
  <si>
    <t xml:space="preserve">Un anciano aristócrata vuelve a su aldea tras años fuera y descubre que su familia esconde.</t>
  </si>
  <si>
    <t xml:space="preserve">tt0176415</t>
  </si>
  <si>
    <t xml:space="preserve">¡Ay, Carmela!</t>
  </si>
  <si>
    <t xml:space="preserve">Carlos Saura</t>
  </si>
  <si>
    <t xml:space="preserve">Una compañía de teatro republicana recorre España durante la Guerra Civil, enfrentándose a la.</t>
  </si>
  <si>
    <t xml:space="preserve">tt0101025</t>
  </si>
  <si>
    <t xml:space="preserve">El rey de la comedia</t>
  </si>
  <si>
    <t xml:space="preserve">Rakuten</t>
  </si>
  <si>
    <t xml:space="preserve">Un aspirante a cómico obsesionado con un presentador de televisión lleva su admiración.</t>
  </si>
  <si>
    <t xml:space="preserve">tt0085794</t>
  </si>
  <si>
    <t xml:space="preserve">Noche en la Tierra</t>
  </si>
  <si>
    <t xml:space="preserve">Cinco historias simultáneas situadas en taxis de distintas ciudades del mundo.</t>
  </si>
  <si>
    <t xml:space="preserve">tt0102536</t>
  </si>
  <si>
    <t xml:space="preserve">Vivir (Ikiru)</t>
  </si>
  <si>
    <t xml:space="preserve">Un funcionario terminal intenta dar sentido a su vida creando un parque infantil.</t>
  </si>
  <si>
    <t xml:space="preserve">Vivir (Ikiru) (1952) es una de las grandes reflexiones cinematográficas sobre el sentido de la vida ante la.</t>
  </si>
  <si>
    <t xml:space="preserve">tt0044741</t>
  </si>
  <si>
    <t xml:space="preserve">El bosque animado</t>
  </si>
  <si>
    <t xml:space="preserve">José Luis Cuerda</t>
  </si>
  <si>
    <t xml:space="preserve">En un bosque gallego, humanos, animales y seres mágicos se cruzan en historias llenas de humor.</t>
  </si>
  <si>
    <t xml:space="preserve">tt0092693</t>
  </si>
  <si>
    <t xml:space="preserve">Ninja Scroll</t>
  </si>
  <si>
    <t xml:space="preserve">Yoshiaki Kawajiri</t>
  </si>
  <si>
    <t xml:space="preserve">Posesión</t>
  </si>
  <si>
    <t xml:space="preserve">Animebox Channel Amazon Channel</t>
  </si>
  <si>
    <t xml:space="preserve">Un espadachín errante se enfrenta a demonios y guerreros sobrenaturales en una historia.</t>
  </si>
  <si>
    <t xml:space="preserve">tt0107692</t>
  </si>
  <si>
    <t xml:space="preserve">Hana-Bi. Flores de fuego</t>
  </si>
  <si>
    <t xml:space="preserve">Un policía traumatizado intenta reconstruir su vida mientras cuida a su esposa enferma; la.</t>
  </si>
  <si>
    <t xml:space="preserve">tt0119250</t>
  </si>
  <si>
    <t xml:space="preserve">Arrebato</t>
  </si>
  <si>
    <t xml:space="preserve">Iván Zulueta</t>
  </si>
  <si>
    <t xml:space="preserve">Movistar, Movistar Plus+ Ficción Total , FlixOlé, MUBI, MUBI Amazon Channel, FlixOlé Amazon Channel</t>
  </si>
  <si>
    <t xml:space="preserve">Un cineasta se obsesiona con una cámara que devora el tiempo.</t>
  </si>
  <si>
    <t xml:space="preserve">Película de culto del cine español: Zulueta convirtió la adicción al cine (y a las drogas) en un relato.</t>
  </si>
  <si>
    <t xml:space="preserve">tt0078797</t>
  </si>
  <si>
    <t xml:space="preserve">Un día de furia</t>
  </si>
  <si>
    <t xml:space="preserve">Joel Schumacher</t>
  </si>
  <si>
    <t xml:space="preserve">Un hombre estalla tras una cadena de frustraciones y atraviesa Los Ángeles desencadenando.</t>
  </si>
  <si>
    <t xml:space="preserve">tt0106856</t>
  </si>
  <si>
    <t xml:space="preserve">Un puente lejano</t>
  </si>
  <si>
    <t xml:space="preserve">En la Operación Market Garden, los aliados intentan capturar puentes estratégicos; la misión.</t>
  </si>
  <si>
    <t xml:space="preserve">tt0075784</t>
  </si>
  <si>
    <t xml:space="preserve">Straight Outta Compton</t>
  </si>
  <si>
    <t xml:space="preserve">F. Gary Gray</t>
  </si>
  <si>
    <t xml:space="preserve">El grupo N.W.A.</t>
  </si>
  <si>
    <t xml:space="preserve">tt1398426</t>
  </si>
  <si>
    <t xml:space="preserve">La cruz de hierro</t>
  </si>
  <si>
    <t xml:space="preserve">Sam Peckinpah</t>
  </si>
  <si>
    <t xml:space="preserve">Movistar, Movistar Plus+ Ficción Total , Cultpix</t>
  </si>
  <si>
    <t xml:space="preserve">Un sargento alemán intenta mantener la moral y la dignidad de sus hombres mientras se enfrenta.</t>
  </si>
  <si>
    <t xml:space="preserve">tt0074695</t>
  </si>
  <si>
    <t xml:space="preserve">Quiz Show. El dilema</t>
  </si>
  <si>
    <t xml:space="preserve">Robert Redford</t>
  </si>
  <si>
    <t xml:space="preserve">Un concursante de un popular programa de televisión se ve envuelto en un escándalo que destapa.</t>
  </si>
  <si>
    <t xml:space="preserve">tt0110932</t>
  </si>
  <si>
    <t xml:space="preserve">La ciudad de los niños perdidos</t>
  </si>
  <si>
    <t xml:space="preserve">Un científico secuestra niños para robar sus sueños en una ciudad sin memoria dominada por.</t>
  </si>
  <si>
    <t xml:space="preserve">tt0112682</t>
  </si>
  <si>
    <t xml:space="preserve">Poder absoluto</t>
  </si>
  <si>
    <t xml:space="preserve">Un ladrón presencia un asesinato con implicaciones en las altas esferas del poder, lo que pone.</t>
  </si>
  <si>
    <t xml:space="preserve">tt0118548</t>
  </si>
  <si>
    <t xml:space="preserve">Inseparables</t>
  </si>
  <si>
    <t xml:space="preserve">Prime, Filmin, FlixOlé, Shadowz Amazon Channel</t>
  </si>
  <si>
    <t xml:space="preserve">Dos gemelos ginecólogos mantienen una relación simbiótica hasta que los celos y la locura los.</t>
  </si>
  <si>
    <t xml:space="preserve">tt0094964</t>
  </si>
  <si>
    <t xml:space="preserve">El tambor de hojalata</t>
  </si>
  <si>
    <t xml:space="preserve">Volker Schlöndorff</t>
  </si>
  <si>
    <t xml:space="preserve">Filmin, Acontra, Tivify</t>
  </si>
  <si>
    <t xml:space="preserve">Oskar, un niño que deja de crecer a los tres años, decide expresarse solo golpeando un tambor.</t>
  </si>
  <si>
    <t xml:space="preserve">tt0078875</t>
  </si>
  <si>
    <t xml:space="preserve">La vida de Brian</t>
  </si>
  <si>
    <t xml:space="preserve">Terry Jones</t>
  </si>
  <si>
    <t xml:space="preserve">Prime, Movistar, Movistar Plus+ Ficción Total , Filmin, rtve</t>
  </si>
  <si>
    <t xml:space="preserve">Brian es confundido con el Mesías en una sátira irreverente sobre religión, fanatismo y la.</t>
  </si>
  <si>
    <t xml:space="preserve">tt0079470</t>
  </si>
  <si>
    <t xml:space="preserve">Malcolm X</t>
  </si>
  <si>
    <t xml:space="preserve">La vida de Malcolm X, desde su juventud conflictiva hasta convertirse en una de las figuras.</t>
  </si>
  <si>
    <t xml:space="preserve">tt0104797</t>
  </si>
  <si>
    <t xml:space="preserve">Criaturas celestiales</t>
  </si>
  <si>
    <t xml:space="preserve">Dos adolescentes desarrollan una amistad obsesiva que desemboca en un asesinato planificado.</t>
  </si>
  <si>
    <t xml:space="preserve">tt0110005</t>
  </si>
  <si>
    <t xml:space="preserve">Vacas</t>
  </si>
  <si>
    <t xml:space="preserve">Varias generaciones de dos familias rivales en el País Vasco viven una historia marcada por.</t>
  </si>
  <si>
    <t xml:space="preserve">tt0103186</t>
  </si>
  <si>
    <t xml:space="preserve">La muerte y la doncella</t>
  </si>
  <si>
    <t xml:space="preserve">Una mujer cree haber sido torturada por un médico militar y, años después, lo confronta en un.</t>
  </si>
  <si>
    <t xml:space="preserve">tt0109579</t>
  </si>
  <si>
    <t xml:space="preserve">Extraños en el paraíso</t>
  </si>
  <si>
    <t xml:space="preserve">Tres jóvenes inadaptados emprenden un viaje absurdo y poético por Estados Unidos, entre.</t>
  </si>
  <si>
    <t xml:space="preserve">tt0088184</t>
  </si>
  <si>
    <t xml:space="preserve">Medianoche en el jardín del bien y del mal</t>
  </si>
  <si>
    <t xml:space="preserve">Un periodista investiga un caso de asesinato en Savannah, descubriendo un mundo extravagante y.</t>
  </si>
  <si>
    <t xml:space="preserve">tt0119668</t>
  </si>
  <si>
    <t xml:space="preserve">El fuera de la ley</t>
  </si>
  <si>
    <t xml:space="preserve">Un bandido retirado y marginado debe enfrentarse a un grupo de militares corruptos que buscan.</t>
  </si>
  <si>
    <t xml:space="preserve">tt0075029</t>
  </si>
  <si>
    <t xml:space="preserve">The Boxer</t>
  </si>
  <si>
    <t xml:space="preserve">Un boxeador irlandés intenta rehacer su vida tras salir de prisión, en medio de tensiones.</t>
  </si>
  <si>
    <t xml:space="preserve">tt0118760</t>
  </si>
  <si>
    <t xml:space="preserve">La escalera de Jacob</t>
  </si>
  <si>
    <t xml:space="preserve">Adrian Lyne</t>
  </si>
  <si>
    <t xml:space="preserve">Un veterano de Vietnam sufre visiones perturbadoras y pierde la noción de la realidad.</t>
  </si>
  <si>
    <t xml:space="preserve">tt0099871</t>
  </si>
  <si>
    <t xml:space="preserve">Vidas cruzadas (Short Cuts)</t>
  </si>
  <si>
    <t xml:space="preserve">Robert Altman</t>
  </si>
  <si>
    <t xml:space="preserve">Coral</t>
  </si>
  <si>
    <t xml:space="preserve">Varias historias interconectadas en Los Ángeles muestran la fragilidad humana: adicciones.</t>
  </si>
  <si>
    <t xml:space="preserve">tt0108122</t>
  </si>
  <si>
    <t xml:space="preserve">Buffalo '66</t>
  </si>
  <si>
    <t xml:space="preserve">Vincent Gallo</t>
  </si>
  <si>
    <t xml:space="preserve">Tras salir de prisión, un hombre emprende un viaje para reencontrarse con su antigua vida.</t>
  </si>
  <si>
    <t xml:space="preserve">tt0118789</t>
  </si>
  <si>
    <t xml:space="preserve">Brubaker</t>
  </si>
  <si>
    <t xml:space="preserve">Stuart Rosenberg</t>
  </si>
  <si>
    <t xml:space="preserve">Un nuevo director de prisión intenta reformar un sistema brutal y corrupto desde dentro.</t>
  </si>
  <si>
    <t xml:space="preserve">tt0080474</t>
  </si>
  <si>
    <t xml:space="preserve">Bird</t>
  </si>
  <si>
    <t xml:space="preserve">La vida del saxofonista Charlie “Bird” Parker, marcada por su genio musical y su destructiva.</t>
  </si>
  <si>
    <t xml:space="preserve">tt0094747</t>
  </si>
  <si>
    <t xml:space="preserve">Robin y Marian</t>
  </si>
  <si>
    <t xml:space="preserve">Richard Lester</t>
  </si>
  <si>
    <t xml:space="preserve">Años después de sus hazañas, Robin Hood y Marian se reencuentran, enfrentándose al paso del.</t>
  </si>
  <si>
    <t xml:space="preserve">tt0075147</t>
  </si>
  <si>
    <t xml:space="preserve">Cotton Club</t>
  </si>
  <si>
    <t xml:space="preserve">En el ambiente del jazz y la mafia de los años 20, varios personajes se cruzan en historias de.</t>
  </si>
  <si>
    <t xml:space="preserve">tt0087089</t>
  </si>
  <si>
    <t xml:space="preserve">Europa</t>
  </si>
  <si>
    <t xml:space="preserve">En una Europa reconstruida tras la Segunda Guerra Mundial, un hombre acepta un trabajo en un.</t>
  </si>
  <si>
    <t xml:space="preserve">tt0101829</t>
  </si>
  <si>
    <t xml:space="preserve">Los duelistas</t>
  </si>
  <si>
    <t xml:space="preserve">Dos oficiales franceses mantienen una rivalidad a muerte durante décadas, desafiándose.</t>
  </si>
  <si>
    <t xml:space="preserve">tt0075968</t>
  </si>
  <si>
    <t xml:space="preserve">Indiana Jones y la última cruzada</t>
  </si>
  <si>
    <t xml:space="preserve">Indiana Jones busca el Santo Grial mientras compite con los nazis y se reconcilia con su padre.</t>
  </si>
  <si>
    <t xml:space="preserve">tt0097576</t>
  </si>
  <si>
    <t xml:space="preserve">Un lugar en el mundo</t>
  </si>
  <si>
    <t xml:space="preserve">Adolfo Aristarain</t>
  </si>
  <si>
    <t xml:space="preserve">Un profesor llega a un pueblo argentino donde descubre tensiones familiares, lealtades y.</t>
  </si>
  <si>
    <t xml:space="preserve">tt0104774</t>
  </si>
  <si>
    <t xml:space="preserve">Paris, Texas</t>
  </si>
  <si>
    <t xml:space="preserve">Acontra, Acontra Plus Amazon Channel, Tivify, 3Cat, Runtime</t>
  </si>
  <si>
    <t xml:space="preserve">Un hombre encuentra a su hijo tras años perdido, comenzando un viaje de sanación y reconexión.</t>
  </si>
  <si>
    <t xml:space="preserve">Palma de Oro que fijó la imagen europea del paisaje americano.</t>
  </si>
  <si>
    <t xml:space="preserve">tt0087884</t>
  </si>
  <si>
    <t xml:space="preserve">Underground</t>
  </si>
  <si>
    <t xml:space="preserve">Emir Kusturica</t>
  </si>
  <si>
    <t xml:space="preserve">Serbia (Yugoslavia en su estreno)</t>
  </si>
  <si>
    <t xml:space="preserve">Segunda Guerra Mundial</t>
  </si>
  <si>
    <t xml:space="preserve">Tres amigos atraviesan décadas de guerra y caos en los Balcanes en un relato delirante y.</t>
  </si>
  <si>
    <t xml:space="preserve">tt0114787</t>
  </si>
  <si>
    <t xml:space="preserve">Muerte entre las flores</t>
  </si>
  <si>
    <t xml:space="preserve">Dos mafiosos irlandeses intentan sobrevivir en un mundo donde la traición y la violencia son.</t>
  </si>
  <si>
    <t xml:space="preserve">tt0100150</t>
  </si>
  <si>
    <t xml:space="preserve">Fargo</t>
  </si>
  <si>
    <t xml:space="preserve">Una policía embarazada investiga un asesinato que esconde una conspiración absurda en la.</t>
  </si>
  <si>
    <t xml:space="preserve">tt0116282</t>
  </si>
  <si>
    <t xml:space="preserve">Una historia del Bronx</t>
  </si>
  <si>
    <t xml:space="preserve">Robert De Niro</t>
  </si>
  <si>
    <t xml:space="preserve">Un joven se adentra en el mundo del crimen bajo la tutela de un gánster, descubriendo lealtad.</t>
  </si>
  <si>
    <t xml:space="preserve">tt0106489</t>
  </si>
  <si>
    <t xml:space="preserve">Adiós, muchachos</t>
  </si>
  <si>
    <t xml:space="preserve">Louis Malle</t>
  </si>
  <si>
    <t xml:space="preserve">Un niño judío vive la ocupación nazi en un internado francés, enfrentando amistad, inocencia y.</t>
  </si>
  <si>
    <t xml:space="preserve">tt0092593</t>
  </si>
  <si>
    <t xml:space="preserve">Celebración</t>
  </si>
  <si>
    <t xml:space="preserve">En una fiesta familiar, un hijo revela oscuros secretos sobre su padre, provocando un colapso.</t>
  </si>
  <si>
    <t xml:space="preserve">tt0154420</t>
  </si>
  <si>
    <t xml:space="preserve">Una historia verdadera</t>
  </si>
  <si>
    <t xml:space="preserve">Un anciano realiza un largo viaje en cortacésped para visitar a su hermano enfermo en una.</t>
  </si>
  <si>
    <t xml:space="preserve">tt0166896</t>
  </si>
  <si>
    <t xml:space="preserve">Misterioso asesinato en Manhattan</t>
  </si>
  <si>
    <t xml:space="preserve">Una pareja neoyorquina investiga un asesinato, desatando enredos y paranoias típicas de Woody.</t>
  </si>
  <si>
    <t xml:space="preserve">tt0107507</t>
  </si>
  <si>
    <t xml:space="preserve">Missing (Desaparecido)</t>
  </si>
  <si>
    <t xml:space="preserve">Costa-Gavras</t>
  </si>
  <si>
    <t xml:space="preserve">Un padre busca desesperadamente a su hijo desaparecido tras un golpe militar en Chile.</t>
  </si>
  <si>
    <t xml:space="preserve">tt0084335</t>
  </si>
  <si>
    <t xml:space="preserve">Hannah y sus hermanas</t>
  </si>
  <si>
    <t xml:space="preserve">Tres hermanas enfrentan crisis personales y familiares en una de las obras más maduras de.</t>
  </si>
  <si>
    <t xml:space="preserve">tt0091167</t>
  </si>
  <si>
    <t xml:space="preserve">Tres colores: rojo</t>
  </si>
  <si>
    <t xml:space="preserve">El destino cruza las vidas de dos personas en una historia de culpa, deseo y redención.</t>
  </si>
  <si>
    <t xml:space="preserve">tt0111495</t>
  </si>
  <si>
    <t xml:space="preserve">El submarino (Das Boot)</t>
  </si>
  <si>
    <t xml:space="preserve">Un submarino alemán vive misiones extremas donde la tensión y el miedo a la muerte son.</t>
  </si>
  <si>
    <t xml:space="preserve">tt0082096</t>
  </si>
  <si>
    <t xml:space="preserve">El expreso de media noche</t>
  </si>
  <si>
    <t xml:space="preserve">Alan Parker</t>
  </si>
  <si>
    <t xml:space="preserve">La dura historia de un joven detenido y torturado en una prisión turca.</t>
  </si>
  <si>
    <t xml:space="preserve">tt0077928</t>
  </si>
  <si>
    <t xml:space="preserve">El sur</t>
  </si>
  <si>
    <t xml:space="preserve">Víctor Erice</t>
  </si>
  <si>
    <t xml:space="preserve">Una niña crece entre silencios, pérdidas y recuerdos en un relato íntimo y poético español.</t>
  </si>
  <si>
    <t xml:space="preserve">tt0084740</t>
  </si>
  <si>
    <t xml:space="preserve">Pesadilla antes de Navidad</t>
  </si>
  <si>
    <t xml:space="preserve">Henry Selick</t>
  </si>
  <si>
    <t xml:space="preserve">Jack Skellington intenta celebrar la Navidad con resultados terriblemente desastrosos.</t>
  </si>
  <si>
    <t xml:space="preserve">tt0107688</t>
  </si>
  <si>
    <t xml:space="preserve">Secretos y mentiras</t>
  </si>
  <si>
    <t xml:space="preserve">Mike Leigh</t>
  </si>
  <si>
    <t xml:space="preserve">Movistar, Movistar Plus+ Ficción Total , Filmin, Acontra, Acontra Plus Amazon Channel</t>
  </si>
  <si>
    <t xml:space="preserve">Una familia británica debe afrontar verdades dolorosas tras una revelación inesperada.</t>
  </si>
  <si>
    <t xml:space="preserve">tt0117589</t>
  </si>
  <si>
    <t xml:space="preserve">Platoon</t>
  </si>
  <si>
    <t xml:space="preserve">Un pelotón estadounidense enfrenta la brutalidad de Vietnam en una visión cruda y antibélica.</t>
  </si>
  <si>
    <t xml:space="preserve">tt0091763</t>
  </si>
  <si>
    <t xml:space="preserve">Amadeus</t>
  </si>
  <si>
    <t xml:space="preserve">Miloš Forman</t>
  </si>
  <si>
    <t xml:space="preserve">La vida de Mozart vista a través de los celos y obsesión de su rival Salieri.</t>
  </si>
  <si>
    <t xml:space="preserve">tt0086879</t>
  </si>
  <si>
    <t xml:space="preserve">El viaje a ninguna parte</t>
  </si>
  <si>
    <t xml:space="preserve">Fernando Fernán Gómez</t>
  </si>
  <si>
    <t xml:space="preserve">Un cómico ambulante viaja por España en un nostálgico homenaje al teatro popular.</t>
  </si>
  <si>
    <t xml:space="preserve">tt0090259</t>
  </si>
  <si>
    <t xml:space="preserve">Mi vecino Totoro</t>
  </si>
  <si>
    <t xml:space="preserve">Dos niñas descubren criaturas mágicas en el bosque mientras afrontan la enfermedad de su madre.</t>
  </si>
  <si>
    <t xml:space="preserve">Definió la fantasía infantil sin villano y consagró a Ghibli.</t>
  </si>
  <si>
    <t xml:space="preserve">tt0096283</t>
  </si>
  <si>
    <t xml:space="preserve">Smoke</t>
  </si>
  <si>
    <t xml:space="preserve">Wayne Wang</t>
  </si>
  <si>
    <t xml:space="preserve">La vida de los habitantes de un barrio neoyorquino se entrecruza en un relato de humo, cafés y.</t>
  </si>
  <si>
    <t xml:space="preserve">tt0114478</t>
  </si>
  <si>
    <t xml:space="preserve">Solas</t>
  </si>
  <si>
    <t xml:space="preserve">Benito Zambrano</t>
  </si>
  <si>
    <t xml:space="preserve">Una mujer andaluza lucha por sobrevivir emocional y económicamente en un entorno hostil.</t>
  </si>
  <si>
    <t xml:space="preserve">tt0190798</t>
  </si>
  <si>
    <t xml:space="preserve">El club de los poetas muertos</t>
  </si>
  <si>
    <t xml:space="preserve">Prime, Disney+, Tivify</t>
  </si>
  <si>
    <t xml:space="preserve">Un profesor desafía a sus alumnos a pensar por sí mismos y aprovechar la vida a través de la.</t>
  </si>
  <si>
    <t xml:space="preserve">tt0097165</t>
  </si>
  <si>
    <t xml:space="preserve">El sexto sentido</t>
  </si>
  <si>
    <t xml:space="preserve">M. Night Shyamalan</t>
  </si>
  <si>
    <t xml:space="preserve">Netflix, Disney+</t>
  </si>
  <si>
    <t xml:space="preserve">Un niño afirma ver muertos, mientras su psicólogo intenta ayudarlo sin saber el giro que les.</t>
  </si>
  <si>
    <t xml:space="preserve">tt0167404</t>
  </si>
  <si>
    <t xml:space="preserve">Desmontando a Harry</t>
  </si>
  <si>
    <t xml:space="preserve">Acontra, Tivify</t>
  </si>
  <si>
    <t xml:space="preserve">Un escritor neurótico revisa su vida a través de recuerdos, fantasías y ex parejas.</t>
  </si>
  <si>
    <t xml:space="preserve">tt0118954</t>
  </si>
  <si>
    <t xml:space="preserve">Estación central de Brasil</t>
  </si>
  <si>
    <t xml:space="preserve">Walter Salles</t>
  </si>
  <si>
    <t xml:space="preserve">Una mujer acompaña a un niño huérfano a buscar a su padre en un viaje emocional por Brasil.</t>
  </si>
  <si>
    <t xml:space="preserve">tt0140888</t>
  </si>
  <si>
    <t xml:space="preserve">Las amistades peligrosas</t>
  </si>
  <si>
    <t xml:space="preserve">Intrigas, seducción y manipulación en la corte francesa del siglo XVIII.</t>
  </si>
  <si>
    <t xml:space="preserve">tt0094947</t>
  </si>
  <si>
    <t xml:space="preserve">Fuga de Alcatraz</t>
  </si>
  <si>
    <t xml:space="preserve">Don Siegel</t>
  </si>
  <si>
    <t xml:space="preserve">Un preso diseña una fuga aparentemente imposible de la prisión de Alcatraz.</t>
  </si>
  <si>
    <t xml:space="preserve">tt0079116</t>
  </si>
  <si>
    <t xml:space="preserve">Akira</t>
  </si>
  <si>
    <t xml:space="preserve">Katsuhiro Otomo</t>
  </si>
  <si>
    <t xml:space="preserve">Un motero adolescente adquiere poderes en un Tokio devastado.</t>
  </si>
  <si>
    <t xml:space="preserve">Abrió el anime al público occidental y elevó el estándar de la animación adulta con su densidad visual.</t>
  </si>
  <si>
    <t xml:space="preserve">tt0094625</t>
  </si>
  <si>
    <t xml:space="preserve">Zelig</t>
  </si>
  <si>
    <t xml:space="preserve">La vida de un hombre camaleónico que cambia de identidad social según le conviene.</t>
  </si>
  <si>
    <t xml:space="preserve">tt0086637</t>
  </si>
  <si>
    <t xml:space="preserve">El profesional (León)</t>
  </si>
  <si>
    <t xml:space="preserve">Luc Besson</t>
  </si>
  <si>
    <t xml:space="preserve">Un asesino profesional cuida de una niña huérfana, formando un vínculo inesperado y peligroso.</t>
  </si>
  <si>
    <t xml:space="preserve">tt0110413</t>
  </si>
  <si>
    <t xml:space="preserve">Arde Mississippi</t>
  </si>
  <si>
    <t xml:space="preserve">Tres agentes investigan el asesinato de activistas por los derechos civiles en el sur racista.</t>
  </si>
  <si>
    <t xml:space="preserve">tt0095647</t>
  </si>
  <si>
    <t xml:space="preserve">La rosa púrpura de El Cairo</t>
  </si>
  <si>
    <t xml:space="preserve">Una mujer atraviesa la pantalla de un cine para vivir un romance en el mundo real.</t>
  </si>
  <si>
    <t xml:space="preserve">tt0089853</t>
  </si>
  <si>
    <t xml:space="preserve">Drácula de Bram Stoker</t>
  </si>
  <si>
    <t xml:space="preserve">Francis Ford Coppola</t>
  </si>
  <si>
    <t xml:space="preserve">El mítico vampiro Drácula revive su pasión en una historia visualmente exuberante.</t>
  </si>
  <si>
    <t xml:space="preserve">tt0103874</t>
  </si>
  <si>
    <t xml:space="preserve">Mejor... imposible</t>
  </si>
  <si>
    <t xml:space="preserve">Prime, Tivify</t>
  </si>
  <si>
    <t xml:space="preserve">Un escritor obsesivo desarrolla sentimientos por una camarera en una historia tan tierna como.</t>
  </si>
  <si>
    <t xml:space="preserve">tt0119822</t>
  </si>
  <si>
    <t xml:space="preserve">Gato negro, gato blanco</t>
  </si>
  <si>
    <t xml:space="preserve">Serbia</t>
  </si>
  <si>
    <t xml:space="preserve">Dos familias gitanas viven una serie de enredos amorosos y conflictos caóticos.</t>
  </si>
  <si>
    <t xml:space="preserve">tt0118843</t>
  </si>
  <si>
    <t xml:space="preserve">Magnolia</t>
  </si>
  <si>
    <t xml:space="preserve">Prime, Movistar Plus+ Ficción Total , Tivify, HBO Max Amazon Channel</t>
  </si>
  <si>
    <t xml:space="preserve">Varias historias entrelazadas revelan adicciones, traumas y conexiones inesperadas en un día.</t>
  </si>
  <si>
    <t xml:space="preserve">Llevó el relato coral al exceso con una secuencia final inolvidable.</t>
  </si>
  <si>
    <t xml:space="preserve">tt0175880</t>
  </si>
  <si>
    <t xml:space="preserve">Los gritos del silencio</t>
  </si>
  <si>
    <t xml:space="preserve">Roland Joffé</t>
  </si>
  <si>
    <t xml:space="preserve">Un periodista cubre el conflicto camboyano mientras su traductor queda atrapado en el.</t>
  </si>
  <si>
    <t xml:space="preserve">tt0087553</t>
  </si>
  <si>
    <t xml:space="preserve">Maridos y mujeres</t>
  </si>
  <si>
    <t xml:space="preserve">Una pareja enfrenta el declive de su matrimonio en un relato nervioso y realista.</t>
  </si>
  <si>
    <t xml:space="preserve">tt0104466</t>
  </si>
  <si>
    <t xml:space="preserve">Lo que queda del día</t>
  </si>
  <si>
    <t xml:space="preserve">James Ivory</t>
  </si>
  <si>
    <t xml:space="preserve">Un mayordomo reflexiona sobre su vida de servicio y las oportunidades perdidas.</t>
  </si>
  <si>
    <t xml:space="preserve">tt0107943</t>
  </si>
  <si>
    <t xml:space="preserve">Martin (Hache)</t>
  </si>
  <si>
    <t xml:space="preserve">Movistar, FlixOlé, FlixOlé Amazon Channel</t>
  </si>
  <si>
    <t xml:space="preserve">Un joven regresa a Argentina para reconectar con su padre y su identidad rota.</t>
  </si>
  <si>
    <t xml:space="preserve">tt0119626</t>
  </si>
  <si>
    <t xml:space="preserve">Los puentes de Madison</t>
  </si>
  <si>
    <t xml:space="preserve">Una fotógrafa y un granjero viven un amor que marca sus vidas para siempre.</t>
  </si>
  <si>
    <t xml:space="preserve">tt0112579</t>
  </si>
  <si>
    <t xml:space="preserve">J.F.K.: Caso abierto</t>
  </si>
  <si>
    <t xml:space="preserve">La investigación del asesinato de Kennedy revela conspiraciones y secretos gubernamentales.</t>
  </si>
  <si>
    <t xml:space="preserve">tt0102138</t>
  </si>
  <si>
    <t xml:space="preserve">Terminator 2</t>
  </si>
  <si>
    <t xml:space="preserve">Un androide protector viaja en el tiempo para salvar al joven destinado a liderar la.</t>
  </si>
  <si>
    <t xml:space="preserve">tt0103064</t>
  </si>
  <si>
    <t xml:space="preserve">E.T.</t>
  </si>
  <si>
    <t xml:space="preserve">Prime, SkyShowtime</t>
  </si>
  <si>
    <t xml:space="preserve">Un niño solitario hace amistad con un extraterrestre perdido, cambiando la vida de ambos.</t>
  </si>
  <si>
    <t xml:space="preserve">tt0083866</t>
  </si>
  <si>
    <t xml:space="preserve">Balas sobre Broadway</t>
  </si>
  <si>
    <t xml:space="preserve">Acontra</t>
  </si>
  <si>
    <t xml:space="preserve">Un dramaturgo amateur se involucra con mafiosos al contratar a un matón como actor.</t>
  </si>
  <si>
    <t xml:space="preserve">tt0109348</t>
  </si>
  <si>
    <t xml:space="preserve">Rompiendo las olas</t>
  </si>
  <si>
    <t xml:space="preserve">Una mujer experimenta estallidos místicos mientras enfrenta abuso y sacrificio.</t>
  </si>
  <si>
    <t xml:space="preserve">tt0115751</t>
  </si>
  <si>
    <t xml:space="preserve">Misery</t>
  </si>
  <si>
    <t xml:space="preserve">Tivify, MGM Plus Amazon Channel</t>
  </si>
  <si>
    <t xml:space="preserve">Una escritora es atacada por un fan obsesionado y debe luchar para sobrevivir.</t>
  </si>
  <si>
    <t xml:space="preserve">tt0100157</t>
  </si>
  <si>
    <t xml:space="preserve">El señor de los anillos: La comunidad del anillo</t>
  </si>
  <si>
    <t xml:space="preserve">Nueva Zelanda, EE.UU.</t>
  </si>
  <si>
    <t xml:space="preserve">Un hobbit parte a destruir un anillo maligno.</t>
  </si>
  <si>
    <t xml:space="preserve">Demostró que la fantasía épica podía ser prestigio y taquilla a la vez; rodada como una sola producción.</t>
  </si>
  <si>
    <t xml:space="preserve">tt0120737</t>
  </si>
  <si>
    <t xml:space="preserve">Gladiator</t>
  </si>
  <si>
    <t xml:space="preserve">Prime, Movistar Plus+ Ficción Total , SkyShowtime, Tivify, rtve</t>
  </si>
  <si>
    <t xml:space="preserve">Un general esclavizado busca vengarse del emperador.</t>
  </si>
  <si>
    <t xml:space="preserve">tt0172495</t>
  </si>
  <si>
    <t xml:space="preserve">Kill Bill. Volumen 1</t>
  </si>
  <si>
    <t xml:space="preserve">Una asesina despierta del coma para vengarse de su banda.</t>
  </si>
  <si>
    <t xml:space="preserve">tt0266697</t>
  </si>
  <si>
    <t xml:space="preserve">El señor de los anillos: Las dos torres</t>
  </si>
  <si>
    <t xml:space="preserve">La comunidad dividida y la batalla del Abismo de Helm.</t>
  </si>
  <si>
    <t xml:space="preserve">Su Gollum estableció el estándar de la captura de movimiento.</t>
  </si>
  <si>
    <t xml:space="preserve">tt0167261</t>
  </si>
  <si>
    <t xml:space="preserve">Avatar</t>
  </si>
  <si>
    <t xml:space="preserve">Extraterrestres</t>
  </si>
  <si>
    <t xml:space="preserve">Un marine paralítico habita un cuerpo alienígena en Pandora.</t>
  </si>
  <si>
    <t xml:space="preserve">tt0499549</t>
  </si>
  <si>
    <t xml:space="preserve">Origen</t>
  </si>
  <si>
    <t xml:space="preserve">Ladrones que roban ideas entrando en los sueños.</t>
  </si>
  <si>
    <t xml:space="preserve">tt1375666</t>
  </si>
  <si>
    <t xml:space="preserve">Malditos bastardos</t>
  </si>
  <si>
    <t xml:space="preserve">Alemania, EE.UU.</t>
  </si>
  <si>
    <t xml:space="preserve">Un comando judío planea matar a Hitler en un cine.</t>
  </si>
  <si>
    <t xml:space="preserve">Reescribió la historia como venganza; consagró a Christoph Waltz.</t>
  </si>
  <si>
    <t xml:space="preserve">tt0361748</t>
  </si>
  <si>
    <t xml:space="preserve">Amélie</t>
  </si>
  <si>
    <t xml:space="preserve">Jean-Pierre Jeunet</t>
  </si>
  <si>
    <t xml:space="preserve">Francia, Alemania</t>
  </si>
  <si>
    <t xml:space="preserve">Una camarera parisina decide arreglar la vida de los demás.</t>
  </si>
  <si>
    <t xml:space="preserve">tt0211915</t>
  </si>
  <si>
    <t xml:space="preserve">Shrek</t>
  </si>
  <si>
    <t xml:space="preserve">Andrew Adamson, Vicky Jenson</t>
  </si>
  <si>
    <t xml:space="preserve">Sátira</t>
  </si>
  <si>
    <t xml:space="preserve">Netflix, Prime, Movistar, Movistar Plus+ Ficción Total , SkyShowtime</t>
  </si>
  <si>
    <t xml:space="preserve">Un ogro rescata a una princesa para recuperar su pantano.</t>
  </si>
  <si>
    <t xml:space="preserve">tt0126029</t>
  </si>
  <si>
    <t xml:space="preserve">El caballero oscuro</t>
  </si>
  <si>
    <t xml:space="preserve">Netflix, Prime, Movistar Plus+ Ficción Total , HBO Max, Tivify, HBO Max Amazon Channel</t>
  </si>
  <si>
    <t xml:space="preserve">Batman se enfrenta al Joker en un Gotham al límite.</t>
  </si>
  <si>
    <t xml:space="preserve">Elevó el cine de superhéroes al thriller adulto; Óscar póstumo a Ledger.</t>
  </si>
  <si>
    <t xml:space="preserve">tt0468569</t>
  </si>
  <si>
    <t xml:space="preserve">Piratas del Caribe: La maldición de la Perla Negra</t>
  </si>
  <si>
    <t xml:space="preserve">Gore Verbinski</t>
  </si>
  <si>
    <t xml:space="preserve">Un herrero se alía con un pirata contra una tripulación maldita.</t>
  </si>
  <si>
    <t xml:space="preserve">tt0325980</t>
  </si>
  <si>
    <t xml:space="preserve">Los otros</t>
  </si>
  <si>
    <t xml:space="preserve">España, EE.UU., Francia, Italia</t>
  </si>
  <si>
    <t xml:space="preserve">Netflix, Movistar Plus+ Ficción Total , FlixOlé, HBO Max, FlixOlé Amazon Channel, AMC Channels Amazon Channel, HBO Max Amazon Channel</t>
  </si>
  <si>
    <t xml:space="preserve">Una madre y sus hijos fotosensibles en un caserón encantado.</t>
  </si>
  <si>
    <t xml:space="preserve">tt0230600</t>
  </si>
  <si>
    <t xml:space="preserve">Memento</t>
  </si>
  <si>
    <t xml:space="preserve">Prime, Movistar Plus+ Ficción Total , Filmin, HBO Max, Tivify, HBO Max Amazon Channel</t>
  </si>
  <si>
    <t xml:space="preserve">Un hombre sin memoria reciente busca al asesino de su mujer.</t>
  </si>
  <si>
    <t xml:space="preserve">tt0209144</t>
  </si>
  <si>
    <t xml:space="preserve">Zack Snyder</t>
  </si>
  <si>
    <t xml:space="preserve">Trescientos espartanos frenan al ejército persa.</t>
  </si>
  <si>
    <t xml:space="preserve">tt0416449</t>
  </si>
  <si>
    <t xml:space="preserve">Monstruos, S.A.</t>
  </si>
  <si>
    <t xml:space="preserve">Pete Docter, Lee Unkrich, David Silverman</t>
  </si>
  <si>
    <t xml:space="preserve">Dos monstruos que asustan niños acogen a una niña.</t>
  </si>
  <si>
    <t xml:space="preserve">tt0198781</t>
  </si>
  <si>
    <t xml:space="preserve">Up</t>
  </si>
  <si>
    <t xml:space="preserve">Pete Docter, Bob Peterson</t>
  </si>
  <si>
    <t xml:space="preserve">Un viudo hace volar su casa con globos hasta Sudamérica.</t>
  </si>
  <si>
    <t xml:space="preserve">tt1049413</t>
  </si>
  <si>
    <t xml:space="preserve">Buscando a Nemo</t>
  </si>
  <si>
    <t xml:space="preserve">Andrew Stanton, Lee Unkrich</t>
  </si>
  <si>
    <t xml:space="preserve">Un pez payaso cruza el océano para hallar a su hijo.</t>
  </si>
  <si>
    <t xml:space="preserve">tt0266543</t>
  </si>
  <si>
    <t xml:space="preserve">Kill Bill. Volumen 2</t>
  </si>
  <si>
    <t xml:space="preserve">La Novia completa su venganza hasta llegar a Bill.</t>
  </si>
  <si>
    <t xml:space="preserve">tt0378194</t>
  </si>
  <si>
    <t xml:space="preserve">Mystic River</t>
  </si>
  <si>
    <t xml:space="preserve">Tres amigos de infancia reunidos por el asesinato de una hija.</t>
  </si>
  <si>
    <t xml:space="preserve">Devolvió el prestigio al drama criminal adulto; dos Óscars de interpretación.</t>
  </si>
  <si>
    <t xml:space="preserve">tt0327056</t>
  </si>
  <si>
    <t xml:space="preserve">Infiltrados</t>
  </si>
  <si>
    <t xml:space="preserve">Hong Kong, EE.UU.</t>
  </si>
  <si>
    <t xml:space="preserve">Un policía infiltrado en la mafia y un mafioso en la policía.</t>
  </si>
  <si>
    <t xml:space="preserve">tt0407887</t>
  </si>
  <si>
    <t xml:space="preserve">Snatch. Cerdos y diamantes</t>
  </si>
  <si>
    <t xml:space="preserve">Un diamante robado pasa por manos de gánsteres y boxeadores.</t>
  </si>
  <si>
    <t xml:space="preserve">tt0208092</t>
  </si>
  <si>
    <t xml:space="preserve">Slumdog Millionaire</t>
  </si>
  <si>
    <t xml:space="preserve">Danny Boyle, Loveleen Tandan</t>
  </si>
  <si>
    <t xml:space="preserve">India, Reino Unido, EE.UU.</t>
  </si>
  <si>
    <t xml:space="preserve">Un chico de los suburbios triunfa en un concurso televisivo.</t>
  </si>
  <si>
    <t xml:space="preserve">tt1010048</t>
  </si>
  <si>
    <t xml:space="preserve">Big Fish</t>
  </si>
  <si>
    <t xml:space="preserve">Un hijo intenta separar la verdad de las fábulas de su padre.</t>
  </si>
  <si>
    <t xml:space="preserve">tt0319061</t>
  </si>
  <si>
    <t xml:space="preserve">V de Vendetta</t>
  </si>
  <si>
    <t xml:space="preserve">James McTeigue</t>
  </si>
  <si>
    <t xml:space="preserve">Alemania, Reino Unido, EE.UU.</t>
  </si>
  <si>
    <t xml:space="preserve">Un enmascarado combate una dictadura británica.</t>
  </si>
  <si>
    <t xml:space="preserve">tt0434409</t>
  </si>
  <si>
    <t xml:space="preserve">Shrek 2</t>
  </si>
  <si>
    <t xml:space="preserve">Andrew Adamson, Kelly Asbury, Conrad Vernon</t>
  </si>
  <si>
    <t xml:space="preserve">Shrek conoce a los suegros y desagrada al reino.</t>
  </si>
  <si>
    <t xml:space="preserve">tt0298148</t>
  </si>
  <si>
    <t xml:space="preserve">WALL•E</t>
  </si>
  <si>
    <t xml:space="preserve">Andrew Stanton</t>
  </si>
  <si>
    <t xml:space="preserve">Un robot basurero se enamora y salva a la humanidad.</t>
  </si>
  <si>
    <t xml:space="preserve">tt0910970</t>
  </si>
  <si>
    <t xml:space="preserve">Shutter Island</t>
  </si>
  <si>
    <t xml:space="preserve">Un agente investiga una desaparición en un psiquiátrico isla.</t>
  </si>
  <si>
    <t xml:space="preserve">tt1130884</t>
  </si>
  <si>
    <t xml:space="preserve">El curioso caso de Benjamin Button</t>
  </si>
  <si>
    <t xml:space="preserve">Un hombre nace anciano y rejuvenece con los años.</t>
  </si>
  <si>
    <t xml:space="preserve">tt0421715</t>
  </si>
  <si>
    <t xml:space="preserve">Match Point</t>
  </si>
  <si>
    <t xml:space="preserve">Irlanda, Luxemburgo, Rusia, Reino Unido, EE.UU.</t>
  </si>
  <si>
    <t xml:space="preserve">Prime, Acontra, Tivify, AMC Channels Amazon Channel, 3Cat</t>
  </si>
  <si>
    <t xml:space="preserve">Un profesor de tenis ambicioso comete un crimen.</t>
  </si>
  <si>
    <t xml:space="preserve">tt0416320</t>
  </si>
  <si>
    <t xml:space="preserve">Celda 211</t>
  </si>
  <si>
    <t xml:space="preserve">Daniel Monzón</t>
  </si>
  <si>
    <t xml:space="preserve">Francia, España</t>
  </si>
  <si>
    <t xml:space="preserve">Un funcionario novato queda atrapado en un motín carcelario.</t>
  </si>
  <si>
    <t xml:space="preserve">tt1242422</t>
  </si>
  <si>
    <t xml:space="preserve">La edad de hielo (Ice Age)</t>
  </si>
  <si>
    <t xml:space="preserve">Chris Wedge, Carlos Saldanha</t>
  </si>
  <si>
    <t xml:space="preserve">Un mamut, un perezoso y un tigre devuelven a un bebé humano.</t>
  </si>
  <si>
    <t xml:space="preserve">tt0268380</t>
  </si>
  <si>
    <t xml:space="preserve">El laberinto del fauno</t>
  </si>
  <si>
    <t xml:space="preserve">España, EE.UU., México</t>
  </si>
  <si>
    <t xml:space="preserve">Una niña en la posguerra española escapa a un mundo mágico.</t>
  </si>
  <si>
    <t xml:space="preserve">Fusionó cuento y posguerra española; ganó tres Óscars técnicos.</t>
  </si>
  <si>
    <t xml:space="preserve">tt0457430</t>
  </si>
  <si>
    <t xml:space="preserve">Django desencadenado</t>
  </si>
  <si>
    <t xml:space="preserve">Un esclavo liberado busca a su mujer con un cazarrecompensas.</t>
  </si>
  <si>
    <t xml:space="preserve">tt1853728</t>
  </si>
  <si>
    <t xml:space="preserve">Toy Story 3</t>
  </si>
  <si>
    <t xml:space="preserve">Lee Unkrich</t>
  </si>
  <si>
    <t xml:space="preserve">Secuestro</t>
  </si>
  <si>
    <t xml:space="preserve">Los juguetes acaban en una guardería cuando Andy va a la universidad.</t>
  </si>
  <si>
    <t xml:space="preserve">Primera secuela de animación nominada a mejor película.</t>
  </si>
  <si>
    <t xml:space="preserve">tt0435761</t>
  </si>
  <si>
    <t xml:space="preserve">El viaje de Chihiro</t>
  </si>
  <si>
    <t xml:space="preserve">Una niña trabaja en una casa de baños de espíritus.</t>
  </si>
  <si>
    <t xml:space="preserve">Primer (y durante años único) anime en ganar el Óscar de animación, consagró a Ghibli y a Miyazaki a escala.</t>
  </si>
  <si>
    <t xml:space="preserve">tt0245429</t>
  </si>
  <si>
    <t xml:space="preserve">No es país para viejos</t>
  </si>
  <si>
    <t xml:space="preserve">Joel Coen, Ethan Coen</t>
  </si>
  <si>
    <t xml:space="preserve">Un cazador huye con un maletín y un sicario implacable.</t>
  </si>
  <si>
    <t xml:space="preserve">Los Coen ganaron el Óscar con un thriller sin música ni catarsis.</t>
  </si>
  <si>
    <t xml:space="preserve">tt0477348</t>
  </si>
  <si>
    <t xml:space="preserve">Intocable</t>
  </si>
  <si>
    <t xml:space="preserve">Olivier Nakache, Eric Toledano</t>
  </si>
  <si>
    <t xml:space="preserve">Un tetrapléjico rico contrata a un cuidador de barrio.</t>
  </si>
  <si>
    <t xml:space="preserve">tt1675434</t>
  </si>
  <si>
    <t xml:space="preserve">Batman Begins</t>
  </si>
  <si>
    <t xml:space="preserve">El origen de Batman y su primer enemigo en Gotham.</t>
  </si>
  <si>
    <t xml:space="preserve">tt0372784</t>
  </si>
  <si>
    <t xml:space="preserve">Pequeña Miss Sunshine</t>
  </si>
  <si>
    <t xml:space="preserve">Jonathan Dayton, Valerie Faris</t>
  </si>
  <si>
    <t xml:space="preserve">Una familia disfuncional viaja a un concurso de belleza infantil.</t>
  </si>
  <si>
    <t xml:space="preserve">tt0449059</t>
  </si>
  <si>
    <t xml:space="preserve">Crash (Colisión)</t>
  </si>
  <si>
    <t xml:space="preserve">Paul Haggis</t>
  </si>
  <si>
    <t xml:space="preserve">Historias cruzadas sobre el racismo en Los Ángeles.</t>
  </si>
  <si>
    <t xml:space="preserve">tt0375679</t>
  </si>
  <si>
    <t xml:space="preserve">El caso Bourne</t>
  </si>
  <si>
    <t xml:space="preserve">Doug Liman</t>
  </si>
  <si>
    <t xml:space="preserve">Prime, Apple TV, Movistar, Movistar Plus+ Ficción Total , Apple TV Amazon Channel</t>
  </si>
  <si>
    <t xml:space="preserve">Un amnésico descubre que es un asesino entrenado.</t>
  </si>
  <si>
    <t xml:space="preserve">tt0258463</t>
  </si>
  <si>
    <t xml:space="preserve">Saw</t>
  </si>
  <si>
    <t xml:space="preserve">James Wan</t>
  </si>
  <si>
    <t xml:space="preserve">Dos hombres encadenados en un baño por un asesino que impone juegos.</t>
  </si>
  <si>
    <t xml:space="preserve">tt0387564</t>
  </si>
  <si>
    <t xml:space="preserve">¡Olvídate de mí!</t>
  </si>
  <si>
    <t xml:space="preserve">Michel Gondry</t>
  </si>
  <si>
    <t xml:space="preserve">Una pareja borra sus recuerdos y se reencuentra.</t>
  </si>
  <si>
    <t xml:space="preserve">Renovó la comedia romántica con estructura de memoria borrada.</t>
  </si>
  <si>
    <t xml:space="preserve">tt0338013</t>
  </si>
  <si>
    <t xml:space="preserve">El efecto mariposa</t>
  </si>
  <si>
    <t xml:space="preserve">Eric Bress, J. Mackye Gruber</t>
  </si>
  <si>
    <t xml:space="preserve">Canadá, EE.UU.</t>
  </si>
  <si>
    <t xml:space="preserve">Un joven viaja a su pasado y empeora el presente.</t>
  </si>
  <si>
    <t xml:space="preserve">tt0289879</t>
  </si>
  <si>
    <t xml:space="preserve">Interstellar</t>
  </si>
  <si>
    <t xml:space="preserve">Canadá, EE.UU., Reino Unido</t>
  </si>
  <si>
    <t xml:space="preserve">Un piloto cruza un agujero de gusano para salvar la Tierra.</t>
  </si>
  <si>
    <t xml:space="preserve">Su agujero negro se calculó con física real y generó un paper científico.</t>
  </si>
  <si>
    <t xml:space="preserve">tt0816692</t>
  </si>
  <si>
    <t xml:space="preserve">El lobo de Wall Street</t>
  </si>
  <si>
    <t xml:space="preserve">Ascenso y caída de un corredor de bolsa sin escrúpulos.</t>
  </si>
  <si>
    <t xml:space="preserve">Récord de palabrotas en el cine comercial; retrato del exceso financiero.</t>
  </si>
  <si>
    <t xml:space="preserve">tt0993846</t>
  </si>
  <si>
    <t xml:space="preserve">Star Wars. Episodio III: La venganza de los Sith</t>
  </si>
  <si>
    <t xml:space="preserve">George Lucas</t>
  </si>
  <si>
    <t xml:space="preserve">Anakin cae al lado oscuro y nace Darth Vader.</t>
  </si>
  <si>
    <t xml:space="preserve">tt0121766</t>
  </si>
  <si>
    <t xml:space="preserve">Lost in Translation</t>
  </si>
  <si>
    <t xml:space="preserve">Sofia Coppola</t>
  </si>
  <si>
    <t xml:space="preserve">Japón, EE.UU.</t>
  </si>
  <si>
    <t xml:space="preserve">Dos estadounidenses solos coinciden en un hotel de Tokio.</t>
  </si>
  <si>
    <t xml:space="preserve">Consagró a Sofia Coppola; Óscar al guion original.</t>
  </si>
  <si>
    <t xml:space="preserve">tt0335266</t>
  </si>
  <si>
    <t xml:space="preserve">Ratatouille</t>
  </si>
  <si>
    <t xml:space="preserve">Una rata con talento culinario cocina en un restaurante de París.</t>
  </si>
  <si>
    <t xml:space="preserve">Elevó el listón técnico de Pixar y su discurso sobre la crítica.</t>
  </si>
  <si>
    <t xml:space="preserve">tt0382932</t>
  </si>
  <si>
    <t xml:space="preserve">El caballero oscuro: La leyenda renace</t>
  </si>
  <si>
    <t xml:space="preserve">Netflix, Prime, Movistar Plus+ Ficción Total , HBO Max, HBO Max Amazon Channel</t>
  </si>
  <si>
    <t xml:space="preserve">Batman vuelve para enfrentarse a Bane.</t>
  </si>
  <si>
    <t xml:space="preserve">tt1345836</t>
  </si>
  <si>
    <t xml:space="preserve">La novia cadáver</t>
  </si>
  <si>
    <t xml:space="preserve">Tim Burton, Mike Johnson</t>
  </si>
  <si>
    <t xml:space="preserve">Un joven se casa por error con una muerta.</t>
  </si>
  <si>
    <t xml:space="preserve">tt0121164</t>
  </si>
  <si>
    <t xml:space="preserve">El ilusionista</t>
  </si>
  <si>
    <t xml:space="preserve">Neil Burger</t>
  </si>
  <si>
    <t xml:space="preserve">República Checa, EE.UU.</t>
  </si>
  <si>
    <t xml:space="preserve">Un mago vienés desafía al príncipe heredero por amor.</t>
  </si>
  <si>
    <t xml:space="preserve">tt0443543</t>
  </si>
  <si>
    <t xml:space="preserve">Los Increíbles</t>
  </si>
  <si>
    <t xml:space="preserve">Una familia de superhéroes retirados vuelve a la acción.</t>
  </si>
  <si>
    <t xml:space="preserve">tt0317705</t>
  </si>
  <si>
    <t xml:space="preserve">El truco final (El prestigio)</t>
  </si>
  <si>
    <t xml:space="preserve">Dos magos rivales llevan su duelo hasta el final.</t>
  </si>
  <si>
    <t xml:space="preserve">tt0482571</t>
  </si>
  <si>
    <t xml:space="preserve">Ocean's Eleven: Hagan juego</t>
  </si>
  <si>
    <t xml:space="preserve">Netflix, HBO Max, HBO Max Amazon Channel</t>
  </si>
  <si>
    <t xml:space="preserve">Once ladrones desvalijan tres casinos de Las Vegas a la vez.</t>
  </si>
  <si>
    <t xml:space="preserve">tt0240772</t>
  </si>
  <si>
    <t xml:space="preserve">Atrápame si puedes</t>
  </si>
  <si>
    <t xml:space="preserve">Un joven estafador huye de un agente del FBI.</t>
  </si>
  <si>
    <t xml:space="preserve">tt0264464</t>
  </si>
  <si>
    <t xml:space="preserve">Náufrago</t>
  </si>
  <si>
    <t xml:space="preserve">Un ejecutivo sobrevive años solo en una isla.</t>
  </si>
  <si>
    <t xml:space="preserve">tt0162222</t>
  </si>
  <si>
    <t xml:space="preserve">21 gramos</t>
  </si>
  <si>
    <t xml:space="preserve">Tres vidas se cruzan tras un atropello.</t>
  </si>
  <si>
    <t xml:space="preserve">tt0315733</t>
  </si>
  <si>
    <t xml:space="preserve">Drive</t>
  </si>
  <si>
    <t xml:space="preserve">Nicolas Winding Refn</t>
  </si>
  <si>
    <t xml:space="preserve">Un conductor silencioso se mete en un atraco que sale mal.</t>
  </si>
  <si>
    <t xml:space="preserve">Fijó la estética neo-ochentera y el synthwave en el cine de los diez.</t>
  </si>
  <si>
    <t xml:space="preserve">tt0780504</t>
  </si>
  <si>
    <t xml:space="preserve">El diario de Noa</t>
  </si>
  <si>
    <t xml:space="preserve">Nick Cassavetes</t>
  </si>
  <si>
    <t xml:space="preserve">Un anciano lee a su mujer enferma la historia de amor de ambos.</t>
  </si>
  <si>
    <t xml:space="preserve">tt0332280</t>
  </si>
  <si>
    <t xml:space="preserve">El Hobbit: Un viaje inesperado</t>
  </si>
  <si>
    <t xml:space="preserve">Prime, AMC Channels Amazon Channel</t>
  </si>
  <si>
    <t xml:space="preserve">Un hobbit acompaña a trece enanos a recuperar su montaña.</t>
  </si>
  <si>
    <t xml:space="preserve">tt0903624</t>
  </si>
  <si>
    <t xml:space="preserve">Del revés (Inside Out)</t>
  </si>
  <si>
    <t xml:space="preserve">Pete Docter, Ronaldo Del Carmen</t>
  </si>
  <si>
    <t xml:space="preserve">Las emociones de una niña gobiernan su cabeza.</t>
  </si>
  <si>
    <t xml:space="preserve">tt2096673</t>
  </si>
  <si>
    <t xml:space="preserve">Camino a la perdición</t>
  </si>
  <si>
    <t xml:space="preserve">Sam Mendes</t>
  </si>
  <si>
    <t xml:space="preserve">Un sicario huye con su hijo tras una traición.</t>
  </si>
  <si>
    <t xml:space="preserve">tt0257044</t>
  </si>
  <si>
    <t xml:space="preserve">La ola</t>
  </si>
  <si>
    <t xml:space="preserve">Dennis Gansel</t>
  </si>
  <si>
    <t xml:space="preserve">Un profesor monta un experimento autoritario con su clase.</t>
  </si>
  <si>
    <t xml:space="preserve">tt1063669</t>
  </si>
  <si>
    <t xml:space="preserve">En busca de la felicidad</t>
  </si>
  <si>
    <t xml:space="preserve">Gabriele Muccino</t>
  </si>
  <si>
    <t xml:space="preserve">Un padre sin techo lucha por un puesto de becario.</t>
  </si>
  <si>
    <t xml:space="preserve">tt0454921</t>
  </si>
  <si>
    <t xml:space="preserve">Enemigo a las puertas</t>
  </si>
  <si>
    <t xml:space="preserve">Irlanda, EE.UU., Alemania, Reino Unido</t>
  </si>
  <si>
    <t xml:space="preserve">Duelo de francotiradores en la batalla de Stalingrado.</t>
  </si>
  <si>
    <t xml:space="preserve">tt0215750</t>
  </si>
  <si>
    <t xml:space="preserve">Donnie Darko</t>
  </si>
  <si>
    <t xml:space="preserve">Richard Kelly</t>
  </si>
  <si>
    <t xml:space="preserve">Prime, Movistar Plus+ Ficción Total , Filmin, HBO Max, Acontra, HBO Max Amazon Channel</t>
  </si>
  <si>
    <t xml:space="preserve">Un adolescente ve un conejo gigante que anuncia el fin.</t>
  </si>
  <si>
    <t xml:space="preserve">Fracasó en salas y se convirtió en película de culto vía DVD.</t>
  </si>
  <si>
    <t xml:space="preserve">tt0246578</t>
  </si>
  <si>
    <t xml:space="preserve">El ultimátum de Bourne</t>
  </si>
  <si>
    <t xml:space="preserve">Paul Greengrass</t>
  </si>
  <si>
    <t xml:space="preserve">Bourne busca la verdad sobre su identidad.</t>
  </si>
  <si>
    <t xml:space="preserve">tt0440963</t>
  </si>
  <si>
    <t xml:space="preserve">Midnight in Paris</t>
  </si>
  <si>
    <t xml:space="preserve">España, EE.UU.</t>
  </si>
  <si>
    <t xml:space="preserve">Viajes en el tiempo</t>
  </si>
  <si>
    <t xml:space="preserve">Un escritor viaja cada noche al París de los años veinte.</t>
  </si>
  <si>
    <t xml:space="preserve">tt1605783</t>
  </si>
  <si>
    <t xml:space="preserve">Her</t>
  </si>
  <si>
    <t xml:space="preserve">Spike Jonze</t>
  </si>
  <si>
    <t xml:space="preserve">China, EE.UU.</t>
  </si>
  <si>
    <t xml:space="preserve">Un hombre solitario se enamora de un sistema operativo.</t>
  </si>
  <si>
    <t xml:space="preserve">tt1798709</t>
  </si>
  <si>
    <t xml:space="preserve">Argo</t>
  </si>
  <si>
    <t xml:space="preserve">Ben Affleck</t>
  </si>
  <si>
    <t xml:space="preserve">La CIA rescata a unos rehenes en Irán fingiendo un rodaje.</t>
  </si>
  <si>
    <t xml:space="preserve">tt1024648</t>
  </si>
  <si>
    <t xml:space="preserve">American Gangster</t>
  </si>
  <si>
    <t xml:space="preserve">Un narco de Harlem y el policía que lo persigue.</t>
  </si>
  <si>
    <t xml:space="preserve">tt0765429</t>
  </si>
  <si>
    <t xml:space="preserve">Diamante de sangre</t>
  </si>
  <si>
    <t xml:space="preserve">Un mercenario y un pescador buscan un diamante en Sierra Leona.</t>
  </si>
  <si>
    <t xml:space="preserve">tt0450259</t>
  </si>
  <si>
    <t xml:space="preserve">Birdman o (La inesperada virtud de la ignorancia)</t>
  </si>
  <si>
    <t xml:space="preserve">Disney+, Rakuten</t>
  </si>
  <si>
    <t xml:space="preserve">Un actor venido a menos monta una obra en Broadway.</t>
  </si>
  <si>
    <t xml:space="preserve">tt2562232</t>
  </si>
  <si>
    <t xml:space="preserve">Joker</t>
  </si>
  <si>
    <t xml:space="preserve">Todd Phillips</t>
  </si>
  <si>
    <t xml:space="preserve">Netflix, Movistar, Movistar Plus+ Ficción Total , HBO Max, HBO Max Amazon Channel</t>
  </si>
  <si>
    <t xml:space="preserve">Un cómico fracasado se convierte en símbolo del caos.</t>
  </si>
  <si>
    <t xml:space="preserve">tt7286456</t>
  </si>
  <si>
    <t xml:space="preserve">El Gran Hotel Budapest</t>
  </si>
  <si>
    <t xml:space="preserve">Disney+, Movistar, Movistar Plus+ Ficción Total , rtve, Tivify</t>
  </si>
  <si>
    <t xml:space="preserve">Un conserje y su botones tras un cuadro robado.</t>
  </si>
  <si>
    <t xml:space="preserve">tt2278388</t>
  </si>
  <si>
    <t xml:space="preserve">El renacido</t>
  </si>
  <si>
    <t xml:space="preserve">Canadá, Hong Kong, Taiwán, EE.UU.</t>
  </si>
  <si>
    <t xml:space="preserve">Un trampero herido cruza el invierno buscando venganza.</t>
  </si>
  <si>
    <t xml:space="preserve">tt1663202</t>
  </si>
  <si>
    <t xml:space="preserve">Old Boy</t>
  </si>
  <si>
    <t xml:space="preserve">Park Chan-wook</t>
  </si>
  <si>
    <t xml:space="preserve">Movistar, Movistar Plus+ Ficción Total , Acontra, Acontra Plus Amazon Channel, Tivify</t>
  </si>
  <si>
    <t xml:space="preserve">Un hombre encerrado quince años busca a quien lo secuestró.</t>
  </si>
  <si>
    <t xml:space="preserve">Su plano-secuencia del pasillo es de los más imitados del siglo.</t>
  </si>
  <si>
    <t xml:space="preserve">tt0364569</t>
  </si>
  <si>
    <t xml:space="preserve">La isla mínima</t>
  </si>
  <si>
    <t xml:space="preserve">Alberto Rodríguez</t>
  </si>
  <si>
    <t xml:space="preserve">Prime, Movistar, HBO Max, HBO Max Amazon Channel</t>
  </si>
  <si>
    <t xml:space="preserve">Dos policías investigan crímenes en las marismas del Guadalquivir.</t>
  </si>
  <si>
    <t xml:space="preserve">tt3253930</t>
  </si>
  <si>
    <t xml:space="preserve">Volver</t>
  </si>
  <si>
    <t xml:space="preserve">Tres generaciones de mujeres manchegas y un fantasma.</t>
  </si>
  <si>
    <t xml:space="preserve">tt0441909</t>
  </si>
  <si>
    <t xml:space="preserve">Apocalypto</t>
  </si>
  <si>
    <t xml:space="preserve">Un joven maya huye para no ser sacrificado.</t>
  </si>
  <si>
    <t xml:space="preserve">tt0472043</t>
  </si>
  <si>
    <t xml:space="preserve">Hijos de los hombres</t>
  </si>
  <si>
    <t xml:space="preserve">Alfonso Cuarón</t>
  </si>
  <si>
    <t xml:space="preserve">La humanidad es estéril y una mujer queda embarazada.</t>
  </si>
  <si>
    <t xml:space="preserve">Sus planos-secuencia de acción cambiaron el estándar del género.</t>
  </si>
  <si>
    <t xml:space="preserve">tt0206634</t>
  </si>
  <si>
    <t xml:space="preserve">Mad Max: Furia en la carretera</t>
  </si>
  <si>
    <t xml:space="preserve">George Miller</t>
  </si>
  <si>
    <t xml:space="preserve">Australia, EE.UU.</t>
  </si>
  <si>
    <t xml:space="preserve">Huida a través del desierto perseguidos por un tirano.</t>
  </si>
  <si>
    <t xml:space="preserve">Miller reivindicó la acción práctica frente al CGI, con un montaje y un diseño de producción que rehicieron.</t>
  </si>
  <si>
    <t xml:space="preserve">tt1392190</t>
  </si>
  <si>
    <t xml:space="preserve">Relatos salvajes</t>
  </si>
  <si>
    <t xml:space="preserve">Damián Szifrón</t>
  </si>
  <si>
    <t xml:space="preserve">Argentina, España</t>
  </si>
  <si>
    <t xml:space="preserve">Seis historias sobre gente que pierde los papeles.</t>
  </si>
  <si>
    <t xml:space="preserve">tt3011894</t>
  </si>
  <si>
    <t xml:space="preserve">La llegada</t>
  </si>
  <si>
    <t xml:space="preserve">Una lingüista intenta comunicarse con naves extraterrestres.</t>
  </si>
  <si>
    <t xml:space="preserve">Ciencia ficción sobre el lenguaje con estructura temporal circular.</t>
  </si>
  <si>
    <t xml:space="preserve">tt2543164</t>
  </si>
  <si>
    <t xml:space="preserve">La vida de Pi</t>
  </si>
  <si>
    <t xml:space="preserve">EE.UU., Taiwán, Reino Unido</t>
  </si>
  <si>
    <t xml:space="preserve">Un náufrago comparte bote salvavidas con un tigre.</t>
  </si>
  <si>
    <t xml:space="preserve">tt0454876</t>
  </si>
  <si>
    <t xml:space="preserve">El mito de Bourne</t>
  </si>
  <si>
    <t xml:space="preserve">Bourne vuelve a ser perseguido tras una muerte.</t>
  </si>
  <si>
    <t xml:space="preserve">tt0372183</t>
  </si>
  <si>
    <t xml:space="preserve">Harry Potter y las reliquias de la muerte - Parte 2</t>
  </si>
  <si>
    <t xml:space="preserve">David Yates</t>
  </si>
  <si>
    <t xml:space="preserve">La batalla final de Hogwarts contra Voldemort.</t>
  </si>
  <si>
    <t xml:space="preserve">tt1201607</t>
  </si>
  <si>
    <t xml:space="preserve">Whiplash</t>
  </si>
  <si>
    <t xml:space="preserve">Damien Chazelle</t>
  </si>
  <si>
    <t xml:space="preserve">Un batería aspirante y un profesor que lo tortura.</t>
  </si>
  <si>
    <t xml:space="preserve">tt2582802</t>
  </si>
  <si>
    <t xml:space="preserve">Parásitos</t>
  </si>
  <si>
    <t xml:space="preserve">Una familia pobre se infiltra en una casa rica.</t>
  </si>
  <si>
    <t xml:space="preserve">Primera película de habla no inglesa en ganar el Óscar a mejor película.</t>
  </si>
  <si>
    <t xml:space="preserve">tt6751668</t>
  </si>
  <si>
    <t xml:space="preserve">Marte (The Martian)</t>
  </si>
  <si>
    <t xml:space="preserve">Un astronauta abandonado sobrevive solo en Marte.</t>
  </si>
  <si>
    <t xml:space="preserve">tt3659388</t>
  </si>
  <si>
    <t xml:space="preserve">Invictus</t>
  </si>
  <si>
    <t xml:space="preserve">Mandela usa el Mundial de rugby para unir Sudáfrica.</t>
  </si>
  <si>
    <t xml:space="preserve">tt1057500</t>
  </si>
  <si>
    <t xml:space="preserve">El intercambio</t>
  </si>
  <si>
    <t xml:space="preserve">Una madre denuncia que el niño que le devuelven no es su hijo.</t>
  </si>
  <si>
    <t xml:space="preserve">tt0824747</t>
  </si>
  <si>
    <t xml:space="preserve">Training Day (Día de entrenamiento)</t>
  </si>
  <si>
    <t xml:space="preserve">Antoine Fuqua</t>
  </si>
  <si>
    <t xml:space="preserve">Netflix, Prime, atresplayer, Tivify</t>
  </si>
  <si>
    <t xml:space="preserve">Un novato pasa un día con un policía corrupto.</t>
  </si>
  <si>
    <t xml:space="preserve">tt0139654</t>
  </si>
  <si>
    <t xml:space="preserve">Los odiosos ocho</t>
  </si>
  <si>
    <t xml:space="preserve">Ocho desconocidos atrapados por una ventisca en una mercería.</t>
  </si>
  <si>
    <t xml:space="preserve">Rodada en Ultra Panavision 70, formato que nadie usaba desde los sesenta.</t>
  </si>
  <si>
    <t xml:space="preserve">tt3460252</t>
  </si>
  <si>
    <t xml:space="preserve">Prisioneros</t>
  </si>
  <si>
    <t xml:space="preserve">Un padre secuestra al sospechoso de raptar a su hija.</t>
  </si>
  <si>
    <t xml:space="preserve">tt1392214</t>
  </si>
  <si>
    <t xml:space="preserve">12 años de esclavitud</t>
  </si>
  <si>
    <t xml:space="preserve">Steve McQueen</t>
  </si>
  <si>
    <t xml:space="preserve">Netflix, Prime, Movistar, Movistar Plus+ Ficción Total , Tivify</t>
  </si>
  <si>
    <t xml:space="preserve">Un hombre libre es secuestrado y vendido como esclavo.</t>
  </si>
  <si>
    <t xml:space="preserve">tt2024544</t>
  </si>
  <si>
    <t xml:space="preserve">El hundimiento</t>
  </si>
  <si>
    <t xml:space="preserve">Oliver Hirschbiegel</t>
  </si>
  <si>
    <t xml:space="preserve">Austria, Alemania, Italia</t>
  </si>
  <si>
    <t xml:space="preserve">Los últimos días de Hitler en el búnker.</t>
  </si>
  <si>
    <t xml:space="preserve">tt0363163</t>
  </si>
  <si>
    <t xml:space="preserve">Siete almas</t>
  </si>
  <si>
    <t xml:space="preserve">Un hombre atormentado intenta salvar a siete desconocidos.</t>
  </si>
  <si>
    <t xml:space="preserve">tt0814314</t>
  </si>
  <si>
    <t xml:space="preserve">El castillo ambulante</t>
  </si>
  <si>
    <t xml:space="preserve">Una joven hechizada se refugia en el castillo de un mago.</t>
  </si>
  <si>
    <t xml:space="preserve">tt0347149</t>
  </si>
  <si>
    <t xml:space="preserve">La ciudad de las estrellas (La La Land)</t>
  </si>
  <si>
    <t xml:space="preserve">Una actriz y un pianista de jazz entre el amor y la ambición.</t>
  </si>
  <si>
    <t xml:space="preserve">tt3783958</t>
  </si>
  <si>
    <t xml:space="preserve">Déjame entrar</t>
  </si>
  <si>
    <t xml:space="preserve">Tomas Alfredson</t>
  </si>
  <si>
    <t xml:space="preserve">Un niño acosado se hace amigo de una vampira.</t>
  </si>
  <si>
    <t xml:space="preserve">Renovó el vampirismo desde la infancia y el frío nórdico.</t>
  </si>
  <si>
    <t xml:space="preserve">tt1139797</t>
  </si>
  <si>
    <t xml:space="preserve">Master and Commander: Al otro lado del mundo</t>
  </si>
  <si>
    <t xml:space="preserve">Un capitán británico persigue a un barco francés hasta Galápagos.</t>
  </si>
  <si>
    <t xml:space="preserve">Reconstrucción naval de época que ganó dos Óscars técnicos.</t>
  </si>
  <si>
    <t xml:space="preserve">The Imitation Game (Descifrando Enigma)</t>
  </si>
  <si>
    <t xml:space="preserve">Morten Tyldum</t>
  </si>
  <si>
    <t xml:space="preserve">Turing descifra el código nazi y es perseguido por ser gay.</t>
  </si>
  <si>
    <t xml:space="preserve">tt2084970</t>
  </si>
  <si>
    <t xml:space="preserve">Promesas del este</t>
  </si>
  <si>
    <t xml:space="preserve">Reino Unido, EE.UU., Canadá</t>
  </si>
  <si>
    <t xml:space="preserve">Una comadrona se cruza con la mafia rusa en Londres.</t>
  </si>
  <si>
    <t xml:space="preserve">tt0765443</t>
  </si>
  <si>
    <t xml:space="preserve">El caso Slevin</t>
  </si>
  <si>
    <t xml:space="preserve">Paul McGuigan</t>
  </si>
  <si>
    <t xml:space="preserve">Prime, Acontra, Acontra Plus Amazon Channel, Tivify</t>
  </si>
  <si>
    <t xml:space="preserve">Un joven confundido con otro queda entre dos capos.</t>
  </si>
  <si>
    <t xml:space="preserve">tt0425210</t>
  </si>
  <si>
    <t xml:space="preserve">Érase una vez en... Hollywood</t>
  </si>
  <si>
    <t xml:space="preserve">China, Reino Unido, EE.UU.</t>
  </si>
  <si>
    <t xml:space="preserve">Un actor en declive y su doble en el Hollywood de 1969.</t>
  </si>
  <si>
    <t xml:space="preserve">Reconstruyó el Hollywood de 1969 y reescribió el crimen de Manson.</t>
  </si>
  <si>
    <t xml:space="preserve">tt7131622</t>
  </si>
  <si>
    <t xml:space="preserve">Dallas Buyers Club</t>
  </si>
  <si>
    <t xml:space="preserve">Un enfermo importa fármacos ilegales para otros pacientes.</t>
  </si>
  <si>
    <t xml:space="preserve">tt0790636</t>
  </si>
  <si>
    <t xml:space="preserve">Dunkerque</t>
  </si>
  <si>
    <t xml:space="preserve">Países Bajos, Francia, Reino Unido, EE.UU.</t>
  </si>
  <si>
    <t xml:space="preserve">Netflix, Prime, Movistar, Movistar Plus+ Ficción Total , HBO Max, HBO Max Amazon Channel</t>
  </si>
  <si>
    <t xml:space="preserve">La evacuación de Dunkerque contada en tierra, mar y aire.</t>
  </si>
  <si>
    <t xml:space="preserve">Tres líneas temporales de distinta duración montadas en paralelo.</t>
  </si>
  <si>
    <t xml:space="preserve">tt5013056</t>
  </si>
  <si>
    <t xml:space="preserve">El señor de la guerra</t>
  </si>
  <si>
    <t xml:space="preserve">Andrew Niccol</t>
  </si>
  <si>
    <t xml:space="preserve">Francia, EE.UU., Alemania</t>
  </si>
  <si>
    <t xml:space="preserve">La carrera de un traficante de armas internacional.</t>
  </si>
  <si>
    <t xml:space="preserve">tt0399295</t>
  </si>
  <si>
    <t xml:space="preserve">Múnich</t>
  </si>
  <si>
    <t xml:space="preserve">Canadá, EE.UU., Francia</t>
  </si>
  <si>
    <t xml:space="preserve">Un comando israelí caza a los responsables del atentado de 1972.</t>
  </si>
  <si>
    <t xml:space="preserve">tt0408306</t>
  </si>
  <si>
    <t xml:space="preserve">Valor de ley</t>
  </si>
  <si>
    <t xml:space="preserve">Una adolescente contrata a un alguacil para vengar a su padre.</t>
  </si>
  <si>
    <t xml:space="preserve">tt1403865</t>
  </si>
  <si>
    <t xml:space="preserve">El maquinista</t>
  </si>
  <si>
    <t xml:space="preserve">Brad Anderson</t>
  </si>
  <si>
    <t xml:space="preserve">EE.UU., España</t>
  </si>
  <si>
    <t xml:space="preserve">Un obrero que no duerme desde hace un año pierde la cordura.</t>
  </si>
  <si>
    <t xml:space="preserve">tt0361862</t>
  </si>
  <si>
    <t xml:space="preserve">RocknRolla</t>
  </si>
  <si>
    <t xml:space="preserve">Gánsteres londinenses se pelean por un cuadro y un negocio.</t>
  </si>
  <si>
    <t xml:space="preserve">tt1032755</t>
  </si>
  <si>
    <t xml:space="preserve">Ex Machina</t>
  </si>
  <si>
    <t xml:space="preserve">Alex Garland</t>
  </si>
  <si>
    <t xml:space="preserve">Un programador evalúa si una androide tiene conciencia.</t>
  </si>
  <si>
    <t xml:space="preserve">tt0470752</t>
  </si>
  <si>
    <t xml:space="preserve">Tres anuncios en las afueras</t>
  </si>
  <si>
    <t xml:space="preserve">Disney+, Movistar, Movistar Plus+ Ficción Total </t>
  </si>
  <si>
    <t xml:space="preserve">Una madre presiona a la policía por el crimen de su hija.</t>
  </si>
  <si>
    <t xml:space="preserve">tt5027774</t>
  </si>
  <si>
    <t xml:space="preserve">Green Book</t>
  </si>
  <si>
    <t xml:space="preserve">Peter Farrelly</t>
  </si>
  <si>
    <t xml:space="preserve">Un chófer italoamericano acompaña a un pianista negro por el sur.</t>
  </si>
  <si>
    <t xml:space="preserve">tt6966692</t>
  </si>
  <si>
    <t xml:space="preserve">Moon</t>
  </si>
  <si>
    <t xml:space="preserve">Duncan Jones</t>
  </si>
  <si>
    <t xml:space="preserve">Un operario lunar solitario descubre algo sobre sí mismo.</t>
  </si>
  <si>
    <t xml:space="preserve">tt1182345</t>
  </si>
  <si>
    <t xml:space="preserve">India, España, Reino Unido, EE.UU.</t>
  </si>
  <si>
    <t xml:space="preserve">Dos soldados cruzan el frente para entregar una orden.</t>
  </si>
  <si>
    <t xml:space="preserve">tt8579674</t>
  </si>
  <si>
    <t xml:space="preserve">Cartas desde Iwo Jima</t>
  </si>
  <si>
    <t xml:space="preserve">La batalla de Iwo Jima desde el bando japonés.</t>
  </si>
  <si>
    <t xml:space="preserve">tt0498380</t>
  </si>
  <si>
    <t xml:space="preserve">Diarios de motocicleta</t>
  </si>
  <si>
    <t xml:space="preserve">Brasil, Argentina, Chile, Francia, Alemania, Perú, Reino Unido, EE.UU.</t>
  </si>
  <si>
    <t xml:space="preserve">El joven Che Guevara recorre Sudamérica en moto.</t>
  </si>
  <si>
    <t xml:space="preserve">tt0318462</t>
  </si>
  <si>
    <t xml:space="preserve">Bohemian Rhapsody</t>
  </si>
  <si>
    <t xml:space="preserve">Bryan Singer</t>
  </si>
  <si>
    <t xml:space="preserve">La vida de Freddie Mercury y el ascenso de Queen.</t>
  </si>
  <si>
    <t xml:space="preserve">tt1727824</t>
  </si>
  <si>
    <t xml:space="preserve">Los mundos de Coraline</t>
  </si>
  <si>
    <t xml:space="preserve">Una niña descubre una versión siniestra de su casa.</t>
  </si>
  <si>
    <t xml:space="preserve">tt0327597</t>
  </si>
  <si>
    <t xml:space="preserve">Dune</t>
  </si>
  <si>
    <t xml:space="preserve">Un heredero noble en un planeta desértico y su especia.</t>
  </si>
  <si>
    <t xml:space="preserve">Logró adaptar con éxito la novela que derrotó a Jodorowsky y a Lynch.</t>
  </si>
  <si>
    <t xml:space="preserve">tt1160419</t>
  </si>
  <si>
    <t xml:space="preserve">Un ciudadano ejemplar</t>
  </si>
  <si>
    <t xml:space="preserve">Un hombre se venga del sistema judicial que falló a su familia.</t>
  </si>
  <si>
    <t xml:space="preserve">tt1197624</t>
  </si>
  <si>
    <t xml:space="preserve">Cómo entrenar a tu dragón</t>
  </si>
  <si>
    <t xml:space="preserve">Dean DeBlois, Chris Sanders</t>
  </si>
  <si>
    <t xml:space="preserve">Prime, Movistar, Movistar Plus+ Ficción Total , SkyShowtime</t>
  </si>
  <si>
    <t xml:space="preserve">Un joven vikingo se hace amigo de un dragón.</t>
  </si>
  <si>
    <t xml:space="preserve">tt0892769</t>
  </si>
  <si>
    <t xml:space="preserve">Spotlight</t>
  </si>
  <si>
    <t xml:space="preserve">Tom McCarthy</t>
  </si>
  <si>
    <t xml:space="preserve">Periodistas destapan los abusos encubiertos por la Iglesia.</t>
  </si>
  <si>
    <t xml:space="preserve">tt1895587</t>
  </si>
  <si>
    <t xml:space="preserve">Blade Runner 2049</t>
  </si>
  <si>
    <t xml:space="preserve">Canadá, Hungría, México, España, Reino Unido, EE.UU.</t>
  </si>
  <si>
    <t xml:space="preserve">Un replicante descubre un secreto que amenaza el orden.</t>
  </si>
  <si>
    <t xml:space="preserve">tt1856101</t>
  </si>
  <si>
    <t xml:space="preserve">La teoría del todo</t>
  </si>
  <si>
    <t xml:space="preserve">James Marsh</t>
  </si>
  <si>
    <t xml:space="preserve">Movistar Plus+ Ficción Total , SkyShowtime, Tivify</t>
  </si>
  <si>
    <t xml:space="preserve">La vida de Stephen Hawking y su matrimonio.</t>
  </si>
  <si>
    <t xml:space="preserve">tt2980516</t>
  </si>
  <si>
    <t xml:space="preserve">Captain Fantastic</t>
  </si>
  <si>
    <t xml:space="preserve">Matt Ross</t>
  </si>
  <si>
    <t xml:space="preserve">Un padre cría a sus hijos aislados en el bosque.</t>
  </si>
  <si>
    <t xml:space="preserve">tt3553976</t>
  </si>
  <si>
    <t xml:space="preserve">Capitán Phillips</t>
  </si>
  <si>
    <t xml:space="preserve">Piratas somalíes secuestran un carguero estadounidense.</t>
  </si>
  <si>
    <t xml:space="preserve">tt1535109</t>
  </si>
  <si>
    <t xml:space="preserve">La vida de David Gale</t>
  </si>
  <si>
    <t xml:space="preserve">Un activista contra la pena de muerte espera su ejecución.</t>
  </si>
  <si>
    <t xml:space="preserve">tt0289992</t>
  </si>
  <si>
    <t xml:space="preserve">Oppenheimer</t>
  </si>
  <si>
    <t xml:space="preserve">El físico que dirigió la creación de la bomba atómica.</t>
  </si>
  <si>
    <t xml:space="preserve">tt15398776</t>
  </si>
  <si>
    <t xml:space="preserve">Vengadores: Infinity War</t>
  </si>
  <si>
    <t xml:space="preserve">Anthony Russo, Joe Russo</t>
  </si>
  <si>
    <t xml:space="preserve">Los héroes intentan frenar a Thanos y las gemas.</t>
  </si>
  <si>
    <t xml:space="preserve">Culminó diez años de universo compartido con un final abierto inédito.</t>
  </si>
  <si>
    <t xml:space="preserve">tt4154756</t>
  </si>
  <si>
    <t xml:space="preserve">Pozos de ambición</t>
  </si>
  <si>
    <t xml:space="preserve">Un buscador de petróleo destruye todo lo que toca.</t>
  </si>
  <si>
    <t xml:space="preserve">Anderson y Day-Lewis construyeron un retrato del capitalismo petrolero como enfermedad, con la partitura.</t>
  </si>
  <si>
    <t xml:space="preserve">tt0469494</t>
  </si>
  <si>
    <t xml:space="preserve">El fuego de la venganza</t>
  </si>
  <si>
    <t xml:space="preserve">Disney+, atresplayer, AMC Channels Amazon Channel</t>
  </si>
  <si>
    <t xml:space="preserve">Un guardaespaldas busca a la niña que le secuestraron.</t>
  </si>
  <si>
    <t xml:space="preserve">tt0328107</t>
  </si>
  <si>
    <t xml:space="preserve">Nightcrawler</t>
  </si>
  <si>
    <t xml:space="preserve">Dan Gilroy</t>
  </si>
  <si>
    <t xml:space="preserve">Un cámara autónomo persigue sucesos cada vez más turbios.</t>
  </si>
  <si>
    <t xml:space="preserve">Retrató la ética del periodismo de sucesos desde el sociópata.</t>
  </si>
  <si>
    <t xml:space="preserve">tt2872718</t>
  </si>
  <si>
    <t xml:space="preserve">El bola</t>
  </si>
  <si>
    <t xml:space="preserve">Achero Mañas</t>
  </si>
  <si>
    <t xml:space="preserve">Un niño maltratado encuentra apoyo en un compañero nuevo.</t>
  </si>
  <si>
    <t xml:space="preserve">tt0243794</t>
  </si>
  <si>
    <t xml:space="preserve">Adaptation. El ladrón de orquídeas</t>
  </si>
  <si>
    <t xml:space="preserve">Runtime</t>
  </si>
  <si>
    <t xml:space="preserve">Un guionista bloqueado se mete en su propio guion.</t>
  </si>
  <si>
    <t xml:space="preserve">tt0268126</t>
  </si>
  <si>
    <t xml:space="preserve">La caza</t>
  </si>
  <si>
    <t xml:space="preserve">Dinamarca, Suecia</t>
  </si>
  <si>
    <t xml:space="preserve">Un maestro es acusado en falso de abusar de una niña.</t>
  </si>
  <si>
    <t xml:space="preserve">tt2106476</t>
  </si>
  <si>
    <t xml:space="preserve">Vengadores: Endgame</t>
  </si>
  <si>
    <t xml:space="preserve">Los supervivientes intentan revertir el chasquido de Thanos.</t>
  </si>
  <si>
    <t xml:space="preserve">tt4154796</t>
  </si>
  <si>
    <t xml:space="preserve">La casa de las dagas voladoras</t>
  </si>
  <si>
    <t xml:space="preserve">China, Hong Kong</t>
  </si>
  <si>
    <t xml:space="preserve">Un policía y una bailarina ciega en la China imperial.</t>
  </si>
  <si>
    <t xml:space="preserve">tt0385004</t>
  </si>
  <si>
    <t xml:space="preserve">Animales nocturnos</t>
  </si>
  <si>
    <t xml:space="preserve">Tom Ford</t>
  </si>
  <si>
    <t xml:space="preserve">Una galerista lee la novela vengativa de su ex.</t>
  </si>
  <si>
    <t xml:space="preserve">tt4550098</t>
  </si>
  <si>
    <t xml:space="preserve">La vida de Adèle</t>
  </si>
  <si>
    <t xml:space="preserve">Abdellatif Kechiche</t>
  </si>
  <si>
    <t xml:space="preserve">Francia, Bélgica</t>
  </si>
  <si>
    <t xml:space="preserve">Filmin, MUBI</t>
  </si>
  <si>
    <t xml:space="preserve">Una adolescente descubre el deseo con una artista de pelo azul.</t>
  </si>
  <si>
    <t xml:space="preserve">Palma de Oro concedida también a las actrices, caso único.</t>
  </si>
  <si>
    <t xml:space="preserve">tt2278871</t>
  </si>
  <si>
    <t xml:space="preserve">Moonrise Kingdom</t>
  </si>
  <si>
    <t xml:space="preserve">Dos niños se fugan juntos de una isla de Nueva Inglaterra.</t>
  </si>
  <si>
    <t xml:space="preserve">tt1748122</t>
  </si>
  <si>
    <t xml:space="preserve">El irlandés</t>
  </si>
  <si>
    <t xml:space="preserve">Un sicario recuerda su relación con Jimmy Hoffa.</t>
  </si>
  <si>
    <t xml:space="preserve">tt1302006</t>
  </si>
  <si>
    <t xml:space="preserve">La gran belleza</t>
  </si>
  <si>
    <t xml:space="preserve">Un escritor mundano contempla la decadencia de Roma.</t>
  </si>
  <si>
    <t xml:space="preserve">Ganó el Óscar reactualizando La dolce vita en la Roma actual.</t>
  </si>
  <si>
    <t xml:space="preserve">tt2358891</t>
  </si>
  <si>
    <t xml:space="preserve">Big Hero 6</t>
  </si>
  <si>
    <t xml:space="preserve">Chris Williams, Don Hall</t>
  </si>
  <si>
    <t xml:space="preserve">Un niño y un robot sanitario forman un equipo de héroes.</t>
  </si>
  <si>
    <t xml:space="preserve">tt2245084</t>
  </si>
  <si>
    <t xml:space="preserve">Millennium: Los hombres que no amaban a las mujeres</t>
  </si>
  <si>
    <t xml:space="preserve">Mientras espera poder librarse de una acusación de difamación que puede hundir su carrera, el.</t>
  </si>
  <si>
    <t xml:space="preserve">tt1568346</t>
  </si>
  <si>
    <t xml:space="preserve">Antes que el diablo sepa que has muerto</t>
  </si>
  <si>
    <t xml:space="preserve">Prime, Movistar, Movistar Plus+ Ficción Total , Filmin, Acontra</t>
  </si>
  <si>
    <t xml:space="preserve">Dos hermanos atracan la joyería de sus padres.</t>
  </si>
  <si>
    <t xml:space="preserve">Última película de Lumet; estructura fragmentada sobre un mismo día.</t>
  </si>
  <si>
    <t xml:space="preserve">tt0292963</t>
  </si>
  <si>
    <t xml:space="preserve">Tropa de élite</t>
  </si>
  <si>
    <t xml:space="preserve">José Padilha</t>
  </si>
  <si>
    <t xml:space="preserve">Netflix, Rakuten</t>
  </si>
  <si>
    <t xml:space="preserve">Un capitán de la policía militar carioca busca sucesor.</t>
  </si>
  <si>
    <t xml:space="preserve">tt0861739</t>
  </si>
  <si>
    <t xml:space="preserve">Jojo Rabbit</t>
  </si>
  <si>
    <t xml:space="preserve">Taika Waititi</t>
  </si>
  <si>
    <t xml:space="preserve">República Checa, Nueva Zelanda, EE.UU.</t>
  </si>
  <si>
    <t xml:space="preserve">Un niño de las juventudes hitlerianas descubre a una judía en casa.</t>
  </si>
  <si>
    <t xml:space="preserve">tt2584384</t>
  </si>
  <si>
    <t xml:space="preserve">Dune: Parte Dos</t>
  </si>
  <si>
    <t xml:space="preserve">Prime, HBO Max, HBO Max Amazon Channel</t>
  </si>
  <si>
    <t xml:space="preserve">Paul se une a los fremen para vengar a su familia.</t>
  </si>
  <si>
    <t xml:space="preserve">tt15239678</t>
  </si>
  <si>
    <t xml:space="preserve">Que Dios nos perdone</t>
  </si>
  <si>
    <t xml:space="preserve">Dos policías buscan a un asesino en el Madrid del 15-M.</t>
  </si>
  <si>
    <t xml:space="preserve">tt4944596</t>
  </si>
  <si>
    <t xml:space="preserve">Pobres criaturas</t>
  </si>
  <si>
    <t xml:space="preserve">Prime, Disney+</t>
  </si>
  <si>
    <t xml:space="preserve">Una mujer resucitada con cerebro de bebé descubre el mundo.</t>
  </si>
  <si>
    <t xml:space="preserve">Cuatro Óscars y un imaginario visual reconstruido en estudio.</t>
  </si>
  <si>
    <t xml:space="preserve">tt14230458</t>
  </si>
  <si>
    <t xml:space="preserve">Comanchería</t>
  </si>
  <si>
    <t xml:space="preserve">David Mackenzie</t>
  </si>
  <si>
    <t xml:space="preserve">Dos hermanos atracan bancos para salvar el rancho familiar.</t>
  </si>
  <si>
    <t xml:space="preserve">Revitalizó el western contemporáneo con lectura de la crisis de 2008.</t>
  </si>
  <si>
    <t xml:space="preserve">tt2582782</t>
  </si>
  <si>
    <t xml:space="preserve">Hierro 3</t>
  </si>
  <si>
    <t xml:space="preserve">Kim Ki-duk</t>
  </si>
  <si>
    <t xml:space="preserve">Corea del Sur, Japón</t>
  </si>
  <si>
    <t xml:space="preserve">Prime, Movistar, Movistar Plus+ Ficción Total , Filmin, Rakuten</t>
  </si>
  <si>
    <t xml:space="preserve">Un intruso ocupa casas vacías y conoce a una mujer maltratada.</t>
  </si>
  <si>
    <t xml:space="preserve">Su protagonista no pronuncia una sola palabra en toda la película.</t>
  </si>
  <si>
    <t xml:space="preserve">tt0423866</t>
  </si>
  <si>
    <t xml:space="preserve">El Reino</t>
  </si>
  <si>
    <t xml:space="preserve">Un político corrupto es abandonado por su partido.</t>
  </si>
  <si>
    <t xml:space="preserve">tt7095482</t>
  </si>
  <si>
    <t xml:space="preserve">Zootrópolis</t>
  </si>
  <si>
    <t xml:space="preserve">Byron Howard, Rich Moore, Jared Bush</t>
  </si>
  <si>
    <t xml:space="preserve">Una coneja policía y un zorro estafador resuelven un caso.</t>
  </si>
  <si>
    <t xml:space="preserve">tt2948356</t>
  </si>
  <si>
    <t xml:space="preserve">Manchester frente al mar</t>
  </si>
  <si>
    <t xml:space="preserve">Kenneth Lonergan</t>
  </si>
  <si>
    <t xml:space="preserve">Un hombre roto vuelve a su pueblo a cuidar de su sobrino.</t>
  </si>
  <si>
    <t xml:space="preserve">tt4034228</t>
  </si>
  <si>
    <t xml:space="preserve">Spider-Man: No Way Home</t>
  </si>
  <si>
    <t xml:space="preserve">Jon Watts</t>
  </si>
  <si>
    <t xml:space="preserve">Un hechizo fallido trae villanos de otros universos.</t>
  </si>
  <si>
    <t xml:space="preserve">tt10872600</t>
  </si>
  <si>
    <t xml:space="preserve">Spider-Man: Un nuevo universo</t>
  </si>
  <si>
    <t xml:space="preserve">Bob Persichetti, Peter Ramsey, Rodney Rothman</t>
  </si>
  <si>
    <t xml:space="preserve">Varios Spider-Man de universos distintos se encuentran.</t>
  </si>
  <si>
    <t xml:space="preserve">tt4633694</t>
  </si>
  <si>
    <t xml:space="preserve">Truman</t>
  </si>
  <si>
    <t xml:space="preserve">Cesc Gay</t>
  </si>
  <si>
    <t xml:space="preserve">Canadá, Argentina, España</t>
  </si>
  <si>
    <t xml:space="preserve">Movistar Plus+ Ficción Total , SkyShowtime, rtve</t>
  </si>
  <si>
    <t xml:space="preserve">Un hombre visita a su amigo enfermo y a su perro en Madrid.</t>
  </si>
  <si>
    <t xml:space="preserve">tt3754940</t>
  </si>
  <si>
    <t xml:space="preserve">Black Mirror: Blanca Navidad</t>
  </si>
  <si>
    <t xml:space="preserve">Carl Tibbetts</t>
  </si>
  <si>
    <t xml:space="preserve">Dos hombres aislados se cuentan cómo llegaron allí.</t>
  </si>
  <si>
    <t xml:space="preserve">tt3973198</t>
  </si>
  <si>
    <t xml:space="preserve">El buen patrón</t>
  </si>
  <si>
    <t xml:space="preserve">Un empresario manipula a sus empleados antes de un premio.</t>
  </si>
  <si>
    <t xml:space="preserve">tt13066182</t>
  </si>
  <si>
    <t xml:space="preserve">Top Gun: Maverick</t>
  </si>
  <si>
    <t xml:space="preserve">Joseph Kosinski</t>
  </si>
  <si>
    <t xml:space="preserve">Movistar, Movistar Plus+ Ficción Total , SkyShowtime</t>
  </si>
  <si>
    <t xml:space="preserve">Un piloto veterano entrena a una nueva promoción.</t>
  </si>
  <si>
    <t xml:space="preserve">tt1745960</t>
  </si>
  <si>
    <t xml:space="preserve">La favorita</t>
  </si>
  <si>
    <t xml:space="preserve">Dos primas compiten por el favor de la reina Ana.</t>
  </si>
  <si>
    <t xml:space="preserve">tt5083738</t>
  </si>
  <si>
    <t xml:space="preserve">Toy Story 4</t>
  </si>
  <si>
    <t xml:space="preserve">Josh Cooley</t>
  </si>
  <si>
    <t xml:space="preserve">Woody acompaña a un juguete casero en un viaje.</t>
  </si>
  <si>
    <t xml:space="preserve">tt1979376</t>
  </si>
  <si>
    <t xml:space="preserve">Your Name.</t>
  </si>
  <si>
    <t xml:space="preserve">Makoto Shinkai</t>
  </si>
  <si>
    <t xml:space="preserve">Dos adolescentes japoneses intercambian cuerpos a distancia.</t>
  </si>
  <si>
    <t xml:space="preserve">tt5311514</t>
  </si>
  <si>
    <t xml:space="preserve">También la lluvia</t>
  </si>
  <si>
    <t xml:space="preserve">Francia, México, España</t>
  </si>
  <si>
    <t xml:space="preserve">Movistar Plus+ Ficción Total , Filmin, FlixOlé, FlixOlé Amazon Channel</t>
  </si>
  <si>
    <t xml:space="preserve">Un rodaje sobre Colón coincide con la guerra del agua en Bolivia.</t>
  </si>
  <si>
    <t xml:space="preserve">tt1422032</t>
  </si>
  <si>
    <t xml:space="preserve">Antes del anochecer</t>
  </si>
  <si>
    <t xml:space="preserve">Grecia, EE.UU.</t>
  </si>
  <si>
    <t xml:space="preserve">La pareja de Antes del amanecer, ya con hijos, en Grecia.</t>
  </si>
  <si>
    <t xml:space="preserve">tt2209418</t>
  </si>
  <si>
    <t xml:space="preserve">El experimento</t>
  </si>
  <si>
    <t xml:space="preserve">Un simulacro de prisión se descontrola entre presos y guardias.</t>
  </si>
  <si>
    <t xml:space="preserve">Ficcionalizó el experimento de Stanford y disparó su debate popular.</t>
  </si>
  <si>
    <t xml:space="preserve">tt0250258</t>
  </si>
  <si>
    <t xml:space="preserve">Roma</t>
  </si>
  <si>
    <t xml:space="preserve">Una criada indígena en el México de los setenta.</t>
  </si>
  <si>
    <t xml:space="preserve">tt6155172</t>
  </si>
  <si>
    <t xml:space="preserve">En la casa</t>
  </si>
  <si>
    <t xml:space="preserve">François Ozon</t>
  </si>
  <si>
    <t xml:space="preserve">Un profesor se obsesiona con las redacciones de un alumno.</t>
  </si>
  <si>
    <t xml:space="preserve">tt1964624</t>
  </si>
  <si>
    <t xml:space="preserve">Magical Girl</t>
  </si>
  <si>
    <t xml:space="preserve">Carlos Vermut</t>
  </si>
  <si>
    <t xml:space="preserve">Un padre desesperado por cumplir el deseo de su hija enferma.</t>
  </si>
  <si>
    <t xml:space="preserve">tt3089326</t>
  </si>
  <si>
    <t xml:space="preserve">Cónclave</t>
  </si>
  <si>
    <t xml:space="preserve">Los cardenales eligen papa entre intrigas.</t>
  </si>
  <si>
    <t xml:space="preserve">tt20215234</t>
  </si>
  <si>
    <t xml:space="preserve">La mejor oferta</t>
  </si>
  <si>
    <t xml:space="preserve">Un subastador solitario se obsesiona con una clienta invisible.</t>
  </si>
  <si>
    <t xml:space="preserve">tt1924396</t>
  </si>
  <si>
    <t xml:space="preserve">Alemania, Hong Kong, China, Francia, Italia</t>
  </si>
  <si>
    <t xml:space="preserve">Artes marciales</t>
  </si>
  <si>
    <t xml:space="preserve">Un escritor recuerda a las mujeres de su vida desde una habitación.</t>
  </si>
  <si>
    <t xml:space="preserve">Cierre de la trilogía de Wong Kar-Wai; rodaje de cinco años.</t>
  </si>
  <si>
    <t xml:space="preserve">tt0212712</t>
  </si>
  <si>
    <t xml:space="preserve">Salvador (Puig Antich)</t>
  </si>
  <si>
    <t xml:space="preserve">Manuel Huerga</t>
  </si>
  <si>
    <t xml:space="preserve">Los últimos días del anarquista ejecutado a garrote vil.</t>
  </si>
  <si>
    <t xml:space="preserve">tt0445691</t>
  </si>
  <si>
    <t xml:space="preserve">La trinchera infinita</t>
  </si>
  <si>
    <t xml:space="preserve">Jon Garaño, Aitor Arregi, José Mari Goenaga</t>
  </si>
  <si>
    <t xml:space="preserve">España, Francia</t>
  </si>
  <si>
    <t xml:space="preserve">Un topo de la Guerra Civil pasa décadas escondido en casa.</t>
  </si>
  <si>
    <t xml:space="preserve">tt7937168</t>
  </si>
  <si>
    <t xml:space="preserve">Ponyo en el acantilado</t>
  </si>
  <si>
    <t xml:space="preserve">Una pececilla mágica quiere convertirse en niña.</t>
  </si>
  <si>
    <t xml:space="preserve">tt0876563</t>
  </si>
  <si>
    <t xml:space="preserve">Vals con Bashir</t>
  </si>
  <si>
    <t xml:space="preserve">Ari Folman</t>
  </si>
  <si>
    <t xml:space="preserve">Israel, Francia, Alemania</t>
  </si>
  <si>
    <t xml:space="preserve">Documental</t>
  </si>
  <si>
    <t xml:space="preserve">Un veterano reconstruye sus recuerdos de la guerra del Líbano.</t>
  </si>
  <si>
    <t xml:space="preserve">Primer documental animado nominado al Óscar a película extranjera.</t>
  </si>
  <si>
    <t xml:space="preserve">tt1185616</t>
  </si>
  <si>
    <t xml:space="preserve">Guardianes de la galaxia Vol. 3</t>
  </si>
  <si>
    <t xml:space="preserve">James Gunn</t>
  </si>
  <si>
    <t xml:space="preserve">El grupo intenta salvar a Rocket de su creador.</t>
  </si>
  <si>
    <t xml:space="preserve">tt6791350</t>
  </si>
  <si>
    <t xml:space="preserve">El viento que agita la cebada</t>
  </si>
  <si>
    <t xml:space="preserve">Irlanda, Reino Unido, Alemania, Italia, España, Francia, Bélgica, Suiza</t>
  </si>
  <si>
    <t xml:space="preserve">Prime, Movistar Plus+ Ficción Total , FlixOlé, HBO Max, FlixOlé Amazon Channel, HBO Max Amazon Channel</t>
  </si>
  <si>
    <t xml:space="preserve">Dos hermanos irlandeses en la guerra de independencia.</t>
  </si>
  <si>
    <t xml:space="preserve">tt0460989</t>
  </si>
  <si>
    <t xml:space="preserve">Lion</t>
  </si>
  <si>
    <t xml:space="preserve">Garth Davis</t>
  </si>
  <si>
    <t xml:space="preserve">Australia, Reino Unido, EE.UU.</t>
  </si>
  <si>
    <t xml:space="preserve">Un indio adoptado en Australia busca su aldea natal.</t>
  </si>
  <si>
    <t xml:space="preserve">tt3741834</t>
  </si>
  <si>
    <t xml:space="preserve">El juicio de los 7 de Chicago</t>
  </si>
  <si>
    <t xml:space="preserve">Aaron Sorkin</t>
  </si>
  <si>
    <t xml:space="preserve">El proceso a siete activistas tras las protestas de 1968.</t>
  </si>
  <si>
    <t xml:space="preserve">tt1070874</t>
  </si>
  <si>
    <t xml:space="preserve">El 47</t>
  </si>
  <si>
    <t xml:space="preserve">Marcel Barrena</t>
  </si>
  <si>
    <t xml:space="preserve">Movistar, Movistar Plus+ Ficción Total , 3Cat</t>
  </si>
  <si>
    <t xml:space="preserve">Un vecino secuestra un autobús para reivindicar su barrio.</t>
  </si>
  <si>
    <t xml:space="preserve">tt27751957</t>
  </si>
  <si>
    <t xml:space="preserve">Blancanieves</t>
  </si>
  <si>
    <t xml:space="preserve">Pablo Berger</t>
  </si>
  <si>
    <t xml:space="preserve">El cuento trasladado al mundo taurino, en cine mudo.</t>
  </si>
  <si>
    <t xml:space="preserve">tt1854513</t>
  </si>
  <si>
    <t xml:space="preserve">Animatrix</t>
  </si>
  <si>
    <t xml:space="preserve">Andrew R. Jones, Shin'ichirō Watanabe, Mahiro Maeda</t>
  </si>
  <si>
    <t xml:space="preserve">EE.UU., Japón</t>
  </si>
  <si>
    <t xml:space="preserve">Nueve cortos animados que amplían el universo de Matrix.</t>
  </si>
  <si>
    <t xml:space="preserve">tt0328832</t>
  </si>
  <si>
    <t xml:space="preserve">Primavera, verano, otoño, invierno... y primavera</t>
  </si>
  <si>
    <t xml:space="preserve">Corea del Sur, Alemania</t>
  </si>
  <si>
    <t xml:space="preserve">La vida de un monje en un templo flotante.</t>
  </si>
  <si>
    <t xml:space="preserve">tt0374546</t>
  </si>
  <si>
    <t xml:space="preserve">Isla de perros</t>
  </si>
  <si>
    <t xml:space="preserve">Un niño busca a su perro en una isla de residuos.</t>
  </si>
  <si>
    <t xml:space="preserve">Cumbre técnica del stop motion de Wes Anderson.</t>
  </si>
  <si>
    <t xml:space="preserve">tt5104604</t>
  </si>
  <si>
    <t xml:space="preserve">Argentina, 1985</t>
  </si>
  <si>
    <t xml:space="preserve">Santiago Mitre</t>
  </si>
  <si>
    <t xml:space="preserve">Argentina, Reino Unido</t>
  </si>
  <si>
    <t xml:space="preserve">El fiscal que juzgó a la Junta militar argentina.</t>
  </si>
  <si>
    <t xml:space="preserve">tt15301048</t>
  </si>
  <si>
    <t xml:space="preserve">La voz dormida</t>
  </si>
  <si>
    <t xml:space="preserve">Alemania, España</t>
  </si>
  <si>
    <t xml:space="preserve">Dos hermanas presas en la cárcel franquista de Ventas.</t>
  </si>
  <si>
    <t xml:space="preserve">tt1688649</t>
  </si>
  <si>
    <t xml:space="preserve">Noviembre</t>
  </si>
  <si>
    <t xml:space="preserve">Un grupo de teatro callejero reivindica el arte libre.</t>
  </si>
  <si>
    <t xml:space="preserve">tt0376800</t>
  </si>
  <si>
    <t xml:space="preserve">4 meses, 3 semanas, 2 días</t>
  </si>
  <si>
    <t xml:space="preserve">Cristian Mungiu</t>
  </si>
  <si>
    <t xml:space="preserve">Bélgica, Rumanía</t>
  </si>
  <si>
    <t xml:space="preserve">Dos estudiantes rumanas buscan un aborto clandestino.</t>
  </si>
  <si>
    <t xml:space="preserve">tt1032846</t>
  </si>
  <si>
    <t xml:space="preserve">Cinco lobitos</t>
  </si>
  <si>
    <t xml:space="preserve">Alauda Ruiz de Azúa</t>
  </si>
  <si>
    <t xml:space="preserve">Una madre primeriza vuelve a casa de sus padres.</t>
  </si>
  <si>
    <t xml:space="preserve">tt14755038</t>
  </si>
  <si>
    <t xml:space="preserve">Tenemos que hablar de Kevin</t>
  </si>
  <si>
    <t xml:space="preserve">Lynne Ramsay</t>
  </si>
  <si>
    <t xml:space="preserve">Una madre convive con la culpa por lo que hizo su hijo.</t>
  </si>
  <si>
    <t xml:space="preserve">tt1242460</t>
  </si>
  <si>
    <t xml:space="preserve">La peor persona del mundo</t>
  </si>
  <si>
    <t xml:space="preserve">Joachim Trier</t>
  </si>
  <si>
    <t xml:space="preserve">Dinamarca, Francia, Noruega, Suecia</t>
  </si>
  <si>
    <t xml:space="preserve">Filmin, Tivify, AMC Channels Amazon Channel, rtve</t>
  </si>
  <si>
    <t xml:space="preserve">Una joven de Oslo indecisa entre dos hombres y su vocación.</t>
  </si>
  <si>
    <t xml:space="preserve">tt10370710</t>
  </si>
  <si>
    <t xml:space="preserve">Klaus</t>
  </si>
  <si>
    <t xml:space="preserve">Sergio Pablos</t>
  </si>
  <si>
    <t xml:space="preserve">Un cartero y un juguetero solitario inventan la Navidad.</t>
  </si>
  <si>
    <t xml:space="preserve">tt4729430</t>
  </si>
  <si>
    <t xml:space="preserve">La escafandra y la mariposa</t>
  </si>
  <si>
    <t xml:space="preserve">Francia, EE.UU.</t>
  </si>
  <si>
    <t xml:space="preserve">Un editor paralizado escribe un libro parpadeando.</t>
  </si>
  <si>
    <t xml:space="preserve">Nader y Simin, una separación</t>
  </si>
  <si>
    <t xml:space="preserve">Asghar Farhadi</t>
  </si>
  <si>
    <t xml:space="preserve">Irán, Francia</t>
  </si>
  <si>
    <t xml:space="preserve">Un divorcio iraní se enreda con un accidente doméstico.</t>
  </si>
  <si>
    <t xml:space="preserve">tt1832382</t>
  </si>
  <si>
    <t xml:space="preserve">Casa en llamas</t>
  </si>
  <si>
    <t xml:space="preserve">Dani de la Orden</t>
  </si>
  <si>
    <t xml:space="preserve">Una reunión familiar en el Ampurdán estalla en secretos.</t>
  </si>
  <si>
    <t xml:space="preserve">tt29793197</t>
  </si>
  <si>
    <t xml:space="preserve">El libro negro</t>
  </si>
  <si>
    <t xml:space="preserve">Países Bajos, Alemania, Reino Unido</t>
  </si>
  <si>
    <t xml:space="preserve">Una judía se infiltra en la resistencia y en el mando nazi.</t>
  </si>
  <si>
    <t xml:space="preserve">tt0389557</t>
  </si>
  <si>
    <t xml:space="preserve">Habana Blues</t>
  </si>
  <si>
    <t xml:space="preserve">Francia, España, Cuba</t>
  </si>
  <si>
    <t xml:space="preserve">Dos músicos cubanos entre el éxito y el exilio.</t>
  </si>
  <si>
    <t xml:space="preserve">tt0441297</t>
  </si>
  <si>
    <t xml:space="preserve">La doncella (The Handmaiden)</t>
  </si>
  <si>
    <t xml:space="preserve">Una criada participa en un timo a una heredera japonesa.</t>
  </si>
  <si>
    <t xml:space="preserve">tt4016934</t>
  </si>
  <si>
    <t xml:space="preserve">Spider-Man: Cruzando el Multiverso</t>
  </si>
  <si>
    <t xml:space="preserve">Joaquim Dos Santos, Kemp Powers, Justin K. Thompson</t>
  </si>
  <si>
    <t xml:space="preserve">Miles Morales se enfrenta a una sociedad de Spider-Man.</t>
  </si>
  <si>
    <t xml:space="preserve">tt9362722</t>
  </si>
  <si>
    <t xml:space="preserve">Maixabel</t>
  </si>
  <si>
    <t xml:space="preserve">La viuda de un político asesinado se reúne con los etarras.</t>
  </si>
  <si>
    <t xml:space="preserve">tt14077696</t>
  </si>
  <si>
    <t xml:space="preserve">Sing Street</t>
  </si>
  <si>
    <t xml:space="preserve">Un adolescente de Dublín monta una banda para impresionar a una chica.</t>
  </si>
  <si>
    <t xml:space="preserve">tt3544112</t>
  </si>
  <si>
    <t xml:space="preserve">Mommy</t>
  </si>
  <si>
    <t xml:space="preserve">Xavier Dolan</t>
  </si>
  <si>
    <t xml:space="preserve">Movistar Plus+ Ficción Total , MUBI, MUBI Amazon Channel</t>
  </si>
  <si>
    <t xml:space="preserve">Una viuda cría sola a su hijo adolescente violento.</t>
  </si>
  <si>
    <t xml:space="preserve">tt3612616</t>
  </si>
  <si>
    <t xml:space="preserve">Arrugas</t>
  </si>
  <si>
    <t xml:space="preserve">Ignacio Ferreras</t>
  </si>
  <si>
    <t xml:space="preserve">Dos ancianos en una residencia luchan contra el alzhéimer.</t>
  </si>
  <si>
    <t xml:space="preserve">tt1407052</t>
  </si>
  <si>
    <t xml:space="preserve">Cold War</t>
  </si>
  <si>
    <t xml:space="preserve">Pawel Pawlikowski</t>
  </si>
  <si>
    <t xml:space="preserve">Francia, Polonia, Reino Unido</t>
  </si>
  <si>
    <t xml:space="preserve">Un amor imposible entre Polonia y París durante la Guerra Fría.</t>
  </si>
  <si>
    <t xml:space="preserve">tt6543652</t>
  </si>
  <si>
    <t xml:space="preserve">Sympathy for Mr. Vengeance</t>
  </si>
  <si>
    <t xml:space="preserve">Un sordomudo secuestra a una niña para pagar un trasplante.</t>
  </si>
  <si>
    <t xml:space="preserve">tt0310775</t>
  </si>
  <si>
    <t xml:space="preserve">Kubo y las dos cuerdas mágicas</t>
  </si>
  <si>
    <t xml:space="preserve">Travis Knight</t>
  </si>
  <si>
    <t xml:space="preserve">Un niño con un shamisen mágico huye de su familia divina.</t>
  </si>
  <si>
    <t xml:space="preserve">tt4302938</t>
  </si>
  <si>
    <t xml:space="preserve">Sound of Metal</t>
  </si>
  <si>
    <t xml:space="preserve">Darius Marder</t>
  </si>
  <si>
    <t xml:space="preserve">Un batería pierde el oído y debe rehacer su vida.</t>
  </si>
  <si>
    <t xml:space="preserve">tt5363618</t>
  </si>
  <si>
    <t xml:space="preserve">El desafío: Frost contra Nixon</t>
  </si>
  <si>
    <t xml:space="preserve">Un presentador entrevista a Nixon tras el Watergate.</t>
  </si>
  <si>
    <t xml:space="preserve">tt0870111</t>
  </si>
  <si>
    <t xml:space="preserve">Encontré al diablo</t>
  </si>
  <si>
    <t xml:space="preserve">Kim Jee-woon</t>
  </si>
  <si>
    <t xml:space="preserve">Movistar, Movistar Plus+ Ficción Total , Rakuten</t>
  </si>
  <si>
    <t xml:space="preserve">Un agente tortura al asesino en serie que mató a su novia.</t>
  </si>
  <si>
    <t xml:space="preserve">tt1588170</t>
  </si>
  <si>
    <t xml:space="preserve">Sympathy for Lady Vengeance</t>
  </si>
  <si>
    <t xml:space="preserve">Una mujer sale de prisión para vengarse del culpable real.</t>
  </si>
  <si>
    <t xml:space="preserve">tt0451094</t>
  </si>
  <si>
    <t xml:space="preserve">Fue la mano de Dios</t>
  </si>
  <si>
    <t xml:space="preserve">Un adolescente napolitano y la llegada de Maradona.</t>
  </si>
  <si>
    <t xml:space="preserve">tt12680684</t>
  </si>
  <si>
    <t xml:space="preserve">Futurama: El gran golpe de Bender</t>
  </si>
  <si>
    <t xml:space="preserve">Dwayne Carey-Hill</t>
  </si>
  <si>
    <t xml:space="preserve">La tripulación combate una invasión alienígena.</t>
  </si>
  <si>
    <t xml:space="preserve">tt0471711</t>
  </si>
  <si>
    <t xml:space="preserve">El viento se levanta</t>
  </si>
  <si>
    <t xml:space="preserve">Un ingeniero japonés diseña aviones antes de la guerra.</t>
  </si>
  <si>
    <t xml:space="preserve">tt2013293</t>
  </si>
  <si>
    <t xml:space="preserve">Los edukadores</t>
  </si>
  <si>
    <t xml:space="preserve">Hans Weingartner</t>
  </si>
  <si>
    <t xml:space="preserve">Tres jóvenes okupan casas de ricos y secuestran a uno.</t>
  </si>
  <si>
    <t xml:space="preserve">tt0408777</t>
  </si>
  <si>
    <t xml:space="preserve">Tropa de élite 2</t>
  </si>
  <si>
    <t xml:space="preserve">Netflix, Filmin, Acontra, Acontra Plus Amazon Channel</t>
  </si>
  <si>
    <t xml:space="preserve">El capitán asciende y descubre una corrupción mayor.</t>
  </si>
  <si>
    <t xml:space="preserve">tt1555149</t>
  </si>
  <si>
    <t xml:space="preserve">María, llena eres de gracia</t>
  </si>
  <si>
    <t xml:space="preserve">Joshua Marston</t>
  </si>
  <si>
    <t xml:space="preserve">Ecuador, Colombia, EE.UU.</t>
  </si>
  <si>
    <t xml:space="preserve">Una joven colombiana transporta droga en su cuerpo.</t>
  </si>
  <si>
    <t xml:space="preserve">tt0390221</t>
  </si>
  <si>
    <t xml:space="preserve">Perfect Days</t>
  </si>
  <si>
    <t xml:space="preserve">Alemania, Japón</t>
  </si>
  <si>
    <t xml:space="preserve">Un limpiador de baños de Tokio y su rutina serena.</t>
  </si>
  <si>
    <t xml:space="preserve">tt27503384</t>
  </si>
  <si>
    <t xml:space="preserve">Robot salvaje</t>
  </si>
  <si>
    <t xml:space="preserve">Chris Sanders</t>
  </si>
  <si>
    <t xml:space="preserve">Un robot naufraga en una isla y cría a un ganso.</t>
  </si>
  <si>
    <t xml:space="preserve">tt29623480</t>
  </si>
  <si>
    <t xml:space="preserve">Paprika, detective de los sueños</t>
  </si>
  <si>
    <t xml:space="preserve">Satoshi Kon</t>
  </si>
  <si>
    <t xml:space="preserve">Una terapeuta entra en los sueños ajenos.</t>
  </si>
  <si>
    <t xml:space="preserve">Su imaginería onírica influyó directamente en Origen.</t>
  </si>
  <si>
    <t xml:space="preserve">tt0851578</t>
  </si>
  <si>
    <t xml:space="preserve">La habitación del hijo</t>
  </si>
  <si>
    <t xml:space="preserve">Nanni Moretti</t>
  </si>
  <si>
    <t xml:space="preserve">Una familia se desmorona tras la muerte del hijo.</t>
  </si>
  <si>
    <t xml:space="preserve">tt0208990</t>
  </si>
  <si>
    <t xml:space="preserve">Bienvenidos a Belleville</t>
  </si>
  <si>
    <t xml:space="preserve">Sylvain Chomet</t>
  </si>
  <si>
    <t xml:space="preserve">Francia, Bélgica, Canadá, Reino Unido</t>
  </si>
  <si>
    <t xml:space="preserve">Una abuela busca a su nieto ciclista secuestrado.</t>
  </si>
  <si>
    <t xml:space="preserve">tt0286244</t>
  </si>
  <si>
    <t xml:space="preserve">Confessions</t>
  </si>
  <si>
    <t xml:space="preserve">Tetsuya Nakashima</t>
  </si>
  <si>
    <t xml:space="preserve">Una profesora se venga de los alumnos que mataron a su hija.</t>
  </si>
  <si>
    <t xml:space="preserve">tt1590089</t>
  </si>
  <si>
    <t xml:space="preserve">Aftersun</t>
  </si>
  <si>
    <t xml:space="preserve">Charlotte Wells</t>
  </si>
  <si>
    <t xml:space="preserve">Turquía, Reino Unido, EE.UU.</t>
  </si>
  <si>
    <t xml:space="preserve">Una mujer recuerda las vacaciones con su padre en Turquía.</t>
  </si>
  <si>
    <t xml:space="preserve">Debut que renovó el cine sobre la memoria y el duelo desde el vídeo casero.</t>
  </si>
  <si>
    <t xml:space="preserve">tt19770238</t>
  </si>
  <si>
    <t xml:space="preserve">Ip Man</t>
  </si>
  <si>
    <t xml:space="preserve">Wilson Yip</t>
  </si>
  <si>
    <t xml:space="preserve">Un maestro de kung fu resiste la ocupación japonesa.</t>
  </si>
  <si>
    <t xml:space="preserve">tt1220719</t>
  </si>
  <si>
    <t xml:space="preserve">En un mundo mejor</t>
  </si>
  <si>
    <t xml:space="preserve">Susanne Bier</t>
  </si>
  <si>
    <t xml:space="preserve">Dos familias danesas y la espiral de la venganza.</t>
  </si>
  <si>
    <t xml:space="preserve">tt1340107</t>
  </si>
  <si>
    <t xml:space="preserve">La vida en rosa</t>
  </si>
  <si>
    <t xml:space="preserve">Olivier Dahan</t>
  </si>
  <si>
    <t xml:space="preserve">República Checa, Francia, Reino Unido</t>
  </si>
  <si>
    <t xml:space="preserve">La vida de Édith Piaf desde la calle hasta el estrellato.</t>
  </si>
  <si>
    <t xml:space="preserve">tt0450188</t>
  </si>
  <si>
    <t xml:space="preserve">Yo, él y Raquel</t>
  </si>
  <si>
    <t xml:space="preserve">Alfonso Gomez-Rejon</t>
  </si>
  <si>
    <t xml:space="preserve">Un adolescente rueda una película para una compañera enferma.</t>
  </si>
  <si>
    <t xml:space="preserve">tt2582496</t>
  </si>
  <si>
    <t xml:space="preserve">El caso Sloane</t>
  </si>
  <si>
    <t xml:space="preserve">John Madden</t>
  </si>
  <si>
    <t xml:space="preserve">Una lobista arriesga su carrera en la ley de armas.</t>
  </si>
  <si>
    <t xml:space="preserve">tt4540710</t>
  </si>
  <si>
    <t xml:space="preserve">En tierra de nadie</t>
  </si>
  <si>
    <t xml:space="preserve">Danis Tanovic</t>
  </si>
  <si>
    <t xml:space="preserve">Bélgica, Bosnia, Francia, Italia, Eslovenia, Reino Unido</t>
  </si>
  <si>
    <t xml:space="preserve">Un bosnio y un serbio atrapados en la misma trinchera.</t>
  </si>
  <si>
    <t xml:space="preserve">tt0283509</t>
  </si>
  <si>
    <t xml:space="preserve">Los Mitchell contra las máquinas</t>
  </si>
  <si>
    <t xml:space="preserve">Michael Rianda, Jeff Rowe</t>
  </si>
  <si>
    <t xml:space="preserve">Una familia disfuncional frente a un alzamiento robótico.</t>
  </si>
  <si>
    <t xml:space="preserve">tt7979580</t>
  </si>
  <si>
    <t xml:space="preserve">Un asunto de familia</t>
  </si>
  <si>
    <t xml:space="preserve">Hirokazu Koreeda</t>
  </si>
  <si>
    <t xml:space="preserve">Filmin, rtve</t>
  </si>
  <si>
    <t xml:space="preserve">Una familia que vive de pequeños hurtos acoge a una niña.</t>
  </si>
  <si>
    <t xml:space="preserve">tt8075192</t>
  </si>
  <si>
    <t xml:space="preserve">Mustang</t>
  </si>
  <si>
    <t xml:space="preserve">Deniz Gamze Ergüven</t>
  </si>
  <si>
    <t xml:space="preserve">Qatar, Francia, Alemania, Turquía</t>
  </si>
  <si>
    <t xml:space="preserve">Cinco hermanas turcas encerradas y prometidas a la fuerza.</t>
  </si>
  <si>
    <t xml:space="preserve">tt3966404</t>
  </si>
  <si>
    <t xml:space="preserve">The Fall: El sueño de Alexandria</t>
  </si>
  <si>
    <t xml:space="preserve">Tarsem Singh</t>
  </si>
  <si>
    <t xml:space="preserve">EE.UU., India</t>
  </si>
  <si>
    <t xml:space="preserve">Un especialista hospitalizado cuenta una fábula a una niña.</t>
  </si>
  <si>
    <t xml:space="preserve">tt0460791</t>
  </si>
  <si>
    <t xml:space="preserve">Yo, Daniel Blake</t>
  </si>
  <si>
    <t xml:space="preserve">Bélgica, Francia, Reino Unido</t>
  </si>
  <si>
    <t xml:space="preserve">Un carpintero enfermo se pelea con la burocracia británica.</t>
  </si>
  <si>
    <t xml:space="preserve">tt5168192</t>
  </si>
  <si>
    <t xml:space="preserve">Lugares comunes</t>
  </si>
  <si>
    <t xml:space="preserve">Disney+, Movistar Plus+ Ficción Total , FlixOlé, FlixOlé Amazon Channel</t>
  </si>
  <si>
    <t xml:space="preserve">Un profesor jubilado y su mujer afrontan el retiro en Argentina.</t>
  </si>
  <si>
    <t xml:space="preserve">tt0329330</t>
  </si>
  <si>
    <t xml:space="preserve">Contra la pared</t>
  </si>
  <si>
    <t xml:space="preserve">Fatih Akin</t>
  </si>
  <si>
    <t xml:space="preserve">Alemania, Turquía</t>
  </si>
  <si>
    <t xml:space="preserve">Dos turcos en Alemania se casan por conveniencia.</t>
  </si>
  <si>
    <t xml:space="preserve">tt0347048</t>
  </si>
  <si>
    <t xml:space="preserve">El conde de Montecristo</t>
  </si>
  <si>
    <t xml:space="preserve">Matthieu Delaporte, Alexandre de La Patellière</t>
  </si>
  <si>
    <t xml:space="preserve">Un marino traicionado escapa y planea su venganza.</t>
  </si>
  <si>
    <t xml:space="preserve">tt26446278</t>
  </si>
  <si>
    <t xml:space="preserve">Chico &amp; Rita</t>
  </si>
  <si>
    <t xml:space="preserve">Fernando Trueba, Javier Mariscal, Tono Errando</t>
  </si>
  <si>
    <t xml:space="preserve">España, Reino Unido</t>
  </si>
  <si>
    <t xml:space="preserve">Un pianista y una cantante cubanos entre La Habana y Nueva York.</t>
  </si>
  <si>
    <t xml:space="preserve">tt1235830</t>
  </si>
  <si>
    <t xml:space="preserve">Una batalla tras otra</t>
  </si>
  <si>
    <t xml:space="preserve">Un exrevolucionario recupera a su hija desaparecida.</t>
  </si>
  <si>
    <t xml:space="preserve">tt30144839</t>
  </si>
  <si>
    <t xml:space="preserve">El ciudadano ilustre</t>
  </si>
  <si>
    <t xml:space="preserve">Mariano Cohn, Gastón Duprat</t>
  </si>
  <si>
    <t xml:space="preserve">Un Nobel argentino vuelve a su pueblo natal.</t>
  </si>
  <si>
    <t xml:space="preserve">tt4562518</t>
  </si>
  <si>
    <t xml:space="preserve">Kamchatka</t>
  </si>
  <si>
    <t xml:space="preserve">Marcelo Piñeyro</t>
  </si>
  <si>
    <t xml:space="preserve">Una familia argentina se esconde durante la dictadura.</t>
  </si>
  <si>
    <t xml:space="preserve">tt0320042</t>
  </si>
  <si>
    <t xml:space="preserve">Paradise Now</t>
  </si>
  <si>
    <t xml:space="preserve">Hany Abu-Assad</t>
  </si>
  <si>
    <t xml:space="preserve">Palestinian Territory, Francia, Alemania, Israel, Países Bajos</t>
  </si>
  <si>
    <t xml:space="preserve">Dos amigos palestinos preparados para un atentado suicida.</t>
  </si>
  <si>
    <t xml:space="preserve">tt0445620</t>
  </si>
  <si>
    <t xml:space="preserve">Lilja Forever (Lilja 4-ever)</t>
  </si>
  <si>
    <t xml:space="preserve">Lukas Moodysson</t>
  </si>
  <si>
    <t xml:space="preserve">Una adolescente rusa abandonada cae en la trata.</t>
  </si>
  <si>
    <t xml:space="preserve">tt0300140</t>
  </si>
  <si>
    <t xml:space="preserve">Pájaros de papel</t>
  </si>
  <si>
    <t xml:space="preserve">Emilio Aragón</t>
  </si>
  <si>
    <t xml:space="preserve">Cómicos de variedades sobreviven en la posguerra española.</t>
  </si>
  <si>
    <t xml:space="preserve">tt1360822</t>
  </si>
  <si>
    <t xml:space="preserve">El maestro que prometió el mar</t>
  </si>
  <si>
    <t xml:space="preserve">Patricia Font</t>
  </si>
  <si>
    <t xml:space="preserve">Un maestro republicano y la fosa donde lo buscan.</t>
  </si>
  <si>
    <t xml:space="preserve">tt11887316</t>
  </si>
  <si>
    <t xml:space="preserve">La chica que saltaba a través del tiempo</t>
  </si>
  <si>
    <t xml:space="preserve">Mamoru Hosoda</t>
  </si>
  <si>
    <t xml:space="preserve">Una adolescente descubre que puede saltar en el tiempo.</t>
  </si>
  <si>
    <t xml:space="preserve">tt0808506</t>
  </si>
  <si>
    <t xml:space="preserve">20.000 especies de abejas</t>
  </si>
  <si>
    <t xml:space="preserve">Estibaliz Urresola Solaguren</t>
  </si>
  <si>
    <t xml:space="preserve">Movistar Plus+ Ficción Total , HBO Max, HBO Max Amazon Channel, rtve, 3Cat</t>
  </si>
  <si>
    <t xml:space="preserve">Una niña trans busca su identidad durante un verano.</t>
  </si>
  <si>
    <t xml:space="preserve">tt21113962</t>
  </si>
  <si>
    <t xml:space="preserve">Saben aquell</t>
  </si>
  <si>
    <t xml:space="preserve">David Trueba</t>
  </si>
  <si>
    <t xml:space="preserve">La vida del humorista Eugenio y su ascenso.</t>
  </si>
  <si>
    <t xml:space="preserve">tt27672387</t>
  </si>
  <si>
    <t xml:space="preserve">Ladj Ly</t>
  </si>
  <si>
    <t xml:space="preserve">Prime, Filmin, rtve</t>
  </si>
  <si>
    <t xml:space="preserve">Tensión entre policías y vecinos en un suburbio parisino.</t>
  </si>
  <si>
    <t xml:space="preserve">tt10199590</t>
  </si>
  <si>
    <t xml:space="preserve">El club</t>
  </si>
  <si>
    <t xml:space="preserve">Pablo Larraín</t>
  </si>
  <si>
    <t xml:space="preserve">Chile</t>
  </si>
  <si>
    <t xml:space="preserve">Cuatro sacerdotes castigados conviven en una casa costera.</t>
  </si>
  <si>
    <t xml:space="preserve">tt4375438</t>
  </si>
  <si>
    <t xml:space="preserve">Despedidas</t>
  </si>
  <si>
    <t xml:space="preserve">Yōjirō Takita</t>
  </si>
  <si>
    <t xml:space="preserve">Un violonchelista sin trabajo acaba amortajando cadáveres.</t>
  </si>
  <si>
    <t xml:space="preserve">tt1069238</t>
  </si>
  <si>
    <t xml:space="preserve">Control</t>
  </si>
  <si>
    <t xml:space="preserve">Anton Corbijn</t>
  </si>
  <si>
    <t xml:space="preserve">Japón, Reino Unido, EE.UU., Australia</t>
  </si>
  <si>
    <t xml:space="preserve">Prime, MUBI, MUBI Amazon Channel</t>
  </si>
  <si>
    <t xml:space="preserve">La vida de Ian Curtis, cantante de Joy Division.</t>
  </si>
  <si>
    <t xml:space="preserve">tt0421082</t>
  </si>
  <si>
    <t xml:space="preserve">El concierto</t>
  </si>
  <si>
    <t xml:space="preserve">Radu Mihaileanu</t>
  </si>
  <si>
    <t xml:space="preserve">Rusia, Francia, Italia, Rumanía, Bélgica</t>
  </si>
  <si>
    <t xml:space="preserve">Una orquesta rusa falsa se hace pasar por el Bolshói en París.</t>
  </si>
  <si>
    <t xml:space="preserve">tt1320082</t>
  </si>
  <si>
    <t xml:space="preserve">Cafarnaúm</t>
  </si>
  <si>
    <t xml:space="preserve">Nadine Labaki</t>
  </si>
  <si>
    <t xml:space="preserve">Chipre, Francia, Líbano, Qatar, Reino Unido</t>
  </si>
  <si>
    <t xml:space="preserve">Un niño libanés demanda a sus padres por haberlo traído al mundo.</t>
  </si>
  <si>
    <t xml:space="preserve">tt8267604</t>
  </si>
  <si>
    <t xml:space="preserve">El gato con botas: El último deseo</t>
  </si>
  <si>
    <t xml:space="preserve">Joel Crawford, Januel Mercado</t>
  </si>
  <si>
    <t xml:space="preserve">El gato busca un deseo para recuperar sus vidas.</t>
  </si>
  <si>
    <t xml:space="preserve">tt3915174</t>
  </si>
  <si>
    <t xml:space="preserve">Tiempo de valientes</t>
  </si>
  <si>
    <t xml:space="preserve">Un policía y su psicoanalista investigan juntos en Buenos Aires.</t>
  </si>
  <si>
    <t xml:space="preserve">tt0462570</t>
  </si>
  <si>
    <t xml:space="preserve">Arrietty y el mundo de los diminutos</t>
  </si>
  <si>
    <t xml:space="preserve">Hiromasa Yonebayashi</t>
  </si>
  <si>
    <t xml:space="preserve">Una familia diminuta vive bajo el suelo de una casa.</t>
  </si>
  <si>
    <t xml:space="preserve">tt1568921</t>
  </si>
  <si>
    <t xml:space="preserve">Las flores de la guerra</t>
  </si>
  <si>
    <t xml:space="preserve">Un impostor protege a unas colegialas en Nankín.</t>
  </si>
  <si>
    <t xml:space="preserve">tt1410063</t>
  </si>
  <si>
    <t xml:space="preserve">Robot Dreams</t>
  </si>
  <si>
    <t xml:space="preserve">Un perro solitario y su robot se separan un verano en Nueva York.</t>
  </si>
  <si>
    <t xml:space="preserve">tt13429870</t>
  </si>
  <si>
    <t xml:space="preserve">Bloody Sunday (Domingo sangriento)</t>
  </si>
  <si>
    <t xml:space="preserve">Irlanda, Reino Unido</t>
  </si>
  <si>
    <t xml:space="preserve">La matanza de civiles en Derry en 1972.</t>
  </si>
  <si>
    <t xml:space="preserve">tt0280491</t>
  </si>
  <si>
    <t xml:space="preserve">El primer día del resto de tu vida</t>
  </si>
  <si>
    <t xml:space="preserve">Rémi Bezançon</t>
  </si>
  <si>
    <t xml:space="preserve">Cinco días clave en la vida de una familia francesa.</t>
  </si>
  <si>
    <t xml:space="preserve">tt0926759</t>
  </si>
  <si>
    <t xml:space="preserve">En la ciudad sin límites</t>
  </si>
  <si>
    <t xml:space="preserve">Antonio Hernández</t>
  </si>
  <si>
    <t xml:space="preserve">Un hijo descubre el secreto de su padre enfermo en París.</t>
  </si>
  <si>
    <t xml:space="preserve">tt0311072</t>
  </si>
  <si>
    <t xml:space="preserve">The Visitor</t>
  </si>
  <si>
    <t xml:space="preserve">Un profesor viudo acoge a una pareja de inmigrantes.</t>
  </si>
  <si>
    <t xml:space="preserve">tt0857191</t>
  </si>
  <si>
    <t xml:space="preserve">Alabama Monroe</t>
  </si>
  <si>
    <t xml:space="preserve">Felix Van Groeningen</t>
  </si>
  <si>
    <t xml:space="preserve">Países Bajos, Bélgica</t>
  </si>
  <si>
    <t xml:space="preserve">Una pareja de músicos afronta la enfermedad de su hija.</t>
  </si>
  <si>
    <t xml:space="preserve">tt2024519</t>
  </si>
  <si>
    <t xml:space="preserve">Francia, Reino Unido</t>
  </si>
  <si>
    <t xml:space="preserve">Un mago en decadencia recorre Escocia con una joven admiradora.</t>
  </si>
  <si>
    <t xml:space="preserve">tt0775489</t>
  </si>
  <si>
    <t xml:space="preserve">Mantícora</t>
  </si>
  <si>
    <t xml:space="preserve">Un diseñador de videojuegos oculta una obsesión inconfesable.</t>
  </si>
  <si>
    <t xml:space="preserve">tt13014746</t>
  </si>
  <si>
    <t xml:space="preserve">La canción del mar</t>
  </si>
  <si>
    <t xml:space="preserve">Tomm Moore</t>
  </si>
  <si>
    <t xml:space="preserve">Bélgica, Dinamarca, Francia, Irlanda, Luxemburgo</t>
  </si>
  <si>
    <t xml:space="preserve">Dos hermanos irlandeses y una leyenda de focas.</t>
  </si>
  <si>
    <t xml:space="preserve">tt1865505</t>
  </si>
  <si>
    <t xml:space="preserve">Juego sucio (Infernal Affairs)</t>
  </si>
  <si>
    <t xml:space="preserve">Andrew Lau, Alan Mak</t>
  </si>
  <si>
    <t xml:space="preserve">Un policía infiltrado en la tríada y un mafioso en la policía.</t>
  </si>
  <si>
    <t xml:space="preserve">Su remake, Infiltrados, ganó el Óscar a mejor película.</t>
  </si>
  <si>
    <t xml:space="preserve">tt0338564</t>
  </si>
  <si>
    <t xml:space="preserve">Ciudad de vida y muerte</t>
  </si>
  <si>
    <t xml:space="preserve">Lu Chuan</t>
  </si>
  <si>
    <t xml:space="preserve">La masacre de Nankín desde varios puntos de vista.</t>
  </si>
  <si>
    <t xml:space="preserve">tt1124052</t>
  </si>
  <si>
    <t xml:space="preserve">Close</t>
  </si>
  <si>
    <t xml:space="preserve">Lukas Dhont</t>
  </si>
  <si>
    <t xml:space="preserve">Bélgica, Francia, Países Bajos</t>
  </si>
  <si>
    <t xml:space="preserve">Filmin, MUBI, MUBI Amazon Channel</t>
  </si>
  <si>
    <t xml:space="preserve">Dos amigos de trece años se distancian por la presión social.</t>
  </si>
  <si>
    <t xml:space="preserve">tt9660502</t>
  </si>
  <si>
    <t xml:space="preserve">Mandarinas</t>
  </si>
  <si>
    <t xml:space="preserve">Zaza Urushadze</t>
  </si>
  <si>
    <t xml:space="preserve">Estonia, Georgia</t>
  </si>
  <si>
    <t xml:space="preserve">Un estonio cuida de dos soldados enemigos heridos.</t>
  </si>
  <si>
    <t xml:space="preserve">tt2991224</t>
  </si>
  <si>
    <t xml:space="preserve">El erizo</t>
  </si>
  <si>
    <t xml:space="preserve">Mona Achache</t>
  </si>
  <si>
    <t xml:space="preserve">Una niña y una portera culta en un edificio parisino.</t>
  </si>
  <si>
    <t xml:space="preserve">tt1442519</t>
  </si>
  <si>
    <t xml:space="preserve">Manderlay</t>
  </si>
  <si>
    <t xml:space="preserve">Dinamarca, Francia, Alemania, Italia, Países Bajos, Suecia, Reino Unido</t>
  </si>
  <si>
    <t xml:space="preserve">Una joven intenta liberar una plantación esclavista.</t>
  </si>
  <si>
    <t xml:space="preserve">tt0342735</t>
  </si>
  <si>
    <t xml:space="preserve">Hunger</t>
  </si>
  <si>
    <t xml:space="preserve">La huelga de hambre de Bobby Sands en la cárcel de Maze.</t>
  </si>
  <si>
    <t xml:space="preserve">tt0986233</t>
  </si>
  <si>
    <t xml:space="preserve">Castaway on the Moon</t>
  </si>
  <si>
    <t xml:space="preserve">Lee Hey-jun</t>
  </si>
  <si>
    <t xml:space="preserve">Un suicida frustrado sobrevive en una isla del río Han.</t>
  </si>
  <si>
    <t xml:space="preserve">tt1499666</t>
  </si>
  <si>
    <t xml:space="preserve">Loving Vincent</t>
  </si>
  <si>
    <t xml:space="preserve">DK Welchman, Hugh Welchman</t>
  </si>
  <si>
    <t xml:space="preserve">Reino Unido, Polonia</t>
  </si>
  <si>
    <t xml:space="preserve">La muerte de Van Gogh investigada en pintura al óleo animada.</t>
  </si>
  <si>
    <t xml:space="preserve">tt3262342</t>
  </si>
  <si>
    <t xml:space="preserve">La estrella azul</t>
  </si>
  <si>
    <t xml:space="preserve">Javier Macipe</t>
  </si>
  <si>
    <t xml:space="preserve">Un rockero español viaja a Argentina a aprender folclore.</t>
  </si>
  <si>
    <t xml:space="preserve">tt11941694</t>
  </si>
  <si>
    <t xml:space="preserve">Enter the Void</t>
  </si>
  <si>
    <t xml:space="preserve">Gaspar Noé</t>
  </si>
  <si>
    <t xml:space="preserve">Canadá, Francia, Alemania, Italia</t>
  </si>
  <si>
    <t xml:space="preserve">Un traficante muerto sobrevuela Tokio como espíritu.</t>
  </si>
  <si>
    <t xml:space="preserve">tt1191111</t>
  </si>
  <si>
    <t xml:space="preserve">Brother</t>
  </si>
  <si>
    <t xml:space="preserve">Reino Unido, Japón, EE.UU.</t>
  </si>
  <si>
    <t xml:space="preserve">Un yakuza exiliado monta una banda en Los Ángeles.</t>
  </si>
  <si>
    <t xml:space="preserve">tt0222851</t>
  </si>
  <si>
    <t xml:space="preserve">Lejos del cielo</t>
  </si>
  <si>
    <t xml:space="preserve">Un ama de casa de los cincuenta y su matrimonio en crisis.</t>
  </si>
  <si>
    <t xml:space="preserve">tt0297884</t>
  </si>
  <si>
    <t xml:space="preserve">El cuento de la princesa Kaguya</t>
  </si>
  <si>
    <t xml:space="preserve">Una niña hallada en un bambú resulta ser de la Luna.</t>
  </si>
  <si>
    <t xml:space="preserve">Ghibli imitó el trazo a mano alzada del dibujo japonés tradicional.</t>
  </si>
  <si>
    <t xml:space="preserve">tt2576852</t>
  </si>
  <si>
    <t xml:space="preserve">Mother</t>
  </si>
  <si>
    <t xml:space="preserve">Una madre investiga por su cuenta el crimen que imputan a su hijo.</t>
  </si>
  <si>
    <t xml:space="preserve">tt1216496</t>
  </si>
  <si>
    <t xml:space="preserve">La tortuga roja</t>
  </si>
  <si>
    <t xml:space="preserve">Michael Dudok de Wit</t>
  </si>
  <si>
    <t xml:space="preserve">Francia, Japón</t>
  </si>
  <si>
    <t xml:space="preserve">Un náufrago convive con una tortuga en una isla desierta.</t>
  </si>
  <si>
    <t xml:space="preserve">tt3666024</t>
  </si>
  <si>
    <t xml:space="preserve">Dolls</t>
  </si>
  <si>
    <t xml:space="preserve">Tres historias de amor extremo entrelazadas.</t>
  </si>
  <si>
    <t xml:space="preserve">tt0330229</t>
  </si>
  <si>
    <t xml:space="preserve">Vías cruzadas</t>
  </si>
  <si>
    <t xml:space="preserve">Historias que confluyen en un mismo punto.</t>
  </si>
  <si>
    <t xml:space="preserve">tt0340377</t>
  </si>
  <si>
    <t xml:space="preserve">Waking Life</t>
  </si>
  <si>
    <t xml:space="preserve">Un joven deambula por sueños encadenados y conversaciones.</t>
  </si>
  <si>
    <t xml:space="preserve">tt0243017</t>
  </si>
  <si>
    <t xml:space="preserve">Jinetes de la justicia</t>
  </si>
  <si>
    <t xml:space="preserve">Anders Thomas Jensen</t>
  </si>
  <si>
    <t xml:space="preserve">Un militar busca venganza tras la muerte de su mujer.</t>
  </si>
  <si>
    <t xml:space="preserve">tt11655202</t>
  </si>
  <si>
    <t xml:space="preserve">Batman: El regreso del Caballero Oscuro, Parte 2</t>
  </si>
  <si>
    <t xml:space="preserve">Jay Oliva</t>
  </si>
  <si>
    <t xml:space="preserve">Batman envejecido se enfrenta al Joker y a Superman.</t>
  </si>
  <si>
    <t xml:space="preserve">tt2166834</t>
  </si>
  <si>
    <t xml:space="preserve">Las vidas de Grace (Short Term 12)</t>
  </si>
  <si>
    <t xml:space="preserve">Destin Cretton</t>
  </si>
  <si>
    <t xml:space="preserve">Una educadora de un centro de menores y su propio pasado.</t>
  </si>
  <si>
    <t xml:space="preserve">tt2370248</t>
  </si>
  <si>
    <t xml:space="preserve">Al otro lado</t>
  </si>
  <si>
    <t xml:space="preserve">Vidas turcas y alemanas que se cruzan sin saberlo.</t>
  </si>
  <si>
    <t xml:space="preserve">tt0880502</t>
  </si>
  <si>
    <t xml:space="preserve">Land of Mine (Bajo la arena)</t>
  </si>
  <si>
    <t xml:space="preserve">Martin Zandvliet</t>
  </si>
  <si>
    <t xml:space="preserve">Alemania, Dinamarca</t>
  </si>
  <si>
    <t xml:space="preserve">Filmin, Acontra, Acontra Plus Amazon Channel</t>
  </si>
  <si>
    <t xml:space="preserve">Prisioneros alemanes desminan playas danesas.</t>
  </si>
  <si>
    <t xml:space="preserve">tt3841424</t>
  </si>
  <si>
    <t xml:space="preserve">Redada asesina 2 (The Raid 2)</t>
  </si>
  <si>
    <t xml:space="preserve">Gareth Evans</t>
  </si>
  <si>
    <t xml:space="preserve">Indonesia, EE.UU.</t>
  </si>
  <si>
    <t xml:space="preserve">El policía se infiltra en la mafia de Yakarta.</t>
  </si>
  <si>
    <t xml:space="preserve">tt2265171</t>
  </si>
  <si>
    <t xml:space="preserve">The Chaser</t>
  </si>
  <si>
    <t xml:space="preserve">Na Hong-jin</t>
  </si>
  <si>
    <t xml:space="preserve">Un exdetective proxeneta persigue a un asesino en serie.</t>
  </si>
  <si>
    <t xml:space="preserve">tt1190539</t>
  </si>
  <si>
    <t xml:space="preserve">Deseo, peligro</t>
  </si>
  <si>
    <t xml:space="preserve">Taiwán, China, EE.UU.</t>
  </si>
  <si>
    <t xml:space="preserve">Una espía china seduce a un colaborador japonés.</t>
  </si>
  <si>
    <t xml:space="preserve">tt0808357</t>
  </si>
  <si>
    <t xml:space="preserve">El viajante</t>
  </si>
  <si>
    <t xml:space="preserve">Francia, Irán</t>
  </si>
  <si>
    <t xml:space="preserve">Una pareja de actores tras una agresión en su nuevo piso.</t>
  </si>
  <si>
    <t xml:space="preserve">tt5186714</t>
  </si>
  <si>
    <t xml:space="preserve">Lucky</t>
  </si>
  <si>
    <t xml:space="preserve">John Carroll Lynch</t>
  </si>
  <si>
    <t xml:space="preserve">Un anciano ateo afronta el final de su vida en el desierto.</t>
  </si>
  <si>
    <t xml:space="preserve">tt5859238</t>
  </si>
  <si>
    <t xml:space="preserve">Todo está iluminado</t>
  </si>
  <si>
    <t xml:space="preserve">Liev Schreiber</t>
  </si>
  <si>
    <t xml:space="preserve">Un joven judío busca en Ucrania a quien salvó a su abuelo.</t>
  </si>
  <si>
    <t xml:space="preserve">tt0404030</t>
  </si>
  <si>
    <t xml:space="preserve">Amén</t>
  </si>
  <si>
    <t xml:space="preserve">Francia, Alemania, Rumanía</t>
  </si>
  <si>
    <t xml:space="preserve">Un oficial de las SS intenta alertar al Vaticano del Holocausto.</t>
  </si>
  <si>
    <t xml:space="preserve">tt0280653</t>
  </si>
  <si>
    <t xml:space="preserve">Hedwig y The Angry Inch</t>
  </si>
  <si>
    <t xml:space="preserve">John Cameron Mitchell</t>
  </si>
  <si>
    <t xml:space="preserve">Una cantante trans alemana busca reconocimiento en EE.UU.</t>
  </si>
  <si>
    <t xml:space="preserve">tt0248845</t>
  </si>
  <si>
    <t xml:space="preserve">Historias mínimas</t>
  </si>
  <si>
    <t xml:space="preserve">Carlos Sorin</t>
  </si>
  <si>
    <t xml:space="preserve">Tres viajes por la Patagonia que acaban en el mismo pueblo.</t>
  </si>
  <si>
    <t xml:space="preserve">tt0291988</t>
  </si>
  <si>
    <t xml:space="preserve">La tierra prometida (The Bastard)</t>
  </si>
  <si>
    <t xml:space="preserve">Nikolaj Arcel</t>
  </si>
  <si>
    <t xml:space="preserve">Dinamarca, Noruega, Suecia</t>
  </si>
  <si>
    <t xml:space="preserve">Un capitán intenta colonizar un páramo danés.</t>
  </si>
  <si>
    <t xml:space="preserve">tt20561198</t>
  </si>
  <si>
    <t xml:space="preserve">Holy Spider (Araña sagrada)</t>
  </si>
  <si>
    <t xml:space="preserve">Ali Abbasi</t>
  </si>
  <si>
    <t xml:space="preserve">Dinamarca, Francia, Alemania, Suecia</t>
  </si>
  <si>
    <t xml:space="preserve">Una periodista investiga un asesino de prostitutas en Irán.</t>
  </si>
  <si>
    <t xml:space="preserve">tt18550140</t>
  </si>
  <si>
    <t xml:space="preserve">Los niños lobo</t>
  </si>
  <si>
    <t xml:space="preserve">Una madre cría sola a dos hijos mitad lobo.</t>
  </si>
  <si>
    <t xml:space="preserve">tt2140203</t>
  </si>
  <si>
    <t xml:space="preserve">No</t>
  </si>
  <si>
    <t xml:space="preserve">México, Chile, Francia, EE.UU.</t>
  </si>
  <si>
    <t xml:space="preserve">Un publicista diseña la campaña contra Pinochet en el referéndum.</t>
  </si>
  <si>
    <t xml:space="preserve">tt2059255</t>
  </si>
  <si>
    <t xml:space="preserve">Ghost in the Shell 2: Innocence</t>
  </si>
  <si>
    <t xml:space="preserve">Mamoru Oshii</t>
  </si>
  <si>
    <t xml:space="preserve">Un agente investiga androides que matan a sus dueños.</t>
  </si>
  <si>
    <t xml:space="preserve">tt0347246</t>
  </si>
  <si>
    <t xml:space="preserve">Un hombre sin pasado</t>
  </si>
  <si>
    <t xml:space="preserve">Aki Kaurismäki</t>
  </si>
  <si>
    <t xml:space="preserve">Finlandia</t>
  </si>
  <si>
    <t xml:space="preserve">Un hombre pierde la memoria y rehace su vida entre marginados.</t>
  </si>
  <si>
    <t xml:space="preserve">tt0311519</t>
  </si>
  <si>
    <t xml:space="preserve">¿Dónde está mi cuerpo?</t>
  </si>
  <si>
    <t xml:space="preserve">Jérémy Clapin</t>
  </si>
  <si>
    <t xml:space="preserve">Una mano cortada recorre París buscando su cuerpo.</t>
  </si>
  <si>
    <t xml:space="preserve">tt9806192</t>
  </si>
  <si>
    <t xml:space="preserve">De tal padre, tal hijo</t>
  </si>
  <si>
    <t xml:space="preserve">Dos familias descubren que sus hijos fueron cambiados al nacer.</t>
  </si>
  <si>
    <t xml:space="preserve">tt2331143</t>
  </si>
  <si>
    <t xml:space="preserve">Lazzaro feliz</t>
  </si>
  <si>
    <t xml:space="preserve">Alice Rohrwacher</t>
  </si>
  <si>
    <t xml:space="preserve">Francia, Italia, Suiza</t>
  </si>
  <si>
    <t xml:space="preserve">Un campesino bondadoso atraviesa el tiempo sin envejecer.</t>
  </si>
  <si>
    <t xml:space="preserve">tt6752992</t>
  </si>
  <si>
    <t xml:space="preserve">Transamérica</t>
  </si>
  <si>
    <t xml:space="preserve">Duncan Tucker</t>
  </si>
  <si>
    <t xml:space="preserve">Una mujer trans viaja con el hijo que no sabía que tenía.</t>
  </si>
  <si>
    <t xml:space="preserve">tt0407265</t>
  </si>
  <si>
    <t xml:space="preserve">Un asunto real</t>
  </si>
  <si>
    <t xml:space="preserve">República Checa, Dinamarca, Alemania, Suecia</t>
  </si>
  <si>
    <t xml:space="preserve">Una reina danesa y el médico del rey inician un romance.</t>
  </si>
  <si>
    <t xml:space="preserve">tt1276419</t>
  </si>
  <si>
    <t xml:space="preserve">Sweet Sixteen (Felices dieciséis)</t>
  </si>
  <si>
    <t xml:space="preserve">Alemania, España, Reino Unido</t>
  </si>
  <si>
    <t xml:space="preserve">Un adolescente escocés trapichea para reunirse con su madre.</t>
  </si>
  <si>
    <t xml:space="preserve">tt0313670</t>
  </si>
  <si>
    <t xml:space="preserve">El secreto de Vera Drake</t>
  </si>
  <si>
    <t xml:space="preserve">Reino Unido, Francia</t>
  </si>
  <si>
    <t xml:space="preserve">Una mujer practica abortos clandestinos en el Londres de los cincuenta.</t>
  </si>
  <si>
    <t xml:space="preserve">tt0383694</t>
  </si>
  <si>
    <t xml:space="preserve">Nadie sabe</t>
  </si>
  <si>
    <t xml:space="preserve">Cuatro hermanos abandonados sobreviven solos en Tokio.</t>
  </si>
  <si>
    <t xml:space="preserve">tt0408664</t>
  </si>
  <si>
    <t xml:space="preserve">El Narco (El infierno)</t>
  </si>
  <si>
    <t xml:space="preserve">Luis Estrada</t>
  </si>
  <si>
    <t xml:space="preserve">Un deportado vuelve a México y entra en el narco.</t>
  </si>
  <si>
    <t xml:space="preserve">tt1692190</t>
  </si>
  <si>
    <t xml:space="preserve">El señor Ibrahim y las flores del Corán</t>
  </si>
  <si>
    <t xml:space="preserve">François Dupeyron</t>
  </si>
  <si>
    <t xml:space="preserve">Un tendero turco adopta a un adolescente judío en París.</t>
  </si>
  <si>
    <t xml:space="preserve">tt0329388</t>
  </si>
  <si>
    <t xml:space="preserve">One Cut of The Dead</t>
  </si>
  <si>
    <t xml:space="preserve">Shinichirô Ueda</t>
  </si>
  <si>
    <t xml:space="preserve">Prime, Filmin, Shadowz Amazon Channel</t>
  </si>
  <si>
    <t xml:space="preserve">Un rodaje de zombis de bajo presupuesto se vuelve real.</t>
  </si>
  <si>
    <t xml:space="preserve">tt7914416</t>
  </si>
  <si>
    <t xml:space="preserve">Leviatán</t>
  </si>
  <si>
    <t xml:space="preserve">Andrey Zvyagintsev</t>
  </si>
  <si>
    <t xml:space="preserve">Rusia</t>
  </si>
  <si>
    <t xml:space="preserve">Un mecánico ruso pelea contra el alcalde que quiere su casa.</t>
  </si>
  <si>
    <t xml:space="preserve">tt2802154</t>
  </si>
  <si>
    <t xml:space="preserve">Redención (Tyrannosaur)</t>
  </si>
  <si>
    <t xml:space="preserve">Paddy Considine</t>
  </si>
  <si>
    <t xml:space="preserve">Un hombre violento encuentra consuelo en una mujer maltratada.</t>
  </si>
  <si>
    <t xml:space="preserve">tt1204340</t>
  </si>
  <si>
    <t xml:space="preserve">Machuca</t>
  </si>
  <si>
    <t xml:space="preserve">Andrés Wood</t>
  </si>
  <si>
    <t xml:space="preserve">Chile, Francia, España, Reino Unido</t>
  </si>
  <si>
    <t xml:space="preserve">Dos niños de clases opuestas en el Chile de 1973.</t>
  </si>
  <si>
    <t xml:space="preserve">tt0378284</t>
  </si>
  <si>
    <t xml:space="preserve">Tomboy</t>
  </si>
  <si>
    <t xml:space="preserve">Una niña se hace pasar por chico en su nuevo barrio.</t>
  </si>
  <si>
    <t xml:space="preserve">tt1847731</t>
  </si>
  <si>
    <t xml:space="preserve">Carandiru</t>
  </si>
  <si>
    <t xml:space="preserve">Héctor Babenco</t>
  </si>
  <si>
    <t xml:space="preserve">Un médico retrata la vida en una cárcel brasileña antes de la masacre.</t>
  </si>
  <si>
    <t xml:space="preserve">tt0293007</t>
  </si>
  <si>
    <t xml:space="preserve">Mi nombre es Khan</t>
  </si>
  <si>
    <t xml:space="preserve">Karan Johar</t>
  </si>
  <si>
    <t xml:space="preserve">India, EE.UU.</t>
  </si>
  <si>
    <t xml:space="preserve">Un musulmán con Asperger cruza EE.UU. para ver al presidente.</t>
  </si>
  <si>
    <t xml:space="preserve">tt1188996</t>
  </si>
  <si>
    <t xml:space="preserve">Frantz</t>
  </si>
  <si>
    <t xml:space="preserve">Alemania, Francia</t>
  </si>
  <si>
    <t xml:space="preserve">Filmin, Plex</t>
  </si>
  <si>
    <t xml:space="preserve">Una alemana conoce al francés que visita la tumba de su prometido.</t>
  </si>
  <si>
    <t xml:space="preserve">tt5029608</t>
  </si>
  <si>
    <t xml:space="preserve">Batman: El regreso del Caballero Oscuro, Parte 1</t>
  </si>
  <si>
    <t xml:space="preserve">Un Bruce Wayne mayor vuelve a ponerse la capa.</t>
  </si>
  <si>
    <t xml:space="preserve">tt2313197</t>
  </si>
  <si>
    <t xml:space="preserve">Las ocho montañas</t>
  </si>
  <si>
    <t xml:space="preserve">Felix Van Groeningen, Charlotte Vandermeersch</t>
  </si>
  <si>
    <t xml:space="preserve">Bélgica, Francia, Italia, Reino Unido</t>
  </si>
  <si>
    <t xml:space="preserve">Filmin, rtve, Rakuten</t>
  </si>
  <si>
    <t xml:space="preserve">La amistad de dos hombres a lo largo de décadas en los Alpes.</t>
  </si>
  <si>
    <t xml:space="preserve">tt14641542</t>
  </si>
  <si>
    <t xml:space="preserve">El regreso</t>
  </si>
  <si>
    <t xml:space="preserve">Dos hermanos rusos viajan con el padre que reaparece.</t>
  </si>
  <si>
    <t xml:space="preserve">tt0376968</t>
  </si>
  <si>
    <t xml:space="preserve">El niño y la bestia</t>
  </si>
  <si>
    <t xml:space="preserve">Un huérfano es adoptado por una bestia en un mundo paralelo.</t>
  </si>
  <si>
    <t xml:space="preserve">tt4272866</t>
  </si>
  <si>
    <t xml:space="preserve">La vida de Calabacín</t>
  </si>
  <si>
    <t xml:space="preserve">Claude Barras</t>
  </si>
  <si>
    <t xml:space="preserve">Suiza, Francia</t>
  </si>
  <si>
    <t xml:space="preserve">Un niño huérfano se adapta a un centro de acogida.</t>
  </si>
  <si>
    <t xml:space="preserve">tt2321405</t>
  </si>
  <si>
    <t xml:space="preserve">Dean DeBlois</t>
  </si>
  <si>
    <t xml:space="preserve">tt26743210</t>
  </si>
  <si>
    <t xml:space="preserve">Tokyo Godfathers</t>
  </si>
  <si>
    <t xml:space="preserve">Satoshi Kon, Shôgo Furuya</t>
  </si>
  <si>
    <t xml:space="preserve">Tres sintecho encuentran un bebé en Nochebuena.</t>
  </si>
  <si>
    <t xml:space="preserve">tt0388473</t>
  </si>
  <si>
    <t xml:space="preserve">The Quiet Girl</t>
  </si>
  <si>
    <t xml:space="preserve">Colm Bairéad</t>
  </si>
  <si>
    <t xml:space="preserve">Una niña callada pasa un verano con unos parientes lejanos.</t>
  </si>
  <si>
    <t xml:space="preserve">tt15109082</t>
  </si>
  <si>
    <t xml:space="preserve">Monstruo</t>
  </si>
  <si>
    <t xml:space="preserve">Un mismo suceso escolar contado desde tres puntos de vista.</t>
  </si>
  <si>
    <t xml:space="preserve">tt23736044</t>
  </si>
  <si>
    <t xml:space="preserve">Custodia compartida</t>
  </si>
  <si>
    <t xml:space="preserve">Xavier Legrand</t>
  </si>
  <si>
    <t xml:space="preserve">Filmin, FlixOlé</t>
  </si>
  <si>
    <t xml:space="preserve">Un divorcio con orden de custodia deriva en violencia.</t>
  </si>
  <si>
    <t xml:space="preserve">tt6002232</t>
  </si>
  <si>
    <t xml:space="preserve">Cowboy Bebop, la película: Llamando a las puertas del cielo</t>
  </si>
  <si>
    <t xml:space="preserve">Shin'ichirō Watanabe</t>
  </si>
  <si>
    <t xml:space="preserve">Los cazarrecompensas persiguen a un terrorista en Marte.</t>
  </si>
  <si>
    <t xml:space="preserve">tt0275277</t>
  </si>
  <si>
    <t xml:space="preserve">El niño</t>
  </si>
  <si>
    <t xml:space="preserve">Jean-Pierre Dardenne, Luc Dardenne</t>
  </si>
  <si>
    <t xml:space="preserve">Bélgica, Francia</t>
  </si>
  <si>
    <t xml:space="preserve">Un joven vende a su bebé recién nacido.</t>
  </si>
  <si>
    <t xml:space="preserve">Segunda Palma de Oro de los Dardenne; cima de su realismo.</t>
  </si>
  <si>
    <t xml:space="preserve">tt0456396</t>
  </si>
  <si>
    <t xml:space="preserve">Corpus Christi</t>
  </si>
  <si>
    <t xml:space="preserve">Jan Komasa</t>
  </si>
  <si>
    <t xml:space="preserve">Un exconvicto se hace pasar por sacerdote en un pueblo polaco.</t>
  </si>
  <si>
    <t xml:space="preserve">tt8649186</t>
  </si>
  <si>
    <t xml:space="preserve">La bicicleta verde</t>
  </si>
  <si>
    <t xml:space="preserve">Haifaa Al-Mansour</t>
  </si>
  <si>
    <t xml:space="preserve">Arabia Saudí, Alemania, Jordan, Países Bajos, United Arab Emirates, EE.UU.</t>
  </si>
  <si>
    <t xml:space="preserve">Una niña saudí quiere comprarse una bicicleta.</t>
  </si>
  <si>
    <t xml:space="preserve">tt2258858</t>
  </si>
  <si>
    <t xml:space="preserve">Oscura inocencia</t>
  </si>
  <si>
    <t xml:space="preserve">Gregg Araki</t>
  </si>
  <si>
    <t xml:space="preserve">EE.UU., Países Bajos</t>
  </si>
  <si>
    <t xml:space="preserve">Un joven perturbado y los abusos que marcaron su infancia.</t>
  </si>
  <si>
    <t xml:space="preserve">Araki mezcló trauma infantil y ciencia ficción desde el cine indie.</t>
  </si>
  <si>
    <t xml:space="preserve">tt0370986</t>
  </si>
  <si>
    <t xml:space="preserve">Corazón gigante</t>
  </si>
  <si>
    <t xml:space="preserve">Dagur Kári</t>
  </si>
  <si>
    <t xml:space="preserve">Dinamarca, Islandia</t>
  </si>
  <si>
    <t xml:space="preserve">Dos granjeros islandeses enemistados que son hermanos.</t>
  </si>
  <si>
    <t xml:space="preserve">tt2611652</t>
  </si>
  <si>
    <t xml:space="preserve">El Principito</t>
  </si>
  <si>
    <t xml:space="preserve">Mark Osborne</t>
  </si>
  <si>
    <t xml:space="preserve">Una niña conoce a un aviador que le cuenta la historia.</t>
  </si>
  <si>
    <t xml:space="preserve">tt1754656</t>
  </si>
  <si>
    <t xml:space="preserve">España, Argentina</t>
  </si>
  <si>
    <t xml:space="preserve">Un escritor recuerda su juventud y a su madre en Buenos Aires.</t>
  </si>
  <si>
    <t xml:space="preserve">tt0383862</t>
  </si>
  <si>
    <t xml:space="preserve">Buda explotó por vergüenza</t>
  </si>
  <si>
    <t xml:space="preserve">Hana Makhmalbaf</t>
  </si>
  <si>
    <t xml:space="preserve">Una niña afgana solo quiere ir a la escuela.</t>
  </si>
  <si>
    <t xml:space="preserve">tt1094627</t>
  </si>
  <si>
    <t xml:space="preserve">El secreto del libro de Kells</t>
  </si>
  <si>
    <t xml:space="preserve">Tomm Moore, Nora Twomey</t>
  </si>
  <si>
    <t xml:space="preserve">Bélgica, Francia, Irlanda</t>
  </si>
  <si>
    <t xml:space="preserve">Un monje ilustrador y la creación de un códice irlandés.</t>
  </si>
  <si>
    <t xml:space="preserve">tt0485601</t>
  </si>
  <si>
    <t xml:space="preserve">Arcadia</t>
  </si>
  <si>
    <t xml:space="preserve">Un thriller sobre una comunidad y sus secretos.</t>
  </si>
  <si>
    <t xml:space="preserve">tt0422015</t>
  </si>
  <si>
    <t xml:space="preserve">En América</t>
  </si>
  <si>
    <t xml:space="preserve">Irlanda, EE.UU.</t>
  </si>
  <si>
    <t xml:space="preserve">Una familia irlandesa emigra a Nueva York con dos hijas.</t>
  </si>
  <si>
    <t xml:space="preserve">tt0298845</t>
  </si>
  <si>
    <t xml:space="preserve">El abrazo de la serpiente</t>
  </si>
  <si>
    <t xml:space="preserve">Ciro Guerra</t>
  </si>
  <si>
    <t xml:space="preserve">Argentina, Colombia, Venezuela</t>
  </si>
  <si>
    <t xml:space="preserve">Un chamán guía a dos científicos por el Amazonas.</t>
  </si>
  <si>
    <t xml:space="preserve">tt4285496</t>
  </si>
  <si>
    <t xml:space="preserve">Millennium Actress</t>
  </si>
  <si>
    <t xml:space="preserve">Un documentalista entrevista a una actriz legendaria.</t>
  </si>
  <si>
    <t xml:space="preserve">tt0291350</t>
  </si>
  <si>
    <t xml:space="preserve">A Silent Voice</t>
  </si>
  <si>
    <t xml:space="preserve">Naoko Yamada</t>
  </si>
  <si>
    <t xml:space="preserve">Crunchyroll, Crunchyroll Amazon Channel</t>
  </si>
  <si>
    <t xml:space="preserve">Un chico busca redimirse con la compañera sorda a la que acosó.</t>
  </si>
  <si>
    <t xml:space="preserve">tt5323662</t>
  </si>
  <si>
    <t xml:space="preserve">Aún estoy aquí</t>
  </si>
  <si>
    <t xml:space="preserve">Una madre resiste la desaparición de su marido en la dictadura.</t>
  </si>
  <si>
    <t xml:space="preserve">tt14961016</t>
  </si>
  <si>
    <t xml:space="preserve">Hace mucho que te quiero</t>
  </si>
  <si>
    <t xml:space="preserve">Philippe Claudel</t>
  </si>
  <si>
    <t xml:space="preserve">Una mujer sale de prisión y se reencuentra con su hermana.</t>
  </si>
  <si>
    <t xml:space="preserve">tt1068649</t>
  </si>
  <si>
    <t xml:space="preserve">Las hermanas de la Magdalena</t>
  </si>
  <si>
    <t xml:space="preserve">Peter Mullan</t>
  </si>
  <si>
    <t xml:space="preserve">Tres jóvenes internadas en una lavandería irlandesa.</t>
  </si>
  <si>
    <t xml:space="preserve">tt0318411</t>
  </si>
  <si>
    <t xml:space="preserve">Siempre nos quedará mañana</t>
  </si>
  <si>
    <t xml:space="preserve">Paola Cortellesi</t>
  </si>
  <si>
    <t xml:space="preserve">Un ama de casa en la Roma de posguerra prepara un cambio.</t>
  </si>
  <si>
    <t xml:space="preserve">tt21800162</t>
  </si>
  <si>
    <t xml:space="preserve">Togo</t>
  </si>
  <si>
    <t xml:space="preserve">Ericson Core</t>
  </si>
  <si>
    <t xml:space="preserve">Un musher y su perro cruzan Alaska con un suero.</t>
  </si>
  <si>
    <t xml:space="preserve">tt5116302</t>
  </si>
  <si>
    <t xml:space="preserve">Sin amor (Loveless)</t>
  </si>
  <si>
    <t xml:space="preserve">Bélgica, Francia, Alemania, Rusia</t>
  </si>
  <si>
    <t xml:space="preserve">Una pareja en pleno divorcio busca a su hijo desaparecido.</t>
  </si>
  <si>
    <t xml:space="preserve">tt6304162</t>
  </si>
  <si>
    <t xml:space="preserve">Wolfwalkers</t>
  </si>
  <si>
    <t xml:space="preserve">Tomm Moore, Ross Stewart</t>
  </si>
  <si>
    <t xml:space="preserve">China, Francia, Irlanda, Luxemburgo, EE.UU.</t>
  </si>
  <si>
    <t xml:space="preserve">Una niña descubre a una tribu que se transforma en lobos.</t>
  </si>
  <si>
    <t xml:space="preserve">tt5198068</t>
  </si>
  <si>
    <t xml:space="preserve">Amor bajo el espino blanco</t>
  </si>
  <si>
    <t xml:space="preserve">Un amor prohibido durante la Revolución Cultural china.</t>
  </si>
  <si>
    <t xml:space="preserve">tt1554523</t>
  </si>
  <si>
    <t xml:space="preserve">Suburra</t>
  </si>
  <si>
    <t xml:space="preserve">Stefano Sollima</t>
  </si>
  <si>
    <t xml:space="preserve">Movistar, Movistar Plus+ Ficción Total , Filmin, Rakuten</t>
  </si>
  <si>
    <t xml:space="preserve">Mafia, política e Iglesia se reparten Roma.</t>
  </si>
  <si>
    <t xml:space="preserve">tt4025514</t>
  </si>
  <si>
    <t xml:space="preserve">El sueño de Valentín</t>
  </si>
  <si>
    <t xml:space="preserve">Alejandro Agresti</t>
  </si>
  <si>
    <t xml:space="preserve">Prime, Rakuten, Runtime</t>
  </si>
  <si>
    <t xml:space="preserve">Un niño argentino de los sesenta busca reunir a su familia.</t>
  </si>
  <si>
    <t xml:space="preserve">tt0296915</t>
  </si>
  <si>
    <t xml:space="preserve">El recuerdo de Marnie</t>
  </si>
  <si>
    <t xml:space="preserve">Una niña conoce a una misteriosa amiga en una casa junto al mar.</t>
  </si>
  <si>
    <t xml:space="preserve">tt3398268</t>
  </si>
  <si>
    <t xml:space="preserve">Better Man</t>
  </si>
  <si>
    <t xml:space="preserve">Michael Gracey</t>
  </si>
  <si>
    <t xml:space="preserve">La vida de Robbie Williams, representado como un chimpancé.</t>
  </si>
  <si>
    <t xml:space="preserve">tt14260836</t>
  </si>
  <si>
    <t xml:space="preserve">Girl</t>
  </si>
  <si>
    <t xml:space="preserve">Bélgica, Países Bajos</t>
  </si>
  <si>
    <t xml:space="preserve">Una adolescente trans lucha por ser bailarina.</t>
  </si>
  <si>
    <t xml:space="preserve">tt8254556</t>
  </si>
  <si>
    <t xml:space="preserve">Sorry We Missed You</t>
  </si>
  <si>
    <t xml:space="preserve">Movistar, Movistar Plus+ Ficción Total , Filmin, rtve</t>
  </si>
  <si>
    <t xml:space="preserve">Un repartidor autónomo británico ahogado por la precariedad.</t>
  </si>
  <si>
    <t xml:space="preserve">tt8359816</t>
  </si>
  <si>
    <t xml:space="preserve">Yo maté a mi madre</t>
  </si>
  <si>
    <t xml:space="preserve">Un adolescente en guerra permanente con su madre.</t>
  </si>
  <si>
    <t xml:space="preserve">tt1424797</t>
  </si>
  <si>
    <t xml:space="preserve">My Sassy Girl</t>
  </si>
  <si>
    <t xml:space="preserve">Kwak Jae-young</t>
  </si>
  <si>
    <t xml:space="preserve">Un estudiante coreano conoce a una chica impredecible.</t>
  </si>
  <si>
    <t xml:space="preserve">tt0293715</t>
  </si>
  <si>
    <t xml:space="preserve">Suzume</t>
  </si>
  <si>
    <t xml:space="preserve">Netflix, Crunchyroll, Crunchyroll Amazon Channel</t>
  </si>
  <si>
    <t xml:space="preserve">Una joven cierra puertas que liberan catástrofes en Japón.</t>
  </si>
  <si>
    <t xml:space="preserve">tt16428256</t>
  </si>
  <si>
    <t xml:space="preserve">Elsa &amp; Fred</t>
  </si>
  <si>
    <t xml:space="preserve">Marcos Carnevale</t>
  </si>
  <si>
    <t xml:space="preserve">Netflix, Movistar Plus+ Ficción Total , FlixOlé, FlixOlé Amazon Channel</t>
  </si>
  <si>
    <t xml:space="preserve">Dos ancianos vecinos se enamoran y viajan a Roma.</t>
  </si>
  <si>
    <t xml:space="preserve">tt0453047</t>
  </si>
  <si>
    <t xml:space="preserve">El ocaso del samurái</t>
  </si>
  <si>
    <t xml:space="preserve">Yôji Yamada</t>
  </si>
  <si>
    <t xml:space="preserve">Un samurái viudo y pobre cuida de sus hijas.</t>
  </si>
  <si>
    <t xml:space="preserve">tt0351817</t>
  </si>
  <si>
    <t xml:space="preserve">Las increíbles aventuras de Wallace y Gromit</t>
  </si>
  <si>
    <t xml:space="preserve">Nick Park</t>
  </si>
  <si>
    <t xml:space="preserve">Cortos del inventor y su perro en plastilina.</t>
  </si>
  <si>
    <t xml:space="preserve">tt28380163</t>
  </si>
  <si>
    <t xml:space="preserve">Nimona</t>
  </si>
  <si>
    <t xml:space="preserve">Nick Bruno, Troy Quane</t>
  </si>
  <si>
    <t xml:space="preserve">Una cambiaformas ayuda a un caballero acusado en falso.</t>
  </si>
  <si>
    <t xml:space="preserve">tt19500164</t>
  </si>
  <si>
    <t xml:space="preserve">Lazos de guerra</t>
  </si>
  <si>
    <t xml:space="preserve">Kang Je-gyu</t>
  </si>
  <si>
    <t xml:space="preserve">Dos hermanos separados en bandos opuestos en Corea.</t>
  </si>
  <si>
    <t xml:space="preserve">tt0386064</t>
  </si>
  <si>
    <t xml:space="preserve">Sorda</t>
  </si>
  <si>
    <t xml:space="preserve">Eva Libertad</t>
  </si>
  <si>
    <t xml:space="preserve">Una mujer sorda afronta la maternidad y la incomunicación.</t>
  </si>
  <si>
    <t xml:space="preserve">tt26923797</t>
  </si>
  <si>
    <t xml:space="preserve">Quo Vadis, Aida?</t>
  </si>
  <si>
    <t xml:space="preserve">Jasmila Zbanic</t>
  </si>
  <si>
    <t xml:space="preserve">Austria, Bosnia, Francia, Alemania, Montenegro, Países Bajos, Noruega, Polonia, Rumanía, Turquía</t>
  </si>
  <si>
    <t xml:space="preserve">Una traductora de la ONU intenta salvar a su familia en Srebrenica.</t>
  </si>
  <si>
    <t xml:space="preserve">tt8633462</t>
  </si>
  <si>
    <t xml:space="preserve">Tierra de Dios</t>
  </si>
  <si>
    <t xml:space="preserve">Francis Lee</t>
  </si>
  <si>
    <t xml:space="preserve">Un granjero solitario se enamora de un temporero rumano.</t>
  </si>
  <si>
    <t xml:space="preserve">tt5635086</t>
  </si>
  <si>
    <t xml:space="preserve">Evangelion: 1.0 You Are (Not) Alone</t>
  </si>
  <si>
    <t xml:space="preserve">Hideaki Anno, Masayuki, Kazuya Tsurumaki</t>
  </si>
  <si>
    <t xml:space="preserve">Un adolescente pilota un mecha contra los ángeles.</t>
  </si>
  <si>
    <t xml:space="preserve">tt0923811</t>
  </si>
  <si>
    <t xml:space="preserve">Conversaciones con mi jardinero</t>
  </si>
  <si>
    <t xml:space="preserve">Jean Becker</t>
  </si>
  <si>
    <t xml:space="preserve">Un pintor reencuentra a un amigo de infancia en su huerto.</t>
  </si>
  <si>
    <t xml:space="preserve">tt0825244</t>
  </si>
  <si>
    <t xml:space="preserve">El insulto</t>
  </si>
  <si>
    <t xml:space="preserve">Ziad Doueiri</t>
  </si>
  <si>
    <t xml:space="preserve">Francia, Líbano</t>
  </si>
  <si>
    <t xml:space="preserve">Una disputa vecinal en Beirut escala hasta un juicio nacional.</t>
  </si>
  <si>
    <t xml:space="preserve">tt7048622</t>
  </si>
  <si>
    <t xml:space="preserve">Los domingos</t>
  </si>
  <si>
    <t xml:space="preserve">Retrato de una familia y sus rutinas.</t>
  </si>
  <si>
    <t xml:space="preserve">tt35513027</t>
  </si>
  <si>
    <t xml:space="preserve">La vida es un milagro</t>
  </si>
  <si>
    <t xml:space="preserve">Serbia, Francia, Italia</t>
  </si>
  <si>
    <t xml:space="preserve">Un ingeniero bosnio se enamora de una rehén serbia.</t>
  </si>
  <si>
    <t xml:space="preserve">tt0322420</t>
  </si>
  <si>
    <t xml:space="preserve">El pan de la guerra (The Breadwinner)</t>
  </si>
  <si>
    <t xml:space="preserve">Nora Twomey</t>
  </si>
  <si>
    <t xml:space="preserve">Irlanda, Canadá, Luxemburgo</t>
  </si>
  <si>
    <t xml:space="preserve">Una niña afgana se hace pasar por chico para mantener a su familia.</t>
  </si>
  <si>
    <t xml:space="preserve">tt3901826</t>
  </si>
  <si>
    <t xml:space="preserve">Maudie, el color de la vida</t>
  </si>
  <si>
    <t xml:space="preserve">Aisling Walsh</t>
  </si>
  <si>
    <t xml:space="preserve">Una pintora artrítica y el pescador con el que se casa.</t>
  </si>
  <si>
    <t xml:space="preserve">tt3721954</t>
  </si>
  <si>
    <t xml:space="preserve">El caballo de Turín</t>
  </si>
  <si>
    <t xml:space="preserve">Béla Tarr, Ágnes Hranitzky</t>
  </si>
  <si>
    <t xml:space="preserve">Hungría, Francia, Alemania, Suiza</t>
  </si>
  <si>
    <t xml:space="preserve">Un campesino y su hija repiten su rutina mientras todo se apaga.</t>
  </si>
  <si>
    <t xml:space="preserve">tt1316540</t>
  </si>
  <si>
    <t xml:space="preserve">Laurence Anyways</t>
  </si>
  <si>
    <t xml:space="preserve">Canadá, Francia</t>
  </si>
  <si>
    <t xml:space="preserve">Un profesor le dice a su novia que quiere transicionar.</t>
  </si>
  <si>
    <t xml:space="preserve">tt1650048</t>
  </si>
  <si>
    <t xml:space="preserve">El acontecimiento</t>
  </si>
  <si>
    <t xml:space="preserve">Audrey Diwan</t>
  </si>
  <si>
    <t xml:space="preserve">Una estudiante francesa de los sesenta busca abortar.</t>
  </si>
  <si>
    <t xml:space="preserve">tt13880104</t>
  </si>
  <si>
    <t xml:space="preserve">Un día más con vida</t>
  </si>
  <si>
    <t xml:space="preserve">Raúl de la Fuente, Damian Nenow</t>
  </si>
  <si>
    <t xml:space="preserve">Bélgica, Alemania, Hungría, Polonia, España</t>
  </si>
  <si>
    <t xml:space="preserve">Un reportero polaco cubre la guerra de Angola.</t>
  </si>
  <si>
    <t xml:space="preserve">tt2967856</t>
  </si>
  <si>
    <t xml:space="preserve">Las consecuencias del amor</t>
  </si>
  <si>
    <t xml:space="preserve">Un hombre solitario en un hotel suizo trabaja para la mafia.</t>
  </si>
  <si>
    <t xml:space="preserve">tt0398883</t>
  </si>
  <si>
    <t xml:space="preserve">El arca rusa</t>
  </si>
  <si>
    <t xml:space="preserve">Aleksandr Sokúrov</t>
  </si>
  <si>
    <t xml:space="preserve">Un recorrido por el Hermitage en un solo plano secuencia.</t>
  </si>
  <si>
    <t xml:space="preserve">tt0318034</t>
  </si>
  <si>
    <t xml:space="preserve">Joint Security Area (JSA)</t>
  </si>
  <si>
    <t xml:space="preserve">Kocowa</t>
  </si>
  <si>
    <t xml:space="preserve">Una investigación sobre un tiroteo en la frontera coreana.</t>
  </si>
  <si>
    <t xml:space="preserve">tt0260991</t>
  </si>
  <si>
    <t xml:space="preserve">Después de la boda</t>
  </si>
  <si>
    <t xml:space="preserve">Un cooperante en la India recibe una oferta con condiciones.</t>
  </si>
  <si>
    <t xml:space="preserve">tt0457655</t>
  </si>
  <si>
    <t xml:space="preserve">Los niños de San Judas</t>
  </si>
  <si>
    <t xml:space="preserve">Irlanda, Reino Unido, Dinamarca, España</t>
  </si>
  <si>
    <t xml:space="preserve">Niños internos maltratados en un reformatorio irlandés.</t>
  </si>
  <si>
    <t xml:space="preserve">tt0339707</t>
  </si>
  <si>
    <t xml:space="preserve">Evangelion 2.0 You Can (Not) Advance</t>
  </si>
  <si>
    <t xml:space="preserve">Hideaki Anno, Kazuya Tsurumaki, Masayuki</t>
  </si>
  <si>
    <t xml:space="preserve">Nuevos pilotos se suman a la lucha contra los ángeles.</t>
  </si>
  <si>
    <t xml:space="preserve">tt0860906</t>
  </si>
  <si>
    <t xml:space="preserve">Kneecap</t>
  </si>
  <si>
    <t xml:space="preserve">Rich Peppiatt</t>
  </si>
  <si>
    <t xml:space="preserve">Tres raperos irlandeses reivindican su lengua desde el gamberrismo.</t>
  </si>
  <si>
    <t xml:space="preserve">tt27367464</t>
  </si>
  <si>
    <t xml:space="preserve">La fuente de las mujeres</t>
  </si>
  <si>
    <t xml:space="preserve">Bélgica, Italia, Francia</t>
  </si>
  <si>
    <t xml:space="preserve">Las mujeres de una aldea hacen huelga de sexo por el agua.</t>
  </si>
  <si>
    <t xml:space="preserve">tt1686067</t>
  </si>
  <si>
    <t xml:space="preserve">Metro Manila</t>
  </si>
  <si>
    <t xml:space="preserve">Sean Ellis</t>
  </si>
  <si>
    <t xml:space="preserve">Una familia rural emigra a la capital y cae en una trampa.</t>
  </si>
  <si>
    <t xml:space="preserve">tt1845838</t>
  </si>
  <si>
    <t xml:space="preserve">Time</t>
  </si>
  <si>
    <t xml:space="preserve">Japón, Corea del Sur</t>
  </si>
  <si>
    <t xml:space="preserve">Una mujer se opera el rostro para reconquistar a su novio.</t>
  </si>
  <si>
    <t xml:space="preserve">tt0497986</t>
  </si>
  <si>
    <t xml:space="preserve">Still Walking</t>
  </si>
  <si>
    <t xml:space="preserve">Una familia japonesa se reúne en el aniversario de una muerte.</t>
  </si>
  <si>
    <t xml:space="preserve">tt1087578</t>
  </si>
  <si>
    <t xml:space="preserve">Submarino</t>
  </si>
  <si>
    <t xml:space="preserve">Dos hermanos daneses marcados por una tragedia infantil.</t>
  </si>
  <si>
    <t xml:space="preserve">tt1322385</t>
  </si>
  <si>
    <t xml:space="preserve">Dejad de quererme</t>
  </si>
  <si>
    <t xml:space="preserve">Un joven se enfrenta a su pasado familiar.</t>
  </si>
  <si>
    <t xml:space="preserve">tt0996930</t>
  </si>
  <si>
    <t xml:space="preserve">Sueño de invierno (Winter Sleep)</t>
  </si>
  <si>
    <t xml:space="preserve">Nuri Bilge Ceylan</t>
  </si>
  <si>
    <t xml:space="preserve">Turquía, Francia, Alemania</t>
  </si>
  <si>
    <t xml:space="preserve">Un hotelero turco discute con su mujer y su hermana.</t>
  </si>
  <si>
    <t xml:space="preserve">tt2758880</t>
  </si>
  <si>
    <t xml:space="preserve">Bombón, el perro</t>
  </si>
  <si>
    <t xml:space="preserve">Un hombre en paro recibe un dogo argentino como regalo.</t>
  </si>
  <si>
    <t xml:space="preserve">tt0420548</t>
  </si>
  <si>
    <t xml:space="preserve">Especiales</t>
  </si>
  <si>
    <t xml:space="preserve">Dos educadores atienden a jóvenes autistas al margen del sistema.</t>
  </si>
  <si>
    <t xml:space="preserve">tt8655470</t>
  </si>
  <si>
    <t xml:space="preserve">Oslo, 31 de agosto</t>
  </si>
  <si>
    <t xml:space="preserve">Noruega</t>
  </si>
  <si>
    <t xml:space="preserve">Un exadicto pasa un día fuera del centro de desintoxicación.</t>
  </si>
  <si>
    <t xml:space="preserve">tt1736633</t>
  </si>
  <si>
    <t xml:space="preserve">Elling</t>
  </si>
  <si>
    <t xml:space="preserve">Petter Naess</t>
  </si>
  <si>
    <t xml:space="preserve">Dos hombres salen de una institución y aprenden a vivir solos.</t>
  </si>
  <si>
    <t xml:space="preserve">tt0279064</t>
  </si>
  <si>
    <t xml:space="preserve">Romería</t>
  </si>
  <si>
    <t xml:space="preserve">Carla Simón</t>
  </si>
  <si>
    <t xml:space="preserve">Una joven viaja a Vigo a reconstruir la historia de sus padres.</t>
  </si>
  <si>
    <t xml:space="preserve">tt32538648</t>
  </si>
  <si>
    <t xml:space="preserve">Memorias de un caracol</t>
  </si>
  <si>
    <t xml:space="preserve">Una coleccionista de caracoles recuerda su infancia separada de su gemelo.</t>
  </si>
  <si>
    <t xml:space="preserve">tt23770030</t>
  </si>
  <si>
    <t xml:space="preserve">Weekend</t>
  </si>
  <si>
    <t xml:space="preserve">Andrew Haigh</t>
  </si>
  <si>
    <t xml:space="preserve">Filmin, Acontra</t>
  </si>
  <si>
    <t xml:space="preserve">Dos hombres se conocen un viernes y pasan el fin de semana juntos.</t>
  </si>
  <si>
    <t xml:space="preserve">tt1714210</t>
  </si>
  <si>
    <t xml:space="preserve">Yo capitán</t>
  </si>
  <si>
    <t xml:space="preserve">Matteo Garrone</t>
  </si>
  <si>
    <t xml:space="preserve">Bélgica, Francia, Italia</t>
  </si>
  <si>
    <t xml:space="preserve">Dos primos senegaleses cruzan África y el Mediterráneo.</t>
  </si>
  <si>
    <t xml:space="preserve">tt14225838</t>
  </si>
  <si>
    <t xml:space="preserve">Un héroe</t>
  </si>
  <si>
    <t xml:space="preserve">Un preso iraní devuelve un bolso y se vuelve famoso.</t>
  </si>
  <si>
    <t xml:space="preserve">tt11777738</t>
  </si>
  <si>
    <t xml:space="preserve">Estómago</t>
  </si>
  <si>
    <t xml:space="preserve">Marcos Jorge</t>
  </si>
  <si>
    <t xml:space="preserve">Brasil, Italia</t>
  </si>
  <si>
    <t xml:space="preserve">Un cocinero asciende gracias a su talento, dentro y fuera de la cárcel.</t>
  </si>
  <si>
    <t xml:space="preserve">tt1039960</t>
  </si>
  <si>
    <t xml:space="preserve">Agua</t>
  </si>
  <si>
    <t xml:space="preserve">Deepa Mehta</t>
  </si>
  <si>
    <t xml:space="preserve">Viudas hindúes confinadas en un asilo en 1938.</t>
  </si>
  <si>
    <t xml:space="preserve">tt0240200</t>
  </si>
  <si>
    <t xml:space="preserve">Radical</t>
  </si>
  <si>
    <t xml:space="preserve">Christopher Zalla</t>
  </si>
  <si>
    <t xml:space="preserve">México, EE.UU.</t>
  </si>
  <si>
    <t xml:space="preserve">Un maestro mexicano cambia el método con alumnos de un barrio pobre.</t>
  </si>
  <si>
    <t xml:space="preserve">tt14570440</t>
  </si>
  <si>
    <t xml:space="preserve">Nuestra hermana pequeña</t>
  </si>
  <si>
    <t xml:space="preserve">Tres hermanas acogen a su hermanastra adolescente.</t>
  </si>
  <si>
    <t xml:space="preserve">tt3756788</t>
  </si>
  <si>
    <t xml:space="preserve">Osama</t>
  </si>
  <si>
    <t xml:space="preserve">Siddiq Barmak</t>
  </si>
  <si>
    <t xml:space="preserve">Afganistán, Irlanda, Japón</t>
  </si>
  <si>
    <t xml:space="preserve">Una niña afgana se disfraza de chico bajo el régimen talibán.</t>
  </si>
  <si>
    <t xml:space="preserve">tt0368913</t>
  </si>
  <si>
    <t xml:space="preserve">A propósito de Elly</t>
  </si>
  <si>
    <t xml:space="preserve">Una desaparición en la playa desmonta a un grupo de amigos.</t>
  </si>
  <si>
    <t xml:space="preserve">tt1360860</t>
  </si>
  <si>
    <t xml:space="preserve">Guardianes de la noche: Tren infinito</t>
  </si>
  <si>
    <t xml:space="preserve">Haruo Sotozaki</t>
  </si>
  <si>
    <t xml:space="preserve">Los cazadores combaten a un demonio en un tren.</t>
  </si>
  <si>
    <t xml:space="preserve">tt11032374</t>
  </si>
  <si>
    <t xml:space="preserve">Buñuel en el laberinto de las tortugas</t>
  </si>
  <si>
    <t xml:space="preserve">Salvador Simó Busom</t>
  </si>
  <si>
    <t xml:space="preserve">Alemania, Países Bajos, España</t>
  </si>
  <si>
    <t xml:space="preserve">Buñuel rueda un documental en Las Hurdes.</t>
  </si>
  <si>
    <t xml:space="preserve">tt7336470</t>
  </si>
  <si>
    <t xml:space="preserve">Voces inocentes</t>
  </si>
  <si>
    <t xml:space="preserve">Luis Mandoki</t>
  </si>
  <si>
    <t xml:space="preserve">México, Puerto Rico, EE.UU.</t>
  </si>
  <si>
    <t xml:space="preserve">Un niño salvadoreño huye del reclutamiento militar.</t>
  </si>
  <si>
    <t xml:space="preserve">tt0387914</t>
  </si>
  <si>
    <t xml:space="preserve">La cumbre de los dioses</t>
  </si>
  <si>
    <t xml:space="preserve">Patrick Imbert</t>
  </si>
  <si>
    <t xml:space="preserve">Francia, Luxemburgo</t>
  </si>
  <si>
    <t xml:space="preserve">Un fotógrafo sigue la pista de un alpinista desaparecido.</t>
  </si>
  <si>
    <t xml:space="preserve">tt7014378</t>
  </si>
  <si>
    <t xml:space="preserve">El acusado</t>
  </si>
  <si>
    <t xml:space="preserve">Yvan Attal</t>
  </si>
  <si>
    <t xml:space="preserve">Un hombre se enfrenta a un juicio por un crimen que niega.</t>
  </si>
  <si>
    <t xml:space="preserve">tt13285394</t>
  </si>
  <si>
    <t xml:space="preserve">Para todos los gustos</t>
  </si>
  <si>
    <t xml:space="preserve">Agnès Jaoui</t>
  </si>
  <si>
    <t xml:space="preserve">Un empresario rudo se enamora de una actriz de teatro.</t>
  </si>
  <si>
    <t xml:space="preserve">tt0216787</t>
  </si>
  <si>
    <t xml:space="preserve">Armonías de Werckmeister</t>
  </si>
  <si>
    <t xml:space="preserve">Hungría</t>
  </si>
  <si>
    <t xml:space="preserve">Un circo con una ballena desata el caos en un pueblo húngaro.</t>
  </si>
  <si>
    <t xml:space="preserve">Menos de cuarenta planos en dos horas y media.</t>
  </si>
  <si>
    <t xml:space="preserve">tt0249241</t>
  </si>
  <si>
    <t xml:space="preserve">Pájaros de verano</t>
  </si>
  <si>
    <t xml:space="preserve">Ciro Guerra, Cristina Gallego</t>
  </si>
  <si>
    <t xml:space="preserve">Colombia, Dinamarca, Francia, México</t>
  </si>
  <si>
    <t xml:space="preserve">Una familia wayú se enriquece con la bonanza marimbera.</t>
  </si>
  <si>
    <t xml:space="preserve">tt6386748</t>
  </si>
  <si>
    <t xml:space="preserve">La semilla de la higuera sagrada</t>
  </si>
  <si>
    <t xml:space="preserve">Mohammad Rasoulof</t>
  </si>
  <si>
    <t xml:space="preserve">Un juez iraní y su familia durante las protestas.</t>
  </si>
  <si>
    <t xml:space="preserve">tt32178949</t>
  </si>
  <si>
    <t xml:space="preserve">Los limoneros</t>
  </si>
  <si>
    <t xml:space="preserve">Eran Riklis</t>
  </si>
  <si>
    <t xml:space="preserve">Israel, Alemania, Francia</t>
  </si>
  <si>
    <t xml:space="preserve">Una palestina pelea por sus limoneros ante un ministro israelí.</t>
  </si>
  <si>
    <t xml:space="preserve">tt1172963</t>
  </si>
  <si>
    <t xml:space="preserve">Evil (Ondskan)</t>
  </si>
  <si>
    <t xml:space="preserve">Mikael Håfström</t>
  </si>
  <si>
    <t xml:space="preserve">Un joven violento intenta sobrevivir en un internado.</t>
  </si>
  <si>
    <t xml:space="preserve">tt0338309</t>
  </si>
  <si>
    <t xml:space="preserve">Una familia de Tokio</t>
  </si>
  <si>
    <t xml:space="preserve">Movistar, Movistar Plus+ Ficción Total , Filmin, Acontra, Acontra Plus Amazon Channel, Tivify, 3Cat</t>
  </si>
  <si>
    <t xml:space="preserve">Unos ancianos visitan a sus hijos en la ciudad.</t>
  </si>
  <si>
    <t xml:space="preserve">tt1796652</t>
  </si>
  <si>
    <t xml:space="preserve">Klass (The Class)</t>
  </si>
  <si>
    <t xml:space="preserve">Ilmar Raag</t>
  </si>
  <si>
    <t xml:space="preserve">Estonia</t>
  </si>
  <si>
    <t xml:space="preserve">Un alumno acosado y el compañero que lo defiende.</t>
  </si>
  <si>
    <t xml:space="preserve">tt0988108</t>
  </si>
  <si>
    <t xml:space="preserve">Regreso a casa</t>
  </si>
  <si>
    <t xml:space="preserve">Un preso político chino vuelve con su mujer amnésica.</t>
  </si>
  <si>
    <t xml:space="preserve">tt3125472</t>
  </si>
  <si>
    <t xml:space="preserve">Ernest &amp; Célestine</t>
  </si>
  <si>
    <t xml:space="preserve">Benjamin Renner, Stéphane Aubier, Vincent Patar</t>
  </si>
  <si>
    <t xml:space="preserve">Bélgica, Francia, Luxemburgo</t>
  </si>
  <si>
    <t xml:space="preserve">Un oso y una ratita se hacen amigos pese a sus mundos.</t>
  </si>
  <si>
    <t xml:space="preserve">tt1816518</t>
  </si>
  <si>
    <t xml:space="preserve">Welcome</t>
  </si>
  <si>
    <t xml:space="preserve">Philippe Lioret</t>
  </si>
  <si>
    <t xml:space="preserve">Un socorrista ayuda a un joven kurdo a cruzar el Canal.</t>
  </si>
  <si>
    <t xml:space="preserve">tt1314280</t>
  </si>
  <si>
    <t xml:space="preserve">Cerezos en flor</t>
  </si>
  <si>
    <t xml:space="preserve">Doris Dörrie</t>
  </si>
  <si>
    <t xml:space="preserve">Un viudo alemán viaja a Japón siguiendo el sueño de su mujer.</t>
  </si>
  <si>
    <t xml:space="preserve">tt0910559</t>
  </si>
  <si>
    <t xml:space="preserve">Solo nos queda bailar</t>
  </si>
  <si>
    <t xml:space="preserve">Levan Akin</t>
  </si>
  <si>
    <t xml:space="preserve">Francia, Georgia, Suecia</t>
  </si>
  <si>
    <t xml:space="preserve">Un bailarín georgiano se enamora de un compañero.</t>
  </si>
  <si>
    <t xml:space="preserve">tt8963708</t>
  </si>
  <si>
    <t xml:space="preserve">El samurái sin nombre (Sword of the Stranger)</t>
  </si>
  <si>
    <t xml:space="preserve">Masahiro Andō</t>
  </si>
  <si>
    <t xml:space="preserve">Un rōnin protege a un niño perseguido por guerreros chinos.</t>
  </si>
  <si>
    <t xml:space="preserve">tt1121794</t>
  </si>
  <si>
    <t xml:space="preserve">La desconocida</t>
  </si>
  <si>
    <t xml:space="preserve">Una inmigrante ucraniana se emplea en una familia con un plan.</t>
  </si>
  <si>
    <t xml:space="preserve">tt0494271</t>
  </si>
  <si>
    <t xml:space="preserve">Vampire Hunter D: Bloodlust</t>
  </si>
  <si>
    <t xml:space="preserve">Vampiros</t>
  </si>
  <si>
    <t xml:space="preserve">Un cazador mestizo persigue a un vampiro que raptó a una joven.</t>
  </si>
  <si>
    <t xml:space="preserve">tt0216651</t>
  </si>
  <si>
    <t xml:space="preserve">South Park: Imaginationland</t>
  </si>
  <si>
    <t xml:space="preserve">Trey Parker</t>
  </si>
  <si>
    <t xml:space="preserve">Los niños entran en el mundo de la imaginación.</t>
  </si>
  <si>
    <t xml:space="preserve">tt1308667</t>
  </si>
  <si>
    <t xml:space="preserve">Poesía</t>
  </si>
  <si>
    <t xml:space="preserve">Lee Chang-Dong</t>
  </si>
  <si>
    <t xml:space="preserve">Una abuela con alzhéimer se apunta a un taller de poesía.</t>
  </si>
  <si>
    <t xml:space="preserve">tt1287878</t>
  </si>
  <si>
    <t xml:space="preserve">It's Such a Beautiful Day (Película)</t>
  </si>
  <si>
    <t xml:space="preserve">Don Hertzfeldt</t>
  </si>
  <si>
    <t xml:space="preserve">Un hombre con una enfermedad mental se desmorona, en monigotes.</t>
  </si>
  <si>
    <t xml:space="preserve">tt2396224</t>
  </si>
  <si>
    <t xml:space="preserve">Omar</t>
  </si>
  <si>
    <t xml:space="preserve">Palestinian Territory</t>
  </si>
  <si>
    <t xml:space="preserve">Un joven palestino chantajeado para delatar a sus amigos.</t>
  </si>
  <si>
    <t xml:space="preserve">tt2852406</t>
  </si>
  <si>
    <t xml:space="preserve">Hamilton</t>
  </si>
  <si>
    <t xml:space="preserve">Thomas Kail</t>
  </si>
  <si>
    <t xml:space="preserve">El musical sobre el padre fundador, grabado en Broadway.</t>
  </si>
  <si>
    <t xml:space="preserve">tt8503618</t>
  </si>
  <si>
    <t xml:space="preserve">Vete y vive</t>
  </si>
  <si>
    <t xml:space="preserve">Francia, Israel, Bélgica, Italia</t>
  </si>
  <si>
    <t xml:space="preserve">Un niño etíope cristiano se hace pasar por judío para emigrar.</t>
  </si>
  <si>
    <t xml:space="preserve">tt0388505</t>
  </si>
  <si>
    <t xml:space="preserve">Las ilusiones perdidas</t>
  </si>
  <si>
    <t xml:space="preserve">Xavier Giannoli</t>
  </si>
  <si>
    <t xml:space="preserve">Un joven poeta se corrompe en el periodismo parisino.</t>
  </si>
  <si>
    <t xml:space="preserve">tt10505316</t>
  </si>
  <si>
    <t xml:space="preserve">Berserk. La Edad de Oro II: La batalla de Doldrey</t>
  </si>
  <si>
    <t xml:space="preserve">Toshiyuki Kubooka</t>
  </si>
  <si>
    <t xml:space="preserve">Guts y la Banda del Halcón asaltan una fortaleza.</t>
  </si>
  <si>
    <t xml:space="preserve">tt2358911</t>
  </si>
  <si>
    <t xml:space="preserve">Yi Yi</t>
  </si>
  <si>
    <t xml:space="preserve">Edward Yang</t>
  </si>
  <si>
    <t xml:space="preserve">Taiwán, Japón</t>
  </si>
  <si>
    <t xml:space="preserve">Tres generaciones de una familia taiwanesa entre bodas y funerales.</t>
  </si>
  <si>
    <t xml:space="preserve">Yang cerró el Nuevo Cine Taiwanés con un fresco familiar de tres generaciones que le valió el premio a la.</t>
  </si>
  <si>
    <t xml:space="preserve">tt0244316</t>
  </si>
  <si>
    <t xml:space="preserve">3 Idiots</t>
  </si>
  <si>
    <t xml:space="preserve">Rajkumar Hirani</t>
  </si>
  <si>
    <t xml:space="preserve">India</t>
  </si>
  <si>
    <t xml:space="preserve">Tres estudiantes de ingeniería se rebelan contra el sistema.</t>
  </si>
  <si>
    <t xml:space="preserve">tt1187043</t>
  </si>
  <si>
    <t xml:space="preserve">Bugonia</t>
  </si>
  <si>
    <t xml:space="preserve">Dos jóvenes secuestran a una directiva creyéndola alienígena.</t>
  </si>
  <si>
    <t xml:space="preserve">tt12300742</t>
  </si>
  <si>
    <t xml:space="preserve">El hijo</t>
  </si>
  <si>
    <t xml:space="preserve">Un carpintero acoge como aprendiz al asesino de su hijo.</t>
  </si>
  <si>
    <t xml:space="preserve">tt0291172</t>
  </si>
  <si>
    <t xml:space="preserve">Berserk. La Edad de Oro III: El advenimiento</t>
  </si>
  <si>
    <t xml:space="preserve">La Banda del Halcón afronta su destino más oscuro.</t>
  </si>
  <si>
    <t xml:space="preserve">tt2358913</t>
  </si>
  <si>
    <t xml:space="preserve">Caminar sobre las aguas</t>
  </si>
  <si>
    <t xml:space="preserve">Eytan Fox</t>
  </si>
  <si>
    <t xml:space="preserve">Israel, Suecia</t>
  </si>
  <si>
    <t xml:space="preserve">Un agente del Mossad vigila al nieto de un criminal nazi.</t>
  </si>
  <si>
    <t xml:space="preserve">tt0352994</t>
  </si>
  <si>
    <t xml:space="preserve">Hasta siempre, hijo mío</t>
  </si>
  <si>
    <t xml:space="preserve">Wang Xiaoshuai</t>
  </si>
  <si>
    <t xml:space="preserve">Dos familias chinas marcadas por una muerte y la política del hijo único.</t>
  </si>
  <si>
    <t xml:space="preserve">tt9581076</t>
  </si>
  <si>
    <t xml:space="preserve">Una segunda madre</t>
  </si>
  <si>
    <t xml:space="preserve">Anna Muylaert</t>
  </si>
  <si>
    <t xml:space="preserve">Una criada brasileña recibe a la hija que dejó atrás.</t>
  </si>
  <si>
    <t xml:space="preserve">tt3742378</t>
  </si>
  <si>
    <t xml:space="preserve">Un oso rojo</t>
  </si>
  <si>
    <t xml:space="preserve">Israel Adrián Caetano</t>
  </si>
  <si>
    <t xml:space="preserve">Argentina, España, Francia</t>
  </si>
  <si>
    <t xml:space="preserve">Un exconvicto intenta recuperar a su hija.</t>
  </si>
  <si>
    <t xml:space="preserve">tt0318523</t>
  </si>
  <si>
    <t xml:space="preserve">Tekkonkinkreet</t>
  </si>
  <si>
    <t xml:space="preserve">Michael Arias</t>
  </si>
  <si>
    <t xml:space="preserve">Dos huérfanos defienden su ciudad de la yakuza.</t>
  </si>
  <si>
    <t xml:space="preserve">tt0831888</t>
  </si>
  <si>
    <t xml:space="preserve">Juntos</t>
  </si>
  <si>
    <t xml:space="preserve">Una comuna sueca de los setenta acoge a una madre y sus hijos.</t>
  </si>
  <si>
    <t xml:space="preserve">tt0203166</t>
  </si>
  <si>
    <t xml:space="preserve">In This World (En este mundo)</t>
  </si>
  <si>
    <t xml:space="preserve">Dos afganos cruzan Asia y Europa como refugiados.</t>
  </si>
  <si>
    <t xml:space="preserve">tt0310154</t>
  </si>
  <si>
    <t xml:space="preserve">Sang Woo y su abuela</t>
  </si>
  <si>
    <t xml:space="preserve">Lee Jeong-hyang</t>
  </si>
  <si>
    <t xml:space="preserve">Un niño de ciudad pasa el verano con su abuela muda.</t>
  </si>
  <si>
    <t xml:space="preserve">tt0312841</t>
  </si>
  <si>
    <t xml:space="preserve">Dead Man’s Shoes</t>
  </si>
  <si>
    <t xml:space="preserve">Un exsoldado vuelve a su pueblo a vengar a su hermano.</t>
  </si>
  <si>
    <t xml:space="preserve">tt0419677</t>
  </si>
  <si>
    <t xml:space="preserve">La jaula de oro</t>
  </si>
  <si>
    <t xml:space="preserve">Diego Quemada-Díez</t>
  </si>
  <si>
    <t xml:space="preserve">España, México</t>
  </si>
  <si>
    <t xml:space="preserve">Tres adolescentes guatemaltecos intentan llegar a Estados Unidos.</t>
  </si>
  <si>
    <t xml:space="preserve">tt2042583</t>
  </si>
  <si>
    <t xml:space="preserve">Tabú</t>
  </si>
  <si>
    <t xml:space="preserve">Miguel Gomes</t>
  </si>
  <si>
    <t xml:space="preserve">Brasil, Francia, Alemania, Portugal</t>
  </si>
  <si>
    <t xml:space="preserve">Una anciana portuguesa y su pasado colonial en África.</t>
  </si>
  <si>
    <t xml:space="preserve">tt2153963</t>
  </si>
  <si>
    <t xml:space="preserve">Ghost in the Shell 2.0</t>
  </si>
  <si>
    <t xml:space="preserve">Versión remasterizada del clásico ciberpunk.</t>
  </si>
  <si>
    <t xml:space="preserve">tt1260502</t>
  </si>
  <si>
    <t xml:space="preserve">Crónica de una fuga</t>
  </si>
  <si>
    <t xml:space="preserve">Cuatro presos escapan de un centro clandestino argentino.</t>
  </si>
  <si>
    <t xml:space="preserve">tt0479354</t>
  </si>
  <si>
    <t xml:space="preserve">Josep</t>
  </si>
  <si>
    <t xml:space="preserve">Aurel</t>
  </si>
  <si>
    <t xml:space="preserve">Filmin, Filmzie</t>
  </si>
  <si>
    <t xml:space="preserve">Un gendarme ayuda a un dibujante republicano en un campo francés.</t>
  </si>
  <si>
    <t xml:space="preserve">tt10534996</t>
  </si>
  <si>
    <t xml:space="preserve">Cómo hacerse millonario antes de que muera la abuela</t>
  </si>
  <si>
    <t xml:space="preserve">Pat Boonnitipat</t>
  </si>
  <si>
    <t xml:space="preserve">Un joven cuida a su abuela enferma esperando la herencia.</t>
  </si>
  <si>
    <t xml:space="preserve">tt31392609</t>
  </si>
  <si>
    <t xml:space="preserve">Flee</t>
  </si>
  <si>
    <t xml:space="preserve">Jonas Poher Rasmussen</t>
  </si>
  <si>
    <t xml:space="preserve">Dinamarca, Estonia, Finlandia, Francia, Italia, Noruega, Eslovenia, España, Suecia, Reino Unido, EE.UU.</t>
  </si>
  <si>
    <t xml:space="preserve">Un refugiado afgano cuenta por primera vez su huida.</t>
  </si>
  <si>
    <t xml:space="preserve">tt8430054</t>
  </si>
  <si>
    <t xml:space="preserve">Mind Game</t>
  </si>
  <si>
    <t xml:space="preserve">Masaaki Yuasa</t>
  </si>
  <si>
    <t xml:space="preserve">Un joven muere y recibe una segunda oportunidad delirante.</t>
  </si>
  <si>
    <t xml:space="preserve">tt0452039</t>
  </si>
  <si>
    <t xml:space="preserve">Evangelion: 3.0+1.01 Thrice Upon a Time</t>
  </si>
  <si>
    <t xml:space="preserve">El desenlace de la saga y del destino de Shinji.</t>
  </si>
  <si>
    <t xml:space="preserve">tt2458948</t>
  </si>
  <si>
    <t xml:space="preserve">Great Freedom (Gran libertad)</t>
  </si>
  <si>
    <t xml:space="preserve">Sebastian Meise</t>
  </si>
  <si>
    <t xml:space="preserve">Un hombre encarcelado repetidamente por ser homosexual.</t>
  </si>
  <si>
    <t xml:space="preserve">tt14775784</t>
  </si>
  <si>
    <t xml:space="preserve">Exposición de amor</t>
  </si>
  <si>
    <t xml:space="preserve">Sion Sono</t>
  </si>
  <si>
    <t xml:space="preserve">Un adolescente japonés se obsesiona con fotografiar faldas.</t>
  </si>
  <si>
    <t xml:space="preserve">tt1128075</t>
  </si>
  <si>
    <t xml:space="preserve">El caftán azul</t>
  </si>
  <si>
    <t xml:space="preserve">Maryam Touzani</t>
  </si>
  <si>
    <t xml:space="preserve">Bélgica, Dinamarca, Francia, Marruecos</t>
  </si>
  <si>
    <t xml:space="preserve">Un sastre marroquí, su esposa enferma y un aprendiz.</t>
  </si>
  <si>
    <t xml:space="preserve">tt17679584</t>
  </si>
  <si>
    <t xml:space="preserve">Jujutsu Kaisen 0: La película</t>
  </si>
  <si>
    <t xml:space="preserve">Park Sung-hoo</t>
  </si>
  <si>
    <t xml:space="preserve">Netflix, Prime, Disney+, Crunchyroll, Crunchyroll Amazon Channel</t>
  </si>
  <si>
    <t xml:space="preserve">Un joven maldito ingresa en una escuela de hechiceros.</t>
  </si>
  <si>
    <t xml:space="preserve">tt14331144</t>
  </si>
  <si>
    <t xml:space="preserve">Colorful</t>
  </si>
  <si>
    <t xml:space="preserve">Keiichi Hara</t>
  </si>
  <si>
    <t xml:space="preserve">Un alma regresa al cuerpo de un adolescente suicida.</t>
  </si>
  <si>
    <t xml:space="preserve">tt1677561</t>
  </si>
  <si>
    <t xml:space="preserve">Contracorriente</t>
  </si>
  <si>
    <t xml:space="preserve">Javier Fuentes-León</t>
  </si>
  <si>
    <t xml:space="preserve">Perú</t>
  </si>
  <si>
    <t xml:space="preserve">Un pescador peruano oculta su relación con un pintor.</t>
  </si>
  <si>
    <t xml:space="preserve">tt1368491</t>
  </si>
  <si>
    <t xml:space="preserve">La Liga de la Justicia: La paradoja del tiempo</t>
  </si>
  <si>
    <t xml:space="preserve">Flash altera el tiempo y crea una realidad distinta.</t>
  </si>
  <si>
    <t xml:space="preserve">tt2820466</t>
  </si>
  <si>
    <t xml:space="preserve">El regreso de las golondrinas</t>
  </si>
  <si>
    <t xml:space="preserve">Li Ruijun</t>
  </si>
  <si>
    <t xml:space="preserve">Un matrimonio rural chino se apoya a través de las estaciones.</t>
  </si>
  <si>
    <t xml:space="preserve">tt17097088</t>
  </si>
  <si>
    <t xml:space="preserve">El baño del Papa</t>
  </si>
  <si>
    <t xml:space="preserve">César Charlone, Enrique Fernández</t>
  </si>
  <si>
    <t xml:space="preserve">Uruguay, Francia</t>
  </si>
  <si>
    <t xml:space="preserve">Un pueblo uruguayo se endeuda esperando la visita del Papa.</t>
  </si>
  <si>
    <t xml:space="preserve">tt0482901</t>
  </si>
  <si>
    <t xml:space="preserve">Interstella 5555: The 5tory of the 5ecret 5tar 5ystem</t>
  </si>
  <si>
    <t xml:space="preserve">Kazuhisa Takenouchi, Leiji Matsumoto</t>
  </si>
  <si>
    <t xml:space="preserve">Espacio</t>
  </si>
  <si>
    <t xml:space="preserve">Una banda alienígena secuestrada, narrada solo con música.</t>
  </si>
  <si>
    <t xml:space="preserve">tt0368667</t>
  </si>
  <si>
    <t xml:space="preserve">La historia de Souleymane</t>
  </si>
  <si>
    <t xml:space="preserve">Boris Lojkine</t>
  </si>
  <si>
    <t xml:space="preserve">Un repartidor guineano prepara su entrevista de asilo en París.</t>
  </si>
  <si>
    <t xml:space="preserve">tt32086046</t>
  </si>
  <si>
    <t xml:space="preserve">Hermanos (Brødre)</t>
  </si>
  <si>
    <t xml:space="preserve">Un soldado dado por muerto vuelve y encuentra a su hermano en casa.</t>
  </si>
  <si>
    <t xml:space="preserve">tt0386342</t>
  </si>
  <si>
    <t xml:space="preserve">Better Days</t>
  </si>
  <si>
    <t xml:space="preserve">Derek Tsang</t>
  </si>
  <si>
    <t xml:space="preserve">Una estudiante acosada es protegida por un delincuente juvenil.</t>
  </si>
  <si>
    <t xml:space="preserve">tt9586294</t>
  </si>
  <si>
    <t xml:space="preserve">El viento</t>
  </si>
  <si>
    <t xml:space="preserve">Eduardo Mignogna</t>
  </si>
  <si>
    <t xml:space="preserve">Una mujer recorre una isla griega buscando su pasado.</t>
  </si>
  <si>
    <t xml:space="preserve">tt0318765</t>
  </si>
  <si>
    <t xml:space="preserve">Papicha, sueños de libertad</t>
  </si>
  <si>
    <t xml:space="preserve">Mounia Meddour</t>
  </si>
  <si>
    <t xml:space="preserve">Argelia, Bélgica, Qatar, Francia</t>
  </si>
  <si>
    <t xml:space="preserve">Una estudiante argelina organiza un desfile bajo el islamismo.</t>
  </si>
  <si>
    <t xml:space="preserve">tt9522080</t>
  </si>
  <si>
    <t xml:space="preserve">Los cien pasos (I cento passi)</t>
  </si>
  <si>
    <t xml:space="preserve">Marco Tullio Giordana</t>
  </si>
  <si>
    <t xml:space="preserve">Un joven siciliano se enfrenta a la mafia con una radio.</t>
  </si>
  <si>
    <t xml:space="preserve">tt0238891</t>
  </si>
  <si>
    <t xml:space="preserve">Todo o nada</t>
  </si>
  <si>
    <t xml:space="preserve">Un taxista londinense y su familia al borde de la ruptura.</t>
  </si>
  <si>
    <t xml:space="preserve">tt0286261</t>
  </si>
  <si>
    <t xml:space="preserve">Mi querido Frankie</t>
  </si>
  <si>
    <t xml:space="preserve">Shona Auerbach</t>
  </si>
  <si>
    <t xml:space="preserve">Una madre inventa cartas de un padre ausente para su hijo sordo.</t>
  </si>
  <si>
    <t xml:space="preserve">tt0377752</t>
  </si>
  <si>
    <t xml:space="preserve">La gran seducción</t>
  </si>
  <si>
    <t xml:space="preserve">Jean-François Pouliot</t>
  </si>
  <si>
    <t xml:space="preserve">Un pueblo canadiense engaña a un médico para retenerlo.</t>
  </si>
  <si>
    <t xml:space="preserve">tt0366532</t>
  </si>
  <si>
    <t xml:space="preserve">La espada oculta</t>
  </si>
  <si>
    <t xml:space="preserve">Un samurái empobrecido debe matar a un viejo amigo.</t>
  </si>
  <si>
    <t xml:space="preserve">tt0442286</t>
  </si>
  <si>
    <t xml:space="preserve">Disparando a perros (Shooting Dogs)</t>
  </si>
  <si>
    <t xml:space="preserve">Michael Caton-Jones</t>
  </si>
  <si>
    <t xml:space="preserve">Alemania, Reino Unido</t>
  </si>
  <si>
    <t xml:space="preserve">Acontra, Acontra Plus Amazon Channel, Tivify, 3Cat</t>
  </si>
  <si>
    <t xml:space="preserve">Un cura y un profesor durante el genocidio de Ruanda.</t>
  </si>
  <si>
    <t xml:space="preserve">tt0420901</t>
  </si>
  <si>
    <t xml:space="preserve">A primera vista</t>
  </si>
  <si>
    <t xml:space="preserve">Daniel Ribeiro</t>
  </si>
  <si>
    <t xml:space="preserve">Una joven ciega recupera la vista tras un trasplante.</t>
  </si>
  <si>
    <t xml:space="preserve">tt1702014</t>
  </si>
  <si>
    <t xml:space="preserve">An Elephant Sitting Still</t>
  </si>
  <si>
    <t xml:space="preserve">Hu Bo</t>
  </si>
  <si>
    <t xml:space="preserve">Cuatro personas en una ciudad china buscan escapar en un día.</t>
  </si>
  <si>
    <t xml:space="preserve">tt8020896</t>
  </si>
  <si>
    <t xml:space="preserve">Guardianes de la noche: Kimetsu no Yaiba - La fortaleza infinita</t>
  </si>
  <si>
    <t xml:space="preserve">Netflix, Prime, Crunchyroll, Crunchyroll Amazon Channel</t>
  </si>
  <si>
    <t xml:space="preserve">Los cazadores entran en la guarida del rey demonio.</t>
  </si>
  <si>
    <t xml:space="preserve">tt32820897</t>
  </si>
  <si>
    <t xml:space="preserve">Kenshin, El Guerrero Samurái: Final</t>
  </si>
  <si>
    <t xml:space="preserve">Kazuhiro Furuhashi</t>
  </si>
  <si>
    <t xml:space="preserve">El espadachín se enfrenta a su pasado como asesino.</t>
  </si>
  <si>
    <t xml:space="preserve">tt0294885</t>
  </si>
  <si>
    <t xml:space="preserve">Infiel</t>
  </si>
  <si>
    <t xml:space="preserve">Liv Ullmann</t>
  </si>
  <si>
    <t xml:space="preserve">Finlandia, Alemania, Italia, Noruega, Suecia</t>
  </si>
  <si>
    <t xml:space="preserve">Una mujer casada inicia una relación con un desconocido.</t>
  </si>
  <si>
    <t xml:space="preserve">tt0157122</t>
  </si>
  <si>
    <t xml:space="preserve">En este rincón del mundo</t>
  </si>
  <si>
    <t xml:space="preserve">Sunao Katabuchi</t>
  </si>
  <si>
    <t xml:space="preserve">Crunchyroll Amazon Channel</t>
  </si>
  <si>
    <t xml:space="preserve">Una joven ama de casa en Hiroshima durante la guerra.</t>
  </si>
  <si>
    <t xml:space="preserve">tt4769824</t>
  </si>
  <si>
    <t xml:space="preserve">Camino de la cruz</t>
  </si>
  <si>
    <t xml:space="preserve">Dietrich Brüggemann</t>
  </si>
  <si>
    <t xml:space="preserve">Una adolescente católica lleva su fe hasta el extremo.</t>
  </si>
  <si>
    <t xml:space="preserve">tt3465916</t>
  </si>
  <si>
    <t xml:space="preserve">Samsara</t>
  </si>
  <si>
    <t xml:space="preserve">Pan Nalin</t>
  </si>
  <si>
    <t xml:space="preserve">Alemania, Francia, India, Italia</t>
  </si>
  <si>
    <t xml:space="preserve">Un monje budista abandona el monasterio por una mujer.</t>
  </si>
  <si>
    <t xml:space="preserve">tt0196069</t>
  </si>
  <si>
    <t xml:space="preserve">Te quiero para siempre</t>
  </si>
  <si>
    <t xml:space="preserve">Dos historias de amor separadas por un siglo.</t>
  </si>
  <si>
    <t xml:space="preserve">tt0315543</t>
  </si>
  <si>
    <t xml:space="preserve">El círculo</t>
  </si>
  <si>
    <t xml:space="preserve">Jafar Panahi</t>
  </si>
  <si>
    <t xml:space="preserve">Varias mujeres iraníes sufren las restricciones del régimen.</t>
  </si>
  <si>
    <t xml:space="preserve">tt0255094</t>
  </si>
  <si>
    <t xml:space="preserve">Conducta</t>
  </si>
  <si>
    <t xml:space="preserve">Ernesto Daranas</t>
  </si>
  <si>
    <t xml:space="preserve">Una maestra cubana defiende a un alumno conflictivo.</t>
  </si>
  <si>
    <t xml:space="preserve">tt3595966</t>
  </si>
  <si>
    <t xml:space="preserve">El hombre de Londres</t>
  </si>
  <si>
    <t xml:space="preserve">Hungría, Francia, Alemania</t>
  </si>
  <si>
    <t xml:space="preserve">Un guardagujas encuentra una maleta con dinero.</t>
  </si>
  <si>
    <t xml:space="preserve">tt0415127</t>
  </si>
  <si>
    <t xml:space="preserve">La verdad de Soraya M.</t>
  </si>
  <si>
    <t xml:space="preserve">Cyrus Nowrasteh</t>
  </si>
  <si>
    <t xml:space="preserve">Un periodista recoge el testimonio de una lapidación en Irán.</t>
  </si>
  <si>
    <t xml:space="preserve">tt1277737</t>
  </si>
  <si>
    <t xml:space="preserve">Suzhou River</t>
  </si>
  <si>
    <t xml:space="preserve">Lou Ye</t>
  </si>
  <si>
    <t xml:space="preserve">Un mensajero de Shanghái busca a la mujer que amó.</t>
  </si>
  <si>
    <t xml:space="preserve">tt0234837</t>
  </si>
  <si>
    <t xml:space="preserve">Crossing</t>
  </si>
  <si>
    <t xml:space="preserve">Una maestra jubilada busca en Estambul a su sobrina trans.</t>
  </si>
  <si>
    <t xml:space="preserve">tt27417166</t>
  </si>
  <si>
    <t xml:space="preserve">Historias extraordinarias</t>
  </si>
  <si>
    <t xml:space="preserve">Mariano Llinás</t>
  </si>
  <si>
    <t xml:space="preserve">Tres relatos argentinos narrados casi enteramente en off.</t>
  </si>
  <si>
    <t xml:space="preserve">Cuatro horas de cine argentino independiente narradas casi solo en off.</t>
  </si>
  <si>
    <t xml:space="preserve">tt1225831</t>
  </si>
  <si>
    <t xml:space="preserve">Los amantes habituales</t>
  </si>
  <si>
    <t xml:space="preserve">Philippe Garrel</t>
  </si>
  <si>
    <t xml:space="preserve">Jóvenes parisinos tras el mayo del 68.</t>
  </si>
  <si>
    <t xml:space="preserve">Retrato en primera persona del mayo del 68 por quien lo vivió.</t>
  </si>
  <si>
    <t xml:space="preserve">tt0443844</t>
  </si>
  <si>
    <t xml:space="preserve">Tori y Lokita</t>
  </si>
  <si>
    <t xml:space="preserve">Dos menores africanos se apoyan en la Bélgica de los papeles.</t>
  </si>
  <si>
    <t xml:space="preserve">tt18317064</t>
  </si>
  <si>
    <t xml:space="preserve">Oasis</t>
  </si>
  <si>
    <t xml:space="preserve">Un marginado y una mujer con parálisis inician una relación imposible.</t>
  </si>
  <si>
    <t xml:space="preserve">Rompió el tabú de la sexualidad y la discapacidad en el cine coreano.</t>
  </si>
  <si>
    <t xml:space="preserve">tt0320193</t>
  </si>
  <si>
    <t xml:space="preserve">Bailo por dentro</t>
  </si>
  <si>
    <t xml:space="preserve">Damien O'Donnell</t>
  </si>
  <si>
    <t xml:space="preserve">Francia, Irlanda, Reino Unido</t>
  </si>
  <si>
    <t xml:space="preserve">Dos jóvenes con discapacidad huyen de la residencia.</t>
  </si>
  <si>
    <t xml:space="preserve">tt0417791</t>
  </si>
  <si>
    <t xml:space="preserve">El catador de venenos (Love and Honor)</t>
  </si>
  <si>
    <t xml:space="preserve">Un samurái ciego busca vengar la humillación de su esposa.</t>
  </si>
  <si>
    <t xml:space="preserve">tt0483578</t>
  </si>
  <si>
    <t xml:space="preserve">Los lobos</t>
  </si>
  <si>
    <t xml:space="preserve">Samuel Kishi</t>
  </si>
  <si>
    <t xml:space="preserve">EE.UU., México</t>
  </si>
  <si>
    <t xml:space="preserve">Dos niños mexicanos esperan encerrados en un piso de Alburquerque.</t>
  </si>
  <si>
    <t xml:space="preserve">tt9057808</t>
  </si>
  <si>
    <t xml:space="preserve">A Moment to Remember</t>
  </si>
  <si>
    <t xml:space="preserve">John H. Lee</t>
  </si>
  <si>
    <t xml:space="preserve">Una joven con alzhéimer precoz y su marido.</t>
  </si>
  <si>
    <t xml:space="preserve">tt0428870</t>
  </si>
  <si>
    <t xml:space="preserve">Maspalomas</t>
  </si>
  <si>
    <t xml:space="preserve">José Mari Goenaga, Aitor Arregi</t>
  </si>
  <si>
    <t xml:space="preserve">Un hombre mayor gay ingresa en una residencia y vuelve al armario.</t>
  </si>
  <si>
    <t xml:space="preserve">tt34945265</t>
  </si>
  <si>
    <t xml:space="preserve">Los caballos de Dios</t>
  </si>
  <si>
    <t xml:space="preserve">Nabil Ayouch</t>
  </si>
  <si>
    <t xml:space="preserve">Francia, Marruecos</t>
  </si>
  <si>
    <t xml:space="preserve">Dos hermanos de una barriada marroquí se radicalizan.</t>
  </si>
  <si>
    <t xml:space="preserve">tt2369047</t>
  </si>
  <si>
    <t xml:space="preserve">Estrellas en la tierra</t>
  </si>
  <si>
    <t xml:space="preserve">Aamir Khan</t>
  </si>
  <si>
    <t xml:space="preserve">Un profesor descubre la dislexia de un alumno.</t>
  </si>
  <si>
    <t xml:space="preserve">tt0986264</t>
  </si>
  <si>
    <t xml:space="preserve">Conversaciones con mamá</t>
  </si>
  <si>
    <t xml:space="preserve">Santiago Carlos Oves</t>
  </si>
  <si>
    <t xml:space="preserve">Un hombre en crisis redescubre a su madre anciana.</t>
  </si>
  <si>
    <t xml:space="preserve">tt0356485</t>
  </si>
  <si>
    <t xml:space="preserve">Azur y Asmar</t>
  </si>
  <si>
    <t xml:space="preserve">Michel Ocelot</t>
  </si>
  <si>
    <t xml:space="preserve">Francia, España, Bélgica, Italia</t>
  </si>
  <si>
    <t xml:space="preserve">Dos hermanos de leche buscan a un hada más allá del mar.</t>
  </si>
  <si>
    <t xml:space="preserve">tt0439123</t>
  </si>
  <si>
    <t xml:space="preserve">Shelter</t>
  </si>
  <si>
    <t xml:space="preserve">Jonah Markowitz</t>
  </si>
  <si>
    <t xml:space="preserve">Un joven surfista descubre su sexualidad cuidando de su sobrino.</t>
  </si>
  <si>
    <t xml:space="preserve">tt0942384</t>
  </si>
  <si>
    <t xml:space="preserve">Moolaadé (Protección)</t>
  </si>
  <si>
    <t xml:space="preserve">Ousmane Sembène</t>
  </si>
  <si>
    <t xml:space="preserve">Burkina Faso, Cameroon, Francia, Marruecos, Senegal, Túnez</t>
  </si>
  <si>
    <t xml:space="preserve">Una mujer africana protege a unas niñas de la ablación.</t>
  </si>
  <si>
    <t xml:space="preserve">tt0416991</t>
  </si>
  <si>
    <t xml:space="preserve">Reconstruction</t>
  </si>
  <si>
    <t xml:space="preserve">Christoffer Boe</t>
  </si>
  <si>
    <t xml:space="preserve">Un fotógrafo pierde su identidad tras una noche con una mujer.</t>
  </si>
  <si>
    <t xml:space="preserve">tt0366943</t>
  </si>
  <si>
    <t xml:space="preserve">Lluvia</t>
  </si>
  <si>
    <t xml:space="preserve">Majid Majidi</t>
  </si>
  <si>
    <t xml:space="preserve">Una familia neozelandesa se desmorona durante un verano.</t>
  </si>
  <si>
    <t xml:space="preserve">tt0233841</t>
  </si>
  <si>
    <t xml:space="preserve">Yen Tan</t>
  </si>
  <si>
    <t xml:space="preserve">Un contable asiste al fiscal del juicio a la Junta argentina.</t>
  </si>
  <si>
    <t xml:space="preserve">tt6411590</t>
  </si>
  <si>
    <t xml:space="preserve">Tokyo Sonata</t>
  </si>
  <si>
    <t xml:space="preserve">Kiyoshi Kurosawa</t>
  </si>
  <si>
    <t xml:space="preserve">Un padre oculta a su familia que se ha quedado sin empleo.</t>
  </si>
  <si>
    <t xml:space="preserve">tt0938341</t>
  </si>
  <si>
    <t xml:space="preserve">Las manzanas de Adam</t>
  </si>
  <si>
    <t xml:space="preserve">Dinamarca, Alemania</t>
  </si>
  <si>
    <t xml:space="preserve">Un neonazi cumple servicios en una parroquia rural.</t>
  </si>
  <si>
    <t xml:space="preserve">tt0418455</t>
  </si>
  <si>
    <t xml:space="preserve">Corn Island</t>
  </si>
  <si>
    <t xml:space="preserve">George Ovashvili</t>
  </si>
  <si>
    <t xml:space="preserve">Suiza, Georgia, República Checa, Francia, Alemania, Hungría, Kazajistán</t>
  </si>
  <si>
    <t xml:space="preserve">Un anciano y su nieta cultivan una isla del río Enguri.</t>
  </si>
  <si>
    <t xml:space="preserve">tt1863192</t>
  </si>
  <si>
    <t xml:space="preserve">Amal</t>
  </si>
  <si>
    <t xml:space="preserve">Jawad Rhalib</t>
  </si>
  <si>
    <t xml:space="preserve">Una profesora belga defiende a una alumna acosada por su fe.</t>
  </si>
  <si>
    <t xml:space="preserve">tt21916652</t>
  </si>
  <si>
    <t xml:space="preserve">The First Slam Dunk</t>
  </si>
  <si>
    <t xml:space="preserve">Takehiko Inoue</t>
  </si>
  <si>
    <t xml:space="preserve">Un partido decisivo de baloncesto y el pasado de un jugador.</t>
  </si>
  <si>
    <t xml:space="preserve">tt15242330</t>
  </si>
  <si>
    <t xml:space="preserve">El niño y el mundo</t>
  </si>
  <si>
    <t xml:space="preserve">Alê Abreu</t>
  </si>
  <si>
    <t xml:space="preserve">Un niño busca a su padre en un mundo de colores y música.</t>
  </si>
  <si>
    <t xml:space="preserve">tt3183630</t>
  </si>
  <si>
    <t xml:space="preserve">Un simple accidente</t>
  </si>
  <si>
    <t xml:space="preserve">Un hombre cree reconocer a su antiguo torturador.</t>
  </si>
  <si>
    <t xml:space="preserve">tt36491653</t>
  </si>
  <si>
    <t xml:space="preserve">Las golondrinas de Kabul</t>
  </si>
  <si>
    <t xml:space="preserve">Zabou Breitman, Eléa Gobbé-Mévellec</t>
  </si>
  <si>
    <t xml:space="preserve">Francia, Luxemburgo, Suiza</t>
  </si>
  <si>
    <t xml:space="preserve">Una pareja afgana bajo el régimen talibán.</t>
  </si>
  <si>
    <t xml:space="preserve">tt7534102</t>
  </si>
  <si>
    <t xml:space="preserve">El violín</t>
  </si>
  <si>
    <t xml:space="preserve">Francisco Vargas</t>
  </si>
  <si>
    <t xml:space="preserve">Un anciano músico ayuda a la guerrilla escondiendo balas.</t>
  </si>
  <si>
    <t xml:space="preserve">tt0451966</t>
  </si>
  <si>
    <t xml:space="preserve">Ciudad de hombres</t>
  </si>
  <si>
    <t xml:space="preserve">Paulo Morelli</t>
  </si>
  <si>
    <t xml:space="preserve">Dos amigos de la favela buscan a sus padres ausentes.</t>
  </si>
  <si>
    <t xml:space="preserve">tt0870090</t>
  </si>
  <si>
    <t xml:space="preserve">En 80 días</t>
  </si>
  <si>
    <t xml:space="preserve">José Mari Goenaga, Jon Garaño</t>
  </si>
  <si>
    <t xml:space="preserve">Dos ancianos vascos reencuentran un amor de juventud.</t>
  </si>
  <si>
    <t xml:space="preserve">tt1600383</t>
  </si>
  <si>
    <t xml:space="preserve">La vida invisible de Eurídice Gusmão</t>
  </si>
  <si>
    <t xml:space="preserve">Karim Aïnouz</t>
  </si>
  <si>
    <t xml:space="preserve">Brasil, Alemania</t>
  </si>
  <si>
    <t xml:space="preserve">Dos hermanas separadas se buscan durante décadas en Río.</t>
  </si>
  <si>
    <t xml:space="preserve">tt6390668</t>
  </si>
  <si>
    <t xml:space="preserve">A Sun</t>
  </si>
  <si>
    <t xml:space="preserve">Chung Mong-hong</t>
  </si>
  <si>
    <t xml:space="preserve">Taiwán</t>
  </si>
  <si>
    <t xml:space="preserve">Una familia taiwanesa se hunde tras el delito del hijo menor.</t>
  </si>
  <si>
    <t xml:space="preserve">tt10883506</t>
  </si>
  <si>
    <t xml:space="preserve">Conociendo a Matsuko</t>
  </si>
  <si>
    <t xml:space="preserve">Un joven reconstruye la vida desastrosa de su tía.</t>
  </si>
  <si>
    <t xml:space="preserve">tt0768120</t>
  </si>
  <si>
    <t xml:space="preserve">Collective</t>
  </si>
  <si>
    <t xml:space="preserve">Alexander Nanau</t>
  </si>
  <si>
    <t xml:space="preserve">Alemania, Luxemburgo, Rumanía</t>
  </si>
  <si>
    <t xml:space="preserve">Periodistas destapan la corrupción sanitaria tras un incendio.</t>
  </si>
  <si>
    <t xml:space="preserve">tt10706602</t>
  </si>
  <si>
    <t xml:space="preserve">Un minuto de gloria (Glory)</t>
  </si>
  <si>
    <t xml:space="preserve">Kristina Grozeva, Petar Valchanov</t>
  </si>
  <si>
    <t xml:space="preserve">Bulgaria</t>
  </si>
  <si>
    <t xml:space="preserve">Un ferroviario devuelve dinero y el Estado lo humilla.</t>
  </si>
  <si>
    <t xml:space="preserve">tt5937296</t>
  </si>
  <si>
    <t xml:space="preserve">Softie</t>
  </si>
  <si>
    <t xml:space="preserve">Samuel Theis</t>
  </si>
  <si>
    <t xml:space="preserve">Kenia</t>
  </si>
  <si>
    <t xml:space="preserve">Un padre coge la baja para cuidar de su hija.</t>
  </si>
  <si>
    <t xml:space="preserve">tt12322986</t>
  </si>
  <si>
    <t xml:space="preserve">Happy Times</t>
  </si>
  <si>
    <t xml:space="preserve">Un jubilado chino finge un hotel para impresionar a una novia.</t>
  </si>
  <si>
    <t xml:space="preserve">tt0303243</t>
  </si>
  <si>
    <t xml:space="preserve">A Taxi Driver: Los héroes de Gwangju</t>
  </si>
  <si>
    <t xml:space="preserve">Jang Hoon</t>
  </si>
  <si>
    <t xml:space="preserve">Un taxista lleva a un periodista alemán a la revuelta.</t>
  </si>
  <si>
    <t xml:space="preserve">tt6878038</t>
  </si>
  <si>
    <t xml:space="preserve">Marcel, la concha con zapatos</t>
  </si>
  <si>
    <t xml:space="preserve">Dean Fleischer-Camp</t>
  </si>
  <si>
    <t xml:space="preserve">Una concha diminuta busca a su familia perdida.</t>
  </si>
  <si>
    <t xml:space="preserve">tt15339456</t>
  </si>
  <si>
    <t xml:space="preserve">El peral salvaje</t>
  </si>
  <si>
    <t xml:space="preserve">Bosnia, Bulgaria, Francia, Alemania, Macedonia, Qatar, Suecia, Turquía</t>
  </si>
  <si>
    <t xml:space="preserve">Un joven escritor vuelve a su pueblo y choca con su padre.</t>
  </si>
  <si>
    <t xml:space="preserve">tt6628102</t>
  </si>
  <si>
    <t xml:space="preserve">System Crasher</t>
  </si>
  <si>
    <t xml:space="preserve">Nora Fingscheidt</t>
  </si>
  <si>
    <t xml:space="preserve">Una niña incontrolable pasa de un centro de acogida a otro.</t>
  </si>
  <si>
    <t xml:space="preserve">tt8535968</t>
  </si>
  <si>
    <t xml:space="preserve">Boy A</t>
  </si>
  <si>
    <t xml:space="preserve">John Crowley</t>
  </si>
  <si>
    <t xml:space="preserve">Lionsgate+ Amazon Channel, Plex</t>
  </si>
  <si>
    <t xml:space="preserve">Un joven sale de prisión con identidad nueva tras un crimen infantil.</t>
  </si>
  <si>
    <t xml:space="preserve">tt1078188</t>
  </si>
  <si>
    <t xml:space="preserve">Todos los niños invisibles</t>
  </si>
  <si>
    <t xml:space="preserve">Ridley Scott, Emir Kusturica, Spike Lee</t>
  </si>
  <si>
    <t xml:space="preserve">Francia, Italia</t>
  </si>
  <si>
    <t xml:space="preserve">Siete relatos sobre infancias vulneradas en el mundo.</t>
  </si>
  <si>
    <t xml:space="preserve">tt0411098</t>
  </si>
  <si>
    <t xml:space="preserve">No Mercy</t>
  </si>
  <si>
    <t xml:space="preserve">Kim Hyeong-joon</t>
  </si>
  <si>
    <t xml:space="preserve">Un forense se enfrenta a un asesino que secuestró a su hija.</t>
  </si>
  <si>
    <t xml:space="preserve">tt1662557</t>
  </si>
  <si>
    <t xml:space="preserve">Silenced</t>
  </si>
  <si>
    <t xml:space="preserve">Hwang Dong-hyuk</t>
  </si>
  <si>
    <t xml:space="preserve">Un profesor destapa abusos en un colegio para sordos.</t>
  </si>
  <si>
    <t xml:space="preserve">tt2070649</t>
  </si>
  <si>
    <t xml:space="preserve">The Taste of Tea (El sabor del té)</t>
  </si>
  <si>
    <t xml:space="preserve">Katsuhito Ishii</t>
  </si>
  <si>
    <t xml:space="preserve">Una familia rural japonesa y sus rarezas cotidianas.</t>
  </si>
  <si>
    <t xml:space="preserve">tt0413893</t>
  </si>
  <si>
    <t xml:space="preserve">Competencia desleal</t>
  </si>
  <si>
    <t xml:space="preserve">Ettore Scola</t>
  </si>
  <si>
    <t xml:space="preserve">Dos sastres rivales en la Roma de las leyes raciales.</t>
  </si>
  <si>
    <t xml:space="preserve">tt0254235</t>
  </si>
  <si>
    <t xml:space="preserve">No se admiten perros ni italianos</t>
  </si>
  <si>
    <t xml:space="preserve">Alain Ughetto</t>
  </si>
  <si>
    <t xml:space="preserve">Bélgica, Francia, Italia, Portugal, Suiza</t>
  </si>
  <si>
    <t xml:space="preserve">La historia de una familia italiana emigrante, en stop motion.</t>
  </si>
  <si>
    <t xml:space="preserve">tt12826598</t>
  </si>
  <si>
    <t xml:space="preserve">Green Border</t>
  </si>
  <si>
    <t xml:space="preserve">Agnieszka Holland</t>
  </si>
  <si>
    <t xml:space="preserve">Bélgica, República Checa, Francia, Polonia</t>
  </si>
  <si>
    <t xml:space="preserve">Refugiados atrapados entre Bielorrusia y Polonia.</t>
  </si>
  <si>
    <t xml:space="preserve">tt27722543</t>
  </si>
  <si>
    <t xml:space="preserve">El destierro</t>
  </si>
  <si>
    <t xml:space="preserve">Un hombre lleva a su familia al campo tras una confesión.</t>
  </si>
  <si>
    <t xml:space="preserve">tt0488905</t>
  </si>
  <si>
    <t xml:space="preserve">Digimon Adventure: Last Evolution Kizuna</t>
  </si>
  <si>
    <t xml:space="preserve">Tomohisa Taguchi</t>
  </si>
  <si>
    <t xml:space="preserve">Los niños elegidos se despiden de sus digimon al crecer.</t>
  </si>
  <si>
    <t xml:space="preserve">tt9507234</t>
  </si>
  <si>
    <t xml:space="preserve">Lagaan, érase una vez en la India</t>
  </si>
  <si>
    <t xml:space="preserve">Ashutosh Gowariker</t>
  </si>
  <si>
    <t xml:space="preserve">Unos aldeanos juegan al críquet contra los británicos.</t>
  </si>
  <si>
    <t xml:space="preserve">tt0169102</t>
  </si>
  <si>
    <t xml:space="preserve">Quién lo impide</t>
  </si>
  <si>
    <t xml:space="preserve">Jonás Trueba</t>
  </si>
  <si>
    <t xml:space="preserve">Retrato coral de la adolescencia española actual.</t>
  </si>
  <si>
    <t xml:space="preserve">tt15398166</t>
  </si>
  <si>
    <t xml:space="preserve">Un tiempo para los caballos borrachos</t>
  </si>
  <si>
    <t xml:space="preserve">Huérfanos kurdos contrabandean para operar a su hermano.</t>
  </si>
  <si>
    <t xml:space="preserve">tt0259072</t>
  </si>
  <si>
    <t xml:space="preserve">La ciudad está tranquila</t>
  </si>
  <si>
    <t xml:space="preserve">Robert Guédiguian</t>
  </si>
  <si>
    <t xml:space="preserve">Una madre marsellesa entre la droga y la precariedad.</t>
  </si>
  <si>
    <t xml:space="preserve">tt0234988</t>
  </si>
  <si>
    <t xml:space="preserve">Juntos (Together)</t>
  </si>
  <si>
    <t xml:space="preserve">Chen Kaige</t>
  </si>
  <si>
    <t xml:space="preserve">China, Corea del Sur</t>
  </si>
  <si>
    <t xml:space="preserve">Un padre lleva a su hijo violinista a triunfar en Pekín.</t>
  </si>
  <si>
    <t xml:space="preserve">tt0332639</t>
  </si>
  <si>
    <t xml:space="preserve">Diez</t>
  </si>
  <si>
    <t xml:space="preserve">Abbas Kiarostami</t>
  </si>
  <si>
    <t xml:space="preserve">Diez conversaciones en el coche de una mujer iraní.</t>
  </si>
  <si>
    <t xml:space="preserve">tt0301978</t>
  </si>
  <si>
    <t xml:space="preserve">La boda de Tuya</t>
  </si>
  <si>
    <t xml:space="preserve">Wang Quan'an</t>
  </si>
  <si>
    <t xml:space="preserve">Una pastora mongola busca marido sin abandonar al suyo enfermo.</t>
  </si>
  <si>
    <t xml:space="preserve">tt0949564</t>
  </si>
  <si>
    <t xml:space="preserve">La culpa la tiene Fidel</t>
  </si>
  <si>
    <t xml:space="preserve">Julie Gavras</t>
  </si>
  <si>
    <t xml:space="preserve">Una niña burguesa ve cómo sus padres se vuelven militantes.</t>
  </si>
  <si>
    <t xml:space="preserve">tt0792966</t>
  </si>
  <si>
    <t xml:space="preserve">En julio</t>
  </si>
  <si>
    <t xml:space="preserve">Un profesor tímido cruza Europa persiguiendo un amor.</t>
  </si>
  <si>
    <t xml:space="preserve">tt0177858</t>
  </si>
  <si>
    <t xml:space="preserve">El tonto</t>
  </si>
  <si>
    <t xml:space="preserve">Yuriy Bykov</t>
  </si>
  <si>
    <t xml:space="preserve">Un fontanero intenta evacuar un edificio a punto de caer.</t>
  </si>
  <si>
    <t xml:space="preserve">tt3560686</t>
  </si>
  <si>
    <t xml:space="preserve">Red Cliff II</t>
  </si>
  <si>
    <t xml:space="preserve">John Woo</t>
  </si>
  <si>
    <t xml:space="preserve">La batalla decisiva entre reinos en la China antigua.</t>
  </si>
  <si>
    <t xml:space="preserve">tt1326972</t>
  </si>
  <si>
    <t xml:space="preserve">Ataque a los Titanes: El rugido del despertar</t>
  </si>
  <si>
    <t xml:space="preserve">Tetsurō Araki, Masashi Koizuka</t>
  </si>
  <si>
    <t xml:space="preserve">Los soldados descubren el origen de los titanes.</t>
  </si>
  <si>
    <t xml:space="preserve">tt7941892</t>
  </si>
  <si>
    <t xml:space="preserve">Misterios de Lisboa</t>
  </si>
  <si>
    <t xml:space="preserve">Raúl Ruiz</t>
  </si>
  <si>
    <t xml:space="preserve">Portugal</t>
  </si>
  <si>
    <t xml:space="preserve">Religión</t>
  </si>
  <si>
    <t xml:space="preserve">Un huérfano descubre su origen entre relatos encadenados.</t>
  </si>
  <si>
    <t xml:space="preserve">Estructura de relatos encadenados en más de cuatro horas.</t>
  </si>
  <si>
    <t xml:space="preserve">tt20259142</t>
  </si>
  <si>
    <t xml:space="preserve">Redline</t>
  </si>
  <si>
    <t xml:space="preserve">Takeshi Koike</t>
  </si>
  <si>
    <t xml:space="preserve">Una carrera galáctica ilegal a toda velocidad.</t>
  </si>
  <si>
    <t xml:space="preserve">tt1483797</t>
  </si>
  <si>
    <t xml:space="preserve">El lienzo (Le tableau)</t>
  </si>
  <si>
    <t xml:space="preserve">Jean-François Laguionie</t>
  </si>
  <si>
    <t xml:space="preserve">Personajes de un cuadro inacabado buscan a su pintor.</t>
  </si>
  <si>
    <t xml:space="preserve">tt1891769</t>
  </si>
  <si>
    <t xml:space="preserve">The Selfish Giant</t>
  </si>
  <si>
    <t xml:space="preserve">Clio Barnard</t>
  </si>
  <si>
    <t xml:space="preserve">Dos chavales ingleses trapichean con chatarra.</t>
  </si>
  <si>
    <t xml:space="preserve">tt2304426</t>
  </si>
  <si>
    <t xml:space="preserve">Eleni (Trilogía I: Eleni)</t>
  </si>
  <si>
    <t xml:space="preserve">Theo Angelopoulos</t>
  </si>
  <si>
    <t xml:space="preserve">Una huérfana griega atraviesa guerras y exilios.</t>
  </si>
  <si>
    <t xml:space="preserve">tt0366721</t>
  </si>
  <si>
    <t xml:space="preserve">Chainsaw Man - La película: El arco de Reze</t>
  </si>
  <si>
    <t xml:space="preserve">Tatsuya Yoshihara</t>
  </si>
  <si>
    <t xml:space="preserve">Denji se enamora de una chica ligada a los demonios.</t>
  </si>
  <si>
    <t xml:space="preserve">tt30472557</t>
  </si>
  <si>
    <t xml:space="preserve">Bolivia</t>
  </si>
  <si>
    <t xml:space="preserve">Argentina, Países Bajos</t>
  </si>
  <si>
    <t xml:space="preserve">Un inmigrante boliviano trabaja en un bar porteño.</t>
  </si>
  <si>
    <t xml:space="preserve">Otesánek (El pequeño Otik)</t>
  </si>
  <si>
    <t xml:space="preserve">Jan Švankmajer</t>
  </si>
  <si>
    <t xml:space="preserve">República Checa, Reino Unido</t>
  </si>
  <si>
    <t xml:space="preserve">Una pareja cría un tocón de madera como si fuera su hijo.</t>
  </si>
  <si>
    <t xml:space="preserve">tt0228687</t>
  </si>
  <si>
    <t xml:space="preserve">Shara</t>
  </si>
  <si>
    <t xml:space="preserve">Naomi Kawase</t>
  </si>
  <si>
    <t xml:space="preserve">Una familia japonesa marcada por la desaparición de un hijo.</t>
  </si>
  <si>
    <t xml:space="preserve">tt0363060</t>
  </si>
  <si>
    <t xml:space="preserve">Los viajes del viento</t>
  </si>
  <si>
    <t xml:space="preserve">Argentina, Colombia, Alemania, Países Bajos</t>
  </si>
  <si>
    <t xml:space="preserve">Un juglar recorre Colombia para devolver su acordeón.</t>
  </si>
  <si>
    <t xml:space="preserve">tt1426374</t>
  </si>
  <si>
    <t xml:space="preserve">El Cairo, 678</t>
  </si>
  <si>
    <t xml:space="preserve">Mohamed Diab</t>
  </si>
  <si>
    <t xml:space="preserve">Egipto</t>
  </si>
  <si>
    <t xml:space="preserve">Tres egipcias se rebelan contra el acoso sexual en la calle.</t>
  </si>
  <si>
    <t xml:space="preserve">tt1764141</t>
  </si>
  <si>
    <t xml:space="preserve">Steins Gate the Movie: Load Region of Déjà vu</t>
  </si>
  <si>
    <t xml:space="preserve">Kanji Wakabayashi</t>
  </si>
  <si>
    <t xml:space="preserve">Un inventor desaparece del tiempo y su amiga lo busca.</t>
  </si>
  <si>
    <t xml:space="preserve">tt2967286</t>
  </si>
  <si>
    <t xml:space="preserve">In Darkness</t>
  </si>
  <si>
    <t xml:space="preserve">Canadá, Alemania, Polonia</t>
  </si>
  <si>
    <t xml:space="preserve">Un alcantarillero polaco esconde a judíos bajo la ciudad.</t>
  </si>
  <si>
    <t xml:space="preserve">tt1417075</t>
  </si>
  <si>
    <t xml:space="preserve">La burbuja (Solos contra el mundo)</t>
  </si>
  <si>
    <t xml:space="preserve">Tres jóvenes de Tel Aviv y un amor israelí-palestino.</t>
  </si>
  <si>
    <t xml:space="preserve">tt0476643</t>
  </si>
  <si>
    <t xml:space="preserve">Welcome to Dongmakgol</t>
  </si>
  <si>
    <t xml:space="preserve">Park Kwang-hyun</t>
  </si>
  <si>
    <t xml:space="preserve">Soldados de ambos bandos coinciden en una aldea aislada.</t>
  </si>
  <si>
    <t xml:space="preserve">tt0475783</t>
  </si>
  <si>
    <t xml:space="preserve">Una vida nueva</t>
  </si>
  <si>
    <t xml:space="preserve">Ounie Lecomte</t>
  </si>
  <si>
    <t xml:space="preserve">Francia, Corea del Sur</t>
  </si>
  <si>
    <t xml:space="preserve">Una niña coreana es abandonada en un orfanato.</t>
  </si>
  <si>
    <t xml:space="preserve">tt1287875</t>
  </si>
  <si>
    <t xml:space="preserve">Attack on Titan: The Last Attack</t>
  </si>
  <si>
    <t xml:space="preserve">Yuichiro Hayashi</t>
  </si>
  <si>
    <t xml:space="preserve">La batalla final contra los titanes.</t>
  </si>
  <si>
    <t xml:space="preserve">tt33175825</t>
  </si>
  <si>
    <t xml:space="preserve">37 Seconds</t>
  </si>
  <si>
    <t xml:space="preserve">Hikari</t>
  </si>
  <si>
    <t xml:space="preserve">Una dibujante con parálisis cerebral reclama su independencia.</t>
  </si>
  <si>
    <t xml:space="preserve">tt6156138</t>
  </si>
  <si>
    <t xml:space="preserve">Última Parada 174</t>
  </si>
  <si>
    <t xml:space="preserve">Bruno Barreto</t>
  </si>
  <si>
    <t xml:space="preserve">Brasil, Francia</t>
  </si>
  <si>
    <t xml:space="preserve">Un secuestro de autobús en Río y la vida del secuestrador.</t>
  </si>
  <si>
    <t xml:space="preserve">tt1280567</t>
  </si>
  <si>
    <t xml:space="preserve">PK</t>
  </si>
  <si>
    <t xml:space="preserve">Un alienígena en la India cuestiona la religión.</t>
  </si>
  <si>
    <t xml:space="preserve">tt2338151</t>
  </si>
  <si>
    <t xml:space="preserve">Anita</t>
  </si>
  <si>
    <t xml:space="preserve">Una joven con síndrome de Down se pierde tras un atentado.</t>
  </si>
  <si>
    <t xml:space="preserve">tt1458527</t>
  </si>
  <si>
    <t xml:space="preserve">Primal: Tales of Savagery</t>
  </si>
  <si>
    <t xml:space="preserve">Genndy Tartakovsky</t>
  </si>
  <si>
    <t xml:space="preserve">Un cavernícola y un dinosaurio sobreviven juntos.</t>
  </si>
  <si>
    <t xml:space="preserve">tt11191124</t>
  </si>
  <si>
    <t xml:space="preserve">La desaparición de Haruhi Suzumiya</t>
  </si>
  <si>
    <t xml:space="preserve">Yasuhiro Takemoto</t>
  </si>
  <si>
    <t xml:space="preserve">Crunchyroll, Crunchyroll Amazon Channel, Animebox Channel Amazon Channel</t>
  </si>
  <si>
    <t xml:space="preserve">Kyon despierta en un mundo donde Haruhi no existe.</t>
  </si>
  <si>
    <t xml:space="preserve">tt1572781</t>
  </si>
  <si>
    <t xml:space="preserve">Dalva</t>
  </si>
  <si>
    <t xml:space="preserve">Emmanuelle Nicot</t>
  </si>
  <si>
    <t xml:space="preserve">Una niña de doce años es separada de su padre abusador.</t>
  </si>
  <si>
    <t xml:space="preserve">tt19768016</t>
  </si>
  <si>
    <t xml:space="preserve">Blue Giant</t>
  </si>
  <si>
    <t xml:space="preserve">Yuzuru Tachikawa</t>
  </si>
  <si>
    <t xml:space="preserve">Un joven saxofonista quiere ser el mejor del jazz japonés.</t>
  </si>
  <si>
    <t xml:space="preserve">tt15737898</t>
  </si>
  <si>
    <t xml:space="preserve">La mercancía más preciosa</t>
  </si>
  <si>
    <t xml:space="preserve">Un leñador polaco recoge a un bebé lanzado desde un tren.</t>
  </si>
  <si>
    <t xml:space="preserve">tt10462154</t>
  </si>
  <si>
    <t xml:space="preserve">Play</t>
  </si>
  <si>
    <t xml:space="preserve">Anthony Marciano</t>
  </si>
  <si>
    <t xml:space="preserve">Un grupo de niños roba a otros mediante manipulación.</t>
  </si>
  <si>
    <t xml:space="preserve">tt7998848</t>
  </si>
  <si>
    <t xml:space="preserve">Made in Abyss: el amanecer del alma profunda</t>
  </si>
  <si>
    <t xml:space="preserve">Masayuki Kojima</t>
  </si>
  <si>
    <t xml:space="preserve">Dos exploradores descienden a un abismo con criaturas.</t>
  </si>
  <si>
    <t xml:space="preserve">tt10068916</t>
  </si>
  <si>
    <t xml:space="preserve">Círculos</t>
  </si>
  <si>
    <t xml:space="preserve">Srdan Golubovic</t>
  </si>
  <si>
    <t xml:space="preserve">Serbia, Croacia, Alemania, Francia, Eslovenia</t>
  </si>
  <si>
    <t xml:space="preserve">Un acto de valentía en la guerra de Bosnia y sus consecuencias.</t>
  </si>
  <si>
    <t xml:space="preserve">tt1839522</t>
  </si>
  <si>
    <t xml:space="preserve">Happy Hour</t>
  </si>
  <si>
    <t xml:space="preserve">Ryûsuke Hamaguchi</t>
  </si>
  <si>
    <t xml:space="preserve">Cuatro amigas japonesas ven cómo se resquebrajan sus vidas.</t>
  </si>
  <si>
    <t xml:space="preserve">tt4780662</t>
  </si>
  <si>
    <t xml:space="preserve">Retablo</t>
  </si>
  <si>
    <t xml:space="preserve">Alvaro Delgado Aparicio</t>
  </si>
  <si>
    <t xml:space="preserve">Alemania, Noruega, Perú</t>
  </si>
  <si>
    <t xml:space="preserve">Un joven andino descubre la homosexualidad de su padre.</t>
  </si>
  <si>
    <t xml:space="preserve">tt7761590</t>
  </si>
  <si>
    <t xml:space="preserve">In the Crosswind</t>
  </si>
  <si>
    <t xml:space="preserve">Martti Helde</t>
  </si>
  <si>
    <t xml:space="preserve">La deportación de estonios a Siberia, en cuadros vivientes.</t>
  </si>
  <si>
    <t xml:space="preserve">tt2534660</t>
  </si>
  <si>
    <t xml:space="preserve">Dangal</t>
  </si>
  <si>
    <t xml:space="preserve">Nitesh Tiwari</t>
  </si>
  <si>
    <t xml:space="preserve">Un luchador entrena a sus hijas para competir.</t>
  </si>
  <si>
    <t xml:space="preserve">tt5074352</t>
  </si>
  <si>
    <t xml:space="preserve">Mi postre favorito</t>
  </si>
  <si>
    <t xml:space="preserve">Maryam Moghadam, Behtash Sanaeeha</t>
  </si>
  <si>
    <t xml:space="preserve">Una viuda iraní se reencuentra con el deseo y la compañía.</t>
  </si>
  <si>
    <t xml:space="preserve">tt31015278</t>
  </si>
  <si>
    <t xml:space="preserve">Hope</t>
  </si>
  <si>
    <t xml:space="preserve">Lee Joon-ik</t>
  </si>
  <si>
    <t xml:space="preserve">Una niña coreana sobrevive a una agresión y su familia la acompaña.</t>
  </si>
  <si>
    <t xml:space="preserve">tt3153634</t>
  </si>
  <si>
    <t xml:space="preserve">Always</t>
  </si>
  <si>
    <t xml:space="preserve">Song Il-gon</t>
  </si>
  <si>
    <t xml:space="preserve">Un exboxeador ciego y una mujer se enamoran en Corea.</t>
  </si>
  <si>
    <t xml:space="preserve">tt2082180</t>
  </si>
  <si>
    <t xml:space="preserve">La extraña</t>
  </si>
  <si>
    <t xml:space="preserve">Feo Aladag</t>
  </si>
  <si>
    <t xml:space="preserve">Una mujer misteriosa altera la vida de una familia.</t>
  </si>
  <si>
    <t xml:space="preserve">tt1288376</t>
  </si>
  <si>
    <t xml:space="preserve">Juventud en marcha</t>
  </si>
  <si>
    <t xml:space="preserve">Pedro Costa</t>
  </si>
  <si>
    <t xml:space="preserve">Portugal, Suiza, Francia</t>
  </si>
  <si>
    <t xml:space="preserve">Un inmigrante caboverdiano recorre los suyos en Lisboa.</t>
  </si>
  <si>
    <t xml:space="preserve">Cumbre del cine de Pedro Costa sobre la periferia lisboeta.</t>
  </si>
  <si>
    <t xml:space="preserve">tt0460480</t>
  </si>
  <si>
    <t xml:space="preserve">Ixcanul</t>
  </si>
  <si>
    <t xml:space="preserve">Jayro Bustamante</t>
  </si>
  <si>
    <t xml:space="preserve">Guatemala, Francia</t>
  </si>
  <si>
    <t xml:space="preserve">Una joven maya embarazada frente a un matrimonio pactado.</t>
  </si>
  <si>
    <t xml:space="preserve">tt4135844</t>
  </si>
  <si>
    <t xml:space="preserve">My Winnipeg</t>
  </si>
  <si>
    <t xml:space="preserve">Guy Maddin</t>
  </si>
  <si>
    <t xml:space="preserve">Un cineasta retrata su ciudad natal entre memoria y ficción.</t>
  </si>
  <si>
    <t xml:space="preserve">tt1093842</t>
  </si>
  <si>
    <t xml:space="preserve">Kabei: nuestra madre</t>
  </si>
  <si>
    <t xml:space="preserve">Una madre japonesa saca adelante a sus hijas en la guerra.</t>
  </si>
  <si>
    <t xml:space="preserve">tt0855852</t>
  </si>
  <si>
    <t xml:space="preserve">Papusza</t>
  </si>
  <si>
    <t xml:space="preserve">Joanna Kos-Krauze, Krzysztof Krauze</t>
  </si>
  <si>
    <t xml:space="preserve">Polonia</t>
  </si>
  <si>
    <t xml:space="preserve">La primera poetisa gitana polaca y su comunidad.</t>
  </si>
  <si>
    <t xml:space="preserve">tt2719094</t>
  </si>
  <si>
    <t xml:space="preserve">My Way</t>
  </si>
  <si>
    <t xml:space="preserve">Dos atletas rivales, coreano y japonés, en la guerra mundial.</t>
  </si>
  <si>
    <t xml:space="preserve">tt1606384</t>
  </si>
  <si>
    <t xml:space="preserve">Un couple parfait (Una pareja perfecta)</t>
  </si>
  <si>
    <t xml:space="preserve">Nobuhiro Suwa</t>
  </si>
  <si>
    <t xml:space="preserve">Un matrimonio al borde del divorcio viaja a París.</t>
  </si>
  <si>
    <t xml:space="preserve">tt0470951</t>
  </si>
  <si>
    <t xml:space="preserve">Strings (Cuerdas)</t>
  </si>
  <si>
    <t xml:space="preserve">Anders Rønnow Klarlund</t>
  </si>
  <si>
    <t xml:space="preserve">Dinamarca, Suecia, Noruega, Reino Unido</t>
  </si>
  <si>
    <t xml:space="preserve">Un príncipe marioneta venga a su padre en un mundo de hilos.</t>
  </si>
  <si>
    <t xml:space="preserve">tt0374248</t>
  </si>
  <si>
    <t xml:space="preserve">El destino de Maya</t>
  </si>
  <si>
    <t xml:space="preserve">Tiina Lymi</t>
  </si>
  <si>
    <t xml:space="preserve">Una joven busca su lugar entre dos mundos.</t>
  </si>
  <si>
    <t xml:space="preserve">tt22257924</t>
  </si>
  <si>
    <t xml:space="preserve">Deja de decir mentiras</t>
  </si>
  <si>
    <t xml:space="preserve">Olivier Peyon</t>
  </si>
  <si>
    <t xml:space="preserve">Una escritora afronta un secreto de su adolescencia.</t>
  </si>
  <si>
    <t xml:space="preserve">tt18626656</t>
  </si>
  <si>
    <t xml:space="preserve">Eyes Wide Open</t>
  </si>
  <si>
    <t xml:space="preserve">Haim Tabakman</t>
  </si>
  <si>
    <t xml:space="preserve">Francia, Alemania, Israel</t>
  </si>
  <si>
    <t xml:space="preserve">Un carnicero judío ortodoxo se enamora de su ayudante.</t>
  </si>
  <si>
    <t xml:space="preserve">tt1424327</t>
  </si>
  <si>
    <t xml:space="preserve">Haikyu!! La batalla del basurero</t>
  </si>
  <si>
    <t xml:space="preserve">Susumu Mitsunaka</t>
  </si>
  <si>
    <t xml:space="preserve">Dos institutos rivales se enfrentan en voleibol.</t>
  </si>
  <si>
    <t xml:space="preserve">tt30476486</t>
  </si>
  <si>
    <t xml:space="preserve">La puerta del retorno</t>
  </si>
  <si>
    <t xml:space="preserve">Hong Sang-soo</t>
  </si>
  <si>
    <t xml:space="preserve">Un hombre vuelve a su tierra tras años fuera.</t>
  </si>
  <si>
    <t xml:space="preserve">tt0313550</t>
  </si>
  <si>
    <t xml:space="preserve">Prince of Broadway</t>
  </si>
  <si>
    <t xml:space="preserve">Un vendedor ambulante recibe un bebé que dicen que es suyo.</t>
  </si>
  <si>
    <t xml:space="preserve">tt1000769</t>
  </si>
  <si>
    <t xml:space="preserve">Heimat - La otra tierra</t>
  </si>
  <si>
    <t xml:space="preserve">Edgar Reitz</t>
  </si>
  <si>
    <t xml:space="preserve">Una familia alemana del XIX sueña con emigrar a Brasil.</t>
  </si>
  <si>
    <t xml:space="preserve">tt1998204</t>
  </si>
  <si>
    <t xml:space="preserve">1987: Cuando llega el día</t>
  </si>
  <si>
    <t xml:space="preserve">Jang Joon-hwan</t>
  </si>
  <si>
    <t xml:space="preserve">La muerte de un estudiante desata la revuelta en Corea.</t>
  </si>
  <si>
    <t xml:space="preserve">tt6493286</t>
  </si>
  <si>
    <t xml:space="preserve">Wiñaypacha</t>
  </si>
  <si>
    <t xml:space="preserve">Óscar Catacora</t>
  </si>
  <si>
    <t xml:space="preserve">Una pareja anciana aimara espera a su hijo en el altiplano.</t>
  </si>
  <si>
    <t xml:space="preserve">tt8260948</t>
  </si>
  <si>
    <t xml:space="preserve">Las vidas de Marona</t>
  </si>
  <si>
    <t xml:space="preserve">Anca Damian</t>
  </si>
  <si>
    <t xml:space="preserve">Bélgica, Francia, Rumanía</t>
  </si>
  <si>
    <t xml:space="preserve">Una perra recuerda a todos sus dueños antes de morir.</t>
  </si>
  <si>
    <t xml:space="preserve">tt6785292</t>
  </si>
  <si>
    <t xml:space="preserve">Sympathy for the Devil</t>
  </si>
  <si>
    <t xml:space="preserve">Guillaume de Fontenay</t>
  </si>
  <si>
    <t xml:space="preserve">Bélgica, Canadá, Francia</t>
  </si>
  <si>
    <t xml:space="preserve">Un thriller sobre una noche de violencia.</t>
  </si>
  <si>
    <t xml:space="preserve">tt7710486</t>
  </si>
  <si>
    <t xml:space="preserve">Salvaje inocencia</t>
  </si>
  <si>
    <t xml:space="preserve">Francia, Países Bajos</t>
  </si>
  <si>
    <t xml:space="preserve">Un joven cineasta y su novia adicta a la heroína.</t>
  </si>
  <si>
    <t xml:space="preserve">tt0290841</t>
  </si>
  <si>
    <t xml:space="preserve">La flor</t>
  </si>
  <si>
    <t xml:space="preserve">Seis episodios de géneros distintos con las mismas actrices.</t>
  </si>
  <si>
    <t xml:space="preserve">tt9047474</t>
  </si>
  <si>
    <t xml:space="preserve">Vete a saber</t>
  </si>
  <si>
    <t xml:space="preserve">Jacques Rivette</t>
  </si>
  <si>
    <t xml:space="preserve">Francia, Italia, Alemania</t>
  </si>
  <si>
    <t xml:space="preserve">Una compañía teatral y viejos amores en el París de agosto.</t>
  </si>
  <si>
    <t xml:space="preserve">Rivette fusionó teatro y cine en un juego de duplicidades.</t>
  </si>
  <si>
    <t xml:space="preserve">tt0242994</t>
  </si>
  <si>
    <t xml:space="preserve">Nosotros y ellos</t>
  </si>
  <si>
    <t xml:space="preserve">Rene Liu</t>
  </si>
  <si>
    <t xml:space="preserve">Dos familias enfrentadas por un conflicto vecinal.</t>
  </si>
  <si>
    <t xml:space="preserve">tt8033592</t>
  </si>
  <si>
    <t xml:space="preserve">Puella Magi Madoka Magica 3: Rebellion</t>
  </si>
  <si>
    <t xml:space="preserve">Akiyuki Shinbo, Yukihiro Miyamoto</t>
  </si>
  <si>
    <t xml:space="preserve">Homura reconstruye un mundo donde nadie sufre.</t>
  </si>
  <si>
    <t xml:space="preserve">tt2457282</t>
  </si>
  <si>
    <t xml:space="preserve">Violet Evergarden: La película</t>
  </si>
  <si>
    <t xml:space="preserve">Taichi Ishidate</t>
  </si>
  <si>
    <t xml:space="preserve">Una exsoldado escribe cartas para otros y busca su pasado.</t>
  </si>
  <si>
    <t xml:space="preserve">tt8652818</t>
  </si>
  <si>
    <t xml:space="preserve">Life Feels Good</t>
  </si>
  <si>
    <t xml:space="preserve">Maciej Pieprzyca</t>
  </si>
  <si>
    <t xml:space="preserve">Un hombre con parálisis cerebral demuestra que es consciente.</t>
  </si>
  <si>
    <t xml:space="preserve">tt3092552</t>
  </si>
  <si>
    <t xml:space="preserve">Ali Zaoua, príncipe de Casablanca</t>
  </si>
  <si>
    <t xml:space="preserve">Marruecos, EE.UU., Túnez, Francia, Bélgica</t>
  </si>
  <si>
    <t xml:space="preserve">Niños de la calle entierran a su amigo con dignidad.</t>
  </si>
  <si>
    <t xml:space="preserve">tt0260688</t>
  </si>
  <si>
    <t xml:space="preserve">This Is Not a Burial, It's a Resurrection</t>
  </si>
  <si>
    <t xml:space="preserve">Lemohang Jeremiah Mosese</t>
  </si>
  <si>
    <t xml:space="preserve">Italia, Lesotho, Sudáfrica, EE.UU.</t>
  </si>
  <si>
    <t xml:space="preserve">Una anciana de Lesoto se opone al desalojo de su aldea.</t>
  </si>
  <si>
    <t xml:space="preserve">tt10849514</t>
  </si>
  <si>
    <t xml:space="preserve">Si può fare</t>
  </si>
  <si>
    <t xml:space="preserve">Giulio Manfredonia</t>
  </si>
  <si>
    <t xml:space="preserve">Una cooperativa de exinternos psiquiátricos monta un negocio.</t>
  </si>
  <si>
    <t xml:space="preserve">tt1320297</t>
  </si>
  <si>
    <t xml:space="preserve">On Falling</t>
  </si>
  <si>
    <t xml:space="preserve">Laura Carreira</t>
  </si>
  <si>
    <t xml:space="preserve">Una limpiadora portuguesa en un almacén logístico escocés.</t>
  </si>
  <si>
    <t xml:space="preserve">tt30766504</t>
  </si>
  <si>
    <t xml:space="preserve">La venganza de una mujer</t>
  </si>
  <si>
    <t xml:space="preserve">Rita Azevedo Gomes</t>
  </si>
  <si>
    <t xml:space="preserve">Filmin, DocAlliance Films</t>
  </si>
  <si>
    <t xml:space="preserve">Una mujer planea vengarse de quien la agravió.</t>
  </si>
  <si>
    <t xml:space="preserve">tt2050453</t>
  </si>
  <si>
    <t xml:space="preserve">Memorias de China</t>
  </si>
  <si>
    <t xml:space="preserve">Jiang Xiao</t>
  </si>
  <si>
    <t xml:space="preserve">Una familia china atraviesa décadas de cambios políticos.</t>
  </si>
  <si>
    <t xml:space="preserve">tt0424273</t>
  </si>
  <si>
    <t xml:space="preserve">Mujer en la playa</t>
  </si>
  <si>
    <t xml:space="preserve">Un director y dos mujeres en una escapada a la costa.</t>
  </si>
  <si>
    <t xml:space="preserve">tt0835787</t>
  </si>
  <si>
    <t xml:space="preserve">Fireworks Wednesday</t>
  </si>
  <si>
    <t xml:space="preserve">Una asistenta se ve envuelta en los celos de un matrimonio iraní.</t>
  </si>
  <si>
    <t xml:space="preserve">tt0845439</t>
  </si>
  <si>
    <t xml:space="preserve">Las mil y una noches: Vol.2. El desolado</t>
  </si>
  <si>
    <t xml:space="preserve">Francia, Alemania, Portugal, Suiza</t>
  </si>
  <si>
    <t xml:space="preserve">Relatos sobre la crisis portuguesa con forma de cuento.</t>
  </si>
  <si>
    <t xml:space="preserve">tt4692234</t>
  </si>
  <si>
    <t xml:space="preserve">El hombre que copiaba</t>
  </si>
  <si>
    <t xml:space="preserve">Jorge Furtado</t>
  </si>
  <si>
    <t xml:space="preserve">Un fotocopiador brasileño falsifica dinero por amor.</t>
  </si>
  <si>
    <t xml:space="preserve">tt0367859</t>
  </si>
  <si>
    <t xml:space="preserve">Final Cut: Ladies and Gentlemen</t>
  </si>
  <si>
    <t xml:space="preserve">György Pálfi</t>
  </si>
  <si>
    <t xml:space="preserve">Una historia de amor montada con fragmentos de cientos de películas.</t>
  </si>
  <si>
    <t xml:space="preserve">tt2243299</t>
  </si>
  <si>
    <t xml:space="preserve">2001: Una odisea del espacio</t>
  </si>
  <si>
    <t xml:space="preserve">Un viaje a Júpiter y una IA que se rebela.</t>
  </si>
  <si>
    <t xml:space="preserve">Kubrick reformuló la ciencia ficción: efectos ópticos que marcaron el estándar durante décadas, narración.</t>
  </si>
  <si>
    <t xml:space="preserve">#1</t>
  </si>
  <si>
    <t xml:space="preserve">tt0062622</t>
  </si>
  <si>
    <t xml:space="preserve">Ordet (La palabra)</t>
  </si>
  <si>
    <t xml:space="preserve">Carl Theodor Dreyer</t>
  </si>
  <si>
    <t xml:space="preserve">Una familia rural danesa dividida por la fe espera un milagro.</t>
  </si>
  <si>
    <t xml:space="preserve">Dreyer filmó la fe sin ironía: el milagro final, en plano sostenido, es de los desenlaces más discutidos del.</t>
  </si>
  <si>
    <t xml:space="preserve">#7</t>
  </si>
  <si>
    <t xml:space="preserve">tt0048452</t>
  </si>
  <si>
    <t xml:space="preserve">El exorcista</t>
  </si>
  <si>
    <t xml:space="preserve">William Friedkin</t>
  </si>
  <si>
    <t xml:space="preserve">Prime, Movistar, Movistar Plus+ Ficción Total , HBO Max, Tivify, HBO Max Amazon Channel</t>
  </si>
  <si>
    <t xml:space="preserve">Dos sacerdotes intentan liberar a una niña poseída.</t>
  </si>
  <si>
    <t xml:space="preserve">Llevó el terror al cine adulto de gran presupuesto: nominaciones al Óscar, taquilla histórica y un efectismo.</t>
  </si>
  <si>
    <t xml:space="preserve">#8</t>
  </si>
  <si>
    <t xml:space="preserve">tt0070047</t>
  </si>
  <si>
    <t xml:space="preserve">El año pasado en Marienbad</t>
  </si>
  <si>
    <t xml:space="preserve">Alain Resnais</t>
  </si>
  <si>
    <t xml:space="preserve">Un hombre insiste a una mujer en que ya se conocieron.</t>
  </si>
  <si>
    <t xml:space="preserve">Resnais rompió tiempo y memoria hasta hacer irresoluble qué ocurrió, referencia del cine moderno y del.</t>
  </si>
  <si>
    <t xml:space="preserve">tt0054632</t>
  </si>
  <si>
    <t xml:space="preserve">Blade Runner</t>
  </si>
  <si>
    <t xml:space="preserve">EE.UU., Hong Kong, Reino Unido</t>
  </si>
  <si>
    <t xml:space="preserve">Un cazador de replicantes duda de su propia humanidad.</t>
  </si>
  <si>
    <t xml:space="preserve">Fijó la estética visual del cyberpunk (ciudad-noir, lluvia y neón) y llevó al cine el debate sobre qué nos.</t>
  </si>
  <si>
    <t xml:space="preserve">tt0083658</t>
  </si>
  <si>
    <t xml:space="preserve">Centauros del desierto</t>
  </si>
  <si>
    <t xml:space="preserve">Un veterano busca durante años a su sobrina raptada.</t>
  </si>
  <si>
    <t xml:space="preserve">Ford llevó el western a su cima formal y moral, con John Wayne como héroe racista y el plano final de la.</t>
  </si>
  <si>
    <t xml:space="preserve">tt0049730</t>
  </si>
  <si>
    <t xml:space="preserve">Al azar de Baltasar</t>
  </si>
  <si>
    <t xml:space="preserve">Robert Bresson</t>
  </si>
  <si>
    <t xml:space="preserve">Francia, Suecia</t>
  </si>
  <si>
    <t xml:space="preserve">La vida de un burro que pasa por manos crueles.</t>
  </si>
  <si>
    <t xml:space="preserve">Bresson llevó al extremo su método de 'modelos' en vez de actores y su despojamiento formal, contando la.</t>
  </si>
  <si>
    <t xml:space="preserve">tt0060138</t>
  </si>
  <si>
    <t xml:space="preserve">El acorazado Potemkin</t>
  </si>
  <si>
    <t xml:space="preserve">Sergei M. Eisenstein</t>
  </si>
  <si>
    <t xml:space="preserve">Movistar, Movistar Plus+ Ficción Total , Filmin, JustWatch TV, Runtime</t>
  </si>
  <si>
    <t xml:space="preserve">Un motín en un acorazado desata la revuelta en Odesa.</t>
  </si>
  <si>
    <t xml:space="preserve">Eisenstein convirtió el montaje en herramienta ideológica; la secuencia de la escalinata de Odesa es de las.</t>
  </si>
  <si>
    <t xml:space="preserve">tt0015648</t>
  </si>
  <si>
    <t xml:space="preserve">El hombre de la cámara</t>
  </si>
  <si>
    <t xml:space="preserve">Dziga Vertov</t>
  </si>
  <si>
    <t xml:space="preserve">URSS</t>
  </si>
  <si>
    <t xml:space="preserve">GuideDoc, JustWatch TV</t>
  </si>
  <si>
    <t xml:space="preserve">Un día en la ciudad soviética filmado sin actores.</t>
  </si>
  <si>
    <t xml:space="preserve">Vertov filmó una ciudad sin actores ni intertítulos, ensayando todo el repertorio técnico posible del cine.</t>
  </si>
  <si>
    <t xml:space="preserve">tt0019760</t>
  </si>
  <si>
    <t xml:space="preserve">La dolce vita</t>
  </si>
  <si>
    <t xml:space="preserve">Un periodista deambula por la noche romana y su vacío.</t>
  </si>
  <si>
    <t xml:space="preserve">Fellini retrató la vacuidad de la alta sociedad romana y dio al idioma la palabra 'paparazzi'.</t>
  </si>
  <si>
    <t xml:space="preserve">tt0053779</t>
  </si>
  <si>
    <t xml:space="preserve">El moderno Sherlock Holmes</t>
  </si>
  <si>
    <t xml:space="preserve">Movistar, Movistar Plus+ Ficción Total , Filmin, Acontra, JustWatch TV, Tivify, Plex</t>
  </si>
  <si>
    <t xml:space="preserve">Un proyeccionista sueña que entra en la película.</t>
  </si>
  <si>
    <t xml:space="preserve">Keaton hizo metacine antes que nadie: el proyeccionista que entra en la pantalla, con acrobacias reales sin.</t>
  </si>
  <si>
    <t xml:space="preserve">tt0015324</t>
  </si>
  <si>
    <t xml:space="preserve">Persona</t>
  </si>
  <si>
    <t xml:space="preserve">Filmin, Acontra, Acontra Plus Amazon Channel, Artiflix, Tivify</t>
  </si>
  <si>
    <t xml:space="preserve">Una actriz muda y su enfermera se funden en la misma identidad.</t>
  </si>
  <si>
    <t xml:space="preserve">Bergman fusionó dos rostros en un mismo plano y expuso la propia película quemándose, cima del cine.</t>
  </si>
  <si>
    <t xml:space="preserve">tt0060827</t>
  </si>
  <si>
    <t xml:space="preserve">Belladonna</t>
  </si>
  <si>
    <t xml:space="preserve">Eiichi Yamamoto</t>
  </si>
  <si>
    <t xml:space="preserve">Una campesina medieval pacta con el diablo tras ser violada.</t>
  </si>
  <si>
    <t xml:space="preserve">Animación experimental para adultos, con estética de acuarela y psicodelia, hoy reivindicada como pieza de.</t>
  </si>
  <si>
    <t xml:space="preserve">tt0071203</t>
  </si>
  <si>
    <t xml:space="preserve">El círculo rojo</t>
  </si>
  <si>
    <t xml:space="preserve">Jean-Pierre Melville</t>
  </si>
  <si>
    <t xml:space="preserve">Tres delincuentes preparan un atraco casi sin hablar.</t>
  </si>
  <si>
    <t xml:space="preserve">Melville depuró el 'polar' francés hasta el minimalismo: atracos casi mudos, códigos de honor y una puesta en.</t>
  </si>
  <si>
    <t xml:space="preserve">tt0065531</t>
  </si>
  <si>
    <t xml:space="preserve">Cuentos de la luna pálida</t>
  </si>
  <si>
    <t xml:space="preserve">Kenji Mizoguchi</t>
  </si>
  <si>
    <t xml:space="preserve">Dos campesinos ambiciosos en un Japón feudal de fantasmas.</t>
  </si>
  <si>
    <t xml:space="preserve">Mizoguchi combinó fantasmas y crítica social con largos planos-secuencia de una fluidez que influyó en todo.</t>
  </si>
  <si>
    <t xml:space="preserve">tt0046478</t>
  </si>
  <si>
    <t xml:space="preserve">El salario del miedo</t>
  </si>
  <si>
    <t xml:space="preserve">Henri-Georges Clouzot</t>
  </si>
  <si>
    <t xml:space="preserve">Cuatro hombres transportan nitroglicerina por carreteras imposibles.</t>
  </si>
  <si>
    <t xml:space="preserve">Clouzot creó el patrón del suspense de tensión sostenida y del survival, con la carga de nitroglicerina como.</t>
  </si>
  <si>
    <t xml:space="preserve">tt0046268</t>
  </si>
  <si>
    <t xml:space="preserve">Possession</t>
  </si>
  <si>
    <t xml:space="preserve">Andrzej Zulawski</t>
  </si>
  <si>
    <t xml:space="preserve">Un divorcio se convierte en una pesadilla monstruosa en Berlín.</t>
  </si>
  <si>
    <t xml:space="preserve">Zulawski llevó el melodrama de divorcio al horror corporal; la interpretación de Isabelle Adjani es de las.</t>
  </si>
  <si>
    <t xml:space="preserve">tt0082933</t>
  </si>
  <si>
    <t xml:space="preserve">Sopa de ganso</t>
  </si>
  <si>
    <t xml:space="preserve">Leo McCarey</t>
  </si>
  <si>
    <t xml:space="preserve">Un dictador estrafalario lleva a su país a una guerra absurda.</t>
  </si>
  <si>
    <t xml:space="preserve">Los hermanos Marx llevaron el humor anárquico a su cima y firmaron una sátira antibelicista que fue.</t>
  </si>
  <si>
    <t xml:space="preserve">tt0023969</t>
  </si>
  <si>
    <t xml:space="preserve">La pasión de Juana de Arco</t>
  </si>
  <si>
    <t xml:space="preserve">Filmin, Acontra, Acontra Plus Amazon Channel, JustWatch TV, Tivify</t>
  </si>
  <si>
    <t xml:space="preserve">El juicio y la ejecución de Juana, en primeros planos.</t>
  </si>
  <si>
    <t xml:space="preserve">Dreyer construyó la película casi entera con primeros planos, y la interpretación de Falconetti se estudia.</t>
  </si>
  <si>
    <t xml:space="preserve">tt0019254</t>
  </si>
  <si>
    <t xml:space="preserve">Maridos</t>
  </si>
  <si>
    <t xml:space="preserve">John Cassavetes</t>
  </si>
  <si>
    <t xml:space="preserve">Tres amigos se escapan de sus vidas tras un funeral.</t>
  </si>
  <si>
    <t xml:space="preserve">Cassavetes consolidó el cine independiente americano: rodaje casi documental, improvisación y duelo masculino.</t>
  </si>
  <si>
    <t xml:space="preserve">tt0065867</t>
  </si>
  <si>
    <t xml:space="preserve">Cleo de 5 a 7</t>
  </si>
  <si>
    <t xml:space="preserve">Agnès Varda</t>
  </si>
  <si>
    <t xml:space="preserve">Dos horas en la vida de una cantante que espera un diagnóstico.</t>
  </si>
  <si>
    <t xml:space="preserve">Varda narró en tiempo casi real la espera de un diagnóstico, uniendo Nouvelle Vague y mirada femenina.</t>
  </si>
  <si>
    <t xml:space="preserve">tt0055852</t>
  </si>
  <si>
    <t xml:space="preserve">Satantango</t>
  </si>
  <si>
    <t xml:space="preserve">Béla Tarr</t>
  </si>
  <si>
    <t xml:space="preserve">Alemania, Hungría, Suiza</t>
  </si>
  <si>
    <t xml:space="preserve">Siete horas en una aldea húngara arruinada por un falso mesías.</t>
  </si>
  <si>
    <t xml:space="preserve">Tarr llevó al límite el plano-secuencia y la duración como experiencia: más de siete horas de tiempo dilatado.</t>
  </si>
  <si>
    <t xml:space="preserve">tt0111341</t>
  </si>
  <si>
    <t xml:space="preserve">Shoah</t>
  </si>
  <si>
    <t xml:space="preserve">Claude Lanzmann</t>
  </si>
  <si>
    <t xml:space="preserve">Testimonios del Holocausto sin una sola imagen de archivo.</t>
  </si>
  <si>
    <t xml:space="preserve">Lanzmann renunció a cualquier imagen de archivo y construyó nueve horas solo con testimonios, redefiniendo el.</t>
  </si>
  <si>
    <t xml:space="preserve">tt0090015</t>
  </si>
  <si>
    <t xml:space="preserve">Las zapatillas rojas</t>
  </si>
  <si>
    <t xml:space="preserve">Michael Powell</t>
  </si>
  <si>
    <t xml:space="preserve">Una bailarina entre el amor y su entrega al ballet.</t>
  </si>
  <si>
    <t xml:space="preserve">Powell y Pressburger llevaron el Technicolor y el ballet al cine con una secuencia de danza de 17 minutos.</t>
  </si>
  <si>
    <t xml:space="preserve">tt0040725</t>
  </si>
  <si>
    <t xml:space="preserve">Ven y mira</t>
  </si>
  <si>
    <t xml:space="preserve">Elem Klimov</t>
  </si>
  <si>
    <t xml:space="preserve">Un niño bielorruso atraviesa el horror de la ocupación nazi.</t>
  </si>
  <si>
    <t xml:space="preserve">Klimov filmó la guerra como experiencia sensorial y traumática, referencia insuperada del cine bélico.</t>
  </si>
  <si>
    <t xml:space="preserve">tt0091251</t>
  </si>
  <si>
    <t xml:space="preserve">El graduado</t>
  </si>
  <si>
    <t xml:space="preserve">Mike Nichols</t>
  </si>
  <si>
    <t xml:space="preserve">Un recién graduado tiene un lío con la madre de su novia.</t>
  </si>
  <si>
    <t xml:space="preserve">Retrató la desorientación juvenil de los 60 y estrenó un uso moderno de la banda sonora pop (Simon &amp;.</t>
  </si>
  <si>
    <t xml:space="preserve">tt0061722</t>
  </si>
  <si>
    <t xml:space="preserve">Rashomon</t>
  </si>
  <si>
    <t xml:space="preserve">Prime, Filmin, Acontra, Tivify, Plex</t>
  </si>
  <si>
    <t xml:space="preserve">Cuatro versiones incompatibles de un mismo crimen.</t>
  </si>
  <si>
    <t xml:space="preserve">Dio nombre al 'efecto Rashomon' (verdades incompatibles) y abrió el cine japonés a Occidente tras ganar en.</t>
  </si>
  <si>
    <t xml:space="preserve">tt0042876</t>
  </si>
  <si>
    <t xml:space="preserve">Rufufú</t>
  </si>
  <si>
    <t xml:space="preserve">Mario Monicelli</t>
  </si>
  <si>
    <t xml:space="preserve">Prime, Filmin, Acontra, Acontra Plus Amazon Channel, Tivify</t>
  </si>
  <si>
    <t xml:space="preserve">Unos ladrones ineptos planean un robo que sale fatal.</t>
  </si>
  <si>
    <t xml:space="preserve">Monicelli parodió el cine de atracos y fundó la 'commedia all'italiana', clave para el ánimo popular de la.</t>
  </si>
  <si>
    <t xml:space="preserve">tt0052216</t>
  </si>
  <si>
    <t xml:space="preserve">Stalker</t>
  </si>
  <si>
    <t xml:space="preserve">Andrei Tarkovsky</t>
  </si>
  <si>
    <t xml:space="preserve">Un guía lleva a dos hombres a una Zona donde se cumplen deseos.</t>
  </si>
  <si>
    <t xml:space="preserve">Tarkovski convirtió la ciencia ficción en metafísica: la Zona como espacio de deseo, con un ritmo y una.</t>
  </si>
  <si>
    <t xml:space="preserve">tt0079944</t>
  </si>
  <si>
    <t xml:space="preserve">Al final de la escapada</t>
  </si>
  <si>
    <t xml:space="preserve">Jean-Luc Godard</t>
  </si>
  <si>
    <t xml:space="preserve">Movistar, Movistar Plus+ Ficción Total , Filmin, FlixOlé, FlixOlé Amazon Channel</t>
  </si>
  <si>
    <t xml:space="preserve">Un ladrón de coches y una americana huyen por París.</t>
  </si>
  <si>
    <t xml:space="preserve">Debut de Godard que rompió las reglas del montaje clásico con el 'jump cut' y el rodaje en la calle, acta.</t>
  </si>
  <si>
    <t xml:space="preserve">tt0053472</t>
  </si>
  <si>
    <t xml:space="preserve">Un americano en París</t>
  </si>
  <si>
    <t xml:space="preserve">Vincente Minnelli</t>
  </si>
  <si>
    <t xml:space="preserve">Un pintor estadounidense se enamora en el París de posguerra.</t>
  </si>
  <si>
    <t xml:space="preserve">Cumbre del musical MGM: el ballet final de 17 minutos, inspirado en la pintura francesa, le valió el Óscar a.</t>
  </si>
  <si>
    <t xml:space="preserve">tt0043278</t>
  </si>
  <si>
    <t xml:space="preserve">Videodrome</t>
  </si>
  <si>
    <t xml:space="preserve">Un programador de televisión se obsesiona con emisiones violentas.</t>
  </si>
  <si>
    <t xml:space="preserve">Cronenberg definió el 'body horror' y anticipó el debate sobre medios, pantallas y su efecto físico sobre el.</t>
  </si>
  <si>
    <t xml:space="preserve">tt0086541</t>
  </si>
  <si>
    <t xml:space="preserve">Jeanne Dielman, 23 Quai du Commerce, 1080 Bruxelles</t>
  </si>
  <si>
    <t xml:space="preserve">Chantal Akerman</t>
  </si>
  <si>
    <t xml:space="preserve">Tres días en la rutina doméstica de una viuda que se prostituye.</t>
  </si>
  <si>
    <t xml:space="preserve">Akerman filmó las tareas domésticas en tiempo real durante más de tres horas; encabezó la encuesta de Sight &amp;.</t>
  </si>
  <si>
    <t xml:space="preserve">tt0073198</t>
  </si>
  <si>
    <t xml:space="preserve">Two Lovers</t>
  </si>
  <si>
    <t xml:space="preserve">James Gray</t>
  </si>
  <si>
    <t xml:space="preserve">Movistar, Movistar Plus+ Ficción Total , Filmin, FlixOlé, FlixOlé Amazon Channel, Tivify, Plex, Runtime</t>
  </si>
  <si>
    <t xml:space="preserve">Un hombre frágil dividido entre dos mujeres opuestas.</t>
  </si>
  <si>
    <t xml:space="preserve">Modelo del melodrama contemporáneo a la manera del cine clásico.</t>
  </si>
  <si>
    <t xml:space="preserve">tt1103275</t>
  </si>
  <si>
    <t xml:space="preserve">El contador de cartas</t>
  </si>
  <si>
    <t xml:space="preserve">Paul Schrader</t>
  </si>
  <si>
    <t xml:space="preserve">Un jugador de póker arrastra la culpa de su pasado militar.</t>
  </si>
  <si>
    <t xml:space="preserve">Schrader recuperó su figura del hombre solitario y su diario.</t>
  </si>
  <si>
    <t xml:space="preserve">tt11196036</t>
  </si>
  <si>
    <t xml:space="preserve">Adventureland</t>
  </si>
  <si>
    <t xml:space="preserve">Greg Mottola</t>
  </si>
  <si>
    <t xml:space="preserve">Un universitario pasa el verano trabajando en un parque cutre.</t>
  </si>
  <si>
    <t xml:space="preserve">Retrato generacional del verano precario de los ochenta desde el indie.</t>
  </si>
  <si>
    <t xml:space="preserve">tt1091722</t>
  </si>
  <si>
    <t xml:space="preserve">Mandy</t>
  </si>
  <si>
    <t xml:space="preserve">Panos Cosmatos</t>
  </si>
  <si>
    <t xml:space="preserve">EE.UU., Bélgica</t>
  </si>
  <si>
    <t xml:space="preserve">Un leñador se venga de la secta que mató a su pareja.</t>
  </si>
  <si>
    <t xml:space="preserve">Cumbre del cine psicodélico de culto y de la etapa tardía de Cage.</t>
  </si>
  <si>
    <t xml:space="preserve">tt6998518</t>
  </si>
  <si>
    <t xml:space="preserve">La quimera</t>
  </si>
  <si>
    <t xml:space="preserve">Filmin, AMC Channels Amazon Channel</t>
  </si>
  <si>
    <t xml:space="preserve">Un arqueólogo inglés saquea tumbas etruscas en la Toscana.</t>
  </si>
  <si>
    <t xml:space="preserve">Rohrwacher mezcló cine de época, fábula y formatos de película distintos.</t>
  </si>
  <si>
    <t xml:space="preserve">tt14561712</t>
  </si>
  <si>
    <t xml:space="preserve">Diamantes en bruto</t>
  </si>
  <si>
    <t xml:space="preserve">Josh Safdie, Benny Safdie</t>
  </si>
  <si>
    <t xml:space="preserve">Un joyero adicto al riesgo apuesta cada vez más alto.</t>
  </si>
  <si>
    <t xml:space="preserve">Su montaje y su sonido saturado redefinieron la tensión en pantalla.</t>
  </si>
  <si>
    <t xml:space="preserve">tt5727208</t>
  </si>
  <si>
    <t xml:space="preserve">Redada asesina</t>
  </si>
  <si>
    <t xml:space="preserve">Un comando policial asalta un edificio lleno de criminales.</t>
  </si>
  <si>
    <t xml:space="preserve">Renovó el cine de acción con pencak silat y coreografía continua.</t>
  </si>
  <si>
    <t xml:space="preserve">tt1899353</t>
  </si>
  <si>
    <t xml:space="preserve">Millennium Mambo</t>
  </si>
  <si>
    <t xml:space="preserve">Hou Hsiao-Hsien</t>
  </si>
  <si>
    <t xml:space="preserve">Una joven de Taipéi atrapada entre dos hombres y la noche.</t>
  </si>
  <si>
    <t xml:space="preserve">Retrato generacional del Taipéi de fin de siglo.</t>
  </si>
  <si>
    <t xml:space="preserve">tt0283283</t>
  </si>
  <si>
    <t xml:space="preserve">Fallen Leaves</t>
  </si>
  <si>
    <t xml:space="preserve">Finlandia, Alemania</t>
  </si>
  <si>
    <t xml:space="preserve">Dos solitarios de Helsinki intentan encontrarse una y otra vez.</t>
  </si>
  <si>
    <t xml:space="preserve">Cumbre tardía del minimalismo de Kaurismäki; Premio del Jurado en Cannes.</t>
  </si>
  <si>
    <t xml:space="preserve">tt21027780</t>
  </si>
  <si>
    <t xml:space="preserve">Femme Fatale</t>
  </si>
  <si>
    <t xml:space="preserve">Una ladrona suplanta una identidad tras un robo en Cannes.</t>
  </si>
  <si>
    <t xml:space="preserve">De Palma llevó al extremo su juego con la mirada y el desdoble.</t>
  </si>
  <si>
    <t xml:space="preserve">tt0280665</t>
  </si>
  <si>
    <t xml:space="preserve">La LEGO película</t>
  </si>
  <si>
    <t xml:space="preserve">Phil Lord, Christopher Miller</t>
  </si>
  <si>
    <t xml:space="preserve">Una pieza corriente de LEGO resulta ser la elegida.</t>
  </si>
  <si>
    <t xml:space="preserve">Simuló stop motion por ordenador y renovó la animación comercial.</t>
  </si>
  <si>
    <t xml:space="preserve">tt1490017</t>
  </si>
  <si>
    <t xml:space="preserve">El hilo invisible</t>
  </si>
  <si>
    <t xml:space="preserve">Un modisto obsesivo y la camarera que altera su mundo.</t>
  </si>
  <si>
    <t xml:space="preserve">Última interpretación de Day-Lewis antes de su retirada.</t>
  </si>
  <si>
    <t xml:space="preserve">tt5776858</t>
  </si>
  <si>
    <t xml:space="preserve">En tierra hostil</t>
  </si>
  <si>
    <t xml:space="preserve">Kathryn Bigelow</t>
  </si>
  <si>
    <t xml:space="preserve">Un artificiero adicto al peligro en la guerra de Irak.</t>
  </si>
  <si>
    <t xml:space="preserve">Primera mujer en ganar el Óscar a mejor dirección.</t>
  </si>
  <si>
    <t xml:space="preserve">tt0887912</t>
  </si>
  <si>
    <t xml:space="preserve">Misión: Imposible - Nación secreta</t>
  </si>
  <si>
    <t xml:space="preserve">Christopher McQuarrie</t>
  </si>
  <si>
    <t xml:space="preserve">Hunt persigue a una organización que replica su agencia.</t>
  </si>
  <si>
    <t xml:space="preserve">Consolidó el uso de acrobacias reales frente al efecto digital.</t>
  </si>
  <si>
    <t xml:space="preserve">tt2381249</t>
  </si>
  <si>
    <t xml:space="preserve">The Brutalist</t>
  </si>
  <si>
    <t xml:space="preserve">Brady Corbet</t>
  </si>
  <si>
    <t xml:space="preserve">Un arquitecto húngaro emigra a EE.UU.</t>
  </si>
  <si>
    <t xml:space="preserve">Rodada en VistaVision, formato prácticamente abandonado desde 1961.</t>
  </si>
  <si>
    <t xml:space="preserve">tt8999762</t>
  </si>
  <si>
    <t xml:space="preserve">John Wick 4</t>
  </si>
  <si>
    <t xml:space="preserve">Chad Stahelski</t>
  </si>
  <si>
    <t xml:space="preserve">El asesino busca la libertad enfrentándose a la Mesa Alta.</t>
  </si>
  <si>
    <t xml:space="preserve">Llevó la coreografía de acción a plano cenital y escala monumental.</t>
  </si>
  <si>
    <t xml:space="preserve">tt10366206</t>
  </si>
  <si>
    <t xml:space="preserve">El árbol de la vida</t>
  </si>
  <si>
    <t xml:space="preserve">La infancia en Texas frente al origen del universo.</t>
  </si>
  <si>
    <t xml:space="preserve">Palma de Oro que mezcló relato íntimo con la historia del cosmos.</t>
  </si>
  <si>
    <t xml:space="preserve">tt0478304</t>
  </si>
  <si>
    <t xml:space="preserve">Elephant</t>
  </si>
  <si>
    <t xml:space="preserve">HBO Max, HBO Max Amazon Channel</t>
  </si>
  <si>
    <t xml:space="preserve">Un día corriente en un instituto que acaba en masacre.</t>
  </si>
  <si>
    <t xml:space="preserve">Palma de Oro que abordó las matanzas escolares sin explicación ni moraleja.</t>
  </si>
  <si>
    <t xml:space="preserve">tt0363589</t>
  </si>
  <si>
    <t xml:space="preserve">Anora</t>
  </si>
  <si>
    <t xml:space="preserve">Una stripper se casa con el hijo de un oligarca ruso.</t>
  </si>
  <si>
    <t xml:space="preserve">Palma de Oro y cinco Óscars para una producción independiente pequeña.</t>
  </si>
  <si>
    <t xml:space="preserve">tt28607951</t>
  </si>
  <si>
    <t xml:space="preserve">Resurrection</t>
  </si>
  <si>
    <t xml:space="preserve">Andrew Semans</t>
  </si>
  <si>
    <t xml:space="preserve">Una ejecutiva reencuentra al hombre que la maltrató.</t>
  </si>
  <si>
    <t xml:space="preserve">Su monólogo central de siete minutos en plano fijo marcó la película.</t>
  </si>
  <si>
    <t xml:space="preserve">tt11540726</t>
  </si>
  <si>
    <t xml:space="preserve">La muerte del señor Lazarescu</t>
  </si>
  <si>
    <t xml:space="preserve">Cristi Puiu</t>
  </si>
  <si>
    <t xml:space="preserve">Rumanía</t>
  </si>
  <si>
    <t xml:space="preserve">Un anciano es paseado de hospital en hospital toda la noche.</t>
  </si>
  <si>
    <t xml:space="preserve">Acta de nacimiento de la Nueva Ola Rumana.</t>
  </si>
  <si>
    <t xml:space="preserve">tt0456149</t>
  </si>
  <si>
    <t xml:space="preserve">Solo los amantes sobreviven</t>
  </si>
  <si>
    <t xml:space="preserve">EE.UU., Reino Unido, Alemania, Francia, Chipre</t>
  </si>
  <si>
    <t xml:space="preserve">Dos vampiros melancólicos entre Tánger y Detroit.</t>
  </si>
  <si>
    <t xml:space="preserve">Reformuló el mito vampírico como melancolía cultural.</t>
  </si>
  <si>
    <t xml:space="preserve">tt1714915</t>
  </si>
  <si>
    <t xml:space="preserve">Decision to Leave</t>
  </si>
  <si>
    <t xml:space="preserve">Movistar, Movistar Plus+ Ficción Total , Filmin, MUBI, MUBI Amazon Channel</t>
  </si>
  <si>
    <t xml:space="preserve">Un detective se enamora de la viuda que investiga.</t>
  </si>
  <si>
    <t xml:space="preserve">Premio de dirección en Cannes; renovó el noir romántico coreano.</t>
  </si>
  <si>
    <t xml:space="preserve">tt12477480</t>
  </si>
  <si>
    <t xml:space="preserve">Holy Motors</t>
  </si>
  <si>
    <t xml:space="preserve">Leos Carax</t>
  </si>
  <si>
    <t xml:space="preserve">Un hombre recorre París encarnando vidas distintas.</t>
  </si>
  <si>
    <t xml:space="preserve">Manifiesto sobre la mutación del cine y del actor.</t>
  </si>
  <si>
    <t xml:space="preserve">tt2076220</t>
  </si>
  <si>
    <t xml:space="preserve">Titane</t>
  </si>
  <si>
    <t xml:space="preserve">Julia Ducournau</t>
  </si>
  <si>
    <t xml:space="preserve">Movistar Plus+ Ficción Total , HBO Max, Tivify, HBO Max Amazon Channel</t>
  </si>
  <si>
    <t xml:space="preserve">Una mujer con placa de titanio huye suplantando a un desaparecido.</t>
  </si>
  <si>
    <t xml:space="preserve">Segunda mujer en ganar la Palma de Oro.</t>
  </si>
  <si>
    <t xml:space="preserve">tt10944760</t>
  </si>
  <si>
    <t xml:space="preserve">Cerrar los ojos</t>
  </si>
  <si>
    <t xml:space="preserve">Movistar Plus+ Ficción Total , Filmin, HBO Max, HBO Max Amazon Channel</t>
  </si>
  <si>
    <t xml:space="preserve">Un cineasta retirado busca al actor que desapareció en su rodaje.</t>
  </si>
  <si>
    <t xml:space="preserve">Regreso de Erice tras treinta años y elegía sobre el cine en celuloide.</t>
  </si>
  <si>
    <t xml:space="preserve">tt21284358</t>
  </si>
  <si>
    <t xml:space="preserve">Trouble Every Day</t>
  </si>
  <si>
    <t xml:space="preserve">Claire Denis</t>
  </si>
  <si>
    <t xml:space="preserve">Francia, Alemania, Japón</t>
  </si>
  <si>
    <t xml:space="preserve">Dos personas con un mal que convierte el deseo en canibalismo.</t>
  </si>
  <si>
    <t xml:space="preserve">Pieza fundacional de la Nueva Extremidad Francesa.</t>
  </si>
  <si>
    <t xml:space="preserve">tt0204700</t>
  </si>
  <si>
    <t xml:space="preserve">Melancolía</t>
  </si>
  <si>
    <t xml:space="preserve">Una boda arruinada mientras un planeta se acerca a la Tierra.</t>
  </si>
  <si>
    <t xml:space="preserve">Unió depresión y fin del mundo con un prólogo de imágenes pictóricas.</t>
  </si>
  <si>
    <t xml:space="preserve">tt1527186</t>
  </si>
  <si>
    <t xml:space="preserve">Under the Skin</t>
  </si>
  <si>
    <t xml:space="preserve">Jonathan Glazer</t>
  </si>
  <si>
    <t xml:space="preserve">Reino Unido, Suiza, EE.UU.</t>
  </si>
  <si>
    <t xml:space="preserve">Una alienígena recorre Escocia seduciendo hombres.</t>
  </si>
  <si>
    <t xml:space="preserve">Rodó con cámaras ocultas y transeúntes reales; renovó la sci-fi de autor.</t>
  </si>
  <si>
    <t xml:space="preserve">tt1441395</t>
  </si>
  <si>
    <t xml:space="preserve">La piel que habito</t>
  </si>
  <si>
    <t xml:space="preserve">Un cirujano retiene a una mujer con una piel que él creó.</t>
  </si>
  <si>
    <t xml:space="preserve">Almodóvar llevó su melodrama al terreno del terror corporal.</t>
  </si>
  <si>
    <t xml:space="preserve">tt1189073</t>
  </si>
  <si>
    <t xml:space="preserve">Grizzly Man</t>
  </si>
  <si>
    <t xml:space="preserve">Werner Herzog</t>
  </si>
  <si>
    <t xml:space="preserve">Un activista convive con osos en Alaska hasta que lo matan.</t>
  </si>
  <si>
    <t xml:space="preserve">Documental montado con las propias grabaciones de la víctima.</t>
  </si>
  <si>
    <t xml:space="preserve">tt0427312</t>
  </si>
  <si>
    <t xml:space="preserve">Syndromes and a Century</t>
  </si>
  <si>
    <t xml:space="preserve">Apichatpong Weerasethakul</t>
  </si>
  <si>
    <t xml:space="preserve">Tailandia, Austria, Francia</t>
  </si>
  <si>
    <t xml:space="preserve">Dos versiones de una misma historia en hospitales distintos.</t>
  </si>
  <si>
    <t xml:space="preserve">Estructura en espejo que repite la misma historia en dos espacios.</t>
  </si>
  <si>
    <t xml:space="preserve">tt0477731</t>
  </si>
  <si>
    <t xml:space="preserve">Zodiac</t>
  </si>
  <si>
    <t xml:space="preserve">La investigación obsesiva del asesino del Zodiaco.</t>
  </si>
  <si>
    <t xml:space="preserve">Rodada en digital de alta gama, pionera en su acabado fotográfico.</t>
  </si>
  <si>
    <t xml:space="preserve">tt0443706</t>
  </si>
  <si>
    <t xml:space="preserve">A.I. Inteligencia Artificial</t>
  </si>
  <si>
    <t xml:space="preserve">Un niño robot busca convertirse en humano.</t>
  </si>
  <si>
    <t xml:space="preserve">Proyecto de Kubrick terminado por Spielberg tras su muerte.</t>
  </si>
  <si>
    <t xml:space="preserve">tt0212720</t>
  </si>
  <si>
    <t xml:space="preserve">Election</t>
  </si>
  <si>
    <t xml:space="preserve">Johnnie To</t>
  </si>
  <si>
    <t xml:space="preserve">Dos candidatos compiten por liderar una tríada de Hong Kong.</t>
  </si>
  <si>
    <t xml:space="preserve">Renovó el cine de tríadas desde la política y no desde la acción.</t>
  </si>
  <si>
    <t xml:space="preserve">tt0434008</t>
  </si>
  <si>
    <t xml:space="preserve">First Cow</t>
  </si>
  <si>
    <t xml:space="preserve">Kelly Reichardt</t>
  </si>
  <si>
    <t xml:space="preserve">Dos hombres montan un negocio de bollos con leche robada.</t>
  </si>
  <si>
    <t xml:space="preserve">Cumbre del western íntimo y del cine lento americano.</t>
  </si>
  <si>
    <t xml:space="preserve">tt9231040</t>
  </si>
  <si>
    <t xml:space="preserve">Silencio</t>
  </si>
  <si>
    <t xml:space="preserve">Dos jesuitas buscan a su mentor en el Japón que persigue cristianos.</t>
  </si>
  <si>
    <t xml:space="preserve">Proyecto que Scorsese tardó casi treinta años en levantar.</t>
  </si>
  <si>
    <t xml:space="preserve">tt0490215</t>
  </si>
  <si>
    <t xml:space="preserve">La sustancia</t>
  </si>
  <si>
    <t xml:space="preserve">Coralie Fargeat</t>
  </si>
  <si>
    <t xml:space="preserve">Una estrella madura usa una sustancia que genera su versión joven.</t>
  </si>
  <si>
    <t xml:space="preserve">Body horror feminista premiado al guion en Cannes y con Óscar de maquillaje.</t>
  </si>
  <si>
    <t xml:space="preserve">tt17526714</t>
  </si>
  <si>
    <t xml:space="preserve">Casa de tolerancia</t>
  </si>
  <si>
    <t xml:space="preserve">Bertrand Bonello</t>
  </si>
  <si>
    <t xml:space="preserve">La vida cotidiana en un burdel parisino de 1900.</t>
  </si>
  <si>
    <t xml:space="preserve">Retrato colectivo del burdel sin mirada masculina complaciente.</t>
  </si>
  <si>
    <t xml:space="preserve">tt1660379</t>
  </si>
  <si>
    <t xml:space="preserve">Toni Erdmann</t>
  </si>
  <si>
    <t xml:space="preserve">Maren Ade</t>
  </si>
  <si>
    <t xml:space="preserve">Un padre bromista irrumpe en la vida laboral de su hija.</t>
  </si>
  <si>
    <t xml:space="preserve">Éxito crítico que renovó la comedia europea de autor.</t>
  </si>
  <si>
    <t xml:space="preserve">tt4048272</t>
  </si>
  <si>
    <t xml:space="preserve">Entre copas</t>
  </si>
  <si>
    <t xml:space="preserve">Dos amigos recorren bodegas antes de una boda.</t>
  </si>
  <si>
    <t xml:space="preserve">Disparó las ventas de pinot noir y hundió las de merlot en EE.UU.</t>
  </si>
  <si>
    <t xml:space="preserve">tt0375063</t>
  </si>
  <si>
    <t xml:space="preserve">Ahora sí, antes no</t>
  </si>
  <si>
    <t xml:space="preserve">Un cineasta conoce a una pintora, dos veces.</t>
  </si>
  <si>
    <t xml:space="preserve">Repite la misma historia dos veces con variaciones mínimas.</t>
  </si>
  <si>
    <t xml:space="preserve">tt4768776</t>
  </si>
  <si>
    <t xml:space="preserve">It Follows</t>
  </si>
  <si>
    <t xml:space="preserve">David Robert Mitchell</t>
  </si>
  <si>
    <t xml:space="preserve">Prime, Movistar Plus+ Ficción Total , HBO Max, Tivify, AMC Channels Amazon Channel, HBO Max Amazon Channel</t>
  </si>
  <si>
    <t xml:space="preserve">Una maldición sexual que se transmite y persigue caminando.</t>
  </si>
  <si>
    <t xml:space="preserve">Renovó el terror adolescente con una regla de encuadre constante.</t>
  </si>
  <si>
    <t xml:space="preserve">tt3235888</t>
  </si>
  <si>
    <t xml:space="preserve">Drive My Car</t>
  </si>
  <si>
    <t xml:space="preserve">Ryusuke Hamaguchi</t>
  </si>
  <si>
    <t xml:space="preserve">Un director teatral viudo y su chófer atraviesan el duelo.</t>
  </si>
  <si>
    <t xml:space="preserve">Primera película japonesa nominada a mejor película en los Óscars.</t>
  </si>
  <si>
    <t xml:space="preserve">tt14039582</t>
  </si>
  <si>
    <t xml:space="preserve">Bone Tomahawk</t>
  </si>
  <si>
    <t xml:space="preserve">S. Craig Zahler</t>
  </si>
  <si>
    <t xml:space="preserve">Un sheriff rescata a unos secuestrados por caníbales.</t>
  </si>
  <si>
    <t xml:space="preserve">Fusionó western y terror extremo desde el cine independiente.</t>
  </si>
  <si>
    <t xml:space="preserve">tt2494362</t>
  </si>
  <si>
    <t xml:space="preserve">Corrupción en Miami</t>
  </si>
  <si>
    <t xml:space="preserve">Uruguay, EE.UU., Alemania, Paraguay</t>
  </si>
  <si>
    <t xml:space="preserve">Dos policías infiltrados en el narcotráfico.</t>
  </si>
  <si>
    <t xml:space="preserve">Pionera en rodar acción de gran formato en vídeo digital.</t>
  </si>
  <si>
    <t xml:space="preserve">tt0430357</t>
  </si>
  <si>
    <t xml:space="preserve">Rivales</t>
  </si>
  <si>
    <t xml:space="preserve">Un triángulo amoroso entre tres tenistas a lo largo de los años.</t>
  </si>
  <si>
    <t xml:space="preserve">Estructura temporal fragmentada y banda sonora electrónica de Reznor y Ross.</t>
  </si>
  <si>
    <t xml:space="preserve">tt16426418</t>
  </si>
  <si>
    <t xml:space="preserve">Demonlover</t>
  </si>
  <si>
    <t xml:space="preserve">Olivier Assayas</t>
  </si>
  <si>
    <t xml:space="preserve">Espionaje empresarial en el negocio del porno digital.</t>
  </si>
  <si>
    <t xml:space="preserve">Anticipó el debate sobre violencia digital y capitalismo en red.</t>
  </si>
  <si>
    <t xml:space="preserve">tt0284034</t>
  </si>
  <si>
    <t xml:space="preserve">La bruja</t>
  </si>
  <si>
    <t xml:space="preserve">Robert Eggers</t>
  </si>
  <si>
    <t xml:space="preserve">Una familia puritana se desmorona junto a un bosque maldito.</t>
  </si>
  <si>
    <t xml:space="preserve">Reconstruyó el habla y las costumbres del XVII con rigor documental.</t>
  </si>
  <si>
    <t xml:space="preserve">tt4263482</t>
  </si>
  <si>
    <t xml:space="preserve">The Deep Blue Sea</t>
  </si>
  <si>
    <t xml:space="preserve">Terence Davies</t>
  </si>
  <si>
    <t xml:space="preserve">La esposa de un juez lo deja por un piloto de la RAF.</t>
  </si>
  <si>
    <t xml:space="preserve">Cumbre tardía del melodrama británico de Terence Davies.</t>
  </si>
  <si>
    <t xml:space="preserve">tt1700844</t>
  </si>
  <si>
    <t xml:space="preserve">Borat</t>
  </si>
  <si>
    <t xml:space="preserve">Larry Charles</t>
  </si>
  <si>
    <t xml:space="preserve">Un reportero kazajo recorre Estados Unidos.</t>
  </si>
  <si>
    <t xml:space="preserve">Popularizó la comedia de emboscada con personas reales.</t>
  </si>
  <si>
    <t xml:space="preserve">tt0443453</t>
  </si>
  <si>
    <t xml:space="preserve">Brokeback Mountain</t>
  </si>
  <si>
    <t xml:space="preserve">Dos vaqueros mantienen una relación durante veinte años.</t>
  </si>
  <si>
    <t xml:space="preserve">Llevó el romance gay al cine mainstream; Óscar de dirección para Ang Lee.</t>
  </si>
  <si>
    <t xml:space="preserve">tt0388795</t>
  </si>
  <si>
    <t xml:space="preserve">Honor de cavalleria</t>
  </si>
  <si>
    <t xml:space="preserve">Albert Serra</t>
  </si>
  <si>
    <t xml:space="preserve">Don Quijote y Sancho vagando por el campo, casi sin trama.</t>
  </si>
  <si>
    <t xml:space="preserve">Radicalizó la adaptación literaria eliminando casi toda la trama.</t>
  </si>
  <si>
    <t xml:space="preserve">tt0799772</t>
  </si>
  <si>
    <t xml:space="preserve">Vortex</t>
  </si>
  <si>
    <t xml:space="preserve">Los últimos días de un matrimonio anciano, en pantalla partida.</t>
  </si>
  <si>
    <t xml:space="preserve">Contada en pantalla partida durante toda su duración.</t>
  </si>
  <si>
    <t xml:space="preserve">tt14821150</t>
  </si>
  <si>
    <t xml:space="preserve">Hereditary</t>
  </si>
  <si>
    <t xml:space="preserve">Ari Aster</t>
  </si>
  <si>
    <t xml:space="preserve">Prime, Tivify, AMC Channels Amazon Channel, Shadowz Amazon Channel</t>
  </si>
  <si>
    <t xml:space="preserve">Una familia arrastra una herencia maldita tras una muerte.</t>
  </si>
  <si>
    <t xml:space="preserve">Debut que reactivó el terror de autor de la productora A24.</t>
  </si>
  <si>
    <t xml:space="preserve">tt7784604</t>
  </si>
  <si>
    <t xml:space="preserve">El hijo de Saúl</t>
  </si>
  <si>
    <t xml:space="preserve">László Nemes</t>
  </si>
  <si>
    <t xml:space="preserve">Un prisionero de Auschwitz busca enterrar a un niño.</t>
  </si>
  <si>
    <t xml:space="preserve">Rodada en 40 mm con foco corto; Óscar a mejor película extranjera.</t>
  </si>
  <si>
    <t xml:space="preserve">tt3808342</t>
  </si>
  <si>
    <t xml:space="preserve">El topo</t>
  </si>
  <si>
    <t xml:space="preserve">Francia, Alemania, Reino Unido</t>
  </si>
  <si>
    <t xml:space="preserve">Un espía retirado busca al infiltrado soviético en el servicio.</t>
  </si>
  <si>
    <t xml:space="preserve">Modelo de adaptación de espionaje sin acción, solo con miradas.</t>
  </si>
  <si>
    <t xml:space="preserve">tt1340800</t>
  </si>
  <si>
    <t xml:space="preserve">La red social</t>
  </si>
  <si>
    <t xml:space="preserve">La creación de Facebook y los pleitos entre sus fundadores.</t>
  </si>
  <si>
    <t xml:space="preserve">Retrató el nacimiento de las redes sociales; tres Óscars.</t>
  </si>
  <si>
    <t xml:space="preserve">tt1285016</t>
  </si>
  <si>
    <t xml:space="preserve">El aura</t>
  </si>
  <si>
    <t xml:space="preserve">Un taxidermista epiléptico se ve envuelto en un atraco.</t>
  </si>
  <si>
    <t xml:space="preserve">Segunda y última película de Bielinsky, cumbre del thriller argentino.</t>
  </si>
  <si>
    <t xml:space="preserve">tt0420509</t>
  </si>
  <si>
    <t xml:space="preserve">El sol del futuro</t>
  </si>
  <si>
    <t xml:space="preserve">Un director rueda una película mientras su vida se desmorona.</t>
  </si>
  <si>
    <t xml:space="preserve">Moretti reflexionó sobre el cine y la izquierda italiana.</t>
  </si>
  <si>
    <t xml:space="preserve">tt16731908</t>
  </si>
  <si>
    <t xml:space="preserve">El reportero: la leyenda de Ron Burgundy</t>
  </si>
  <si>
    <t xml:space="preserve">Adam McKay</t>
  </si>
  <si>
    <t xml:space="preserve">Un presentador machista pierde el control al llegar una compañera.</t>
  </si>
  <si>
    <t xml:space="preserve">Fijó el estilo de comedia improvisada de la generación Apatow.</t>
  </si>
  <si>
    <t xml:space="preserve">tt0357413</t>
  </si>
  <si>
    <t xml:space="preserve">Z, la ciudad perdida</t>
  </si>
  <si>
    <t xml:space="preserve">Un explorador británico busca una ciudad en el Amazonas.</t>
  </si>
  <si>
    <t xml:space="preserve">Recuperó el cine de aventuras clásico rodado en película.</t>
  </si>
  <si>
    <t xml:space="preserve">tt1212428</t>
  </si>
  <si>
    <t xml:space="preserve">El bosque</t>
  </si>
  <si>
    <t xml:space="preserve">Una aldea aislada teme a las criaturas del bosque.</t>
  </si>
  <si>
    <t xml:space="preserve">Su giro final generó un debate que marcó la carrera de Shyamalan.</t>
  </si>
  <si>
    <t xml:space="preserve">tt0368447</t>
  </si>
  <si>
    <t xml:space="preserve">Qué difícil es ser un dios</t>
  </si>
  <si>
    <t xml:space="preserve">Aleksey German</t>
  </si>
  <si>
    <t xml:space="preserve">Un científico observa un planeta atrapado en su Edad Media.</t>
  </si>
  <si>
    <t xml:space="preserve">Rodaje de más de una década; testamento de Aleksey German.</t>
  </si>
  <si>
    <t xml:space="preserve">tt2328813</t>
  </si>
  <si>
    <t xml:space="preserve">¡Nop!</t>
  </si>
  <si>
    <t xml:space="preserve">Jordan Peele</t>
  </si>
  <si>
    <t xml:space="preserve">Dos hermanos rancheros filman algo que sobrevuela su valle.</t>
  </si>
  <si>
    <t xml:space="preserve">Rodada en IMAX; ensayo sobre el espectáculo y la mirada.</t>
  </si>
  <si>
    <t xml:space="preserve">tt10954984</t>
  </si>
  <si>
    <t xml:space="preserve">RRR</t>
  </si>
  <si>
    <t xml:space="preserve">S.S. Rajamouli</t>
  </si>
  <si>
    <t xml:space="preserve">Dos revolucionarios indios se enfrentan al dominio británico.</t>
  </si>
  <si>
    <t xml:space="preserve">Su canción Naatu Naatu fue la primera india en ganar el Óscar.</t>
  </si>
  <si>
    <t xml:space="preserve">tt8178634</t>
  </si>
  <si>
    <t xml:space="preserve">The Souvenir</t>
  </si>
  <si>
    <t xml:space="preserve">Joanna Hogg</t>
  </si>
  <si>
    <t xml:space="preserve">Una estudiante de cine y su relación con un hombre adicto.</t>
  </si>
  <si>
    <t xml:space="preserve">Autoficción rodada sin guion cerrado, con diálogos improvisados.</t>
  </si>
  <si>
    <t xml:space="preserve">tt6920356</t>
  </si>
  <si>
    <t xml:space="preserve">Tournée</t>
  </si>
  <si>
    <t xml:space="preserve">Mathieu Amalric</t>
  </si>
  <si>
    <t xml:space="preserve">Un productor francés gira por provincias con bailarinas burlesque.</t>
  </si>
  <si>
    <t xml:space="preserve">Premio de dirección en Cannes para un actor debutante tras la cámara.</t>
  </si>
  <si>
    <t xml:space="preserve">tt1451762</t>
  </si>
  <si>
    <t xml:space="preserve">Vincere</t>
  </si>
  <si>
    <t xml:space="preserve">Marco Bellocchio</t>
  </si>
  <si>
    <t xml:space="preserve">Prime, Acontra, Acontra Plus Amazon Channel</t>
  </si>
  <si>
    <t xml:space="preserve">La amante secreta de Mussolini y el hijo que él negó.</t>
  </si>
  <si>
    <t xml:space="preserve">Recuperó la retórica visual del cine fascista para desmontarla.</t>
  </si>
  <si>
    <t xml:space="preserve">tt1156173</t>
  </si>
  <si>
    <t xml:space="preserve">Elle</t>
  </si>
  <si>
    <t xml:space="preserve">Bélgica, Francia, Alemania</t>
  </si>
  <si>
    <t xml:space="preserve">Movistar, Movistar Plus+ Ficción Total , HBO Max, HBO Max Amazon Channel, Rakuten</t>
  </si>
  <si>
    <t xml:space="preserve">Una empresaria reacciona de forma inesperada a una agresión.</t>
  </si>
  <si>
    <t xml:space="preserve">Verhoeven rompió el molde del relato de agresión sexual.</t>
  </si>
  <si>
    <t xml:space="preserve">tt3716530</t>
  </si>
  <si>
    <t xml:space="preserve">Spider-Man 2</t>
  </si>
  <si>
    <t xml:space="preserve">Superhéroes</t>
  </si>
  <si>
    <t xml:space="preserve">Peter Parker duda de su doble vida frente al Doctor Octopus.</t>
  </si>
  <si>
    <t xml:space="preserve">Referencia del cine de superhéroes antes de la era Marvel.</t>
  </si>
  <si>
    <t xml:space="preserve">tt0316654</t>
  </si>
  <si>
    <t xml:space="preserve">Goodbye, Dragon Inn</t>
  </si>
  <si>
    <t xml:space="preserve">Tsai Ming-liang</t>
  </si>
  <si>
    <t xml:space="preserve">La última sesión de un viejo cine de Taipéi.</t>
  </si>
  <si>
    <t xml:space="preserve">Elegía sobre la muerte de las salas de cine, casi sin diálogo.</t>
  </si>
  <si>
    <t xml:space="preserve">tt0377556</t>
  </si>
  <si>
    <t xml:space="preserve">Infierno blanco</t>
  </si>
  <si>
    <t xml:space="preserve">Joe Carnahan</t>
  </si>
  <si>
    <t xml:space="preserve">Supervivientes de un accidente aéreo perseguidos por lobos.</t>
  </si>
  <si>
    <t xml:space="preserve">Reformuló la película de supervivencia como reflexión sobre la muerte.</t>
  </si>
  <si>
    <t xml:space="preserve">tt1601913</t>
  </si>
  <si>
    <t xml:space="preserve">Moonlight</t>
  </si>
  <si>
    <t xml:space="preserve">Barry Jenkins</t>
  </si>
  <si>
    <t xml:space="preserve">Tres etapas en la vida de un joven negro y gay en Miami.</t>
  </si>
  <si>
    <t xml:space="preserve">Primera película con reparto íntegramente negro y temática LGTB en ganar el Óscar.</t>
  </si>
  <si>
    <t xml:space="preserve">tt4975722</t>
  </si>
  <si>
    <t xml:space="preserve">El poder del perro</t>
  </si>
  <si>
    <t xml:space="preserve">Australia, Canadá, Nueva Zelanda, Reino Unido</t>
  </si>
  <si>
    <t xml:space="preserve">Un ranchero hostil frente a la nueva esposa de su hermano.</t>
  </si>
  <si>
    <t xml:space="preserve">Óscar de dirección para Jane Campion, segunda mujer en lograrlo.</t>
  </si>
  <si>
    <t xml:space="preserve">tt10293406</t>
  </si>
  <si>
    <t xml:space="preserve">Verano 1993</t>
  </si>
  <si>
    <t xml:space="preserve">Prime, Movistar Plus+ Ficción Total , Filmin, HBO Max, MUBI, MUBI Amazon Channel, HBO Max Amazon Channel, rtve</t>
  </si>
  <si>
    <t xml:space="preserve">Una niña huérfana se adapta a vivir con sus tíos en el campo.</t>
  </si>
  <si>
    <t xml:space="preserve">Debut que renovó el cine español desde la mirada infantil.</t>
  </si>
  <si>
    <t xml:space="preserve">tt5897636</t>
  </si>
  <si>
    <t xml:space="preserve">Ichi the Killer</t>
  </si>
  <si>
    <t xml:space="preserve">Takashi Miike</t>
  </si>
  <si>
    <t xml:space="preserve">Guerra entre yakuzas con un sicario perturbado.</t>
  </si>
  <si>
    <t xml:space="preserve">Su violencia provocó cortes y prohibiciones en varios países.</t>
  </si>
  <si>
    <t xml:space="preserve">tt0296042</t>
  </si>
  <si>
    <t xml:space="preserve">Rogue One: Una historia de Star Wars</t>
  </si>
  <si>
    <t xml:space="preserve">Gareth Edwards</t>
  </si>
  <si>
    <t xml:space="preserve">Un comando roba los planos de la Estrella de la Muerte.</t>
  </si>
  <si>
    <t xml:space="preserve">Primer spin-off de la saga y su tono bélico adulto.</t>
  </si>
  <si>
    <t xml:space="preserve">tt3748528</t>
  </si>
  <si>
    <t xml:space="preserve">After</t>
  </si>
  <si>
    <t xml:space="preserve">Cuatro amigos cuarentones en una noche de excesos.</t>
  </si>
  <si>
    <t xml:space="preserve">Retrato generacional del desencanto de los cuarenta en el cine español.</t>
  </si>
  <si>
    <t xml:space="preserve">tt1249363</t>
  </si>
  <si>
    <t xml:space="preserve">La cuadrilla</t>
  </si>
  <si>
    <t xml:space="preserve">Ferroviarios británicos precarizados tras la privatización.</t>
  </si>
  <si>
    <t xml:space="preserve">Loach retrató la privatización ferroviaria desde dentro del oficio.</t>
  </si>
  <si>
    <t xml:space="preserve">tt0279977</t>
  </si>
  <si>
    <t xml:space="preserve">Sobibor, 14 de octubre de 1943, 16 horas</t>
  </si>
  <si>
    <t xml:space="preserve">El testimonio de la revuelta en el campo de Sobibor.</t>
  </si>
  <si>
    <t xml:space="preserve">Complemento de Shoah centrado en la única revuelta exitosa.</t>
  </si>
  <si>
    <t xml:space="preserve">tt0286978</t>
  </si>
  <si>
    <t xml:space="preserve">En realidad, nunca estuviste aquí</t>
  </si>
  <si>
    <t xml:space="preserve">Reino Unido, EE.UU., Francia</t>
  </si>
  <si>
    <t xml:space="preserve">Un matón rescata a chicas secuestradas.</t>
  </si>
  <si>
    <t xml:space="preserve">Premio de guion e interpretación en Cannes; violencia casi siempre fuera de campo.</t>
  </si>
  <si>
    <t xml:space="preserve">tt5742374</t>
  </si>
  <si>
    <t xml:space="preserve">Mud</t>
  </si>
  <si>
    <t xml:space="preserve">Jeff Nichols</t>
  </si>
  <si>
    <t xml:space="preserve">Dos niños ayudan a un fugitivo escondido en una isla.</t>
  </si>
  <si>
    <t xml:space="preserve">Renovó el cine sureño americano y la novela de aprendizaje.</t>
  </si>
  <si>
    <t xml:space="preserve">tt1935179</t>
  </si>
  <si>
    <t xml:space="preserve">Saraband</t>
  </si>
  <si>
    <t xml:space="preserve">Reencuentro de una pareja divorciada treinta años después.</t>
  </si>
  <si>
    <t xml:space="preserve">Última película de Bergman, treinta años después de su original.</t>
  </si>
  <si>
    <t xml:space="preserve">tt0299478</t>
  </si>
  <si>
    <t xml:space="preserve">Teniente corrupto: Nueva Orleans</t>
  </si>
  <si>
    <t xml:space="preserve">Filmin, FlixOlé, FlixOlé Amazon Channel, Tivify, Rakuten, Runtime</t>
  </si>
  <si>
    <t xml:space="preserve">Un policía adicto se hunde investigando un múltiple asesinato.</t>
  </si>
  <si>
    <t xml:space="preserve">Herzog rehízo el clásico ignorando deliberadamente el original.</t>
  </si>
  <si>
    <t xml:space="preserve">tt1095217</t>
  </si>
  <si>
    <t xml:space="preserve">Watchmen</t>
  </si>
  <si>
    <t xml:space="preserve">Superhéroes retirados investigan la muerte de uno de ellos.</t>
  </si>
  <si>
    <t xml:space="preserve">Adaptó el cómic considerado inadaptable, casi viñeta a viñeta.</t>
  </si>
  <si>
    <t xml:space="preserve">tt0409459</t>
  </si>
  <si>
    <t xml:space="preserve">La asistenta</t>
  </si>
  <si>
    <t xml:space="preserve">Paul Feig</t>
  </si>
  <si>
    <t xml:space="preserve">Una empleada doméstica se involucra en la familia que la contrata.</t>
  </si>
  <si>
    <t xml:space="preserve">tt27543632</t>
  </si>
  <si>
    <t xml:space="preserve">Proyecto Salvación</t>
  </si>
  <si>
    <t xml:space="preserve">Phil Lord,Christopher Miller</t>
  </si>
  <si>
    <t xml:space="preserve">Prime, MGM Plus Amazon Channel</t>
  </si>
  <si>
    <t xml:space="preserve">Una misión desesperada para salvar a la humanidad.</t>
  </si>
  <si>
    <t xml:space="preserve">tt12042730</t>
  </si>
  <si>
    <t xml:space="preserve">Vaiana</t>
  </si>
  <si>
    <t xml:space="preserve">Ron Clements,John Musker,Don Hall,Chris Williams</t>
  </si>
  <si>
    <t xml:space="preserve">Una joven polinesia navega para salvar a su isla.</t>
  </si>
  <si>
    <t xml:space="preserve">tt3521164</t>
  </si>
  <si>
    <t xml:space="preserve">Solo en casa 2: Perdido en Nueva York</t>
  </si>
  <si>
    <t xml:space="preserve">Chris Columbus</t>
  </si>
  <si>
    <t xml:space="preserve">Kevin se pierde en Nueva York y repite la jugada.</t>
  </si>
  <si>
    <t xml:space="preserve">tt0104431</t>
  </si>
  <si>
    <t xml:space="preserve">Cars</t>
  </si>
  <si>
    <t xml:space="preserve">John Lasseter,Joe Ranft</t>
  </si>
  <si>
    <t xml:space="preserve">Un coche de carreras arrogante queda varado en un pueblo.</t>
  </si>
  <si>
    <t xml:space="preserve">tt0317219</t>
  </si>
  <si>
    <t xml:space="preserve">Resacón 2: ¡Ahora en Tailandia!</t>
  </si>
  <si>
    <t xml:space="preserve">La misma cuadrilla pierde a otro amigo en Bangkok.</t>
  </si>
  <si>
    <t xml:space="preserve">tt1411697</t>
  </si>
  <si>
    <t xml:space="preserve">Regreso al futuro: Parte II</t>
  </si>
  <si>
    <t xml:space="preserve">Prime, Movistar Plus+ Ficción Total , SkyShowtime</t>
  </si>
  <si>
    <t xml:space="preserve">Marty viaja a 2015 y a un 1985 alternativo.</t>
  </si>
  <si>
    <t xml:space="preserve">tt0096874</t>
  </si>
  <si>
    <t xml:space="preserve">Supersalidos</t>
  </si>
  <si>
    <t xml:space="preserve">Dos amigos intentan conseguir alcohol antes de una fiesta.</t>
  </si>
  <si>
    <t xml:space="preserve">tt0829482</t>
  </si>
  <si>
    <t xml:space="preserve">Solo en casa</t>
  </si>
  <si>
    <t xml:space="preserve">Un niño olvidado en casa repele a dos ladrones.</t>
  </si>
  <si>
    <t xml:space="preserve">tt0099785</t>
  </si>
  <si>
    <t xml:space="preserve">Michael</t>
  </si>
  <si>
    <t xml:space="preserve">Biopic sobre la vida y carrera de Michael Jackson.</t>
  </si>
  <si>
    <t xml:space="preserve">tt11378946</t>
  </si>
  <si>
    <t xml:space="preserve">Sin piedad</t>
  </si>
  <si>
    <t xml:space="preserve">Timur Bekmambetov</t>
  </si>
  <si>
    <t xml:space="preserve">Un hombre busca justicia por su cuenta tras una injusticia.</t>
  </si>
  <si>
    <t xml:space="preserve">tt31050594</t>
  </si>
  <si>
    <t xml:space="preserve">Hamnet</t>
  </si>
  <si>
    <t xml:space="preserve">Chloé Zhao</t>
  </si>
  <si>
    <t xml:space="preserve">La muerte del hijo de Shakespeare y su reflejo en Hamlet.</t>
  </si>
  <si>
    <t xml:space="preserve">tt14905854</t>
  </si>
  <si>
    <t xml:space="preserve">La ventana secreta</t>
  </si>
  <si>
    <t xml:space="preserve">David Koepp</t>
  </si>
  <si>
    <t xml:space="preserve">Un escritor es acusado de plagio por un desconocido.</t>
  </si>
  <si>
    <t xml:space="preserve">tt0363988</t>
  </si>
  <si>
    <t xml:space="preserve">Death Race: La carrera de la muerte</t>
  </si>
  <si>
    <t xml:space="preserve">Paul W.S. Anderson</t>
  </si>
  <si>
    <t xml:space="preserve">Presos compiten en una carrera mortal televisada.</t>
  </si>
  <si>
    <t xml:space="preserve">tt0452608</t>
  </si>
  <si>
    <t xml:space="preserve">Megalodón</t>
  </si>
  <si>
    <t xml:space="preserve">Jon Turteltaub</t>
  </si>
  <si>
    <t xml:space="preserve">Un rescatador se enfrenta a un tiburón prehistórico.</t>
  </si>
  <si>
    <t xml:space="preserve">tt4779682</t>
  </si>
  <si>
    <t xml:space="preserve">Lara Croft: Tomb Raider</t>
  </si>
  <si>
    <t xml:space="preserve">Simon West</t>
  </si>
  <si>
    <t xml:space="preserve">atresplayer</t>
  </si>
  <si>
    <t xml:space="preserve">Una arqueóloga aventurera busca un artefacto ancestral.</t>
  </si>
  <si>
    <t xml:space="preserve">tt0146316</t>
  </si>
  <si>
    <t xml:space="preserve">Alien vs. Predator</t>
  </si>
  <si>
    <t xml:space="preserve">Canadá, República Checa, Alemania, Reino Unido, EE.UU.</t>
  </si>
  <si>
    <t xml:space="preserve">Una expedición antártica atrapada entre dos especies.</t>
  </si>
  <si>
    <t xml:space="preserve">tt0370263</t>
  </si>
  <si>
    <t xml:space="preserve">Fast &amp; Furious: Hobbs &amp; Shaw</t>
  </si>
  <si>
    <t xml:space="preserve">David Leitch</t>
  </si>
  <si>
    <t xml:space="preserve">Netflix, Prime, Movistar Plus+ Ficción Total , SkyShowtime</t>
  </si>
  <si>
    <t xml:space="preserve">Dos rivales se alían contra un supersoldado.</t>
  </si>
  <si>
    <t xml:space="preserve">tt6806448</t>
  </si>
  <si>
    <t xml:space="preserve">Black Phone</t>
  </si>
  <si>
    <t xml:space="preserve">Scott Derrickson</t>
  </si>
  <si>
    <t xml:space="preserve">Un niño secuestrado recibe llamadas de víctimas anteriores.</t>
  </si>
  <si>
    <t xml:space="preserve">tt7144666</t>
  </si>
  <si>
    <t xml:space="preserve">Godzilla vs. Kong</t>
  </si>
  <si>
    <t xml:space="preserve">Adam Wingard</t>
  </si>
  <si>
    <t xml:space="preserve">Los dos titanes chocan mientras se trama algo peor.</t>
  </si>
  <si>
    <t xml:space="preserve">tt5034838</t>
  </si>
  <si>
    <t xml:space="preserve">Battleship</t>
  </si>
  <si>
    <t xml:space="preserve">Peter Berg</t>
  </si>
  <si>
    <t xml:space="preserve">La Marina se enfrenta a una flota alienígena.</t>
  </si>
  <si>
    <t xml:space="preserve">tt1440129</t>
  </si>
  <si>
    <t xml:space="preserve">Ghost Rider: El motorista fantasma</t>
  </si>
  <si>
    <t xml:space="preserve">Mark Steven Johnson</t>
  </si>
  <si>
    <t xml:space="preserve">EE.UU., Australia</t>
  </si>
  <si>
    <t xml:space="preserve">Un motero vende su alma y se convierte en justiciero.</t>
  </si>
  <si>
    <t xml:space="preserve">tt0259324</t>
  </si>
  <si>
    <t xml:space="preserve">Enemigo público</t>
  </si>
  <si>
    <t xml:space="preserve">Un abogado es perseguido por una agencia de vigilancia.</t>
  </si>
  <si>
    <t xml:space="preserve">tt0120660</t>
  </si>
  <si>
    <t xml:space="preserve">La huérfana</t>
  </si>
  <si>
    <t xml:space="preserve">Jaume Collet-Serra</t>
  </si>
  <si>
    <t xml:space="preserve">Canadá, Francia, Alemania, EE.UU.</t>
  </si>
  <si>
    <t xml:space="preserve">Una familia adopta a una niña que no es lo que parece.</t>
  </si>
  <si>
    <t xml:space="preserve">tt1148204</t>
  </si>
  <si>
    <t xml:space="preserve">Objetivo: La Casa Blanca</t>
  </si>
  <si>
    <t xml:space="preserve">Un guardaespaldas defiende la Casa Blanca de un asalto.</t>
  </si>
  <si>
    <t xml:space="preserve">tt2302755</t>
  </si>
  <si>
    <t xml:space="preserve">El dragón rojo</t>
  </si>
  <si>
    <t xml:space="preserve">Brett Ratner</t>
  </si>
  <si>
    <t xml:space="preserve">Un agente pide ayuda a Lecter para cazar a otro asesino.</t>
  </si>
  <si>
    <t xml:space="preserve">tt0289765</t>
  </si>
  <si>
    <t xml:space="preserve">Langosta</t>
  </si>
  <si>
    <t xml:space="preserve">Francia, Grecia, Irlanda, Países Bajos, Reino Unido</t>
  </si>
  <si>
    <t xml:space="preserve">Los solteros tienen 45 días para emparejarse o ser animales.</t>
  </si>
  <si>
    <t xml:space="preserve">tt3464902</t>
  </si>
  <si>
    <t xml:space="preserve">La niebla de Stephen King</t>
  </si>
  <si>
    <t xml:space="preserve">Una niebla con criaturas atrapa a unos vecinos en un súper.</t>
  </si>
  <si>
    <t xml:space="preserve">tt0884328</t>
  </si>
  <si>
    <t xml:space="preserve">Ocean's 13</t>
  </si>
  <si>
    <t xml:space="preserve">La banda arruina el casino de quien traicionó a un amigo.</t>
  </si>
  <si>
    <t xml:space="preserve">tt0496806</t>
  </si>
  <si>
    <t xml:space="preserve">Luca</t>
  </si>
  <si>
    <t xml:space="preserve">Enrico Casarosa</t>
  </si>
  <si>
    <t xml:space="preserve">Dos monstruos marinos pasan el verano en la Riviera italiana.</t>
  </si>
  <si>
    <t xml:space="preserve">tt12801262</t>
  </si>
  <si>
    <t xml:space="preserve">Chicken Run: Evasión en la granja</t>
  </si>
  <si>
    <t xml:space="preserve">Peter Lord,Nick Park</t>
  </si>
  <si>
    <t xml:space="preserve">Unas gallinas planean escapar de la granja.</t>
  </si>
  <si>
    <t xml:space="preserve">tt0120630</t>
  </si>
  <si>
    <t xml:space="preserve">El incidente</t>
  </si>
  <si>
    <t xml:space="preserve">EE.UU., India, Francia</t>
  </si>
  <si>
    <t xml:space="preserve">Una ola de suicidios obliga a huir de las ciudades.</t>
  </si>
  <si>
    <t xml:space="preserve">tt0949731</t>
  </si>
  <si>
    <t xml:space="preserve">La guerra del mañana</t>
  </si>
  <si>
    <t xml:space="preserve">Chris McKay</t>
  </si>
  <si>
    <t xml:space="preserve">Civiles reclutados para luchar en una guerra futura.</t>
  </si>
  <si>
    <t xml:space="preserve">tt9777666</t>
  </si>
  <si>
    <t xml:space="preserve">Ghost</t>
  </si>
  <si>
    <t xml:space="preserve">Jerry Zucker</t>
  </si>
  <si>
    <t xml:space="preserve">Un asesinado se comunica con su novia a través de una médium.</t>
  </si>
  <si>
    <t xml:space="preserve">tt0099653</t>
  </si>
  <si>
    <t xml:space="preserve">Babadook</t>
  </si>
  <si>
    <t xml:space="preserve">Jennifer Kent</t>
  </si>
  <si>
    <t xml:space="preserve">Canadá, Australia</t>
  </si>
  <si>
    <t xml:space="preserve">Una viuda y su hijo acosados por una criatura de un cuento.</t>
  </si>
  <si>
    <t xml:space="preserve">tt2321549</t>
  </si>
  <si>
    <t xml:space="preserve">El inocente</t>
  </si>
  <si>
    <t xml:space="preserve">Brad Furman</t>
  </si>
  <si>
    <t xml:space="preserve">Un abogado defiende a un cliente que oculta un crimen.</t>
  </si>
  <si>
    <t xml:space="preserve">tt1189340</t>
  </si>
  <si>
    <t xml:space="preserve">Karate Kid</t>
  </si>
  <si>
    <t xml:space="preserve">John G. Avildsen</t>
  </si>
  <si>
    <t xml:space="preserve">Un chaval acosado aprende kárate con un maestro japonés.</t>
  </si>
  <si>
    <t xml:space="preserve">tt0087538</t>
  </si>
  <si>
    <t xml:space="preserve">La pasión de Cristo</t>
  </si>
  <si>
    <t xml:space="preserve">Las últimas doce horas de Jesús de Nazaret.</t>
  </si>
  <si>
    <t xml:space="preserve">tt0335345</t>
  </si>
  <si>
    <t xml:space="preserve">Dirty Dancing</t>
  </si>
  <si>
    <t xml:space="preserve">Emile Ardolino</t>
  </si>
  <si>
    <t xml:space="preserve">Prime, Disney+, Lionsgate+ Amazon Channel</t>
  </si>
  <si>
    <t xml:space="preserve">Una joven aprende a bailar con un monitor en un resort.</t>
  </si>
  <si>
    <t xml:space="preserve">tt0092890</t>
  </si>
  <si>
    <t xml:space="preserve">Robin Hood</t>
  </si>
  <si>
    <t xml:space="preserve">Netflix, Movistar Plus+ Ficción Total , SkyShowtime</t>
  </si>
  <si>
    <t xml:space="preserve">El origen del arquero que se rebela contra la corona.</t>
  </si>
  <si>
    <t xml:space="preserve">tt0955308</t>
  </si>
  <si>
    <t xml:space="preserve">Asesinato en el Orient Express</t>
  </si>
  <si>
    <t xml:space="preserve">Kenneth Branagh</t>
  </si>
  <si>
    <t xml:space="preserve">Poirot resuelve un crimen en un tren detenido.</t>
  </si>
  <si>
    <t xml:space="preserve">tt3402236</t>
  </si>
  <si>
    <t xml:space="preserve">Un lugar tranquilo 2</t>
  </si>
  <si>
    <t xml:space="preserve">John Krasinski</t>
  </si>
  <si>
    <t xml:space="preserve">La familia sale de casa buscando otros supervivientes.</t>
  </si>
  <si>
    <t xml:space="preserve">tt8332922</t>
  </si>
  <si>
    <t xml:space="preserve">Frankenstein</t>
  </si>
  <si>
    <t xml:space="preserve">Un científico crea vida y su criatura busca a su creador.</t>
  </si>
  <si>
    <t xml:space="preserve">tt1312221</t>
  </si>
  <si>
    <t xml:space="preserve">Enemigos públicos</t>
  </si>
  <si>
    <t xml:space="preserve">John Dillinger atraca bancos mientras el FBI lo persigue.</t>
  </si>
  <si>
    <t xml:space="preserve">tt1152836</t>
  </si>
  <si>
    <t xml:space="preserve">Apolo 13</t>
  </si>
  <si>
    <t xml:space="preserve">Una misión lunar accidentada intenta volver a la Tierra.</t>
  </si>
  <si>
    <t xml:space="preserve">tt0112384</t>
  </si>
  <si>
    <t xml:space="preserve">Insomnio</t>
  </si>
  <si>
    <t xml:space="preserve">Un policía investiga un crimen bajo el sol de medianoche.</t>
  </si>
  <si>
    <t xml:space="preserve">tt0278504</t>
  </si>
  <si>
    <t xml:space="preserve">El Camino. Una película de Breaking Bad</t>
  </si>
  <si>
    <t xml:space="preserve">Vince Gilligan</t>
  </si>
  <si>
    <t xml:space="preserve">Jesse Pinkman huye tras escapar de su cautiverio.</t>
  </si>
  <si>
    <t xml:space="preserve">tt9243946</t>
  </si>
  <si>
    <t xml:space="preserve">Los intocables de Eliot Ness</t>
  </si>
  <si>
    <t xml:space="preserve">Eliot Ness intenta detener a Al Capone con un equipo de agentes incorruptibles.</t>
  </si>
  <si>
    <t xml:space="preserve">tt0094226</t>
  </si>
  <si>
    <t xml:space="preserve">Salidos de cuentas</t>
  </si>
  <si>
    <t xml:space="preserve">Un futuro padre cruza el país con un compañero insoportable.</t>
  </si>
  <si>
    <t xml:space="preserve">tt1231583</t>
  </si>
  <si>
    <t xml:space="preserve">Click</t>
  </si>
  <si>
    <t xml:space="preserve">Frank Coraci</t>
  </si>
  <si>
    <t xml:space="preserve">Un arquitecto recibe un mando que controla su vida.</t>
  </si>
  <si>
    <t xml:space="preserve">tt0389860</t>
  </si>
  <si>
    <t xml:space="preserve">Aniquilación</t>
  </si>
  <si>
    <t xml:space="preserve">Un equipo científico entra en una zona que muta lo vivo.</t>
  </si>
  <si>
    <t xml:space="preserve">tt2798920</t>
  </si>
  <si>
    <t xml:space="preserve">Sweeney Todd: El barbero diabólico de la calle Fleet</t>
  </si>
  <si>
    <t xml:space="preserve">Un barbero se venga degollando clientes.</t>
  </si>
  <si>
    <t xml:space="preserve">tt0408236</t>
  </si>
  <si>
    <t xml:space="preserve">Señales</t>
  </si>
  <si>
    <t xml:space="preserve">Círculos en los cultivos anuncian una visita alienígena.</t>
  </si>
  <si>
    <t xml:space="preserve">tt0286106</t>
  </si>
  <si>
    <t xml:space="preserve">Maléfica</t>
  </si>
  <si>
    <t xml:space="preserve">Robert Stromberg</t>
  </si>
  <si>
    <t xml:space="preserve">La historia de la Bella Durmiente contada por la villana.</t>
  </si>
  <si>
    <t xml:space="preserve">tt1587310</t>
  </si>
  <si>
    <t xml:space="preserve">Top Gun: Ídolos del aire</t>
  </si>
  <si>
    <t xml:space="preserve">Un piloto competitivo en la escuela de élite de la Marina.</t>
  </si>
  <si>
    <t xml:space="preserve">tt0092099</t>
  </si>
  <si>
    <t xml:space="preserve">Love Actually</t>
  </si>
  <si>
    <t xml:space="preserve">Historias de amor entrelazadas en la Navidad londinense.</t>
  </si>
  <si>
    <t xml:space="preserve">tt0314331</t>
  </si>
  <si>
    <t xml:space="preserve">Crazy, Stupid, Love.</t>
  </si>
  <si>
    <t xml:space="preserve">Glenn Ficarra,John Requa</t>
  </si>
  <si>
    <t xml:space="preserve">Un recién separado aprende a ligar con un mentor.</t>
  </si>
  <si>
    <t xml:space="preserve">tt1570728</t>
  </si>
  <si>
    <t xml:space="preserve">Misión: Imposible - Sentencia mortal. Parte Uno</t>
  </si>
  <si>
    <t xml:space="preserve">Hunt persigue una llave que controla una IA.</t>
  </si>
  <si>
    <t xml:space="preserve">tt9603212</t>
  </si>
  <si>
    <t xml:space="preserve">Hora punta</t>
  </si>
  <si>
    <t xml:space="preserve">Un policía de Hong Kong y otro de Los Ángeles investigan un secuestro.</t>
  </si>
  <si>
    <t xml:space="preserve">tt0120812</t>
  </si>
  <si>
    <t xml:space="preserve">Transporter</t>
  </si>
  <si>
    <t xml:space="preserve">Corey Yuen</t>
  </si>
  <si>
    <t xml:space="preserve">Un transportista rompe sus reglas por un paquete humano.</t>
  </si>
  <si>
    <t xml:space="preserve">tt0293662</t>
  </si>
  <si>
    <t xml:space="preserve">Déjà vu</t>
  </si>
  <si>
    <t xml:space="preserve">Un agente usa una tecnología para ver el pasado.</t>
  </si>
  <si>
    <t xml:space="preserve">tt0453467</t>
  </si>
  <si>
    <t xml:space="preserve">El libro de Eli</t>
  </si>
  <si>
    <t xml:space="preserve">Albert Hughes,Allen Hughes</t>
  </si>
  <si>
    <t xml:space="preserve">Un caminante protege el último ejemplar de un libro sagrado.</t>
  </si>
  <si>
    <t xml:space="preserve">tt1037705</t>
  </si>
  <si>
    <t xml:space="preserve">Abierto hasta el amanecer</t>
  </si>
  <si>
    <t xml:space="preserve">Robert Rodriguez</t>
  </si>
  <si>
    <t xml:space="preserve">Dos atracadores acaban en un bar lleno de vampiros.</t>
  </si>
  <si>
    <t xml:space="preserve">tt0116367</t>
  </si>
  <si>
    <t xml:space="preserve">Jurassic Park III</t>
  </si>
  <si>
    <t xml:space="preserve">Joe Johnston</t>
  </si>
  <si>
    <t xml:space="preserve">Netflix, Prime, Disney+, Movistar, Movistar Plus+ Ficción Total , SkyShowtime</t>
  </si>
  <si>
    <t xml:space="preserve">Una pareja engaña a un paleontólogo para buscar a su hijo.</t>
  </si>
  <si>
    <t xml:space="preserve">tt0163025</t>
  </si>
  <si>
    <t xml:space="preserve">Los Increíbles 2</t>
  </si>
  <si>
    <t xml:space="preserve">Elastigirl se convierte en la cara pública de los héroes.</t>
  </si>
  <si>
    <t xml:space="preserve">tt3606756</t>
  </si>
  <si>
    <t xml:space="preserve">Superfumados</t>
  </si>
  <si>
    <t xml:space="preserve">David Gordon Green</t>
  </si>
  <si>
    <t xml:space="preserve">Dos colgados huyen tras presenciar un asesinato.</t>
  </si>
  <si>
    <t xml:space="preserve">tt0910936</t>
  </si>
  <si>
    <t xml:space="preserve">Los 4 Fantásticos</t>
  </si>
  <si>
    <t xml:space="preserve">Tim Story</t>
  </si>
  <si>
    <t xml:space="preserve">Cuatro astronautas obtienen poderes tras una tormenta cósmica.</t>
  </si>
  <si>
    <t xml:space="preserve">tt0120667</t>
  </si>
  <si>
    <t xml:space="preserve">The Interview</t>
  </si>
  <si>
    <t xml:space="preserve">Evan Goldberg,Seth Rogen</t>
  </si>
  <si>
    <t xml:space="preserve">Dos periodistas reciben el encargo de matar a Kim Jong-un.</t>
  </si>
  <si>
    <t xml:space="preserve">tt2788710</t>
  </si>
  <si>
    <t xml:space="preserve">La búsqueda</t>
  </si>
  <si>
    <t xml:space="preserve">Un historiador roba la Declaración de Independencia por un tesoro.</t>
  </si>
  <si>
    <t xml:space="preserve">tt0368891</t>
  </si>
  <si>
    <t xml:space="preserve">Los mercenarios</t>
  </si>
  <si>
    <t xml:space="preserve">Sylvester Stallone</t>
  </si>
  <si>
    <t xml:space="preserve">Un grupo de veteranos derroca a un dictador.</t>
  </si>
  <si>
    <t xml:space="preserve">tt1320253</t>
  </si>
  <si>
    <t xml:space="preserve">Acero puro</t>
  </si>
  <si>
    <t xml:space="preserve">Shawn Levy</t>
  </si>
  <si>
    <t xml:space="preserve">Un exboxeador entrena robots de combate con su hijo.</t>
  </si>
  <si>
    <t xml:space="preserve">tt0433035</t>
  </si>
  <si>
    <t xml:space="preserve">Terminator: Salvation</t>
  </si>
  <si>
    <t xml:space="preserve">McG</t>
  </si>
  <si>
    <t xml:space="preserve">Alemania, Italia, Reino Unido, EE.UU.</t>
  </si>
  <si>
    <t xml:space="preserve">John Connor lidera la resistencia contra las máquinas.</t>
  </si>
  <si>
    <t xml:space="preserve">tt0438488</t>
  </si>
  <si>
    <t xml:space="preserve">Black Panther: Wakanda Forever</t>
  </si>
  <si>
    <t xml:space="preserve">Ryan Coogler</t>
  </si>
  <si>
    <t xml:space="preserve">Wakanda llora a su rey y afronta una amenaza submarina.</t>
  </si>
  <si>
    <t xml:space="preserve">tt9114286</t>
  </si>
  <si>
    <t xml:space="preserve">Kingsman: El círculo de oro</t>
  </si>
  <si>
    <t xml:space="preserve">Matthew Vaughn</t>
  </si>
  <si>
    <t xml:space="preserve">Disney+, Movistar, Movistar Plus+ Ficción Total , Tivify</t>
  </si>
  <si>
    <t xml:space="preserve">Los agentes británicos se alían con sus colegas americanos.</t>
  </si>
  <si>
    <t xml:space="preserve">tt4649466</t>
  </si>
  <si>
    <t xml:space="preserve">Cómo entrenar a tu dragón 2</t>
  </si>
  <si>
    <t xml:space="preserve">Hipo descubre una jinete de dragones y a un conquistador.</t>
  </si>
  <si>
    <t xml:space="preserve">tt1646971</t>
  </si>
  <si>
    <t xml:space="preserve">The Italian Job</t>
  </si>
  <si>
    <t xml:space="preserve">Unos ladrones se vengan del socio que los traicionó.</t>
  </si>
  <si>
    <t xml:space="preserve">tt0317740</t>
  </si>
  <si>
    <t xml:space="preserve">Constantine</t>
  </si>
  <si>
    <t xml:space="preserve">Francis Lawrence</t>
  </si>
  <si>
    <t xml:space="preserve">Un exorcista cínico media entre el cielo y el infierno.</t>
  </si>
  <si>
    <t xml:space="preserve">tt0360486</t>
  </si>
  <si>
    <t xml:space="preserve">Misión: Imposible 2</t>
  </si>
  <si>
    <t xml:space="preserve">SkyShowtime</t>
  </si>
  <si>
    <t xml:space="preserve">Hunt recupera un virus robado por un exagente.</t>
  </si>
  <si>
    <t xml:space="preserve">tt0120755</t>
  </si>
  <si>
    <t xml:space="preserve">Los juegos del hambre: Sinsajo - Parte 2</t>
  </si>
  <si>
    <t xml:space="preserve">Disney+, Lionsgate+ Amazon Channel</t>
  </si>
  <si>
    <t xml:space="preserve">Katniss marcha sobre el Capitolio.</t>
  </si>
  <si>
    <t xml:space="preserve">tt1951266</t>
  </si>
  <si>
    <t xml:space="preserve">Dos buenos tipos</t>
  </si>
  <si>
    <t xml:space="preserve">Shane Black</t>
  </si>
  <si>
    <t xml:space="preserve">Un matón y un detective torpe investigan una desaparición.</t>
  </si>
  <si>
    <t xml:space="preserve">tt3799694</t>
  </si>
  <si>
    <t xml:space="preserve">Speed - Máxima potencia</t>
  </si>
  <si>
    <t xml:space="preserve">Jan de Bont</t>
  </si>
  <si>
    <t xml:space="preserve">Un autobús con una bomba que estalla si baja de 80 km/h.</t>
  </si>
  <si>
    <t xml:space="preserve">tt0111257</t>
  </si>
  <si>
    <t xml:space="preserve">Misión: Imposible 3</t>
  </si>
  <si>
    <t xml:space="preserve">J.J. Abrams</t>
  </si>
  <si>
    <t xml:space="preserve">China, Alemania, EE.UU.</t>
  </si>
  <si>
    <t xml:space="preserve">Hunt persigue a un traficante que amenaza a su prometida.</t>
  </si>
  <si>
    <t xml:space="preserve">tt0317919</t>
  </si>
  <si>
    <t xml:space="preserve">Wanted</t>
  </si>
  <si>
    <t xml:space="preserve">Un oficinista descubre que su padre era un asesino de élite.</t>
  </si>
  <si>
    <t xml:space="preserve">tt0493464</t>
  </si>
  <si>
    <t xml:space="preserve">Terminator 3: La rebelión de las máquinas</t>
  </si>
  <si>
    <t xml:space="preserve">Jonathan Mostow</t>
  </si>
  <si>
    <t xml:space="preserve">Un nuevo cíborg persigue a John Connor.</t>
  </si>
  <si>
    <t xml:space="preserve">tt0181852</t>
  </si>
  <si>
    <t xml:space="preserve">Monstruoso</t>
  </si>
  <si>
    <t xml:space="preserve">Matt Reeves</t>
  </si>
  <si>
    <t xml:space="preserve">Un ataque monstruoso a Nueva York grabado en vídeo doméstico.</t>
  </si>
  <si>
    <t xml:space="preserve">tt1060277</t>
  </si>
  <si>
    <t xml:space="preserve">Black Hawk derribado</t>
  </si>
  <si>
    <t xml:space="preserve">Una operación estadounidense se tuerce en Mogadiscio.</t>
  </si>
  <si>
    <t xml:space="preserve">tt0265086</t>
  </si>
  <si>
    <t xml:space="preserve">The Fast and the Furious</t>
  </si>
  <si>
    <t xml:space="preserve">Rob Cohen</t>
  </si>
  <si>
    <t xml:space="preserve">Un policía se infiltra en el mundo de las carreras ilegales.</t>
  </si>
  <si>
    <t xml:space="preserve">tt0232500</t>
  </si>
  <si>
    <t xml:space="preserve">El escuadrón suicida</t>
  </si>
  <si>
    <t xml:space="preserve">Un grupo de villanos asalta una isla sudamericana.</t>
  </si>
  <si>
    <t xml:space="preserve">tt6334354</t>
  </si>
  <si>
    <t xml:space="preserve">Thor: Love and Thunder</t>
  </si>
  <si>
    <t xml:space="preserve">Thor se enfrenta a un asesino de dioses.</t>
  </si>
  <si>
    <t xml:space="preserve">tt10648342</t>
  </si>
  <si>
    <t xml:space="preserve">Godzilla</t>
  </si>
  <si>
    <t xml:space="preserve">La humanidad ante el despertar de monstruos colosales.</t>
  </si>
  <si>
    <t xml:space="preserve">tt0831387</t>
  </si>
  <si>
    <t xml:space="preserve">King Kong</t>
  </si>
  <si>
    <t xml:space="preserve">Nueva Zelanda, EE.UU., Alemania</t>
  </si>
  <si>
    <t xml:space="preserve">Una expedición captura a un gorila gigante y lo lleva a Nueva York.</t>
  </si>
  <si>
    <t xml:space="preserve">tt0360717</t>
  </si>
  <si>
    <t xml:space="preserve">Armageddon</t>
  </si>
  <si>
    <t xml:space="preserve">Michael Bay</t>
  </si>
  <si>
    <t xml:space="preserve">Unos perforadores petroleros desvían un asteroide.</t>
  </si>
  <si>
    <t xml:space="preserve">tt0120591</t>
  </si>
  <si>
    <t xml:space="preserve">Sin tiempo para morir</t>
  </si>
  <si>
    <t xml:space="preserve">Bond sale del retiro para rescatar a un científico.</t>
  </si>
  <si>
    <t xml:space="preserve">tt2382320</t>
  </si>
  <si>
    <t xml:space="preserve">Free Guy</t>
  </si>
  <si>
    <t xml:space="preserve">Un personaje secundario de videojuego cobra conciencia.</t>
  </si>
  <si>
    <t xml:space="preserve">tt6264654</t>
  </si>
  <si>
    <t xml:space="preserve">Tropic Thunder: ¡Una guerra muy perra!</t>
  </si>
  <si>
    <t xml:space="preserve">Ben Stiller</t>
  </si>
  <si>
    <t xml:space="preserve">EE.UU., Reino Unido, Alemania</t>
  </si>
  <si>
    <t xml:space="preserve">Unos actores de una película bélica acaban en una guerra real.</t>
  </si>
  <si>
    <t xml:space="preserve">tt0942385</t>
  </si>
  <si>
    <t xml:space="preserve">Spectre</t>
  </si>
  <si>
    <t xml:space="preserve">Bond descubre la organización detrás de sus enemigos.</t>
  </si>
  <si>
    <t xml:space="preserve">tt2379713</t>
  </si>
  <si>
    <t xml:space="preserve">Ant-Man y la Avispa</t>
  </si>
  <si>
    <t xml:space="preserve">Peyton Reed</t>
  </si>
  <si>
    <t xml:space="preserve">Scott Lang y Hope buscan a la Avispa original.</t>
  </si>
  <si>
    <t xml:space="preserve">tt5095030</t>
  </si>
  <si>
    <t xml:space="preserve">Quantum of Solace</t>
  </si>
  <si>
    <t xml:space="preserve">Bond persigue a la organización que mató a Vesper.</t>
  </si>
  <si>
    <t xml:space="preserve">tt0830515</t>
  </si>
  <si>
    <t xml:space="preserve">Jumanji: Bienvenidos a la jungla</t>
  </si>
  <si>
    <t xml:space="preserve">Jake Kasdan</t>
  </si>
  <si>
    <t xml:space="preserve">Cuatro adolescentes quedan atrapados en un videojuego.</t>
  </si>
  <si>
    <t xml:space="preserve">tt2283362</t>
  </si>
  <si>
    <t xml:space="preserve">Mission: Impossible</t>
  </si>
  <si>
    <t xml:space="preserve">Un agente acusado de traición limpia su nombre.</t>
  </si>
  <si>
    <t xml:space="preserve">tt0117060</t>
  </si>
  <si>
    <t xml:space="preserve">Bullet Train</t>
  </si>
  <si>
    <t xml:space="preserve">Varios sicarios coinciden en un tren bala japonés.</t>
  </si>
  <si>
    <t xml:space="preserve">tt12593682</t>
  </si>
  <si>
    <t xml:space="preserve">Sicario</t>
  </si>
  <si>
    <t xml:space="preserve">Una agente del FBI en una operación turbia contra el narco.</t>
  </si>
  <si>
    <t xml:space="preserve">tt3397884</t>
  </si>
  <si>
    <t xml:space="preserve">Los juegos del hambre: Sinsajo - Parte 1</t>
  </si>
  <si>
    <t xml:space="preserve">Katniss se convierte en símbolo de la rebelión.</t>
  </si>
  <si>
    <t xml:space="preserve">tt1951265</t>
  </si>
  <si>
    <t xml:space="preserve">Aquaman</t>
  </si>
  <si>
    <t xml:space="preserve">Un mestizo reclama el trono de Atlantis.</t>
  </si>
  <si>
    <t xml:space="preserve">tt1477834</t>
  </si>
  <si>
    <t xml:space="preserve">El corredor del laberinto</t>
  </si>
  <si>
    <t xml:space="preserve">Wes Ball</t>
  </si>
  <si>
    <t xml:space="preserve">Unos jóvenes atrapados en un laberinto buscan la salida.</t>
  </si>
  <si>
    <t xml:space="preserve">tt1790864</t>
  </si>
  <si>
    <t xml:space="preserve">El increíble Hulk</t>
  </si>
  <si>
    <t xml:space="preserve">Louis Leterrier</t>
  </si>
  <si>
    <t xml:space="preserve">Un científico huye del ejército mientras controla su ira.</t>
  </si>
  <si>
    <t xml:space="preserve">tt0800080</t>
  </si>
  <si>
    <t xml:space="preserve">The Amazing Spider-Man 2: El poder de Electro</t>
  </si>
  <si>
    <t xml:space="preserve">Marc Webb</t>
  </si>
  <si>
    <t xml:space="preserve">Spider-Man se enfrenta a Electro y al Duende.</t>
  </si>
  <si>
    <t xml:space="preserve">tt1872181</t>
  </si>
  <si>
    <t xml:space="preserve">Sr. y Sra. Smith</t>
  </si>
  <si>
    <t xml:space="preserve">Un matrimonio descubre que ambos son asesinos a sueldo.</t>
  </si>
  <si>
    <t xml:space="preserve">tt0356910</t>
  </si>
  <si>
    <t xml:space="preserve">Star Trek</t>
  </si>
  <si>
    <t xml:space="preserve">El origen de Kirk y Spock en la Flota Estelar.</t>
  </si>
  <si>
    <t xml:space="preserve">tt0796366</t>
  </si>
  <si>
    <t xml:space="preserve">Independence Day</t>
  </si>
  <si>
    <t xml:space="preserve">Roland Emmerich</t>
  </si>
  <si>
    <t xml:space="preserve">La humanidad se une contra una invasión alienígena.</t>
  </si>
  <si>
    <t xml:space="preserve">tt0116629</t>
  </si>
  <si>
    <t xml:space="preserve">Capitana Marvel</t>
  </si>
  <si>
    <t xml:space="preserve">Anna Boden,Ryan Fleck</t>
  </si>
  <si>
    <t xml:space="preserve">Una piloto con poderes descubre su pasado en la Tierra.</t>
  </si>
  <si>
    <t xml:space="preserve">tt4154664</t>
  </si>
  <si>
    <t xml:space="preserve">Wonder Woman</t>
  </si>
  <si>
    <t xml:space="preserve">Patty Jenkins</t>
  </si>
  <si>
    <t xml:space="preserve">Netflix, Movistar Plus+ Ficción Total , HBO Max, HBO Max Amazon Channel</t>
  </si>
  <si>
    <t xml:space="preserve">Una amazona abandona su isla durante la Gran Guerra.</t>
  </si>
  <si>
    <t xml:space="preserve">tt0451279</t>
  </si>
  <si>
    <t xml:space="preserve">Skyfall</t>
  </si>
  <si>
    <t xml:space="preserve">Bond protege a M de un exagente resentido.</t>
  </si>
  <si>
    <t xml:space="preserve">tt1074638</t>
  </si>
  <si>
    <t xml:space="preserve">Spider-Man: Homecoming</t>
  </si>
  <si>
    <t xml:space="preserve">Un Peter Parker adolescente busca ser Vengador.</t>
  </si>
  <si>
    <t xml:space="preserve">tt2250912</t>
  </si>
  <si>
    <t xml:space="preserve">Guardianes de la Galaxia Vol. 2</t>
  </si>
  <si>
    <t xml:space="preserve">El grupo descubre el origen de Star-Lord.</t>
  </si>
  <si>
    <t xml:space="preserve">tt3896198</t>
  </si>
  <si>
    <t xml:space="preserve">Doctor Strange. Doctor Extraño</t>
  </si>
  <si>
    <t xml:space="preserve">Un cirujano arruinado aprende artes místicas.</t>
  </si>
  <si>
    <t xml:space="preserve">tt1211837</t>
  </si>
  <si>
    <t xml:space="preserve">Capitán América: El primer vengador</t>
  </si>
  <si>
    <t xml:space="preserve">Un recluta débil se convierte en supersoldado.</t>
  </si>
  <si>
    <t xml:space="preserve">tt0458339</t>
  </si>
  <si>
    <t xml:space="preserve">Capitán América: El Soldado de Invierno</t>
  </si>
  <si>
    <t xml:space="preserve">Anthony Russo,Joe Russo</t>
  </si>
  <si>
    <t xml:space="preserve">Rogers descubre que su agencia está infiltrada.</t>
  </si>
  <si>
    <t xml:space="preserve">tt1843866</t>
  </si>
  <si>
    <t xml:space="preserve">Vengadores: La era de Ultrón</t>
  </si>
  <si>
    <t xml:space="preserve">Joss Whedon</t>
  </si>
  <si>
    <t xml:space="preserve">Una IA creada por Stark decide exterminar a la humanidad.</t>
  </si>
  <si>
    <t xml:space="preserve">tt2395427</t>
  </si>
  <si>
    <t xml:space="preserve">Iron Man</t>
  </si>
  <si>
    <t xml:space="preserve">Jon Favreau</t>
  </si>
  <si>
    <t xml:space="preserve">Un magnate armamentístico construye una armadura y cambia de bando.</t>
  </si>
  <si>
    <t xml:space="preserve">tt0371746</t>
  </si>
  <si>
    <t xml:space="preserve">Guardianes de la Galaxia</t>
  </si>
  <si>
    <t xml:space="preserve">Un grupo de forajidos espaciales salva la galaxia.</t>
  </si>
  <si>
    <t xml:space="preserve">tt2015381</t>
  </si>
  <si>
    <t xml:space="preserve">Terminator 2: El juicio final</t>
  </si>
  <si>
    <t xml:space="preserve">Un cíborg protege al niño que liderará la resistencia.</t>
  </si>
  <si>
    <t xml:space="preserve">Todo a la vez en todas partes</t>
  </si>
  <si>
    <t xml:space="preserve">Daniel Kwan,Daniel Scheinert</t>
  </si>
  <si>
    <t xml:space="preserve">Una dueña de lavandería salta entre universos paralelos.</t>
  </si>
  <si>
    <t xml:space="preserve">tt6710474</t>
  </si>
  <si>
    <t xml:space="preserve">Ángeles y demonios</t>
  </si>
  <si>
    <t xml:space="preserve">Langdon frena un atentado de los Illuminati en el Vaticano.</t>
  </si>
  <si>
    <t xml:space="preserve">tt0808151</t>
  </si>
  <si>
    <t xml:space="preserve">Garfield: La película</t>
  </si>
  <si>
    <t xml:space="preserve">Peter Hewitt</t>
  </si>
  <si>
    <t xml:space="preserve">El gato perezoso rescata a su compañero perro.</t>
  </si>
  <si>
    <t xml:space="preserve">tt0356634</t>
  </si>
  <si>
    <t xml:space="preserve">Eurotrip</t>
  </si>
  <si>
    <t xml:space="preserve">Jeff Schaffer,Alec Berg,David Mandel</t>
  </si>
  <si>
    <t xml:space="preserve">Adolescentes</t>
  </si>
  <si>
    <t xml:space="preserve">Cuatro amigos recorren Europa buscando a una chica.</t>
  </si>
  <si>
    <t xml:space="preserve">tt0356150</t>
  </si>
  <si>
    <t xml:space="preserve">Primos</t>
  </si>
  <si>
    <t xml:space="preserve">Daniel Sánchez Arévalo,Raúl Arévalo</t>
  </si>
  <si>
    <t xml:space="preserve">Tres primos se van a Comillas tras una boda cancelada.</t>
  </si>
  <si>
    <t xml:space="preserve">tt1592521</t>
  </si>
  <si>
    <t xml:space="preserve">Los ángeles de Charlie: Al límite</t>
  </si>
  <si>
    <t xml:space="preserve">Las tres agentes recuperan unos anillos con datos secretos.</t>
  </si>
  <si>
    <t xml:space="preserve">tt0305357</t>
  </si>
  <si>
    <t xml:space="preserve">The Town: Ciudad de ladrones</t>
  </si>
  <si>
    <t xml:space="preserve">Prime, Movistar, Movistar Plus+ Ficción Total , atresplayer</t>
  </si>
  <si>
    <t xml:space="preserve">Un atracador de Boston se enamora de una testigo.</t>
  </si>
  <si>
    <t xml:space="preserve">tt0840361</t>
  </si>
  <si>
    <t xml:space="preserve">Resacón en Las Vegas</t>
  </si>
  <si>
    <t xml:space="preserve">Tres amigos reconstruyen una despedida de soltero que no recuerdan.</t>
  </si>
  <si>
    <t xml:space="preserve">tt1119646</t>
  </si>
  <si>
    <t xml:space="preserve">Bienvenidos a Zombieland</t>
  </si>
  <si>
    <t xml:space="preserve">Ruben Fleischer</t>
  </si>
  <si>
    <t xml:space="preserve">Filmin, 3Cat</t>
  </si>
  <si>
    <t xml:space="preserve">Cuatro supervivientes recorren un EE.UU. lleno de zombis.</t>
  </si>
  <si>
    <t xml:space="preserve">tt1156398</t>
  </si>
  <si>
    <t xml:space="preserve">Insidious</t>
  </si>
  <si>
    <t xml:space="preserve">EE.UU., Canadá</t>
  </si>
  <si>
    <t xml:space="preserve">Una familia descubre que su hijo en coma vaga por otro plano.</t>
  </si>
  <si>
    <t xml:space="preserve">tt1591095</t>
  </si>
  <si>
    <t xml:space="preserve">Moulin Rouge</t>
  </si>
  <si>
    <t xml:space="preserve">Baz Luhrmann</t>
  </si>
  <si>
    <t xml:space="preserve">Netflix, Prime, Disney+</t>
  </si>
  <si>
    <t xml:space="preserve">Un poeta se enamora de la estrella del cabaré parisino.</t>
  </si>
  <si>
    <t xml:space="preserve">tt0203009</t>
  </si>
  <si>
    <t xml:space="preserve">El aviador</t>
  </si>
  <si>
    <t xml:space="preserve">La vida de Howard Hughes entre el cine y la aviación.</t>
  </si>
  <si>
    <t xml:space="preserve">tt0338751</t>
  </si>
  <si>
    <t xml:space="preserve">Gangs of New York</t>
  </si>
  <si>
    <t xml:space="preserve">EE.UU., Italia</t>
  </si>
  <si>
    <t xml:space="preserve">Movistar, Movistar Plus+ Ficción Total , Lionsgate+ Amazon Channel</t>
  </si>
  <si>
    <t xml:space="preserve">Un joven busca vengar a su padre en el Nueva York del XIX.</t>
  </si>
  <si>
    <t xml:space="preserve">tt0217505</t>
  </si>
  <si>
    <t xml:space="preserve">La lengua de las mariposas</t>
  </si>
  <si>
    <t xml:space="preserve">Un niño y su maestro republicano antes de la guerra.</t>
  </si>
  <si>
    <t xml:space="preserve">tt0188030</t>
  </si>
  <si>
    <t xml:space="preserve">El show de Truman</t>
  </si>
  <si>
    <t xml:space="preserve">Un hombre descubre que su vida es un programa de televisión.</t>
  </si>
  <si>
    <t xml:space="preserve">tt0120382</t>
  </si>
  <si>
    <t xml:space="preserve">El indomable Will Hunting</t>
  </si>
  <si>
    <t xml:space="preserve">Un conserje superdotado acude a terapia.</t>
  </si>
  <si>
    <t xml:space="preserve">tt0119217</t>
  </si>
  <si>
    <t xml:space="preserve">The Game</t>
  </si>
  <si>
    <t xml:space="preserve">Un banquero recibe un juego que invade toda su vida.</t>
  </si>
  <si>
    <t xml:space="preserve">tt0119174</t>
  </si>
  <si>
    <t xml:space="preserve">Hardball</t>
  </si>
  <si>
    <t xml:space="preserve">Brian Robbins</t>
  </si>
  <si>
    <t xml:space="preserve">Un ludópata entrena a un equipo infantil de béisbol.</t>
  </si>
  <si>
    <t xml:space="preserve">tt0180734</t>
  </si>
  <si>
    <t xml:space="preserve">Spider-Man 3</t>
  </si>
  <si>
    <t xml:space="preserve">Peter lucha contra un simbionte que amplifica su lado oscuro.</t>
  </si>
  <si>
    <t xml:space="preserve">tt0413300</t>
  </si>
  <si>
    <t xml:space="preserve">21: Black Jack</t>
  </si>
  <si>
    <t xml:space="preserve">Robert Luketic</t>
  </si>
  <si>
    <t xml:space="preserve">Estudiantes del MIT desvalijan casinos contando cartas.</t>
  </si>
  <si>
    <t xml:space="preserve">tt0478087</t>
  </si>
  <si>
    <t xml:space="preserve">La guerra de los mundos</t>
  </si>
  <si>
    <t xml:space="preserve">Netflix, Apple TV, Apple TV Amazon Channel</t>
  </si>
  <si>
    <t xml:space="preserve">Un padre huye con sus hijos de una invasión alienígena.</t>
  </si>
  <si>
    <t xml:space="preserve">tt0407304</t>
  </si>
  <si>
    <t xml:space="preserve">La matanza de Texas</t>
  </si>
  <si>
    <t xml:space="preserve">Prime, Movistar, Movistar Plus+ Ficción Total , Filmin, Acontra, Tivify</t>
  </si>
  <si>
    <t xml:space="preserve">Unos jóvenes caen en manos de una familia caníbal.</t>
  </si>
  <si>
    <t xml:space="preserve">Fundó el slasher moderno con violencia sugerida y textura documental.</t>
  </si>
  <si>
    <t xml:space="preserve">tt0072271</t>
  </si>
  <si>
    <t xml:space="preserve">Spider-Man</t>
  </si>
  <si>
    <t xml:space="preserve">Un adolescente picado por una araña se hace héroe.</t>
  </si>
  <si>
    <t xml:space="preserve">tt0145487</t>
  </si>
  <si>
    <t xml:space="preserve">Ali G anda suelto</t>
  </si>
  <si>
    <t xml:space="preserve">Mark Mylod</t>
  </si>
  <si>
    <t xml:space="preserve">Un raperillo suburbano acaba en el Parlamento británico.</t>
  </si>
  <si>
    <t xml:space="preserve">tt0284837</t>
  </si>
  <si>
    <t xml:space="preserve">Distrito 9</t>
  </si>
  <si>
    <t xml:space="preserve">Neill Blomkamp</t>
  </si>
  <si>
    <t xml:space="preserve">EE.UU., Nueva Zelanda, Canadá, Sudáfrica</t>
  </si>
  <si>
    <t xml:space="preserve">Unos alienígenas viven confinados en un gueto sudafricano.</t>
  </si>
  <si>
    <t xml:space="preserve">tt1136608</t>
  </si>
  <si>
    <t xml:space="preserve">Che, el argentino</t>
  </si>
  <si>
    <t xml:space="preserve">España, Francia, EE.UU.</t>
  </si>
  <si>
    <t xml:space="preserve">Guevara desde la Revolución cubana hasta la ONU.</t>
  </si>
  <si>
    <t xml:space="preserve">tt0892255</t>
  </si>
  <si>
    <t xml:space="preserve">Transformers</t>
  </si>
  <si>
    <t xml:space="preserve">Robots alienígenas libran su guerra en la Tierra.</t>
  </si>
  <si>
    <t xml:space="preserve">tt0418279</t>
  </si>
  <si>
    <t xml:space="preserve">Serpientes en el avión</t>
  </si>
  <si>
    <t xml:space="preserve">David R. Ellis</t>
  </si>
  <si>
    <t xml:space="preserve">Un vuelo con un testigo protegido y cientos de serpientes.</t>
  </si>
  <si>
    <t xml:space="preserve">tt0417148</t>
  </si>
  <si>
    <t xml:space="preserve">Crank: Veneno en la sangre</t>
  </si>
  <si>
    <t xml:space="preserve">Mark Neveldine,Brian Taylor</t>
  </si>
  <si>
    <t xml:space="preserve">FlixOlé, Tivify</t>
  </si>
  <si>
    <t xml:space="preserve">Un sicario envenenado debe mantener alta la adrenalina.</t>
  </si>
  <si>
    <t xml:space="preserve">tt0479884</t>
  </si>
  <si>
    <t xml:space="preserve">Hooligans</t>
  </si>
  <si>
    <t xml:space="preserve">Lexi Alexander</t>
  </si>
  <si>
    <t xml:space="preserve">Un estudiante americano entra en una banda de ultras del fútbol.</t>
  </si>
  <si>
    <t xml:space="preserve">tt0385002</t>
  </si>
  <si>
    <t xml:space="preserve">Frágiles</t>
  </si>
  <si>
    <t xml:space="preserve">Prime, AMC Channels Amazon Channel, Tivify, Runtime</t>
  </si>
  <si>
    <t xml:space="preserve">Una enfermera descubre una presencia en un hospital infantil.</t>
  </si>
  <si>
    <t xml:space="preserve">tt0422272</t>
  </si>
  <si>
    <t xml:space="preserve">Yo, robot</t>
  </si>
  <si>
    <t xml:space="preserve">Un policía investiga si un robot puede matar.</t>
  </si>
  <si>
    <t xml:space="preserve">tt0343818</t>
  </si>
  <si>
    <t xml:space="preserve">Amanecer de los muertos</t>
  </si>
  <si>
    <t xml:space="preserve">Supervivientes se refugian en un centro comercial.</t>
  </si>
  <si>
    <t xml:space="preserve">tt0363547</t>
  </si>
  <si>
    <t xml:space="preserve">La terminal</t>
  </si>
  <si>
    <t xml:space="preserve">Movistar Plus+ Ficción Total , atresplayer, HBO Max, HBO Max Amazon Channel</t>
  </si>
  <si>
    <t xml:space="preserve">Un extranjero queda atrapado viviendo en un aeropuerto.</t>
  </si>
  <si>
    <t xml:space="preserve">tt0362227</t>
  </si>
  <si>
    <t xml:space="preserve">2 Fast 2 Furious: A todo gas 2</t>
  </si>
  <si>
    <t xml:space="preserve">John Singleton</t>
  </si>
  <si>
    <t xml:space="preserve">Un expolicía se infiltra en carreras de Miami.</t>
  </si>
  <si>
    <t xml:space="preserve">tt0322259</t>
  </si>
  <si>
    <t xml:space="preserve">28 días después</t>
  </si>
  <si>
    <t xml:space="preserve">Danny Boyle</t>
  </si>
  <si>
    <t xml:space="preserve">Un virus vacía Londres y un mensajero despierta del coma.</t>
  </si>
  <si>
    <t xml:space="preserve">tt0289043</t>
  </si>
  <si>
    <t xml:space="preserve">The Ring</t>
  </si>
  <si>
    <t xml:space="preserve">Una cinta de vídeo mata a quien la ve al cabo de siete días.</t>
  </si>
  <si>
    <t xml:space="preserve">tt0298130</t>
  </si>
  <si>
    <t xml:space="preserve">Mr. Deeds</t>
  </si>
  <si>
    <t xml:space="preserve">Steven Brill</t>
  </si>
  <si>
    <t xml:space="preserve">Un pueblerino hereda una fortuna millonaria.</t>
  </si>
  <si>
    <t xml:space="preserve">tt0280590</t>
  </si>
  <si>
    <t xml:space="preserve">La habitación del pánico</t>
  </si>
  <si>
    <t xml:space="preserve">Madre e hija se encierran mientras entran unos ladrones.</t>
  </si>
  <si>
    <t xml:space="preserve">tt0258000</t>
  </si>
  <si>
    <t xml:space="preserve">Dos policías rebeldes II</t>
  </si>
  <si>
    <t xml:space="preserve">Los detectives persiguen a un narco en Miami.</t>
  </si>
  <si>
    <t xml:space="preserve">tt0172156</t>
  </si>
  <si>
    <t xml:space="preserve">Austin Powers en Miembro de Oro</t>
  </si>
  <si>
    <t xml:space="preserve">Austin viaja a los setenta para salvar a su padre.</t>
  </si>
  <si>
    <t xml:space="preserve">tt0295178</t>
  </si>
  <si>
    <t xml:space="preserve">Hostel</t>
  </si>
  <si>
    <t xml:space="preserve">Eli Roth</t>
  </si>
  <si>
    <t xml:space="preserve">Unos mochileros caen en un albergue que vende torturas.</t>
  </si>
  <si>
    <t xml:space="preserve">tt0450278</t>
  </si>
  <si>
    <t xml:space="preserve">El cabo del miedo</t>
  </si>
  <si>
    <t xml:space="preserve">Un expresidiario acosa al abogado que lo defendió mal.</t>
  </si>
  <si>
    <t xml:space="preserve">tt0101540</t>
  </si>
  <si>
    <t xml:space="preserve">Project X</t>
  </si>
  <si>
    <t xml:space="preserve">Nima Nourizadeh</t>
  </si>
  <si>
    <t xml:space="preserve">Tres adolescentes montan una fiesta que se les va de las manos.</t>
  </si>
  <si>
    <t xml:space="preserve">tt1636826</t>
  </si>
  <si>
    <t xml:space="preserve">Grindhouse: Planet Terror</t>
  </si>
  <si>
    <t xml:space="preserve">Un virus convierte en monstruos a un pueblo de Texas.</t>
  </si>
  <si>
    <t xml:space="preserve">tt1077258</t>
  </si>
  <si>
    <t xml:space="preserve">Jack y su gemela</t>
  </si>
  <si>
    <t xml:space="preserve">Dennis Dugan</t>
  </si>
  <si>
    <t xml:space="preserve">Un publicista soporta la visita de su hermana gemela.</t>
  </si>
  <si>
    <t xml:space="preserve">tt0810913</t>
  </si>
  <si>
    <t xml:space="preserve">Grupo 7</t>
  </si>
  <si>
    <t xml:space="preserve">Una brigada policial limpia Sevilla antes de la Expo 92.</t>
  </si>
  <si>
    <t xml:space="preserve">tt1924277</t>
  </si>
  <si>
    <t xml:space="preserve">Kung Fu sion</t>
  </si>
  <si>
    <t xml:space="preserve">Stephen Chow</t>
  </si>
  <si>
    <t xml:space="preserve">Un aspirante a gánster acaba en un barrio lleno de maestros.</t>
  </si>
  <si>
    <t xml:space="preserve">tt0373074</t>
  </si>
  <si>
    <t xml:space="preserve">El último tren a Auschwitz</t>
  </si>
  <si>
    <t xml:space="preserve">Joseph Vilsmaier,Dana Vávrová</t>
  </si>
  <si>
    <t xml:space="preserve">República Checa, Alemania</t>
  </si>
  <si>
    <t xml:space="preserve">Un convoy de deportados durante el trayecto final.</t>
  </si>
  <si>
    <t xml:space="preserve">tt0460492</t>
  </si>
  <si>
    <t xml:space="preserve">Lío embarazoso</t>
  </si>
  <si>
    <t xml:space="preserve">Judd Apatow</t>
  </si>
  <si>
    <t xml:space="preserve">Un desastre y una periodista se plantean tener el bebé.</t>
  </si>
  <si>
    <t xml:space="preserve">tt0478311</t>
  </si>
  <si>
    <t xml:space="preserve">Blade II</t>
  </si>
  <si>
    <t xml:space="preserve">Blade se alía con vampiros contra una amenaza común.</t>
  </si>
  <si>
    <t xml:space="preserve">tt0187738</t>
  </si>
  <si>
    <t xml:space="preserve">Los juegos del hambre</t>
  </si>
  <si>
    <t xml:space="preserve">Una joven compite en un reality mortal televisado.</t>
  </si>
  <si>
    <t xml:space="preserve">tt1392170</t>
  </si>
  <si>
    <t xml:space="preserve">La casa de cera</t>
  </si>
  <si>
    <t xml:space="preserve">Planet Horror Amazon Channel, Tivify</t>
  </si>
  <si>
    <t xml:space="preserve">Unos jóvenes atrapados en un pueblo con figuras de cera.</t>
  </si>
  <si>
    <t xml:space="preserve">tt0397065</t>
  </si>
  <si>
    <t xml:space="preserve">1408</t>
  </si>
  <si>
    <t xml:space="preserve">Lionsgate+ Amazon Channel, Rakuten, Plex</t>
  </si>
  <si>
    <t xml:space="preserve">Un escritor pasa la noche en una habitación de hotel maldita.</t>
  </si>
  <si>
    <t xml:space="preserve">tt0450385</t>
  </si>
  <si>
    <t xml:space="preserve">Legión</t>
  </si>
  <si>
    <t xml:space="preserve">Scott Stewart</t>
  </si>
  <si>
    <t xml:space="preserve">El arcángel Miguel protege a una embarazada en un motel.</t>
  </si>
  <si>
    <t xml:space="preserve">tt1038686</t>
  </si>
  <si>
    <t xml:space="preserve">Daredevil</t>
  </si>
  <si>
    <t xml:space="preserve">Netflix, Disney+, fuboTV</t>
  </si>
  <si>
    <t xml:space="preserve">Un abogado ciego combate el crimen de noche.</t>
  </si>
  <si>
    <t xml:space="preserve">tt0287978</t>
  </si>
  <si>
    <t xml:space="preserve">Sleepy Hollow</t>
  </si>
  <si>
    <t xml:space="preserve">Un investigador afronta la leyenda del jinete sin cabeza.</t>
  </si>
  <si>
    <t xml:space="preserve">tt0162661</t>
  </si>
  <si>
    <t xml:space="preserve">Sherlock Holmes</t>
  </si>
  <si>
    <t xml:space="preserve">Prime, Apple TV, Movistar, Movistar Plus+ Ficción Total , HBO Max, Apple TV Amazon Channel, HBO Max Amazon Channel</t>
  </si>
  <si>
    <t xml:space="preserve">El detective y Watson frenan una conspiración ocultista.</t>
  </si>
  <si>
    <t xml:space="preserve">tt0988045</t>
  </si>
  <si>
    <t xml:space="preserve">American Pie: El reencuentro</t>
  </si>
  <si>
    <t xml:space="preserve">Jon Hurwitz,Hayden Schlossberg</t>
  </si>
  <si>
    <t xml:space="preserve">La pandilla vuelve a su pueblo trece años después.</t>
  </si>
  <si>
    <t xml:space="preserve">tt1605630</t>
  </si>
  <si>
    <t xml:space="preserve">Arrástrame al infierno</t>
  </si>
  <si>
    <t xml:space="preserve">Una empleada de banco es maldecida por una anciana.</t>
  </si>
  <si>
    <t xml:space="preserve">tt1127180</t>
  </si>
  <si>
    <t xml:space="preserve">Paranormal Activity 3</t>
  </si>
  <si>
    <t xml:space="preserve">Henry Joost,Ariel Schulman</t>
  </si>
  <si>
    <t xml:space="preserve">Las grabaciones de infancia de las dos hermanas.</t>
  </si>
  <si>
    <t xml:space="preserve">tt1778304</t>
  </si>
  <si>
    <t xml:space="preserve">Paranormal Activity</t>
  </si>
  <si>
    <t xml:space="preserve">Oren Peli</t>
  </si>
  <si>
    <t xml:space="preserve">Una pareja graba los fenómenos nocturnos de su casa.</t>
  </si>
  <si>
    <t xml:space="preserve">tt1179904</t>
  </si>
  <si>
    <t xml:space="preserve">Cowboys &amp; Aliens</t>
  </si>
  <si>
    <t xml:space="preserve">Vaqueros e indios se alían contra una invasión alienígena.</t>
  </si>
  <si>
    <t xml:space="preserve">tt0409847</t>
  </si>
  <si>
    <t xml:space="preserve">El último exorcismo</t>
  </si>
  <si>
    <t xml:space="preserve">Daniel Stamm</t>
  </si>
  <si>
    <t xml:space="preserve">Un pastor rueda un falso exorcismo que se vuelve real.</t>
  </si>
  <si>
    <t xml:space="preserve">tt1320244</t>
  </si>
  <si>
    <t xml:space="preserve">Devil Inside</t>
  </si>
  <si>
    <t xml:space="preserve">William Brent Bell</t>
  </si>
  <si>
    <t xml:space="preserve">Una mujer investiga los exorcismos que sufrió su madre.</t>
  </si>
  <si>
    <t xml:space="preserve">tt1560985</t>
  </si>
  <si>
    <t xml:space="preserve">[REC]</t>
  </si>
  <si>
    <t xml:space="preserve">Jaume Balagueró,Paco Plaza</t>
  </si>
  <si>
    <t xml:space="preserve">Prime, Tivify, Runtime</t>
  </si>
  <si>
    <t xml:space="preserve">Una reportera queda encerrada en un edificio infectado.</t>
  </si>
  <si>
    <t xml:space="preserve">tt1038988</t>
  </si>
  <si>
    <t xml:space="preserve">[REC]²</t>
  </si>
  <si>
    <t xml:space="preserve">Found footage</t>
  </si>
  <si>
    <t xml:space="preserve">Un equipo médico y la policía entran en el edificio infectado.</t>
  </si>
  <si>
    <t xml:space="preserve">tt1245112</t>
  </si>
  <si>
    <t xml:space="preserve">Troya</t>
  </si>
  <si>
    <t xml:space="preserve">EE.UU., Malta, Reino Unido</t>
  </si>
  <si>
    <t xml:space="preserve">Prime, Movistar Plus+ Ficción Total , atresplayer, HBO Max, HBO Max Amazon Channel</t>
  </si>
  <si>
    <t xml:space="preserve">La guerra entre griegos y troyanos por Helena.</t>
  </si>
  <si>
    <t xml:space="preserve">tt0332452</t>
  </si>
  <si>
    <t xml:space="preserve">Camarón</t>
  </si>
  <si>
    <t xml:space="preserve">Jaime Chávarri</t>
  </si>
  <si>
    <t xml:space="preserve">La vida del cantaor Camarón de la Isla.</t>
  </si>
  <si>
    <t xml:space="preserve">tt0448404</t>
  </si>
  <si>
    <t xml:space="preserve">World Trade Center</t>
  </si>
  <si>
    <t xml:space="preserve">Dos policías atrapados bajo los escombros del 11-S.</t>
  </si>
  <si>
    <t xml:space="preserve">tt0469641</t>
  </si>
  <si>
    <t xml:space="preserve">Ratas a la carrera</t>
  </si>
  <si>
    <t xml:space="preserve">Varios equipos compiten por un botín escondido.</t>
  </si>
  <si>
    <t xml:space="preserve">tt0250687</t>
  </si>
  <si>
    <t xml:space="preserve">Hancock</t>
  </si>
  <si>
    <t xml:space="preserve">Un superhéroe alcohólico intenta mejorar su imagen.</t>
  </si>
  <si>
    <t xml:space="preserve">tt0448157</t>
  </si>
  <si>
    <t xml:space="preserve">Soy leyenda</t>
  </si>
  <si>
    <t xml:space="preserve">El último hombre en un Nueva York infectado.</t>
  </si>
  <si>
    <t xml:space="preserve">tt0480249</t>
  </si>
  <si>
    <t xml:space="preserve">Doomsday: El día del juicio</t>
  </si>
  <si>
    <t xml:space="preserve">Neil Marshall</t>
  </si>
  <si>
    <t xml:space="preserve">Alemania, Reino Unido, EE.UU., Sudáfrica</t>
  </si>
  <si>
    <t xml:space="preserve">Una comandante entra en una Escocia clausurada por un virus.</t>
  </si>
  <si>
    <t xml:space="preserve">tt0483607</t>
  </si>
  <si>
    <t xml:space="preserve">Devorador de pecados</t>
  </si>
  <si>
    <t xml:space="preserve">Brian Helgeland</t>
  </si>
  <si>
    <t xml:space="preserve">Un sacerdote investiga a un hombre que absuelve pecados.</t>
  </si>
  <si>
    <t xml:space="preserve">tt0304711</t>
  </si>
  <si>
    <t xml:space="preserve">Trainspotting</t>
  </si>
  <si>
    <t xml:space="preserve">Un grupo de heroinómanos de Edimburgo intenta salir del pozo.</t>
  </si>
  <si>
    <t xml:space="preserve">tt0117951</t>
  </si>
  <si>
    <t xml:space="preserve">28 semanas después</t>
  </si>
  <si>
    <t xml:space="preserve">Juan Carlos Fresnadillo</t>
  </si>
  <si>
    <t xml:space="preserve">Londres es repoblada y el virus reaparece.</t>
  </si>
  <si>
    <t xml:space="preserve">tt0463854</t>
  </si>
  <si>
    <t xml:space="preserve">[REC]³: Génesis</t>
  </si>
  <si>
    <t xml:space="preserve">Paco Plaza</t>
  </si>
  <si>
    <t xml:space="preserve">Una boda se convierte en una carnicería por el virus.</t>
  </si>
  <si>
    <t xml:space="preserve">tt1649444</t>
  </si>
  <si>
    <t xml:space="preserve">Encadenados</t>
  </si>
  <si>
    <t xml:space="preserve">Acontra, Acontra Plus Amazon Channel, Tivify, Plex</t>
  </si>
  <si>
    <t xml:space="preserve">Una mujer espía a un nazi en Río por encargo del hombre que ama.</t>
  </si>
  <si>
    <t xml:space="preserve">Contiene la grúa hasta la llave, plano de manual de suspense.</t>
  </si>
  <si>
    <t xml:space="preserve">tt0038787</t>
  </si>
  <si>
    <t xml:space="preserve">Titanic</t>
  </si>
  <si>
    <t xml:space="preserve">Catástrofe</t>
  </si>
  <si>
    <t xml:space="preserve">Disney+, Movistar Plus+ Ficción Total </t>
  </si>
  <si>
    <t xml:space="preserve">Un romance a bordo del transatlántico que se hunde.</t>
  </si>
  <si>
    <t xml:space="preserve">tt0120338</t>
  </si>
  <si>
    <t xml:space="preserve">Harry Potter y la cámara secreta</t>
  </si>
  <si>
    <t xml:space="preserve">Un monstruo ataca Hogwarts desde una cámara oculta.</t>
  </si>
  <si>
    <t xml:space="preserve">tt0295297</t>
  </si>
  <si>
    <t xml:space="preserve">Harry Potter y el prisionero de Azkaban</t>
  </si>
  <si>
    <t xml:space="preserve">Harry descubre la verdad sobre el preso fugado Sirius Black.</t>
  </si>
  <si>
    <t xml:space="preserve">tt0304141</t>
  </si>
  <si>
    <t xml:space="preserve">Harry Potter y el cáliz de fuego</t>
  </si>
  <si>
    <t xml:space="preserve">Mike Newell</t>
  </si>
  <si>
    <t xml:space="preserve">Harry compite en un torneo mágico y vuelve Voldemort.</t>
  </si>
  <si>
    <t xml:space="preserve">tt0330373</t>
  </si>
  <si>
    <t xml:space="preserve">Harry Potter y el misterio del príncipe</t>
  </si>
  <si>
    <t xml:space="preserve">Harry conoce el pasado de Voldemort con Dumbledore.</t>
  </si>
  <si>
    <t xml:space="preserve">tt0417741</t>
  </si>
  <si>
    <t xml:space="preserve">Harry Potter y las Reliquias de la Muerte: Parte 1</t>
  </si>
  <si>
    <t xml:space="preserve">Harry y sus amigos huyen buscando los horrocruxes.</t>
  </si>
  <si>
    <t xml:space="preserve">tt0926084</t>
  </si>
  <si>
    <t xml:space="preserve">Zohan: Licencia para peinar</t>
  </si>
  <si>
    <t xml:space="preserve">Un exagente israelí monta una peluquería en Nueva York.</t>
  </si>
  <si>
    <t xml:space="preserve">tt0960144</t>
  </si>
  <si>
    <t xml:space="preserve">Darkness</t>
  </si>
  <si>
    <t xml:space="preserve">Casas encantadas</t>
  </si>
  <si>
    <t xml:space="preserve">AMC Channels Amazon Channel, Tivify, Rakuten, Runtime</t>
  </si>
  <si>
    <t xml:space="preserve">Una familia se instala en una casa con un pasado oscuro.</t>
  </si>
  <si>
    <t xml:space="preserve">tt0273517</t>
  </si>
  <si>
    <t xml:space="preserve">El reino de los cielos</t>
  </si>
  <si>
    <t xml:space="preserve">Alemania, Marruecos, España, Reino Unido, EE.UU.</t>
  </si>
  <si>
    <t xml:space="preserve">Disney+, rtve, Tivify</t>
  </si>
  <si>
    <t xml:space="preserve">Un herrero acaba defendiendo Jerusalén en las cruzadas.</t>
  </si>
  <si>
    <t xml:space="preserve">tt0320661</t>
  </si>
  <si>
    <t xml:space="preserve">Prometheus</t>
  </si>
  <si>
    <t xml:space="preserve">Una expedición busca el origen de la humanidad en otro planeta.</t>
  </si>
  <si>
    <t xml:space="preserve">tt1446714</t>
  </si>
  <si>
    <t xml:space="preserve">Tensión sexual no resuelta</t>
  </si>
  <si>
    <t xml:space="preserve">Miguel Ángel Lamata</t>
  </si>
  <si>
    <t xml:space="preserve">Historias cruzadas sobre atracciones no consumadas.</t>
  </si>
  <si>
    <t xml:space="preserve">tt1490759</t>
  </si>
  <si>
    <t xml:space="preserve">Di que sí</t>
  </si>
  <si>
    <t xml:space="preserve">Un hombre se obliga a decir que sí a todo.</t>
  </si>
  <si>
    <t xml:space="preserve">tt1068680</t>
  </si>
  <si>
    <t xml:space="preserve">Como Dios</t>
  </si>
  <si>
    <t xml:space="preserve">Tom Shadyac</t>
  </si>
  <si>
    <t xml:space="preserve">Un reportero quejica recibe los poderes de Dios.</t>
  </si>
  <si>
    <t xml:space="preserve">tt0315327</t>
  </si>
  <si>
    <t xml:space="preserve">Get rich or die tryin'</t>
  </si>
  <si>
    <t xml:space="preserve">Un traficante intenta salir del barrio haciendo rap.</t>
  </si>
  <si>
    <t xml:space="preserve">tt0430308</t>
  </si>
  <si>
    <t xml:space="preserve">8 millas</t>
  </si>
  <si>
    <t xml:space="preserve">Curtis Hanson</t>
  </si>
  <si>
    <t xml:space="preserve">Un joven blanco de Detroit se abre paso en el rap.</t>
  </si>
  <si>
    <t xml:space="preserve">tt0298203</t>
  </si>
  <si>
    <t xml:space="preserve">2012</t>
  </si>
  <si>
    <t xml:space="preserve">Cataclismos globales según la profecía maya.</t>
  </si>
  <si>
    <t xml:space="preserve">tt1190080</t>
  </si>
  <si>
    <t xml:space="preserve">Van Helsing</t>
  </si>
  <si>
    <t xml:space="preserve">Stephen Sommers</t>
  </si>
  <si>
    <t xml:space="preserve">Un cazador de monstruos se enfrenta a Drácula.</t>
  </si>
  <si>
    <t xml:space="preserve">tt0338526</t>
  </si>
  <si>
    <t xml:space="preserve">Gothika</t>
  </si>
  <si>
    <t xml:space="preserve">Mathieu Kassovitz</t>
  </si>
  <si>
    <t xml:space="preserve">Una psiquiatra despierta acusada de matar a su marido.</t>
  </si>
  <si>
    <t xml:space="preserve">tt0348836</t>
  </si>
  <si>
    <t xml:space="preserve">Los mercenarios 2</t>
  </si>
  <si>
    <t xml:space="preserve">El equipo venga a un compañero caído.</t>
  </si>
  <si>
    <t xml:space="preserve">tt1764651</t>
  </si>
  <si>
    <t xml:space="preserve">Días de fútbol</t>
  </si>
  <si>
    <t xml:space="preserve">David Serrano</t>
  </si>
  <si>
    <t xml:space="preserve">Unos treintañeros reviven su equipo de fútbol sala.</t>
  </si>
  <si>
    <t xml:space="preserve">tt0377834</t>
  </si>
  <si>
    <t xml:space="preserve">Fuga de cerebros</t>
  </si>
  <si>
    <t xml:space="preserve">Fernando González Molina</t>
  </si>
  <si>
    <t xml:space="preserve">Un chaval se cuela en Oxford para conquistar a una chica.</t>
  </si>
  <si>
    <t xml:space="preserve">tt1272013</t>
  </si>
  <si>
    <t xml:space="preserve">Amor ciego</t>
  </si>
  <si>
    <t xml:space="preserve">Bobby Farrelly,Peter Farrelly</t>
  </si>
  <si>
    <t xml:space="preserve">Un superficial es hipnotizado para ver solo la belleza interior.</t>
  </si>
  <si>
    <t xml:space="preserve">tt0256380</t>
  </si>
  <si>
    <t xml:space="preserve">Un paseo para recordar</t>
  </si>
  <si>
    <t xml:space="preserve">Adam Shankman</t>
  </si>
  <si>
    <t xml:space="preserve">Un chico rebelde se enamora de la hija del pastor.</t>
  </si>
  <si>
    <t xml:space="preserve">tt0281358</t>
  </si>
  <si>
    <t xml:space="preserve">Next</t>
  </si>
  <si>
    <t xml:space="preserve">Lee Tamahori</t>
  </si>
  <si>
    <t xml:space="preserve">Un hombre que ve dos minutos del futuro es reclutado por el FBI.</t>
  </si>
  <si>
    <t xml:space="preserve">tt0435705</t>
  </si>
  <si>
    <t xml:space="preserve">Los fantasmas de Goya</t>
  </si>
  <si>
    <t xml:space="preserve">Goya entre la Inquisición y la invasión napoleónica.</t>
  </si>
  <si>
    <t xml:space="preserve">tt0455957</t>
  </si>
  <si>
    <t xml:space="preserve">Todos los días de mi vida</t>
  </si>
  <si>
    <t xml:space="preserve">Michael Sucsy</t>
  </si>
  <si>
    <t xml:space="preserve">Una mujer pierde la memoria y no reconoce a su marido.</t>
  </si>
  <si>
    <t xml:space="preserve">tt1606389</t>
  </si>
  <si>
    <t xml:space="preserve">El club de la lucha</t>
  </si>
  <si>
    <t xml:space="preserve">Netflix, Disney+, Rakuten</t>
  </si>
  <si>
    <t xml:space="preserve">Un oficinista insomne funda un club de peleas clandestino.</t>
  </si>
  <si>
    <t xml:space="preserve">tt0137523</t>
  </si>
  <si>
    <t xml:space="preserve">Rango</t>
  </si>
  <si>
    <t xml:space="preserve">Un camaleón doméstico acaba de sheriff en un pueblo del Oeste.</t>
  </si>
  <si>
    <t xml:space="preserve">tt1192628</t>
  </si>
  <si>
    <t xml:space="preserve">El dictador</t>
  </si>
  <si>
    <t xml:space="preserve">Un tirano depuesto se pierde en Nueva York.</t>
  </si>
  <si>
    <t xml:space="preserve">tt1645170</t>
  </si>
  <si>
    <t xml:space="preserve">Fuga de cerebros 2</t>
  </si>
  <si>
    <t xml:space="preserve">Carlos Therón</t>
  </si>
  <si>
    <t xml:space="preserve">Los amigos se cuelan ahora en Harvard.</t>
  </si>
  <si>
    <t xml:space="preserve">tt1861334</t>
  </si>
  <si>
    <t xml:space="preserve">Splice: Experimento mortal</t>
  </si>
  <si>
    <t xml:space="preserve">Vincenzo Natali</t>
  </si>
  <si>
    <t xml:space="preserve">Canadá, Francia, EE.UU.</t>
  </si>
  <si>
    <t xml:space="preserve">Dos científicos crean un híbrido humano-animal.</t>
  </si>
  <si>
    <t xml:space="preserve">tt1017460</t>
  </si>
  <si>
    <t xml:space="preserve">RED</t>
  </si>
  <si>
    <t xml:space="preserve">Robert Schwentke</t>
  </si>
  <si>
    <t xml:space="preserve">Agentes jubilados vuelven a la acción perseguidos por la CIA.</t>
  </si>
  <si>
    <t xml:space="preserve">tt1245526</t>
  </si>
  <si>
    <t xml:space="preserve">Las aventuras de Huckleberry Finn</t>
  </si>
  <si>
    <t xml:space="preserve">Un chaval y un esclavo fugado bajan el Misisipi.</t>
  </si>
  <si>
    <t xml:space="preserve">tt0106223</t>
  </si>
  <si>
    <t xml:space="preserve">Domino</t>
  </si>
  <si>
    <t xml:space="preserve">Francia, Reino Unido, EE.UU.</t>
  </si>
  <si>
    <t xml:space="preserve">Una modelo se convierte en cazarrecompensas.</t>
  </si>
  <si>
    <t xml:space="preserve">tt0421054</t>
  </si>
  <si>
    <t xml:space="preserve">Jumanji</t>
  </si>
  <si>
    <t xml:space="preserve">Un juego de mesa libera una jungla en una casa.</t>
  </si>
  <si>
    <t xml:space="preserve">tt0113497</t>
  </si>
  <si>
    <t xml:space="preserve">Río</t>
  </si>
  <si>
    <t xml:space="preserve">Carlos Saldanha</t>
  </si>
  <si>
    <t xml:space="preserve">Un guacamayo doméstico acaba suelto en Brasil.</t>
  </si>
  <si>
    <t xml:space="preserve">tt1436562</t>
  </si>
  <si>
    <t xml:space="preserve">Plague Town</t>
  </si>
  <si>
    <t xml:space="preserve">David Gregory</t>
  </si>
  <si>
    <t xml:space="preserve">Una familia perdida en Irlanda topa con niños monstruosos.</t>
  </si>
  <si>
    <t xml:space="preserve">tt1118687</t>
  </si>
  <si>
    <t xml:space="preserve">Acto de valor</t>
  </si>
  <si>
    <t xml:space="preserve">Mike McCoy,Scott Waugh</t>
  </si>
  <si>
    <t xml:space="preserve">Un pelotón de los SEAL rescata a una agente secuestrada.</t>
  </si>
  <si>
    <t xml:space="preserve">tt1591479</t>
  </si>
  <si>
    <t xml:space="preserve">La cena de los idiotas</t>
  </si>
  <si>
    <t xml:space="preserve">Francis Veber</t>
  </si>
  <si>
    <t xml:space="preserve">Unos ejecutivos invitan a cenar al tonto más gracioso.</t>
  </si>
  <si>
    <t xml:space="preserve">tt0119038</t>
  </si>
  <si>
    <t xml:space="preserve">Men in Black 3</t>
  </si>
  <si>
    <t xml:space="preserve">Barry Sonnenfeld</t>
  </si>
  <si>
    <t xml:space="preserve">J viaja al pasado para salvar a K.</t>
  </si>
  <si>
    <t xml:space="preserve">tt1409024</t>
  </si>
  <si>
    <t xml:space="preserve">El Gato con Botas: Los tres diablos</t>
  </si>
  <si>
    <t xml:space="preserve">Raman Hui</t>
  </si>
  <si>
    <t xml:space="preserve">El gato y sus aliados persiguen a tres gatitos ladrones.</t>
  </si>
  <si>
    <t xml:space="preserve">tt2268617</t>
  </si>
  <si>
    <t xml:space="preserve">Marvel Los Vengadores</t>
  </si>
  <si>
    <t xml:space="preserve">Los héroes se unen para frenar una invasión alienígena.</t>
  </si>
  <si>
    <t xml:space="preserve">tt0848228</t>
  </si>
  <si>
    <t xml:space="preserve">Código fuente</t>
  </si>
  <si>
    <t xml:space="preserve">Un soldado revive ocho minutos en el cuerpo de otro.</t>
  </si>
  <si>
    <t xml:space="preserve">tt0945513</t>
  </si>
  <si>
    <t xml:space="preserve">Imparable</t>
  </si>
  <si>
    <t xml:space="preserve">Dos ferroviarios intentan detener un tren sin control.</t>
  </si>
  <si>
    <t xml:space="preserve">tt0477080</t>
  </si>
  <si>
    <t xml:space="preserve">Última llamada</t>
  </si>
  <si>
    <t xml:space="preserve">Un hombre atrapado en una cabina por un francotirador.</t>
  </si>
  <si>
    <t xml:space="preserve">tt0183649</t>
  </si>
  <si>
    <t xml:space="preserve">La prueba</t>
  </si>
  <si>
    <t xml:space="preserve">Roger Donaldson</t>
  </si>
  <si>
    <t xml:space="preserve">Un policía interroga a un sospechoso durante una noche.</t>
  </si>
  <si>
    <t xml:space="preserve">tt0292506</t>
  </si>
  <si>
    <t xml:space="preserve">Pierre Morel</t>
  </si>
  <si>
    <t xml:space="preserve">Un exagente rescata a su hija secuestrada en París.</t>
  </si>
  <si>
    <t xml:space="preserve">tt0936501</t>
  </si>
  <si>
    <t xml:space="preserve">Gattaca</t>
  </si>
  <si>
    <t xml:space="preserve">Un hombre sin mejora genética suplanta a otro para viajar al espacio.</t>
  </si>
  <si>
    <t xml:space="preserve">tt0119177</t>
  </si>
  <si>
    <t xml:space="preserve">Bangkok dangerous</t>
  </si>
  <si>
    <t xml:space="preserve">Danny Pang,Oxide Chun Pang</t>
  </si>
  <si>
    <t xml:space="preserve">Un sicario en Bangkok rompe sus propias reglas.</t>
  </si>
  <si>
    <t xml:space="preserve">tt0814022</t>
  </si>
  <si>
    <t xml:space="preserve">Ip Man 2</t>
  </si>
  <si>
    <t xml:space="preserve">Hong Kong, China</t>
  </si>
  <si>
    <t xml:space="preserve">fuboTV</t>
  </si>
  <si>
    <t xml:space="preserve">El maestro se establece en Hong Kong y reta a un boxeador.</t>
  </si>
  <si>
    <t xml:space="preserve">tt1386932</t>
  </si>
  <si>
    <t xml:space="preserve">El caballero negro</t>
  </si>
  <si>
    <t xml:space="preserve">Gil Junger</t>
  </si>
  <si>
    <t xml:space="preserve">Un empleado de parque temático viaja a la Edad Media.</t>
  </si>
  <si>
    <t xml:space="preserve">tt0265087</t>
  </si>
  <si>
    <t xml:space="preserve">Carta blanca</t>
  </si>
  <si>
    <t xml:space="preserve">Un hombre despierta y nadie reconoce su identidad.</t>
  </si>
  <si>
    <t xml:space="preserve">tt0480687</t>
  </si>
  <si>
    <t xml:space="preserve">G.I. Joe</t>
  </si>
  <si>
    <t xml:space="preserve">Prime, Movistar Plus+ Ficción Total , SkyShowtime, atresplayer</t>
  </si>
  <si>
    <t xml:space="preserve">Una unidad de élite frena a una organización terrorista.</t>
  </si>
  <si>
    <t xml:space="preserve">tt1046173</t>
  </si>
  <si>
    <t xml:space="preserve">Fast &amp; Furious 5</t>
  </si>
  <si>
    <t xml:space="preserve">Justin Lin</t>
  </si>
  <si>
    <t xml:space="preserve">El equipo prepara un golpe millonario en Río.</t>
  </si>
  <si>
    <t xml:space="preserve">tt1596343</t>
  </si>
  <si>
    <t xml:space="preserve">Barridos por la marea</t>
  </si>
  <si>
    <t xml:space="preserve">Italia, Reino Unido</t>
  </si>
  <si>
    <t xml:space="preserve">Una millonaria y un marinero naufragan juntos en una isla.</t>
  </si>
  <si>
    <t xml:space="preserve">tt0291502</t>
  </si>
  <si>
    <t xml:space="preserve">The Tourist</t>
  </si>
  <si>
    <t xml:space="preserve">Reino Unido, EE.UU., Francia, Italia</t>
  </si>
  <si>
    <t xml:space="preserve">Un turista es confundido con el amante de una mujer vigilada.</t>
  </si>
  <si>
    <t xml:space="preserve">tt1243957</t>
  </si>
  <si>
    <t xml:space="preserve">Los extraños</t>
  </si>
  <si>
    <t xml:space="preserve">Bryan Bertino</t>
  </si>
  <si>
    <t xml:space="preserve">Una pareja acosada en una casa aislada por tres enmascarados.</t>
  </si>
  <si>
    <t xml:space="preserve">tt0482606</t>
  </si>
  <si>
    <t xml:space="preserve">Regreso al lago azul</t>
  </si>
  <si>
    <t xml:space="preserve">William A. Graham</t>
  </si>
  <si>
    <t xml:space="preserve">Dos adolescentes crecen solos en una isla desierta.</t>
  </si>
  <si>
    <t xml:space="preserve">tt0102782</t>
  </si>
  <si>
    <t xml:space="preserve">Criminal</t>
  </si>
  <si>
    <t xml:space="preserve">Gregory Jacobs</t>
  </si>
  <si>
    <t xml:space="preserve">Dos estafadores preparan un timo en Los Ángeles.</t>
  </si>
  <si>
    <t xml:space="preserve">tt0362526</t>
  </si>
  <si>
    <t xml:space="preserve">Ted</t>
  </si>
  <si>
    <t xml:space="preserve">Seth MacFarlane</t>
  </si>
  <si>
    <t xml:space="preserve">Un hombre adulto convive con su oso de peluche parlante.</t>
  </si>
  <si>
    <t xml:space="preserve">tt1637725</t>
  </si>
  <si>
    <t xml:space="preserve">Distrito 13</t>
  </si>
  <si>
    <t xml:space="preserve">Prime, fuboTV</t>
  </si>
  <si>
    <t xml:space="preserve">Un policía y un delincuente entran en un gueto amurallado.</t>
  </si>
  <si>
    <t xml:space="preserve">tt0414852</t>
  </si>
  <si>
    <t xml:space="preserve">Atrapado en el tiempo</t>
  </si>
  <si>
    <t xml:space="preserve">Harold Ramis</t>
  </si>
  <si>
    <t xml:space="preserve">Un meteorólogo revive el mismo día una y otra vez.</t>
  </si>
  <si>
    <t xml:space="preserve">tt0107048</t>
  </si>
  <si>
    <t xml:space="preserve">K-Pax: Un universo aparte</t>
  </si>
  <si>
    <t xml:space="preserve">Iain Softley</t>
  </si>
  <si>
    <t xml:space="preserve">Un paciente asegura venir de otro planeta.</t>
  </si>
  <si>
    <t xml:space="preserve">tt0272152</t>
  </si>
  <si>
    <t xml:space="preserve">Amor y otras drogas</t>
  </si>
  <si>
    <t xml:space="preserve">Un vendedor de fármacos se enamora de una enferma.</t>
  </si>
  <si>
    <t xml:space="preserve">tt0758752</t>
  </si>
  <si>
    <t xml:space="preserve">Brave: Indomable</t>
  </si>
  <si>
    <t xml:space="preserve">Mark Andrews,Brenda Chapman,Steve Purcell</t>
  </si>
  <si>
    <t xml:space="preserve">Una princesa escocesa se rebela contra su destino.</t>
  </si>
  <si>
    <t xml:space="preserve">tt1217209</t>
  </si>
  <si>
    <t xml:space="preserve">Memorias de África</t>
  </si>
  <si>
    <t xml:space="preserve">Sydney Pollack</t>
  </si>
  <si>
    <t xml:space="preserve">Una baronesa danesa gestiona una plantación en Kenia.</t>
  </si>
  <si>
    <t xml:space="preserve">tt0089755</t>
  </si>
  <si>
    <t xml:space="preserve">El día de mañana</t>
  </si>
  <si>
    <t xml:space="preserve">Una nueva glaciación golpea el hemisferio norte.</t>
  </si>
  <si>
    <t xml:space="preserve">tt0319262</t>
  </si>
  <si>
    <t xml:space="preserve">El origen del planeta de los simios</t>
  </si>
  <si>
    <t xml:space="preserve">Rupert Wyatt</t>
  </si>
  <si>
    <t xml:space="preserve">Un experimento hace inteligente a un chimpancé.</t>
  </si>
  <si>
    <t xml:space="preserve">tt1318514</t>
  </si>
  <si>
    <t xml:space="preserve">Las aventuras de Tadeo Jones</t>
  </si>
  <si>
    <t xml:space="preserve">Enrique Gato</t>
  </si>
  <si>
    <t xml:space="preserve">Un albañil es confundido con un arqueólogo famoso.</t>
  </si>
  <si>
    <t xml:space="preserve">tt1764625</t>
  </si>
  <si>
    <t xml:space="preserve">American Pie 2</t>
  </si>
  <si>
    <t xml:space="preserve">J.B. Rogers</t>
  </si>
  <si>
    <t xml:space="preserve">Los amigos pasan el verano juntos tras el primer año.</t>
  </si>
  <si>
    <t xml:space="preserve">tt0252866</t>
  </si>
  <si>
    <t xml:space="preserve">Buen rollito</t>
  </si>
  <si>
    <t xml:space="preserve">Jesse Dylan</t>
  </si>
  <si>
    <t xml:space="preserve">Comedia gamberra sobre un grupo de amigos.</t>
  </si>
  <si>
    <t xml:space="preserve">tt0278488</t>
  </si>
  <si>
    <t xml:space="preserve">Fracture</t>
  </si>
  <si>
    <t xml:space="preserve">Un hombre confiesa un crimen y logra que no lo condenen.</t>
  </si>
  <si>
    <t xml:space="preserve">tt0488120</t>
  </si>
  <si>
    <t xml:space="preserve">Hellboy</t>
  </si>
  <si>
    <t xml:space="preserve">Un demonio criado por humanos trabaja para una agencia paranormal.</t>
  </si>
  <si>
    <t xml:space="preserve">tt0167190</t>
  </si>
  <si>
    <t xml:space="preserve">El niño con el pijama de rayas</t>
  </si>
  <si>
    <t xml:space="preserve">Mark Herman</t>
  </si>
  <si>
    <t xml:space="preserve">Dos niños se hacen amigos a través de la alambrada.</t>
  </si>
  <si>
    <t xml:space="preserve">tt0914798</t>
  </si>
  <si>
    <t xml:space="preserve">Secuestrada</t>
  </si>
  <si>
    <t xml:space="preserve">John Bonito</t>
  </si>
  <si>
    <t xml:space="preserve">Una familia sorprendida por ladrones en su casa.</t>
  </si>
  <si>
    <t xml:space="preserve">tt1321861</t>
  </si>
  <si>
    <t xml:space="preserve">Amenazados</t>
  </si>
  <si>
    <t xml:space="preserve">Gregor Jordan</t>
  </si>
  <si>
    <t xml:space="preserve">Un exagente y su equipo perseguidos por la CIA.</t>
  </si>
  <si>
    <t xml:space="preserve">tt0914863</t>
  </si>
  <si>
    <t xml:space="preserve">La proposición</t>
  </si>
  <si>
    <t xml:space="preserve">Anne Fletcher</t>
  </si>
  <si>
    <t xml:space="preserve">Apple TV, Disney+, Apple TV Amazon Channel</t>
  </si>
  <si>
    <t xml:space="preserve">Una editora obliga a su ayudante a casarse para no ser deportada.</t>
  </si>
  <si>
    <t xml:space="preserve">tt1041829</t>
  </si>
  <si>
    <t xml:space="preserve">Kung Fu Panda</t>
  </si>
  <si>
    <t xml:space="preserve">Mark Osborne,John Stevenson</t>
  </si>
  <si>
    <t xml:space="preserve">Un panda torpe resulta ser el guerrero elegido.</t>
  </si>
  <si>
    <t xml:space="preserve">tt0441773</t>
  </si>
  <si>
    <t xml:space="preserve">Hitch: Especialista en ligues</t>
  </si>
  <si>
    <t xml:space="preserve">Andy Tennant</t>
  </si>
  <si>
    <t xml:space="preserve">Netflix, Tivify</t>
  </si>
  <si>
    <t xml:space="preserve">Un asesor amoroso fracasa en su propia vida.</t>
  </si>
  <si>
    <t xml:space="preserve">tt0386588</t>
  </si>
  <si>
    <t xml:space="preserve">Coach Carter</t>
  </si>
  <si>
    <t xml:space="preserve">Thomas Carter</t>
  </si>
  <si>
    <t xml:space="preserve">Un entrenador exige notas a su equipo de baloncesto.</t>
  </si>
  <si>
    <t xml:space="preserve">tt0393162</t>
  </si>
  <si>
    <t xml:space="preserve">Área 407 - La cinta 407</t>
  </si>
  <si>
    <t xml:space="preserve">Dale Fabrigar,Everette Wallin</t>
  </si>
  <si>
    <t xml:space="preserve">Filmin, Acontra, Acontra Plus Amazon Channel, MIDNIGHT FACTORY Amazon Channel, Tivify</t>
  </si>
  <si>
    <t xml:space="preserve">Pasajeros de un avión estrellado grabados en vídeo.</t>
  </si>
  <si>
    <t xml:space="preserve">tt2062661</t>
  </si>
  <si>
    <t xml:space="preserve">Cube</t>
  </si>
  <si>
    <t xml:space="preserve">Seis desconocidos atrapados en cubos con trampas mortales.</t>
  </si>
  <si>
    <t xml:space="preserve">tt0123755</t>
  </si>
  <si>
    <t xml:space="preserve">Eva</t>
  </si>
  <si>
    <t xml:space="preserve">Kike Maíllo</t>
  </si>
  <si>
    <t xml:space="preserve">Un ingeniero crea un robot infantil con la ayuda de una niña.</t>
  </si>
  <si>
    <t xml:space="preserve">tt1298554</t>
  </si>
  <si>
    <t xml:space="preserve">Un plan perfecto</t>
  </si>
  <si>
    <t xml:space="preserve">Tristan Dubois</t>
  </si>
  <si>
    <t xml:space="preserve">Una mujer viaja para casarse y divorciarse por conveniencia.</t>
  </si>
  <si>
    <t xml:space="preserve">tt1664010</t>
  </si>
  <si>
    <t xml:space="preserve">Red de mentiras</t>
  </si>
  <si>
    <t xml:space="preserve">Un agente de la CIA en Jordania persigue a un terrorista.</t>
  </si>
  <si>
    <t xml:space="preserve">tt0758774</t>
  </si>
  <si>
    <t xml:space="preserve">Sin City</t>
  </si>
  <si>
    <t xml:space="preserve">Frank Miller,Robert Rodriguez</t>
  </si>
  <si>
    <t xml:space="preserve">Historias cruzadas de violencia en una ciudad corrupta.</t>
  </si>
  <si>
    <t xml:space="preserve">tt0401792</t>
  </si>
  <si>
    <t xml:space="preserve">Salvar al soldado Ryan</t>
  </si>
  <si>
    <t xml:space="preserve">Movistar</t>
  </si>
  <si>
    <t xml:space="preserve">Un pelotón busca a un soldado tras el desembarco de Normandía.</t>
  </si>
  <si>
    <t xml:space="preserve">tt0120815</t>
  </si>
  <si>
    <t xml:space="preserve">Casino Royale</t>
  </si>
  <si>
    <t xml:space="preserve">Martin Campbell</t>
  </si>
  <si>
    <t xml:space="preserve">Italia, Reino Unido, EE.UU., República Checa, Alemania</t>
  </si>
  <si>
    <t xml:space="preserve">Terrorismo</t>
  </si>
  <si>
    <t xml:space="preserve">El primer encargo de Bond como agente doble cero.</t>
  </si>
  <si>
    <t xml:space="preserve">tt0381061</t>
  </si>
  <si>
    <t xml:space="preserve">More Than a Game</t>
  </si>
  <si>
    <t xml:space="preserve">Kristopher Belman</t>
  </si>
  <si>
    <t xml:space="preserve">El instituto y el ascenso de LeBron James y sus amigos.</t>
  </si>
  <si>
    <t xml:space="preserve">tt1286821</t>
  </si>
  <si>
    <t xml:space="preserve">Madhouse</t>
  </si>
  <si>
    <t xml:space="preserve">William Butler</t>
  </si>
  <si>
    <t xml:space="preserve">Un interno de un psiquiátrico descubre algo terrible.</t>
  </si>
  <si>
    <t xml:space="preserve">tt0363276</t>
  </si>
  <si>
    <t xml:space="preserve">Las chicas de la 6ª planta</t>
  </si>
  <si>
    <t xml:space="preserve">Philippe Le Guay</t>
  </si>
  <si>
    <t xml:space="preserve">Un burgués parisino descubre la vida de las criadas españolas.</t>
  </si>
  <si>
    <t xml:space="preserve">tt1805297</t>
  </si>
  <si>
    <t xml:space="preserve">Looper</t>
  </si>
  <si>
    <t xml:space="preserve">Un sicario debe matar a su yo del futuro.</t>
  </si>
  <si>
    <t xml:space="preserve">tt1276104</t>
  </si>
  <si>
    <t xml:space="preserve">Mátalos suavemente</t>
  </si>
  <si>
    <t xml:space="preserve">Andrew Dominik</t>
  </si>
  <si>
    <t xml:space="preserve">Un sicario limpia el desastre de un atraco a una partida de póker.</t>
  </si>
  <si>
    <t xml:space="preserve">tt1764234</t>
  </si>
  <si>
    <t xml:space="preserve">Ice Age 4: La formación de los continentes</t>
  </si>
  <si>
    <t xml:space="preserve">Steve Martino,Michael Thurmeier</t>
  </si>
  <si>
    <t xml:space="preserve">La manada separada por la deriva continental.</t>
  </si>
  <si>
    <t xml:space="preserve">tt1667889</t>
  </si>
  <si>
    <t xml:space="preserve">Las aventuras de Tintín: El secreto del unicornio</t>
  </si>
  <si>
    <t xml:space="preserve">Tintín sigue la pista de un tesoro pirata.</t>
  </si>
  <si>
    <t xml:space="preserve">tt0983193</t>
  </si>
  <si>
    <t xml:space="preserve">La red</t>
  </si>
  <si>
    <t xml:space="preserve">Irwin Winkler</t>
  </si>
  <si>
    <t xml:space="preserve">Una analista informática pierde su identidad en la red.</t>
  </si>
  <si>
    <t xml:space="preserve">tt0113957</t>
  </si>
  <si>
    <t xml:space="preserve">Alicia en el país de las maravillas</t>
  </si>
  <si>
    <t xml:space="preserve">Alicia vuelve al País de las Maravillas ya adolescente.</t>
  </si>
  <si>
    <t xml:space="preserve">tt1014759</t>
  </si>
  <si>
    <t xml:space="preserve">Lo imposible</t>
  </si>
  <si>
    <t xml:space="preserve">Una familia sobrevive separada al tsunami de 2004.</t>
  </si>
  <si>
    <t xml:space="preserve">tt1649419</t>
  </si>
  <si>
    <t xml:space="preserve">Venganza: Conexión Estambul</t>
  </si>
  <si>
    <t xml:space="preserve">Olivier Megaton</t>
  </si>
  <si>
    <t xml:space="preserve">El exagente y su familia atacados en Estambul.</t>
  </si>
  <si>
    <t xml:space="preserve">tt1397280</t>
  </si>
  <si>
    <t xml:space="preserve">Blancanieves y la leyenda del cazador</t>
  </si>
  <si>
    <t xml:space="preserve">Rupert Sanders</t>
  </si>
  <si>
    <t xml:space="preserve">Blancanieves aprende a luchar contra la reina malvada.</t>
  </si>
  <si>
    <t xml:space="preserve">tt1735898</t>
  </si>
  <si>
    <t xml:space="preserve">Velocidad al límite</t>
  </si>
  <si>
    <t xml:space="preserve">Peter Werner</t>
  </si>
  <si>
    <t xml:space="preserve">Carreras callejeras y un piloto que busca revancha.</t>
  </si>
  <si>
    <t xml:space="preserve">tt1071780</t>
  </si>
  <si>
    <t xml:space="preserve">60 segundos</t>
  </si>
  <si>
    <t xml:space="preserve">Dominic Sena</t>
  </si>
  <si>
    <t xml:space="preserve">Un ladrón de coches debe robar cincuenta en una noche.</t>
  </si>
  <si>
    <t xml:space="preserve">tt0187078</t>
  </si>
  <si>
    <t xml:space="preserve">Minority Report</t>
  </si>
  <si>
    <t xml:space="preserve">Una policía detiene crímenes antes de que ocurran.</t>
  </si>
  <si>
    <t xml:space="preserve">tt0181689</t>
  </si>
  <si>
    <t xml:space="preserve">Babylon A.D.</t>
  </si>
  <si>
    <t xml:space="preserve">Un mercenario escolta a una joven con un secreto.</t>
  </si>
  <si>
    <t xml:space="preserve">tt0364970</t>
  </si>
  <si>
    <t xml:space="preserve">La cruda realidad</t>
  </si>
  <si>
    <t xml:space="preserve">Una productora choca con un presentador machista.</t>
  </si>
  <si>
    <t xml:space="preserve">tt1142988</t>
  </si>
  <si>
    <t xml:space="preserve">Underworld</t>
  </si>
  <si>
    <t xml:space="preserve">Len Wiseman</t>
  </si>
  <si>
    <t xml:space="preserve">Alemania, Hungría, Reino Unido, EE.UU.</t>
  </si>
  <si>
    <t xml:space="preserve">Guerra entre vampiros y licántropos.</t>
  </si>
  <si>
    <t xml:space="preserve">tt0320691</t>
  </si>
  <si>
    <t xml:space="preserve">Jacuzzi al pasado</t>
  </si>
  <si>
    <t xml:space="preserve">Steve Pink</t>
  </si>
  <si>
    <t xml:space="preserve">Cuatro amigos viajan a los ochenta en un jacuzzi.</t>
  </si>
  <si>
    <t xml:space="preserve">tt1231587</t>
  </si>
  <si>
    <t xml:space="preserve">Footloose</t>
  </si>
  <si>
    <t xml:space="preserve">Herbert Ross</t>
  </si>
  <si>
    <t xml:space="preserve">Un joven lucha contra la prohibición de bailar en su pueblo.</t>
  </si>
  <si>
    <t xml:space="preserve">tt0087277</t>
  </si>
  <si>
    <t xml:space="preserve">88 minutos</t>
  </si>
  <si>
    <t xml:space="preserve">Un psiquiatra recibe una llamada anunciando su muerte.</t>
  </si>
  <si>
    <t xml:space="preserve">tt0411061</t>
  </si>
  <si>
    <t xml:space="preserve">Dredd</t>
  </si>
  <si>
    <t xml:space="preserve">Pete Travis</t>
  </si>
  <si>
    <t xml:space="preserve">Sudáfrica, Reino Unido, EE.UU., India</t>
  </si>
  <si>
    <t xml:space="preserve">Rakuten, Plex</t>
  </si>
  <si>
    <t xml:space="preserve">Un juez y su aprendiza asaltan un bloque controlado por narcos.</t>
  </si>
  <si>
    <t xml:space="preserve">tt1343727</t>
  </si>
  <si>
    <t xml:space="preserve">Alejandro Magno</t>
  </si>
  <si>
    <t xml:space="preserve">Francia, Alemania, Italia, Países Bajos, Reino Unido, EE.UU.</t>
  </si>
  <si>
    <t xml:space="preserve">Prime, atresplayer, Tivify</t>
  </si>
  <si>
    <t xml:space="preserve">Las campañas del conquistador macedonio.</t>
  </si>
  <si>
    <t xml:space="preserve">tt0346491</t>
  </si>
  <si>
    <t xml:space="preserve">Sinister</t>
  </si>
  <si>
    <t xml:space="preserve">Un escritor halla unas cintas caseras con crímenes.</t>
  </si>
  <si>
    <t xml:space="preserve">tt1922777</t>
  </si>
  <si>
    <t xml:space="preserve">Manolito Gafotas</t>
  </si>
  <si>
    <t xml:space="preserve">Miguel Albaladejo</t>
  </si>
  <si>
    <t xml:space="preserve">Prime, Movistar, Movistar Plus+ Ficción Total , Rakuten</t>
  </si>
  <si>
    <t xml:space="preserve">Un niño de Carabanchel narra su verano.</t>
  </si>
  <si>
    <t xml:space="preserve">tt0206117</t>
  </si>
  <si>
    <t xml:space="preserve">Cuando te encuentre</t>
  </si>
  <si>
    <t xml:space="preserve">Scott Hicks</t>
  </si>
  <si>
    <t xml:space="preserve">Un marine busca a la mujer de una foto que le dio suerte.</t>
  </si>
  <si>
    <t xml:space="preserve">tt1327194</t>
  </si>
  <si>
    <t xml:space="preserve">El mundo es suyo</t>
  </si>
  <si>
    <t xml:space="preserve">Alfonso Sánchez</t>
  </si>
  <si>
    <t xml:space="preserve">Los atracadores sevillanos vuelven en una nueva aventura.</t>
  </si>
  <si>
    <t xml:space="preserve">tt6831724</t>
  </si>
  <si>
    <t xml:space="preserve">El mundo es nuestro</t>
  </si>
  <si>
    <t xml:space="preserve">Prime, Filmin, FlixOlé</t>
  </si>
  <si>
    <t xml:space="preserve">Dos atracadores torpes toman rehenes en un banco sevillano.</t>
  </si>
  <si>
    <t xml:space="preserve">tt2378171</t>
  </si>
  <si>
    <t xml:space="preserve">Fast &amp; Furious: Aún más rápido</t>
  </si>
  <si>
    <t xml:space="preserve">Toretto y O'Conner vuelven a unirse por venganza.</t>
  </si>
  <si>
    <t xml:space="preserve">tt1013752</t>
  </si>
  <si>
    <t xml:space="preserve">Niños grandes</t>
  </si>
  <si>
    <t xml:space="preserve">Cinco amigos se reúnen tras la muerte de su entrenador.</t>
  </si>
  <si>
    <t xml:space="preserve">tt1375670</t>
  </si>
  <si>
    <t xml:space="preserve">Fast &amp; Furious 6</t>
  </si>
  <si>
    <t xml:space="preserve">Netflix, Prime, Movistar Plus+ Ficción Total , SkyShowtime, Tivify</t>
  </si>
  <si>
    <t xml:space="preserve">El grupo colabora con la ley para atrapar a una banda.</t>
  </si>
  <si>
    <t xml:space="preserve">tt1905041</t>
  </si>
  <si>
    <t xml:space="preserve">Kung Fu Panda 2</t>
  </si>
  <si>
    <t xml:space="preserve">Jennifer Yuh Nelson</t>
  </si>
  <si>
    <t xml:space="preserve">Po se enfrenta a un pavo real y a su propio pasado.</t>
  </si>
  <si>
    <t xml:space="preserve">tt1302011</t>
  </si>
  <si>
    <t xml:space="preserve">Ira de titanes</t>
  </si>
  <si>
    <t xml:space="preserve">Jonathan Liebesman</t>
  </si>
  <si>
    <t xml:space="preserve">Perseo rescata a Zeus del inframundo.</t>
  </si>
  <si>
    <t xml:space="preserve">tt1646987</t>
  </si>
  <si>
    <t xml:space="preserve">Furia de titanes</t>
  </si>
  <si>
    <t xml:space="preserve">Perseo se enfrenta a los dioses del Olimpo.</t>
  </si>
  <si>
    <t xml:space="preserve">tt0800320</t>
  </si>
  <si>
    <t xml:space="preserve">Miedo y asco en Las Vegas</t>
  </si>
  <si>
    <t xml:space="preserve">Un periodista y su abogado atraviesan Las Vegas drogados.</t>
  </si>
  <si>
    <t xml:space="preserve">tt0120669</t>
  </si>
  <si>
    <t xml:space="preserve">A todo gas: Tokyo Race</t>
  </si>
  <si>
    <t xml:space="preserve">Un joven aprende derrapes en el circuito clandestino de Tokio.</t>
  </si>
  <si>
    <t xml:space="preserve">tt0463985</t>
  </si>
  <si>
    <t xml:space="preserve">Tengo ganas de ti</t>
  </si>
  <si>
    <t xml:space="preserve">El motero vuelve a Barcelona y conoce a otra chica.</t>
  </si>
  <si>
    <t xml:space="preserve">tt1797504</t>
  </si>
  <si>
    <t xml:space="preserve">3 metros sobre el cielo</t>
  </si>
  <si>
    <t xml:space="preserve">Una chica de buena familia se enamora de un motero.</t>
  </si>
  <si>
    <t xml:space="preserve">tt1648216</t>
  </si>
  <si>
    <t xml:space="preserve">Crepúsculo</t>
  </si>
  <si>
    <t xml:space="preserve">Catherine Hardwicke</t>
  </si>
  <si>
    <t xml:space="preserve">Una adolescente se enamora de un vampiro.</t>
  </si>
  <si>
    <t xml:space="preserve">tt1099212</t>
  </si>
  <si>
    <t xml:space="preserve">La saga Crepúsculo: Luna nueva</t>
  </si>
  <si>
    <t xml:space="preserve">Chris Weitz</t>
  </si>
  <si>
    <t xml:space="preserve">Bella se acerca a los licántropos tras irse Edward.</t>
  </si>
  <si>
    <t xml:space="preserve">tt1259571</t>
  </si>
  <si>
    <t xml:space="preserve">La saga Crepúsculo: Eclipse</t>
  </si>
  <si>
    <t xml:space="preserve">David Slade</t>
  </si>
  <si>
    <t xml:space="preserve">Vampiros y lobos se alían contra un ejército de neófitos.</t>
  </si>
  <si>
    <t xml:space="preserve">tt1325004</t>
  </si>
  <si>
    <t xml:space="preserve">The Amazing Spider-Man</t>
  </si>
  <si>
    <t xml:space="preserve">Peter Parker investiga la desaparición de sus padres.</t>
  </si>
  <si>
    <t xml:space="preserve">tt0948470</t>
  </si>
  <si>
    <t xml:space="preserve">American Beauty</t>
  </si>
  <si>
    <t xml:space="preserve">Un padre de familia estalla contra su vida en el suburbio.</t>
  </si>
  <si>
    <t xml:space="preserve">tt0169547</t>
  </si>
  <si>
    <t xml:space="preserve">La saga Crepúsculo: Amanecer - Parte 1</t>
  </si>
  <si>
    <t xml:space="preserve">Bill Condon</t>
  </si>
  <si>
    <t xml:space="preserve">Bella se casa y su embarazo la pone en peligro.</t>
  </si>
  <si>
    <t xml:space="preserve">tt1324999</t>
  </si>
  <si>
    <t xml:space="preserve">La saga Crepúsculo: Amanecer - Parte 2</t>
  </si>
  <si>
    <t xml:space="preserve">Los Cullen reúnen aliados frente a los Vulturi.</t>
  </si>
  <si>
    <t xml:space="preserve">tt1673434</t>
  </si>
  <si>
    <t xml:space="preserve">Step Up Revolution</t>
  </si>
  <si>
    <t xml:space="preserve">Scott Speer</t>
  </si>
  <si>
    <t xml:space="preserve">Un grupo de baile callejero se enfrenta a una promotora.</t>
  </si>
  <si>
    <t xml:space="preserve">tt1800741</t>
  </si>
  <si>
    <t xml:space="preserve">The Possession: El origen del mal</t>
  </si>
  <si>
    <t xml:space="preserve">Ole Bornedal</t>
  </si>
  <si>
    <t xml:space="preserve">Una niña compra una caja con un espíritu dentro.</t>
  </si>
  <si>
    <t xml:space="preserve">tt0431021</t>
  </si>
  <si>
    <t xml:space="preserve">Dos rubias de pelo en pecho</t>
  </si>
  <si>
    <t xml:space="preserve">Keenen Ivory Wayans</t>
  </si>
  <si>
    <t xml:space="preserve">Dos agentes del FBI se disfrazan de herederas.</t>
  </si>
  <si>
    <t xml:space="preserve">tt0381707</t>
  </si>
  <si>
    <t xml:space="preserve">Hansel y Gretel: Cazadores de brujas</t>
  </si>
  <si>
    <t xml:space="preserve">Tommy Wirkola</t>
  </si>
  <si>
    <t xml:space="preserve">Los hermanos, ya adultos, se dedican a matar brujas.</t>
  </si>
  <si>
    <t xml:space="preserve">tt1428538</t>
  </si>
  <si>
    <t xml:space="preserve">Destino final</t>
  </si>
  <si>
    <t xml:space="preserve">James Wong</t>
  </si>
  <si>
    <t xml:space="preserve">Unos jóvenes esquivan un accidente y la muerte los busca.</t>
  </si>
  <si>
    <t xml:space="preserve">tt0195714</t>
  </si>
  <si>
    <t xml:space="preserve">Sucker Punch</t>
  </si>
  <si>
    <t xml:space="preserve">Una joven internada imagina mundos para escapar.</t>
  </si>
  <si>
    <t xml:space="preserve">tt0978764</t>
  </si>
  <si>
    <t xml:space="preserve">Tron: Legacy</t>
  </si>
  <si>
    <t xml:space="preserve">Un joven entra en el mundo digital donde vive su padre.</t>
  </si>
  <si>
    <t xml:space="preserve">tt1104001</t>
  </si>
  <si>
    <t xml:space="preserve">Paranormal Activity 4</t>
  </si>
  <si>
    <t xml:space="preserve">Una adolescente graba a los nuevos vecinos.</t>
  </si>
  <si>
    <t xml:space="preserve">tt2109184</t>
  </si>
  <si>
    <t xml:space="preserve">R3sacón</t>
  </si>
  <si>
    <t xml:space="preserve">La cuadrilla afronta un último desastre sin boda de por medio.</t>
  </si>
  <si>
    <t xml:space="preserve">tt1951261</t>
  </si>
  <si>
    <t xml:space="preserve">Panorama para matar</t>
  </si>
  <si>
    <t xml:space="preserve">John Glen</t>
  </si>
  <si>
    <t xml:space="preserve">Francia, Islandia, Reino Unido, EE.UU.</t>
  </si>
  <si>
    <t xml:space="preserve">Bond frena a un magnate que quiere destruir Silicon Valley.</t>
  </si>
  <si>
    <t xml:space="preserve">tt0090264</t>
  </si>
  <si>
    <t xml:space="preserve">Conociendo el mal</t>
  </si>
  <si>
    <t xml:space="preserve">Chris Fisher</t>
  </si>
  <si>
    <t xml:space="preserve">Un asesino se cuela en una casa de campo.</t>
  </si>
  <si>
    <t xml:space="preserve">tt1810697</t>
  </si>
  <si>
    <t xml:space="preserve">Gru: Mi villano favorito</t>
  </si>
  <si>
    <t xml:space="preserve">Pierre Coffin,Chris Renaud</t>
  </si>
  <si>
    <t xml:space="preserve">Un supervillano adopta a tres niñas para un robo.</t>
  </si>
  <si>
    <t xml:space="preserve">tt1323594</t>
  </si>
  <si>
    <t xml:space="preserve">Los padres de él</t>
  </si>
  <si>
    <t xml:space="preserve">Las dos familias políticas chocan en un fin de semana.</t>
  </si>
  <si>
    <t xml:space="preserve">tt0290002</t>
  </si>
  <si>
    <t xml:space="preserve">Atrapados en Chernóbil</t>
  </si>
  <si>
    <t xml:space="preserve">Bradley Parker</t>
  </si>
  <si>
    <t xml:space="preserve">Unos turistas quedan aislados en la ciudad abandonada.</t>
  </si>
  <si>
    <t xml:space="preserve">tt1991245</t>
  </si>
  <si>
    <t xml:space="preserve">Vaya par de polis</t>
  </si>
  <si>
    <t xml:space="preserve">Dos policías de segunda fila buscan su gran caso.</t>
  </si>
  <si>
    <t xml:space="preserve">tt1385867</t>
  </si>
  <si>
    <t xml:space="preserve">Escalofrío</t>
  </si>
  <si>
    <t xml:space="preserve">Bill Paxton</t>
  </si>
  <si>
    <t xml:space="preserve">Un joven descubre a una familia caníbal en el sur.</t>
  </si>
  <si>
    <t xml:space="preserve">tt0264616</t>
  </si>
  <si>
    <t xml:space="preserve">En campaña todo vale</t>
  </si>
  <si>
    <t xml:space="preserve">Dos candidatos rivalizan sin escrúpulos en unas elecciones.</t>
  </si>
  <si>
    <t xml:space="preserve">tt1790886</t>
  </si>
  <si>
    <t xml:space="preserve">Sin frenos</t>
  </si>
  <si>
    <t xml:space="preserve">Un mensajero en bici perseguido por un policía corrupto.</t>
  </si>
  <si>
    <t xml:space="preserve">tt1547234</t>
  </si>
  <si>
    <t xml:space="preserve">Ocean's Twelve. Uno más entra en juego</t>
  </si>
  <si>
    <t xml:space="preserve">La banda debe devolver lo robado con tres golpes en Europa.</t>
  </si>
  <si>
    <t xml:space="preserve">tt0349903</t>
  </si>
  <si>
    <t xml:space="preserve">El último samurái</t>
  </si>
  <si>
    <t xml:space="preserve">Japón, EE.UU., Nueva Zelanda</t>
  </si>
  <si>
    <t xml:space="preserve">Un oficial americano acaba luchando junto a los samuráis.</t>
  </si>
  <si>
    <t xml:space="preserve">tt0325710</t>
  </si>
  <si>
    <t xml:space="preserve">Iron Man 2</t>
  </si>
  <si>
    <t xml:space="preserve">Stark afronta un enemigo ruso y su propia salud.</t>
  </si>
  <si>
    <t xml:space="preserve">tt1228705</t>
  </si>
  <si>
    <t xml:space="preserve">Un desmadre de viaje</t>
  </si>
  <si>
    <t xml:space="preserve">Unos amigos convierten un viaje en un desastre.</t>
  </si>
  <si>
    <t xml:space="preserve">tt1694020</t>
  </si>
  <si>
    <t xml:space="preserve">American Playboy</t>
  </si>
  <si>
    <t xml:space="preserve">La vida del fundador de una revista para adultos.</t>
  </si>
  <si>
    <t xml:space="preserve">tt1186370</t>
  </si>
  <si>
    <t xml:space="preserve">Abraham Lincoln: Cazador de vampiros</t>
  </si>
  <si>
    <t xml:space="preserve">El presidente combate vampiros en secreto.</t>
  </si>
  <si>
    <t xml:space="preserve">tt1611224</t>
  </si>
  <si>
    <t xml:space="preserve">Iron Man 3</t>
  </si>
  <si>
    <t xml:space="preserve">Stark, sin armadura, se enfrenta al Mandarín.</t>
  </si>
  <si>
    <t xml:space="preserve">tt1300854</t>
  </si>
  <si>
    <t xml:space="preserve">El milagro de P. Tinto</t>
  </si>
  <si>
    <t xml:space="preserve">Un matrimonio que quiere hijos acoge a unos extraterrestres.</t>
  </si>
  <si>
    <t xml:space="preserve">tt0151572</t>
  </si>
  <si>
    <t xml:space="preserve">Las ruinas</t>
  </si>
  <si>
    <t xml:space="preserve">Carter Smith</t>
  </si>
  <si>
    <t xml:space="preserve">EE.UU., Alemania, Australia</t>
  </si>
  <si>
    <t xml:space="preserve">Unos turistas atrapados en una pirámide maya con plantas asesinas.</t>
  </si>
  <si>
    <t xml:space="preserve">tt0963794</t>
  </si>
  <si>
    <t xml:space="preserve">El grito 3</t>
  </si>
  <si>
    <t xml:space="preserve">Toby Wilkins</t>
  </si>
  <si>
    <t xml:space="preserve">La maldición japonesa llega a Estados Unidos.</t>
  </si>
  <si>
    <t xml:space="preserve">tt1053859</t>
  </si>
  <si>
    <t xml:space="preserve">Toy Story</t>
  </si>
  <si>
    <t xml:space="preserve">John Lasseter</t>
  </si>
  <si>
    <t xml:space="preserve">Un vaquero de juguete y un astronauta pasan de rivales a amigos.</t>
  </si>
  <si>
    <t xml:space="preserve">tt0114709</t>
  </si>
  <si>
    <t xml:space="preserve">Toy Story 2</t>
  </si>
  <si>
    <t xml:space="preserve">John Lasseter,Ash Brannon,Lee Unkrich</t>
  </si>
  <si>
    <t xml:space="preserve">Woody es robado por un coleccionista de juguetes.</t>
  </si>
  <si>
    <t xml:space="preserve">tt0120363</t>
  </si>
  <si>
    <t xml:space="preserve">Freddy contra Jason</t>
  </si>
  <si>
    <t xml:space="preserve">Ronny Yu</t>
  </si>
  <si>
    <t xml:space="preserve">Canadá, Italia, EE.UU.</t>
  </si>
  <si>
    <t xml:space="preserve">Los dos asesinos legendarios se enfrentan.</t>
  </si>
  <si>
    <t xml:space="preserve">tt0329101</t>
  </si>
  <si>
    <t xml:space="preserve">Pesadilla en Elm Street. El origen</t>
  </si>
  <si>
    <t xml:space="preserve">Samuel Bayer</t>
  </si>
  <si>
    <t xml:space="preserve">Movistar Plus+ Ficción Total , Tivify</t>
  </si>
  <si>
    <t xml:space="preserve">Freddy Krueger persigue a unos jóvenes en sueños.</t>
  </si>
  <si>
    <t xml:space="preserve">tt1179056</t>
  </si>
  <si>
    <t xml:space="preserve">Viernes 13</t>
  </si>
  <si>
    <t xml:space="preserve">Marcus Nispel</t>
  </si>
  <si>
    <t xml:space="preserve">Jason Voorhees ataca a unos jóvenes junto al lago.</t>
  </si>
  <si>
    <t xml:space="preserve">tt0758746</t>
  </si>
  <si>
    <t xml:space="preserve">Wild Wild West</t>
  </si>
  <si>
    <t xml:space="preserve">Dos agentes se enfrentan a un inventor en el Oeste.</t>
  </si>
  <si>
    <t xml:space="preserve">tt0120891</t>
  </si>
  <si>
    <t xml:space="preserve">Superman Returns: El regreso</t>
  </si>
  <si>
    <t xml:space="preserve">Superman vuelve tras cinco años de ausencia.</t>
  </si>
  <si>
    <t xml:space="preserve">tt0348150</t>
  </si>
  <si>
    <t xml:space="preserve">Piratas del Caribe: En mareas misteriosas</t>
  </si>
  <si>
    <t xml:space="preserve">Rob Marshall</t>
  </si>
  <si>
    <t xml:space="preserve">Sparrow busca la fuente de la juventud con Barbanegra.</t>
  </si>
  <si>
    <t xml:space="preserve">tt1298650</t>
  </si>
  <si>
    <t xml:space="preserve">Piratas del Caribe: En el fin del mundo</t>
  </si>
  <si>
    <t xml:space="preserve">Los piratas se unen contra la Compañía.</t>
  </si>
  <si>
    <t xml:space="preserve">tt0449088</t>
  </si>
  <si>
    <t xml:space="preserve">Matilda</t>
  </si>
  <si>
    <t xml:space="preserve">Danny DeVito</t>
  </si>
  <si>
    <t xml:space="preserve">Una niña superdotada con poderes se rebela contra los adultos.</t>
  </si>
  <si>
    <t xml:space="preserve">tt0117008</t>
  </si>
  <si>
    <t xml:space="preserve">El penalti más largo del mundo</t>
  </si>
  <si>
    <t xml:space="preserve">Roberto Santiago</t>
  </si>
  <si>
    <t xml:space="preserve">Un portero suplente debe parar un penalti decisivo.</t>
  </si>
  <si>
    <t xml:space="preserve">tt0430454</t>
  </si>
  <si>
    <t xml:space="preserve">Headhunters</t>
  </si>
  <si>
    <t xml:space="preserve">Alemania, Noruega</t>
  </si>
  <si>
    <t xml:space="preserve">Prime, Movistar, Movistar Plus+ Ficción Total , fuboTV, Rakuten</t>
  </si>
  <si>
    <t xml:space="preserve">Un cazatalentos y ladrón de arte es perseguido por una víctima.</t>
  </si>
  <si>
    <t xml:space="preserve">tt1614989</t>
  </si>
  <si>
    <t xml:space="preserve">El cuervo</t>
  </si>
  <si>
    <t xml:space="preserve">Un músico asesinado vuelve de entre los muertos a vengarse.</t>
  </si>
  <si>
    <t xml:space="preserve">tt0109506</t>
  </si>
  <si>
    <t xml:space="preserve">X-Men</t>
  </si>
  <si>
    <t xml:space="preserve">Mutantes divididos entre convivir con los humanos o dominarlos.</t>
  </si>
  <si>
    <t xml:space="preserve">tt0120903</t>
  </si>
  <si>
    <t xml:space="preserve">X-Men 2</t>
  </si>
  <si>
    <t xml:space="preserve">Disney+, FlixOlé</t>
  </si>
  <si>
    <t xml:space="preserve">Mutantes y humanos se alían contra un coronel genocida.</t>
  </si>
  <si>
    <t xml:space="preserve">tt0290334</t>
  </si>
  <si>
    <t xml:space="preserve">Scary Movie 5</t>
  </si>
  <si>
    <t xml:space="preserve">Malcolm D. Lee,David Zucker</t>
  </si>
  <si>
    <t xml:space="preserve">Parodia de Paranormal Activity y Cisne negro.</t>
  </si>
  <si>
    <t xml:space="preserve">tt0795461</t>
  </si>
  <si>
    <t xml:space="preserve">X-Men: La decisión final</t>
  </si>
  <si>
    <t xml:space="preserve">Canadá, Reino Unido, EE.UU.</t>
  </si>
  <si>
    <t xml:space="preserve">Una cura para mutantes divide a los X-Men.</t>
  </si>
  <si>
    <t xml:space="preserve">tt0376994</t>
  </si>
  <si>
    <t xml:space="preserve">El gran Gatsby</t>
  </si>
  <si>
    <t xml:space="preserve">Un millonario enigmático persigue un amor del pasado.</t>
  </si>
  <si>
    <t xml:space="preserve">tt1343092</t>
  </si>
  <si>
    <t xml:space="preserve">El vuelo</t>
  </si>
  <si>
    <t xml:space="preserve">Un piloto salva un avión y sale a la luz su alcoholismo.</t>
  </si>
  <si>
    <t xml:space="preserve">tt1907668</t>
  </si>
  <si>
    <t xml:space="preserve">Scary Movie</t>
  </si>
  <si>
    <t xml:space="preserve">Movistar Plus+ Ficción Total , SkyShowtime, HBO Max, HBO Max Amazon Channel</t>
  </si>
  <si>
    <t xml:space="preserve">Parodia de las películas de terror adolescente.</t>
  </si>
  <si>
    <t xml:space="preserve">tt0175142</t>
  </si>
  <si>
    <t xml:space="preserve">Algo pasa con Mary</t>
  </si>
  <si>
    <t xml:space="preserve">Varios hombres compiten por la misma mujer.</t>
  </si>
  <si>
    <t xml:space="preserve">tt0129387</t>
  </si>
  <si>
    <t xml:space="preserve">Chronicle</t>
  </si>
  <si>
    <t xml:space="preserve">Josh Trank</t>
  </si>
  <si>
    <t xml:space="preserve">Tres adolescentes obtienen poderes y uno se descontrola.</t>
  </si>
  <si>
    <t xml:space="preserve">tt1706593</t>
  </si>
  <si>
    <t xml:space="preserve">Pearl Harbor</t>
  </si>
  <si>
    <t xml:space="preserve">Dos amigos pilotos y el ataque japonés.</t>
  </si>
  <si>
    <t xml:space="preserve">tt0213149</t>
  </si>
  <si>
    <t xml:space="preserve">After Earth</t>
  </si>
  <si>
    <t xml:space="preserve">Padre e hijo caen en una Tierra abandonada y hostil.</t>
  </si>
  <si>
    <t xml:space="preserve">tt1815862</t>
  </si>
  <si>
    <t xml:space="preserve">Asalto al poder</t>
  </si>
  <si>
    <t xml:space="preserve">Un policía defiende al presidente en la Casa Blanca asaltada.</t>
  </si>
  <si>
    <t xml:space="preserve">tt2334879</t>
  </si>
  <si>
    <t xml:space="preserve">El odio</t>
  </si>
  <si>
    <t xml:space="preserve">Un día en la vida de tres jóvenes de las banlieues.</t>
  </si>
  <si>
    <t xml:space="preserve">tt0113247</t>
  </si>
  <si>
    <t xml:space="preserve">Shooter: El tirador</t>
  </si>
  <si>
    <t xml:space="preserve">Un francotirador retirado es incriminado en un magnicidio.</t>
  </si>
  <si>
    <t xml:space="preserve">tt0822854</t>
  </si>
  <si>
    <t xml:space="preserve">El lado bueno de las cosas</t>
  </si>
  <si>
    <t xml:space="preserve">Dos personas inestables se ayudan preparando un concurso de baile.</t>
  </si>
  <si>
    <t xml:space="preserve">tt1045658</t>
  </si>
  <si>
    <t xml:space="preserve">San Valentín sangriento</t>
  </si>
  <si>
    <t xml:space="preserve">Patrick Lussier</t>
  </si>
  <si>
    <t xml:space="preserve">Un minero enmascarado vuelve a un pueblo en San Valentín.</t>
  </si>
  <si>
    <t xml:space="preserve">tt1179891</t>
  </si>
  <si>
    <t xml:space="preserve">El guía del desfiladero</t>
  </si>
  <si>
    <t xml:space="preserve">Disney+, atresplayer</t>
  </si>
  <si>
    <t xml:space="preserve">Un guía protege a una mujer perseguida en las montañas.</t>
  </si>
  <si>
    <t xml:space="preserve">tt0446013</t>
  </si>
  <si>
    <t xml:space="preserve">El guerrero nº 13</t>
  </si>
  <si>
    <t xml:space="preserve">Un árabe acompaña a trece vikingos contra una amenaza ancestral.</t>
  </si>
  <si>
    <t xml:space="preserve">tt0120657</t>
  </si>
  <si>
    <t xml:space="preserve">Monstruos University</t>
  </si>
  <si>
    <t xml:space="preserve">Dan Scanlon</t>
  </si>
  <si>
    <t xml:space="preserve">Cómo se conocieron Mike y Sulley en la facultad.</t>
  </si>
  <si>
    <t xml:space="preserve">tt1453405</t>
  </si>
  <si>
    <t xml:space="preserve">9 días</t>
  </si>
  <si>
    <t xml:space="preserve">Nueve cortos sobre un mismo tema rodados por autores distintos.</t>
  </si>
  <si>
    <t xml:space="preserve">tt0280486</t>
  </si>
  <si>
    <t xml:space="preserve">Fuego cruzado</t>
  </si>
  <si>
    <t xml:space="preserve">David Barrett</t>
  </si>
  <si>
    <t xml:space="preserve">Un policía atrapado entre dos bandas.</t>
  </si>
  <si>
    <t xml:space="preserve">tt1925431</t>
  </si>
  <si>
    <t xml:space="preserve">Silent Hill</t>
  </si>
  <si>
    <t xml:space="preserve">Christophe Gans</t>
  </si>
  <si>
    <t xml:space="preserve">Canadá, Francia, Japón, EE.UU.</t>
  </si>
  <si>
    <t xml:space="preserve">Una madre busca a su hija en un pueblo cubierto de ceniza.</t>
  </si>
  <si>
    <t xml:space="preserve">tt0384537</t>
  </si>
  <si>
    <t xml:space="preserve">The Purge: La noche de las bestias</t>
  </si>
  <si>
    <t xml:space="preserve">James DeMonaco</t>
  </si>
  <si>
    <t xml:space="preserve">Una noche al año todos los delitos son legales.</t>
  </si>
  <si>
    <t xml:space="preserve">tt2184339</t>
  </si>
  <si>
    <t xml:space="preserve">Los amos de Brooklyn</t>
  </si>
  <si>
    <t xml:space="preserve">Tres policías con vidas cruzadas en un barrio conflictivo.</t>
  </si>
  <si>
    <t xml:space="preserve">tt1210042</t>
  </si>
  <si>
    <t xml:space="preserve">Memorias de un zombie adolescente</t>
  </si>
  <si>
    <t xml:space="preserve">Jonathan Levine</t>
  </si>
  <si>
    <t xml:space="preserve">Un zombi se enamora y empieza a revivir.</t>
  </si>
  <si>
    <t xml:space="preserve">tt1588173</t>
  </si>
  <si>
    <t xml:space="preserve">Jobs</t>
  </si>
  <si>
    <t xml:space="preserve">Joshua Michael Stern</t>
  </si>
  <si>
    <t xml:space="preserve">La trayectoria de Steve Jobs desde el garaje hasta Apple.</t>
  </si>
  <si>
    <t xml:space="preserve">tt2357129</t>
  </si>
  <si>
    <t xml:space="preserve">Salt</t>
  </si>
  <si>
    <t xml:space="preserve">Phillip Noyce</t>
  </si>
  <si>
    <t xml:space="preserve">Una agente de la CIA es acusada de espiar para Rusia.</t>
  </si>
  <si>
    <t xml:space="preserve">tt0944835</t>
  </si>
  <si>
    <t xml:space="preserve">Los Pelayos</t>
  </si>
  <si>
    <t xml:space="preserve">Eduard Cortés</t>
  </si>
  <si>
    <t xml:space="preserve">Acontra, Acontra Plus Amazon Channel, rtve</t>
  </si>
  <si>
    <t xml:space="preserve">Una familia gana en la ruleta detectando sesgos.</t>
  </si>
  <si>
    <t xml:space="preserve">tt1843202</t>
  </si>
  <si>
    <t xml:space="preserve">Libertad para morir</t>
  </si>
  <si>
    <t xml:space="preserve">Deran Sarafian</t>
  </si>
  <si>
    <t xml:space="preserve">Un condenado a muerte y su lucha judicial.</t>
  </si>
  <si>
    <t xml:space="preserve">tt0099385</t>
  </si>
  <si>
    <t xml:space="preserve">Dragón</t>
  </si>
  <si>
    <t xml:space="preserve">Peter Ho-Sun Chan</t>
  </si>
  <si>
    <t xml:space="preserve">Un artesano chino esconde un pasado de artes marciales.</t>
  </si>
  <si>
    <t xml:space="preserve">tt1718199</t>
  </si>
  <si>
    <t xml:space="preserve">Antz</t>
  </si>
  <si>
    <t xml:space="preserve">Eric Darnell,Tim Johnson</t>
  </si>
  <si>
    <t xml:space="preserve">Una hormiga obrera inconformista se enamora de la princesa.</t>
  </si>
  <si>
    <t xml:space="preserve">tt0120587</t>
  </si>
  <si>
    <t xml:space="preserve">Bichos: Una aventura en miniatura</t>
  </si>
  <si>
    <t xml:space="preserve">John Lasseter,Andrew Stanton</t>
  </si>
  <si>
    <t xml:space="preserve">Una hormiga recluta guerreros contra unos saltamontes.</t>
  </si>
  <si>
    <t xml:space="preserve">tt0120623</t>
  </si>
  <si>
    <t xml:space="preserve">Elysium</t>
  </si>
  <si>
    <t xml:space="preserve">Un obrero enfermo intenta llegar a la estación de los ricos.</t>
  </si>
  <si>
    <t xml:space="preserve">tt1535108</t>
  </si>
  <si>
    <t xml:space="preserve">Los seis signos de la luz</t>
  </si>
  <si>
    <t xml:space="preserve">David L. Cunningham</t>
  </si>
  <si>
    <t xml:space="preserve">atresplayer, Tivify</t>
  </si>
  <si>
    <t xml:space="preserve">Un niño descubre que es el último de una estirpe de guardianes.</t>
  </si>
  <si>
    <t xml:space="preserve">tt0484562</t>
  </si>
  <si>
    <t xml:space="preserve">Intruders</t>
  </si>
  <si>
    <t xml:space="preserve">EE.UU., España, Reino Unido</t>
  </si>
  <si>
    <t xml:space="preserve">Dos niños de países distintos acosados por la misma criatura.</t>
  </si>
  <si>
    <t xml:space="preserve">tt1634121</t>
  </si>
  <si>
    <t xml:space="preserve">Expediente Warren: The Conjuring</t>
  </si>
  <si>
    <t xml:space="preserve">Prime, Movistar Plus+ Ficción Total , HBO Max, AMC Channels Amazon Channel</t>
  </si>
  <si>
    <t xml:space="preserve">Dos investigadores auxilian a una familia acosada por un espíritu.</t>
  </si>
  <si>
    <t xml:space="preserve">tt1457767</t>
  </si>
  <si>
    <t xml:space="preserve">Gru 2: Mi villano favorito</t>
  </si>
  <si>
    <t xml:space="preserve">Gru es reclutado por una agencia antivillanos.</t>
  </si>
  <si>
    <t xml:space="preserve">tt1690953</t>
  </si>
  <si>
    <t xml:space="preserve">Sigo como Dios</t>
  </si>
  <si>
    <t xml:space="preserve">Un congresista recibe el encargo divino de construir un arca.</t>
  </si>
  <si>
    <t xml:space="preserve">tt0413099</t>
  </si>
  <si>
    <t xml:space="preserve">Aviones</t>
  </si>
  <si>
    <t xml:space="preserve">Klay Hall</t>
  </si>
  <si>
    <t xml:space="preserve">Una avioneta fumigadora compite en una carrera mundial.</t>
  </si>
  <si>
    <t xml:space="preserve">tt1691917</t>
  </si>
  <si>
    <t xml:space="preserve">Kick Ass 2: Con un par</t>
  </si>
  <si>
    <t xml:space="preserve">Jeff Wadlow</t>
  </si>
  <si>
    <t xml:space="preserve">Los héroes aficionados se organizan en equipo.</t>
  </si>
  <si>
    <t xml:space="preserve">tt1650554</t>
  </si>
  <si>
    <t xml:space="preserve">Juerga hasta el fin</t>
  </si>
  <si>
    <t xml:space="preserve">Unos actores atrapados en una casa durante el apocalipsis.</t>
  </si>
  <si>
    <t xml:space="preserve">tt1245492</t>
  </si>
  <si>
    <t xml:space="preserve">El nombre de la rosa</t>
  </si>
  <si>
    <t xml:space="preserve">Prime, Movistar, Movistar Plus+ Ficción Total , Filmin, Acontra, Runtime</t>
  </si>
  <si>
    <t xml:space="preserve">Un fraile investiga muertes en una abadía medieval.</t>
  </si>
  <si>
    <t xml:space="preserve">tt0091605</t>
  </si>
  <si>
    <t xml:space="preserve">Amanece, que no es poco</t>
  </si>
  <si>
    <t xml:space="preserve">Movistar Plus+ Ficción Total , FlixOlé, FlixOlé Amazon Channel, Atresplayer Amazon Channel</t>
  </si>
  <si>
    <t xml:space="preserve">Un profesor descubre un pueblo surrealista.</t>
  </si>
  <si>
    <t xml:space="preserve">tt0094641</t>
  </si>
  <si>
    <t xml:space="preserve">El orfanato</t>
  </si>
  <si>
    <t xml:space="preserve">Una madre busca a su hijo desaparecido en un antiguo orfanato.</t>
  </si>
  <si>
    <t xml:space="preserve">tt0464141</t>
  </si>
  <si>
    <t xml:space="preserve">American Pie 7: El libro del amor</t>
  </si>
  <si>
    <t xml:space="preserve">John Putch</t>
  </si>
  <si>
    <t xml:space="preserve">Tres novatos buscan la guía sexual de sus mayores.</t>
  </si>
  <si>
    <t xml:space="preserve">tt1407050</t>
  </si>
  <si>
    <t xml:space="preserve">La momia: La tumba del emperador Dragón</t>
  </si>
  <si>
    <t xml:space="preserve">Netflix, Prime, AMC Channels Amazon Channel</t>
  </si>
  <si>
    <t xml:space="preserve">Los O'Connell despiertan a un emperador chino.</t>
  </si>
  <si>
    <t xml:space="preserve">tt0859163</t>
  </si>
  <si>
    <t xml:space="preserve">Mamá</t>
  </si>
  <si>
    <t xml:space="preserve">Andy Muschietti</t>
  </si>
  <si>
    <t xml:space="preserve">España, Canadá</t>
  </si>
  <si>
    <t xml:space="preserve">Dos niñas criadas en el bosque por una presencia materna.</t>
  </si>
  <si>
    <t xml:space="preserve">tt2023587</t>
  </si>
  <si>
    <t xml:space="preserve">Polisse</t>
  </si>
  <si>
    <t xml:space="preserve">Maïwenn</t>
  </si>
  <si>
    <t xml:space="preserve">El día a día de una brigada de protección de menores.</t>
  </si>
  <si>
    <t xml:space="preserve">tt1661420</t>
  </si>
  <si>
    <t xml:space="preserve">Asalto al tren Pelham 1 2 3</t>
  </si>
  <si>
    <t xml:space="preserve">rtve, Tivify</t>
  </si>
  <si>
    <t xml:space="preserve">Unos secuestradores toman un vagón de metro.</t>
  </si>
  <si>
    <t xml:space="preserve">tt1111422</t>
  </si>
  <si>
    <t xml:space="preserve">Oblivion</t>
  </si>
  <si>
    <t xml:space="preserve">Un técnico en una Tierra devastada descubre la verdad.</t>
  </si>
  <si>
    <t xml:space="preserve">tt1483013</t>
  </si>
  <si>
    <t xml:space="preserve">Los Croods</t>
  </si>
  <si>
    <t xml:space="preserve">Kirk DeMicco,Chris Sanders</t>
  </si>
  <si>
    <t xml:space="preserve">Prime, Movistar Plus+ Ficción Total , SkyShowtime, AMC Channels Amazon Channel</t>
  </si>
  <si>
    <t xml:space="preserve">Una familia cavernícola busca un nuevo hogar.</t>
  </si>
  <si>
    <t xml:space="preserve">tt0481499</t>
  </si>
  <si>
    <t xml:space="preserve">Virgen a los 40</t>
  </si>
  <si>
    <t xml:space="preserve">Los amigos de un cuarentón se empeñan en que pierda la virginidad.</t>
  </si>
  <si>
    <t xml:space="preserve">tt0405422</t>
  </si>
  <si>
    <t xml:space="preserve">Scary Movie 2</t>
  </si>
  <si>
    <t xml:space="preserve">Parodia de películas de casas encantadas.</t>
  </si>
  <si>
    <t xml:space="preserve">tt0257106</t>
  </si>
  <si>
    <t xml:space="preserve">Scary Movie 3</t>
  </si>
  <si>
    <t xml:space="preserve">David Zucker</t>
  </si>
  <si>
    <t xml:space="preserve">Parodia de El aro y La señal.</t>
  </si>
  <si>
    <t xml:space="preserve">tt0306047</t>
  </si>
  <si>
    <t xml:space="preserve">Scary Movie 4</t>
  </si>
  <si>
    <t xml:space="preserve">Parodia de La guerra de los mundos y El pueblo.</t>
  </si>
  <si>
    <t xml:space="preserve">tt0362120</t>
  </si>
  <si>
    <t xml:space="preserve">Déjate llevar</t>
  </si>
  <si>
    <t xml:space="preserve">Liz Friedlander</t>
  </si>
  <si>
    <t xml:space="preserve">Una historia de amor y segundas oportunidades.</t>
  </si>
  <si>
    <t xml:space="preserve">tt0446046</t>
  </si>
  <si>
    <t xml:space="preserve">Amanecer rojo</t>
  </si>
  <si>
    <t xml:space="preserve">John Milius</t>
  </si>
  <si>
    <t xml:space="preserve">Unos adolescentes forman una guerrilla ante una invasión.</t>
  </si>
  <si>
    <t xml:space="preserve">tt0087985</t>
  </si>
  <si>
    <t xml:space="preserve">Princesa por sorpresa</t>
  </si>
  <si>
    <t xml:space="preserve">Garry Marshall</t>
  </si>
  <si>
    <t xml:space="preserve">Una adolescente descubre que es heredera de un reino.</t>
  </si>
  <si>
    <t xml:space="preserve">tt0247638</t>
  </si>
  <si>
    <t xml:space="preserve">Se montó la gorda</t>
  </si>
  <si>
    <t xml:space="preserve">Una expresidiaria se instala en casa de un abogado.</t>
  </si>
  <si>
    <t xml:space="preserve">tt0305669</t>
  </si>
  <si>
    <t xml:space="preserve">Bad Teacher</t>
  </si>
  <si>
    <t xml:space="preserve">Una profesora vaga solo quiere dinero para operarse.</t>
  </si>
  <si>
    <t xml:space="preserve">tt1284575</t>
  </si>
  <si>
    <t xml:space="preserve">Bandidas</t>
  </si>
  <si>
    <t xml:space="preserve">Joachim Rønning,Espen Sandberg</t>
  </si>
  <si>
    <t xml:space="preserve">EE.UU., Francia, México</t>
  </si>
  <si>
    <t xml:space="preserve">Dos mujeres atracan bancos en el México del XIX.</t>
  </si>
  <si>
    <t xml:space="preserve">tt0416496</t>
  </si>
  <si>
    <t xml:space="preserve">Los Aristogatos</t>
  </si>
  <si>
    <t xml:space="preserve">Wolfgang Reitherman</t>
  </si>
  <si>
    <t xml:space="preserve">Unos gatos aristócratas abandonados vuelven a casa.</t>
  </si>
  <si>
    <t xml:space="preserve">tt0065421</t>
  </si>
  <si>
    <t xml:space="preserve">El libro de la selva</t>
  </si>
  <si>
    <t xml:space="preserve">Un niño criado por lobos huye de un tigre.</t>
  </si>
  <si>
    <t xml:space="preserve">tt0061852</t>
  </si>
  <si>
    <t xml:space="preserve">101 dálmatas</t>
  </si>
  <si>
    <t xml:space="preserve">Clyde Geronimi,Hamilton Luske,Wolfgang Reitherman</t>
  </si>
  <si>
    <t xml:space="preserve">Una diseñadora quiere hacerse un abrigo con cachorros.</t>
  </si>
  <si>
    <t xml:space="preserve">tt0055254</t>
  </si>
  <si>
    <t xml:space="preserve">Valiant</t>
  </si>
  <si>
    <t xml:space="preserve">Gary Chapman</t>
  </si>
  <si>
    <t xml:space="preserve">Una paloma mensajera se alista en la Segunda Guerra Mundial.</t>
  </si>
  <si>
    <t xml:space="preserve">tt0361089</t>
  </si>
  <si>
    <t xml:space="preserve">Jumper</t>
  </si>
  <si>
    <t xml:space="preserve">Un joven capaz de teletransportarse es perseguido.</t>
  </si>
  <si>
    <t xml:space="preserve">tt0489099</t>
  </si>
  <si>
    <t xml:space="preserve">The descent</t>
  </si>
  <si>
    <t xml:space="preserve">Prime, Acontra, Acontra Plus Amazon Channel, MIDNIGHT FACTORY Amazon Channel</t>
  </si>
  <si>
    <t xml:space="preserve">Seis amigas quedan atrapadas en una cueva con criaturas.</t>
  </si>
  <si>
    <t xml:space="preserve">tt0435625</t>
  </si>
  <si>
    <t xml:space="preserve">Blade</t>
  </si>
  <si>
    <t xml:space="preserve">Stephen Norrington</t>
  </si>
  <si>
    <t xml:space="preserve">Un cazador de vampiros mitad humano protege a la humanidad.</t>
  </si>
  <si>
    <t xml:space="preserve">tt0120611</t>
  </si>
  <si>
    <t xml:space="preserve">Blade: Trinity</t>
  </si>
  <si>
    <t xml:space="preserve">David S. Goyer</t>
  </si>
  <si>
    <t xml:space="preserve">Netflix, atresplayer</t>
  </si>
  <si>
    <t xml:space="preserve">Blade se une a unos cazadores para matar a Drácula.</t>
  </si>
  <si>
    <t xml:space="preserve">tt0359013</t>
  </si>
  <si>
    <t xml:space="preserve">Hellboy II: El ejército dorado</t>
  </si>
  <si>
    <t xml:space="preserve">Hellboy frena a un príncipe élfico y su ejército.</t>
  </si>
  <si>
    <t xml:space="preserve">tt0411477</t>
  </si>
  <si>
    <t xml:space="preserve">The Faculty</t>
  </si>
  <si>
    <t xml:space="preserve">Unos alumnos descubren que sus profesores son alienígenas.</t>
  </si>
  <si>
    <t xml:space="preserve">tt0133751</t>
  </si>
  <si>
    <t xml:space="preserve">La momia</t>
  </si>
  <si>
    <t xml:space="preserve">Unos exploradores despiertan a un sacerdote egipcio maldito.</t>
  </si>
  <si>
    <t xml:space="preserve">tt0120616</t>
  </si>
  <si>
    <t xml:space="preserve">The Ring 2</t>
  </si>
  <si>
    <t xml:space="preserve">Hideo Nakata</t>
  </si>
  <si>
    <t xml:space="preserve">La maldición de la cinta persigue a madre e hijo.</t>
  </si>
  <si>
    <t xml:space="preserve">tt0377109</t>
  </si>
  <si>
    <t xml:space="preserve">Aladdín</t>
  </si>
  <si>
    <t xml:space="preserve">Ron Clements,John Musker</t>
  </si>
  <si>
    <t xml:space="preserve">Un ladrón callejero encuentra una lámpara con un genio.</t>
  </si>
  <si>
    <t xml:space="preserve">tt0103639</t>
  </si>
  <si>
    <t xml:space="preserve">Sin identidad</t>
  </si>
  <si>
    <t xml:space="preserve">CanalSurMas</t>
  </si>
  <si>
    <t xml:space="preserve">Un hombre despierta y otro ha ocupado su identidad.</t>
  </si>
  <si>
    <t xml:space="preserve">tt1401152</t>
  </si>
  <si>
    <t xml:space="preserve">Papá Canguro</t>
  </si>
  <si>
    <t xml:space="preserve">Steve Carr</t>
  </si>
  <si>
    <t xml:space="preserve">Dos padres despedidos montan una guardería en casa.</t>
  </si>
  <si>
    <t xml:space="preserve">tt0317303</t>
  </si>
  <si>
    <t xml:space="preserve">La caverna maldita</t>
  </si>
  <si>
    <t xml:space="preserve">Bruce Hunt</t>
  </si>
  <si>
    <t xml:space="preserve">Unos espeleólogos atrapados con criaturas subterráneas.</t>
  </si>
  <si>
    <t xml:space="preserve">tt0402901</t>
  </si>
  <si>
    <t xml:space="preserve">Las crónicas de Riddick</t>
  </si>
  <si>
    <t xml:space="preserve">David Twohy</t>
  </si>
  <si>
    <t xml:space="preserve">Un fugitivo se enfrenta a un ejército de conquistadores.</t>
  </si>
  <si>
    <t xml:space="preserve">tt0296572</t>
  </si>
  <si>
    <t xml:space="preserve">Scooby-Doo</t>
  </si>
  <si>
    <t xml:space="preserve">Raja Gosnell</t>
  </si>
  <si>
    <t xml:space="preserve">La banda investiga un parque temático embrujado.</t>
  </si>
  <si>
    <t xml:space="preserve">tt0267913</t>
  </si>
  <si>
    <t xml:space="preserve">La isla</t>
  </si>
  <si>
    <t xml:space="preserve">Dos habitantes de un complejo descubren que son clones.</t>
  </si>
  <si>
    <t xml:space="preserve">tt0399201</t>
  </si>
  <si>
    <t xml:space="preserve">Dos policías rebeldes</t>
  </si>
  <si>
    <t xml:space="preserve">Dos detectives de Miami recuperan una droga robada.</t>
  </si>
  <si>
    <t xml:space="preserve">tt0112442</t>
  </si>
  <si>
    <t xml:space="preserve">Esta abuela es un peligro</t>
  </si>
  <si>
    <t xml:space="preserve">Un agente del FBI se disfraza de anciana.</t>
  </si>
  <si>
    <t xml:space="preserve">tt0208003</t>
  </si>
  <si>
    <t xml:space="preserve">Seguridad nacional</t>
  </si>
  <si>
    <t xml:space="preserve">Dos vigilantes opuestos destapan un contrabando.</t>
  </si>
  <si>
    <t xml:space="preserve">tt0271668</t>
  </si>
  <si>
    <t xml:space="preserve">50 primeras citas</t>
  </si>
  <si>
    <t xml:space="preserve">Peter Segal</t>
  </si>
  <si>
    <t xml:space="preserve">Un hombre conquista cada día a una mujer sin memoria reciente.</t>
  </si>
  <si>
    <t xml:space="preserve">tt0343660</t>
  </si>
  <si>
    <t xml:space="preserve">La invención de Hugo</t>
  </si>
  <si>
    <t xml:space="preserve">Francia, EE.UU., Reino Unido</t>
  </si>
  <si>
    <t xml:space="preserve">Un huérfano vive en una estación de París con un autómata.</t>
  </si>
  <si>
    <t xml:space="preserve">tt0970179</t>
  </si>
  <si>
    <t xml:space="preserve">La Roca</t>
  </si>
  <si>
    <t xml:space="preserve">Un químico y un exconvicto asaltan Alcatraz.</t>
  </si>
  <si>
    <t xml:space="preserve">tt0117500</t>
  </si>
  <si>
    <t xml:space="preserve">Ciudad sin piedad</t>
  </si>
  <si>
    <t xml:space="preserve">Gottfried Reinhardt</t>
  </si>
  <si>
    <t xml:space="preserve">EE.UU., Alemania, Austria</t>
  </si>
  <si>
    <t xml:space="preserve">Un oficial investiga el asesinato de una niña alemana.</t>
  </si>
  <si>
    <t xml:space="preserve">tt0055539</t>
  </si>
  <si>
    <t xml:space="preserve">Ahora me ves...</t>
  </si>
  <si>
    <t xml:space="preserve">Unos ilusionistas atracan bancos durante sus shows.</t>
  </si>
  <si>
    <t xml:space="preserve">tt1670345</t>
  </si>
  <si>
    <t xml:space="preserve">Paul</t>
  </si>
  <si>
    <t xml:space="preserve">Dos frikis ayudan a escapar a un alienígena guasón.</t>
  </si>
  <si>
    <t xml:space="preserve">tt1092026</t>
  </si>
  <si>
    <t xml:space="preserve">Scanners 3: El poder de la mente</t>
  </si>
  <si>
    <t xml:space="preserve">Christian Duguay</t>
  </si>
  <si>
    <t xml:space="preserve">Una mujer con poderes psíquicos pierde el control.</t>
  </si>
  <si>
    <t xml:space="preserve">tt0105322</t>
  </si>
  <si>
    <t xml:space="preserve">Battle Royale</t>
  </si>
  <si>
    <t xml:space="preserve">Kinji Fukasaku</t>
  </si>
  <si>
    <t xml:space="preserve">Una clase obligada a matarse entre sí en una isla.</t>
  </si>
  <si>
    <t xml:space="preserve">tt0266308</t>
  </si>
  <si>
    <t xml:space="preserve">Eduardo Manostijeras</t>
  </si>
  <si>
    <t xml:space="preserve">Un joven con tijeras por manos llega a un barrio residencial.</t>
  </si>
  <si>
    <t xml:space="preserve">tt0099487</t>
  </si>
  <si>
    <t xml:space="preserve">La habitación de Fermat</t>
  </si>
  <si>
    <t xml:space="preserve">Luis Piedrahita,Rodrigo Sopeña</t>
  </si>
  <si>
    <t xml:space="preserve">Cuatro matemáticos encerrados en una sala que se encoge.</t>
  </si>
  <si>
    <t xml:space="preserve">tt1016301</t>
  </si>
  <si>
    <t xml:space="preserve">El código Da Vinci</t>
  </si>
  <si>
    <t xml:space="preserve">EE.UU., Malta, Francia, Reino Unido</t>
  </si>
  <si>
    <t xml:space="preserve">Un simbologista descubre un secreto sobre el cristianismo.</t>
  </si>
  <si>
    <t xml:space="preserve">tt0382625</t>
  </si>
  <si>
    <t xml:space="preserve">La gran estafa americana</t>
  </si>
  <si>
    <t xml:space="preserve">Dos estafadores obligados a colaborar con el FBI.</t>
  </si>
  <si>
    <t xml:space="preserve">tt1800241</t>
  </si>
  <si>
    <t xml:space="preserve">Las brujas de Zugarramurdi</t>
  </si>
  <si>
    <t xml:space="preserve">Álex de la Iglesia</t>
  </si>
  <si>
    <t xml:space="preserve">Prime, Movistar Plus+ Ficción Total , SkyShowtime, FlixOlé, FlixOlé Amazon Channel, rtve</t>
  </si>
  <si>
    <t xml:space="preserve">Unos atracadores caen en un aquelarre navarro.</t>
  </si>
  <si>
    <t xml:space="preserve">tt2404738</t>
  </si>
  <si>
    <t xml:space="preserve">El último mohicano</t>
  </si>
  <si>
    <t xml:space="preserve">Un colono criado por indios en la guerra franco-india.</t>
  </si>
  <si>
    <t xml:space="preserve">tt0104691</t>
  </si>
  <si>
    <t xml:space="preserve">Guerra mundial Z</t>
  </si>
  <si>
    <t xml:space="preserve">EE.UU., Malta</t>
  </si>
  <si>
    <t xml:space="preserve">Un investigador busca el origen de una pandemia zombi.</t>
  </si>
  <si>
    <t xml:space="preserve">tt0816711</t>
  </si>
  <si>
    <t xml:space="preserve">Gravity</t>
  </si>
  <si>
    <t xml:space="preserve">Dos astronautas quedan a la deriva tras un accidente.</t>
  </si>
  <si>
    <t xml:space="preserve">tt1454468</t>
  </si>
  <si>
    <t xml:space="preserve">Grease</t>
  </si>
  <si>
    <t xml:space="preserve">Randal Kleiser</t>
  </si>
  <si>
    <t xml:space="preserve">Un romance de verano continúa en el instituto.</t>
  </si>
  <si>
    <t xml:space="preserve">tt0077631</t>
  </si>
  <si>
    <t xml:space="preserve">Fiebre del sábado noche</t>
  </si>
  <si>
    <t xml:space="preserve">John Badham</t>
  </si>
  <si>
    <t xml:space="preserve">Un joven de Brooklyn escapa de su vida bailando.</t>
  </si>
  <si>
    <t xml:space="preserve">tt0076666</t>
  </si>
  <si>
    <t xml:space="preserve">Km. 666 III: Camino Sangriento 3</t>
  </si>
  <si>
    <t xml:space="preserve">Declan O'Brien</t>
  </si>
  <si>
    <t xml:space="preserve">Presos y excursionistas cazados por caníbales del bosque.</t>
  </si>
  <si>
    <t xml:space="preserve">tt1261978</t>
  </si>
  <si>
    <t xml:space="preserve">La jungla: Un buen día para morir</t>
  </si>
  <si>
    <t xml:space="preserve">John Moore</t>
  </si>
  <si>
    <t xml:space="preserve">McClane y su hijo en una trama rusa.</t>
  </si>
  <si>
    <t xml:space="preserve">tt1606378</t>
  </si>
  <si>
    <t xml:space="preserve">Gangster Squad. Brigada de élite</t>
  </si>
  <si>
    <t xml:space="preserve">Un escuadrón secreto combate a la mafia en Los Ángeles.</t>
  </si>
  <si>
    <t xml:space="preserve">tt1321870</t>
  </si>
  <si>
    <t xml:space="preserve">Cruce de caminos</t>
  </si>
  <si>
    <t xml:space="preserve">Derek Cianfrance</t>
  </si>
  <si>
    <t xml:space="preserve">Un motorista atracador y un policía cruzan sus destinos.</t>
  </si>
  <si>
    <t xml:space="preserve">tt1817273</t>
  </si>
  <si>
    <t xml:space="preserve">Empire</t>
  </si>
  <si>
    <t xml:space="preserve">Franc. Reyes</t>
  </si>
  <si>
    <t xml:space="preserve">Un traficante del Bronx intenta salir del negocio invirtiendo.</t>
  </si>
  <si>
    <t xml:space="preserve">tt0262396</t>
  </si>
  <si>
    <t xml:space="preserve">Rain Man</t>
  </si>
  <si>
    <t xml:space="preserve">Un egoísta viaja con el hermano autista que no sabía que tenía.</t>
  </si>
  <si>
    <t xml:space="preserve">tt0095953</t>
  </si>
  <si>
    <t xml:space="preserve">Ocho apellidos vascos</t>
  </si>
  <si>
    <t xml:space="preserve">Emilio Martínez Lázaro</t>
  </si>
  <si>
    <t xml:space="preserve">Un sevillano finge ser vasco para conquistar a una chica.</t>
  </si>
  <si>
    <t xml:space="preserve">tt2955316</t>
  </si>
  <si>
    <t xml:space="preserve">Lock &amp; Stock</t>
  </si>
  <si>
    <t xml:space="preserve">Cuatro amigos endeudados con un capo planean un golpe.</t>
  </si>
  <si>
    <t xml:space="preserve">tt0120735</t>
  </si>
  <si>
    <t xml:space="preserve">3 bodas de más</t>
  </si>
  <si>
    <t xml:space="preserve">Javier Ruiz Caldera</t>
  </si>
  <si>
    <t xml:space="preserve">Una investigadora asiste a las bodas de todos sus ex.</t>
  </si>
  <si>
    <t xml:space="preserve">tt2418440</t>
  </si>
  <si>
    <t xml:space="preserve">Infiltrados en clase</t>
  </si>
  <si>
    <t xml:space="preserve">Dos policías novatos se hacen pasar por estudiantes.</t>
  </si>
  <si>
    <t xml:space="preserve">tt1232829</t>
  </si>
  <si>
    <t xml:space="preserve">Revolver de Guy Ritchie</t>
  </si>
  <si>
    <t xml:space="preserve">Movistar, Movistar Plus+ Ficción Total , atresplayer</t>
  </si>
  <si>
    <t xml:space="preserve">Un jugador sale de la cárcel buscando venganza.</t>
  </si>
  <si>
    <t xml:space="preserve">tt0365686</t>
  </si>
  <si>
    <t xml:space="preserve">La vida secreta de Walter Mitty</t>
  </si>
  <si>
    <t xml:space="preserve">Un oficinista soñador emprende un viaje real.</t>
  </si>
  <si>
    <t xml:space="preserve">tt0359950</t>
  </si>
  <si>
    <t xml:space="preserve">Señales del futuro</t>
  </si>
  <si>
    <t xml:space="preserve">Reino Unido, EE.UU., Australia</t>
  </si>
  <si>
    <t xml:space="preserve">Un profesor descifra una lista de catástrofes futuras.</t>
  </si>
  <si>
    <t xml:space="preserve">tt0448011</t>
  </si>
  <si>
    <t xml:space="preserve">Abuelos al poder</t>
  </si>
  <si>
    <t xml:space="preserve">Andy Fickman</t>
  </si>
  <si>
    <t xml:space="preserve">Unos jubilados se rebelan contra su residencia.</t>
  </si>
  <si>
    <t xml:space="preserve">tt1047540</t>
  </si>
  <si>
    <t xml:space="preserve">El invitado</t>
  </si>
  <si>
    <t xml:space="preserve">Daniel Espinosa</t>
  </si>
  <si>
    <t xml:space="preserve">Un exagente escolta a un fugitivo perseguido por todos.</t>
  </si>
  <si>
    <t xml:space="preserve">tt1599348</t>
  </si>
  <si>
    <t xml:space="preserve">Golpe de efecto</t>
  </si>
  <si>
    <t xml:space="preserve">Robert Lorenz</t>
  </si>
  <si>
    <t xml:space="preserve">Un ojeador de béisbol que pierde la vista recorre el sur con su hija.</t>
  </si>
  <si>
    <t xml:space="preserve">tt2083383</t>
  </si>
  <si>
    <t xml:space="preserve">¡Rompe Ralph!</t>
  </si>
  <si>
    <t xml:space="preserve">Rich Moore</t>
  </si>
  <si>
    <t xml:space="preserve">Un villano de videojuego quiere ser el héroe.</t>
  </si>
  <si>
    <t xml:space="preserve">tt1772341</t>
  </si>
  <si>
    <t xml:space="preserve">Frozen: El reino del hielo</t>
  </si>
  <si>
    <t xml:space="preserve">Chris Buck,Jennifer Lee</t>
  </si>
  <si>
    <t xml:space="preserve">Una princesa busca a su hermana, que congeló el reino.</t>
  </si>
  <si>
    <t xml:space="preserve">tt2294629</t>
  </si>
  <si>
    <t xml:space="preserve">Séptimo</t>
  </si>
  <si>
    <t xml:space="preserve">Patxi Amezcua</t>
  </si>
  <si>
    <t xml:space="preserve">Un padre busca a sus hijos desaparecidos entre dos pisos.</t>
  </si>
  <si>
    <t xml:space="preserve">tt2403961</t>
  </si>
  <si>
    <t xml:space="preserve">Lecciones de seducción</t>
  </si>
  <si>
    <t xml:space="preserve">Doug Campbell</t>
  </si>
  <si>
    <t xml:space="preserve">Una profesora y un joven en una relación desigual.</t>
  </si>
  <si>
    <t xml:space="preserve">tt2641874</t>
  </si>
  <si>
    <t xml:space="preserve">La caza de Thomas Vinterberg</t>
  </si>
  <si>
    <t xml:space="preserve">Casino</t>
  </si>
  <si>
    <t xml:space="preserve">Un corredor de apuestas dirige un casino de Las Vegas para la mafia.</t>
  </si>
  <si>
    <t xml:space="preserve">tt0112641</t>
  </si>
  <si>
    <t xml:space="preserve">Plan de escape</t>
  </si>
  <si>
    <t xml:space="preserve">Un experto en fugas es encerrado en su prisión perfecta.</t>
  </si>
  <si>
    <t xml:space="preserve">tt1211956</t>
  </si>
  <si>
    <t xml:space="preserve">Dolor y dinero</t>
  </si>
  <si>
    <t xml:space="preserve">Tres culturistas planean un secuestro que se les va de las manos.</t>
  </si>
  <si>
    <t xml:space="preserve">tt1980209</t>
  </si>
  <si>
    <t xml:space="preserve">¡Campeones! La Roja</t>
  </si>
  <si>
    <t xml:space="preserve">José Luis López-Linares</t>
  </si>
  <si>
    <t xml:space="preserve">Documental sobre la selección española campeona del mundo.</t>
  </si>
  <si>
    <t xml:space="preserve">tt2706268</t>
  </si>
  <si>
    <t xml:space="preserve">Los padres de ella</t>
  </si>
  <si>
    <t xml:space="preserve">Un enfermero intenta caer bien a su suegro exespía.</t>
  </si>
  <si>
    <t xml:space="preserve">tt0212338</t>
  </si>
  <si>
    <t xml:space="preserve">Agárralo como puedas 2 1/2: El aroma del miedo</t>
  </si>
  <si>
    <t xml:space="preserve">Drebin frustra una trama energética.</t>
  </si>
  <si>
    <t xml:space="preserve">tt0102510</t>
  </si>
  <si>
    <t xml:space="preserve">Negocios sucios</t>
  </si>
  <si>
    <t xml:space="preserve">Canadá, Reino Unido</t>
  </si>
  <si>
    <t xml:space="preserve">Un banquero y un delincuente se enredan en un timo.</t>
  </si>
  <si>
    <t xml:space="preserve">tt0227984</t>
  </si>
  <si>
    <t xml:space="preserve">La gran familia española</t>
  </si>
  <si>
    <t xml:space="preserve">Una boda familiar coincide con la final del Mundial.</t>
  </si>
  <si>
    <t xml:space="preserve">tt2252680</t>
  </si>
  <si>
    <t xml:space="preserve">Hércules</t>
  </si>
  <si>
    <t xml:space="preserve">El semidiós y sus mercenarios entrenan a un ejército.</t>
  </si>
  <si>
    <t xml:space="preserve">tt1267297</t>
  </si>
  <si>
    <t xml:space="preserve">Jugar para ganar</t>
  </si>
  <si>
    <t xml:space="preserve">Gary Harvey</t>
  </si>
  <si>
    <t xml:space="preserve">Un entrenador lleva a un equipo modesto a competir.</t>
  </si>
  <si>
    <t xml:space="preserve">tt1299377</t>
  </si>
  <si>
    <t xml:space="preserve">Futbolín</t>
  </si>
  <si>
    <t xml:space="preserve">Los muñecos de un futbolín cobran vida para ayudar a su dueño.</t>
  </si>
  <si>
    <t xml:space="preserve">tt1634003</t>
  </si>
  <si>
    <t xml:space="preserve">Ni en sueños</t>
  </si>
  <si>
    <t xml:space="preserve">Jim Field Smith</t>
  </si>
  <si>
    <t xml:space="preserve">Una joven confunde la realidad con sus sueños.</t>
  </si>
  <si>
    <t xml:space="preserve">tt0815236</t>
  </si>
  <si>
    <t xml:space="preserve">Malavita</t>
  </si>
  <si>
    <t xml:space="preserve">Una familia de la mafia en protección de testigos en Normandía.</t>
  </si>
  <si>
    <t xml:space="preserve">tt2404311</t>
  </si>
  <si>
    <t xml:space="preserve">Los juegos del hambre: En llamas</t>
  </si>
  <si>
    <t xml:space="preserve">Katniss vuelve a la arena y enciende la rebelión.</t>
  </si>
  <si>
    <t xml:space="preserve">tt1951264</t>
  </si>
  <si>
    <t xml:space="preserve">Philadelphia</t>
  </si>
  <si>
    <t xml:space="preserve">Un abogado con sida demanda al bufete que lo despidió.</t>
  </si>
  <si>
    <t xml:space="preserve">tt0107818</t>
  </si>
  <si>
    <t xml:space="preserve">Número 9</t>
  </si>
  <si>
    <t xml:space="preserve">Shane Acker</t>
  </si>
  <si>
    <t xml:space="preserve">Muñecos de trapo sobreviven en un mundo arrasado por máquinas.</t>
  </si>
  <si>
    <t xml:space="preserve">tt0472033</t>
  </si>
  <si>
    <t xml:space="preserve">The River Wild</t>
  </si>
  <si>
    <t xml:space="preserve">Una familia secuestrada por atracadores en un descenso de río.</t>
  </si>
  <si>
    <t xml:space="preserve">tt0110997</t>
  </si>
  <si>
    <t xml:space="preserve">X-Men orígenes: Lobezno</t>
  </si>
  <si>
    <t xml:space="preserve">Gavin Hood</t>
  </si>
  <si>
    <t xml:space="preserve">El pasado de Logan y el origen de sus garras.</t>
  </si>
  <si>
    <t xml:space="preserve">tt0458525</t>
  </si>
  <si>
    <t xml:space="preserve">X-Men: Primera generación</t>
  </si>
  <si>
    <t xml:space="preserve">El origen de la amistad y ruptura entre Xavier y Magneto.</t>
  </si>
  <si>
    <t xml:space="preserve">tt1270798</t>
  </si>
  <si>
    <t xml:space="preserve">El hobbit: La desolación de Smaug</t>
  </si>
  <si>
    <t xml:space="preserve">La compañía llega a la montaña del dragón.</t>
  </si>
  <si>
    <t xml:space="preserve">tt1170358</t>
  </si>
  <si>
    <t xml:space="preserve">Banderas de nuestros padres</t>
  </si>
  <si>
    <t xml:space="preserve">Los soldados de la foto de Iwo Jima y su uso propagandístico.</t>
  </si>
  <si>
    <t xml:space="preserve">tt0418689</t>
  </si>
  <si>
    <t xml:space="preserve">Jurassic Park</t>
  </si>
  <si>
    <t xml:space="preserve">Netflix, Prime, Apple TV, Disney+, Movistar, Movistar Plus+ Ficción Total , SkyShowtime, Apple TV Amazon Channel</t>
  </si>
  <si>
    <t xml:space="preserve">Un parque de dinosaurios clonados se descontrola.</t>
  </si>
  <si>
    <t xml:space="preserve">tt0107290</t>
  </si>
  <si>
    <t xml:space="preserve">Los becarios</t>
  </si>
  <si>
    <t xml:space="preserve">Dos comerciales cuarentones hacen prácticas en Google.</t>
  </si>
  <si>
    <t xml:space="preserve">tt2234155</t>
  </si>
  <si>
    <t xml:space="preserve">Cuestión de pelotas</t>
  </si>
  <si>
    <t xml:space="preserve">Rawson Marshall Thurber</t>
  </si>
  <si>
    <t xml:space="preserve">Un gimnasio cutre compite en un torneo de balón prisionero.</t>
  </si>
  <si>
    <t xml:space="preserve">tt0364725</t>
  </si>
  <si>
    <t xml:space="preserve">El amanecer del planeta de los simios</t>
  </si>
  <si>
    <t xml:space="preserve">Simios y humanos supervivientes al borde de la guerra.</t>
  </si>
  <si>
    <t xml:space="preserve">tt2103281</t>
  </si>
  <si>
    <t xml:space="preserve">El mundo perdido: Jurassic Park</t>
  </si>
  <si>
    <t xml:space="preserve">Una expedición vuelve a una isla con dinosaurios sueltos.</t>
  </si>
  <si>
    <t xml:space="preserve">tt0119567</t>
  </si>
  <si>
    <t xml:space="preserve">Río 2</t>
  </si>
  <si>
    <t xml:space="preserve">Los guacamayos viajan al Amazonas a buscar a los suyos.</t>
  </si>
  <si>
    <t xml:space="preserve">tt2357291</t>
  </si>
  <si>
    <t xml:space="preserve">Isi/Disi: Amor a lo bestia</t>
  </si>
  <si>
    <t xml:space="preserve">Chema de la Peña</t>
  </si>
  <si>
    <t xml:space="preserve">Dos heavies madrileños y sus líos amorosos.</t>
  </si>
  <si>
    <t xml:space="preserve">tt0390136</t>
  </si>
  <si>
    <t xml:space="preserve">Los amantes pasajeros</t>
  </si>
  <si>
    <t xml:space="preserve">Un avión averiado y la tripulación intentando animar el vuelo.</t>
  </si>
  <si>
    <t xml:space="preserve">tt2243389</t>
  </si>
  <si>
    <t xml:space="preserve">Charlie y la fábrica de chocolate</t>
  </si>
  <si>
    <t xml:space="preserve">Cinco niños visitan la fábrica de un excéntrico chocolatero.</t>
  </si>
  <si>
    <t xml:space="preserve">tt0367594</t>
  </si>
  <si>
    <t xml:space="preserve">Lluvia de albóndigas</t>
  </si>
  <si>
    <t xml:space="preserve">Un inventor crea una máquina que hace llover comida.</t>
  </si>
  <si>
    <t xml:space="preserve">tt0844471</t>
  </si>
  <si>
    <t xml:space="preserve">Abuelo malo</t>
  </si>
  <si>
    <t xml:space="preserve">Jeff Tremaine</t>
  </si>
  <si>
    <t xml:space="preserve">Un abuelo gamberro cruza el país con su nieto.</t>
  </si>
  <si>
    <t xml:space="preserve">tt3063516</t>
  </si>
  <si>
    <t xml:space="preserve">Asesinato justo</t>
  </si>
  <si>
    <t xml:space="preserve">Dos policías veteranos investigan a un justiciero.</t>
  </si>
  <si>
    <t xml:space="preserve">tt1034331</t>
  </si>
  <si>
    <t xml:space="preserve">Asalto al distrito 13</t>
  </si>
  <si>
    <t xml:space="preserve">Jean-François Richet</t>
  </si>
  <si>
    <t xml:space="preserve">Policías y presos se alían contra un asedio.</t>
  </si>
  <si>
    <t xml:space="preserve">tt0398712</t>
  </si>
  <si>
    <t xml:space="preserve">R.I.P.D. Departamento de policía mortal</t>
  </si>
  <si>
    <t xml:space="preserve">Un policía muerto se une a una brigada del más allá.</t>
  </si>
  <si>
    <t xml:space="preserve">tt0790736</t>
  </si>
  <si>
    <t xml:space="preserve">Dick y Jane: Ladrones de risa</t>
  </si>
  <si>
    <t xml:space="preserve">Dean Parisot</t>
  </si>
  <si>
    <t xml:space="preserve">Un matrimonio arruinado empieza a atracar bancos.</t>
  </si>
  <si>
    <t xml:space="preserve">tt0369441</t>
  </si>
  <si>
    <t xml:space="preserve">Transporter 3</t>
  </si>
  <si>
    <t xml:space="preserve">Netflix, Disney+, Movistar, Movistar Plus+ Ficción Total , FlixOlé, FlixOlé Amazon Channel, Tivify</t>
  </si>
  <si>
    <t xml:space="preserve">Frank Martin obligado a transportar a una joven con un brazalete.</t>
  </si>
  <si>
    <t xml:space="preserve">tt1129442</t>
  </si>
  <si>
    <t xml:space="preserve">American Psycho</t>
  </si>
  <si>
    <t xml:space="preserve">Mary Harron</t>
  </si>
  <si>
    <t xml:space="preserve">Netflix, Disney+, AMC Channels Amazon Channel, Lionsgate+ Amazon Channel</t>
  </si>
  <si>
    <t xml:space="preserve">Un ejecutivo de Wall Street lleva una doble vida asesina.</t>
  </si>
  <si>
    <t xml:space="preserve">tt0144084</t>
  </si>
  <si>
    <t xml:space="preserve">En el punto de mira</t>
  </si>
  <si>
    <t xml:space="preserve">Un atentado presidencial contado desde ocho puntos de vista.</t>
  </si>
  <si>
    <t xml:space="preserve">tt0443274</t>
  </si>
  <si>
    <t xml:space="preserve">Sospechosos habituales</t>
  </si>
  <si>
    <t xml:space="preserve">Cinco delincuentes y la leyenda de Keyser Söze.</t>
  </si>
  <si>
    <t xml:space="preserve">tt0114814</t>
  </si>
  <si>
    <t xml:space="preserve">RoboCop</t>
  </si>
  <si>
    <t xml:space="preserve">Un policía malherido es convertido en cíborg.</t>
  </si>
  <si>
    <t xml:space="preserve">tt1234721</t>
  </si>
  <si>
    <t xml:space="preserve">El imperio del fuego</t>
  </si>
  <si>
    <t xml:space="preserve">Rob Bowman</t>
  </si>
  <si>
    <t xml:space="preserve">Supervivientes combaten dragones en un mundo arrasado.</t>
  </si>
  <si>
    <t xml:space="preserve">tt0253556</t>
  </si>
  <si>
    <t xml:space="preserve">Los mercenarios 3</t>
  </si>
  <si>
    <t xml:space="preserve">Patrick Hughes</t>
  </si>
  <si>
    <t xml:space="preserve">El equipo se enfrenta a un cofundador convertido en traficante.</t>
  </si>
  <si>
    <t xml:space="preserve">tt2333784</t>
  </si>
  <si>
    <t xml:space="preserve">El número 23</t>
  </si>
  <si>
    <t xml:space="preserve">Un hombre se obsesiona con un número tras leer un libro.</t>
  </si>
  <si>
    <t xml:space="preserve">tt0481369</t>
  </si>
  <si>
    <t xml:space="preserve">Cómo perder a un chico en 10 días</t>
  </si>
  <si>
    <t xml:space="preserve">Donald Petrie</t>
  </si>
  <si>
    <t xml:space="preserve">Una periodista y un publicista apuestan sobre su relación.</t>
  </si>
  <si>
    <t xml:space="preserve">tt0251127</t>
  </si>
  <si>
    <t xml:space="preserve">Los amos del barrio</t>
  </si>
  <si>
    <t xml:space="preserve">Akiva Schaffer</t>
  </si>
  <si>
    <t xml:space="preserve">Cuatro vecinos de una patrulla vecinal topan con alienígenas.</t>
  </si>
  <si>
    <t xml:space="preserve">tt1298649</t>
  </si>
  <si>
    <t xml:space="preserve">30 minutos o menos</t>
  </si>
  <si>
    <t xml:space="preserve">EE.UU., Alemania, Canadá</t>
  </si>
  <si>
    <t xml:space="preserve">Un repartidor de pizza obligado a atracar un banco con una bomba.</t>
  </si>
  <si>
    <t xml:space="preserve">tt1622547</t>
  </si>
  <si>
    <t xml:space="preserve">Matrix Revolutions</t>
  </si>
  <si>
    <t xml:space="preserve">Lana Wachowski,Lilly Wachowski</t>
  </si>
  <si>
    <t xml:space="preserve">La batalla final entre humanos y máquinas.</t>
  </si>
  <si>
    <t xml:space="preserve">tt0242653</t>
  </si>
  <si>
    <t xml:space="preserve">Matrix Reloaded</t>
  </si>
  <si>
    <t xml:space="preserve">Neo busca la fuente mientras las máquinas cercan Zion.</t>
  </si>
  <si>
    <t xml:space="preserve">tt0234215</t>
  </si>
  <si>
    <t xml:space="preserve">La familia Lambert sigue acosada tras el primer caso.</t>
  </si>
  <si>
    <t xml:space="preserve">tt2226417</t>
  </si>
  <si>
    <t xml:space="preserve">Manual de amor</t>
  </si>
  <si>
    <t xml:space="preserve">Giovanni Veronesi</t>
  </si>
  <si>
    <t xml:space="preserve">Cuatro historias sobre las fases del enamoramiento.</t>
  </si>
  <si>
    <t xml:space="preserve">tt0417944</t>
  </si>
  <si>
    <t xml:space="preserve">Los elegidos</t>
  </si>
  <si>
    <t xml:space="preserve">Un equipo de élite es traicionado en una misión.</t>
  </si>
  <si>
    <t xml:space="preserve">tt2387433</t>
  </si>
  <si>
    <t xml:space="preserve">Anarchy: La noche de las bestias</t>
  </si>
  <si>
    <t xml:space="preserve">Varios desconocidos atrapados en la calle durante la purga.</t>
  </si>
  <si>
    <t xml:space="preserve">tt2975578</t>
  </si>
  <si>
    <t xml:space="preserve">Shine</t>
  </si>
  <si>
    <t xml:space="preserve">Un pianista prodigio se derrumba bajo la presión paterna.</t>
  </si>
  <si>
    <t xml:space="preserve">tt0117631</t>
  </si>
  <si>
    <t xml:space="preserve">El mayordomo</t>
  </si>
  <si>
    <t xml:space="preserve">Lee Daniels</t>
  </si>
  <si>
    <t xml:space="preserve">Un mayordomo de la Casa Blanca atraviesa ocho presidencias.</t>
  </si>
  <si>
    <t xml:space="preserve">tt1327773</t>
  </si>
  <si>
    <t xml:space="preserve">Bienvenidos al fin del mundo</t>
  </si>
  <si>
    <t xml:space="preserve">Edgar Wright</t>
  </si>
  <si>
    <t xml:space="preserve">Cinco amigos repiten una ruta de bares durante una invasión.</t>
  </si>
  <si>
    <t xml:space="preserve">tt1213663</t>
  </si>
  <si>
    <t xml:space="preserve">Ninja Assassin</t>
  </si>
  <si>
    <t xml:space="preserve">Un ninja se rebela contra el clan que lo crió.</t>
  </si>
  <si>
    <t xml:space="preserve">tt1186367</t>
  </si>
  <si>
    <t xml:space="preserve">El hombre de la máscara de hierro</t>
  </si>
  <si>
    <t xml:space="preserve">Randall Wallace</t>
  </si>
  <si>
    <t xml:space="preserve">Los mosqueteros sustituyen al rey por su gemelo preso.</t>
  </si>
  <si>
    <t xml:space="preserve">tt0120744</t>
  </si>
  <si>
    <t xml:space="preserve">El llanero solitario</t>
  </si>
  <si>
    <t xml:space="preserve">Un ranger y un guerrero comanche combaten la corrupción.</t>
  </si>
  <si>
    <t xml:space="preserve">tt1210819</t>
  </si>
  <si>
    <t xml:space="preserve">Sherlock Holmes: Juego de sombras</t>
  </si>
  <si>
    <t xml:space="preserve">Holmes se enfrenta al profesor Moriarty.</t>
  </si>
  <si>
    <t xml:space="preserve">tt1515091</t>
  </si>
  <si>
    <t xml:space="preserve">Mil maneras de morder el polvo</t>
  </si>
  <si>
    <t xml:space="preserve">Un pastor cobarde debe batirse en duelo en el Oeste.</t>
  </si>
  <si>
    <t xml:space="preserve">tt2557490</t>
  </si>
  <si>
    <t xml:space="preserve">Lobezno inmortal</t>
  </si>
  <si>
    <t xml:space="preserve">Logan viaja a Japón y pierde su capacidad de curarse.</t>
  </si>
  <si>
    <t xml:space="preserve">tt1430132</t>
  </si>
  <si>
    <t xml:space="preserve">X-Men: Días del futuro pasado</t>
  </si>
  <si>
    <t xml:space="preserve">Lobezno viaja al pasado para evitar el exterminio mutante.</t>
  </si>
  <si>
    <t xml:space="preserve">tt1877832</t>
  </si>
  <si>
    <t xml:space="preserve">El perfume: Historia de un asesino</t>
  </si>
  <si>
    <t xml:space="preserve">España, Alemania, Francia</t>
  </si>
  <si>
    <t xml:space="preserve">Un perfumista mata para capturar el olor perfecto.</t>
  </si>
  <si>
    <t xml:space="preserve">tt0396171</t>
  </si>
  <si>
    <t xml:space="preserve">Atrapado por su pasado</t>
  </si>
  <si>
    <t xml:space="preserve">Un exconvicto intenta dejar el crimen y no puede.</t>
  </si>
  <si>
    <t xml:space="preserve">tt0106519</t>
  </si>
  <si>
    <t xml:space="preserve">El padrino parte III</t>
  </si>
  <si>
    <t xml:space="preserve">Movistar Plus+ Ficción Total , Filmin, SkyShowtime</t>
  </si>
  <si>
    <t xml:space="preserve">Michael intenta legalizar el negocio familiar.</t>
  </si>
  <si>
    <t xml:space="preserve">tt0099674</t>
  </si>
  <si>
    <t xml:space="preserve">Heat</t>
  </si>
  <si>
    <t xml:space="preserve">Un policía y un atracador se persiguen en Los Ángeles.</t>
  </si>
  <si>
    <t xml:space="preserve">Su tiroteo callejero es referencia técnica del cine de acción posterior.</t>
  </si>
  <si>
    <t xml:space="preserve">tt0113277</t>
  </si>
  <si>
    <t xml:space="preserve">Esencia de mujer</t>
  </si>
  <si>
    <t xml:space="preserve">Martin Brest</t>
  </si>
  <si>
    <t xml:space="preserve">Un estudiante acompaña un fin de semana a un coronel ciego.</t>
  </si>
  <si>
    <t xml:space="preserve">tt0105323</t>
  </si>
  <si>
    <t xml:space="preserve">Noé</t>
  </si>
  <si>
    <t xml:space="preserve">El patriarca bíblico construye el arca ante el diluvio.</t>
  </si>
  <si>
    <t xml:space="preserve">tt1959490</t>
  </si>
  <si>
    <t xml:space="preserve">Cómo ser John Malkovich</t>
  </si>
  <si>
    <t xml:space="preserve">Un titiritero halla un pasadizo a la mente del actor.</t>
  </si>
  <si>
    <t xml:space="preserve">tt0120601</t>
  </si>
  <si>
    <t xml:space="preserve">El método</t>
  </si>
  <si>
    <t xml:space="preserve">Italia, España, Argentina</t>
  </si>
  <si>
    <t xml:space="preserve">Netflix, Movistar, FlixOlé, FlixOlé Amazon Channel</t>
  </si>
  <si>
    <t xml:space="preserve">Siete candidatos compiten en una selección de personal brutal.</t>
  </si>
  <si>
    <t xml:space="preserve">tt0427582</t>
  </si>
  <si>
    <t xml:space="preserve">Huracán Carter</t>
  </si>
  <si>
    <t xml:space="preserve">Norman Jewison</t>
  </si>
  <si>
    <t xml:space="preserve">Un boxeador negro encarcelado injustamente lucha por salir.</t>
  </si>
  <si>
    <t xml:space="preserve">tt0174856</t>
  </si>
  <si>
    <t xml:space="preserve">Identidad</t>
  </si>
  <si>
    <t xml:space="preserve">Diez desconocidos aislados en un motel empiezan a morir.</t>
  </si>
  <si>
    <t xml:space="preserve">tt0309698</t>
  </si>
  <si>
    <t xml:space="preserve">I Am Bruce Lee</t>
  </si>
  <si>
    <t xml:space="preserve">Pete McCormack</t>
  </si>
  <si>
    <t xml:space="preserve">Documental sobre el legado de Bruce Lee.</t>
  </si>
  <si>
    <t xml:space="preserve">tt1954299</t>
  </si>
  <si>
    <t xml:space="preserve">El gran Lebowski</t>
  </si>
  <si>
    <t xml:space="preserve">Joel Coen,Ethan Coen</t>
  </si>
  <si>
    <t xml:space="preserve">Un vago es confundido con un millonario homónimo.</t>
  </si>
  <si>
    <t xml:space="preserve">tt0118715</t>
  </si>
  <si>
    <t xml:space="preserve">Jackie Chan: Mi historia</t>
  </si>
  <si>
    <t xml:space="preserve">Jackie Chan</t>
  </si>
  <si>
    <t xml:space="preserve">Documental sobre la carrera del actor y sus acrobacias.</t>
  </si>
  <si>
    <t xml:space="preserve">tt0242545</t>
  </si>
  <si>
    <t xml:space="preserve">Depredador</t>
  </si>
  <si>
    <t xml:space="preserve">Un comando en la selva es cazado por un alienígena.</t>
  </si>
  <si>
    <t xml:space="preserve">tt0093773</t>
  </si>
  <si>
    <t xml:space="preserve">La mosca</t>
  </si>
  <si>
    <t xml:space="preserve">Un científico se fusiona con una mosca en un teletransportador.</t>
  </si>
  <si>
    <t xml:space="preserve">tt0091064</t>
  </si>
  <si>
    <t xml:space="preserve">Rebelión adolescente</t>
  </si>
  <si>
    <t xml:space="preserve">Miguel Arteta</t>
  </si>
  <si>
    <t xml:space="preserve">Una joven de los sesenta seducida por un hombre mayor.</t>
  </si>
  <si>
    <t xml:space="preserve">tt0403702</t>
  </si>
  <si>
    <t xml:space="preserve">Sex Tape. Algo pasa en la nube</t>
  </si>
  <si>
    <t xml:space="preserve">Un matrimonio intenta borrar un vídeo íntimo subido por error.</t>
  </si>
  <si>
    <t xml:space="preserve">tt1956620</t>
  </si>
  <si>
    <t xml:space="preserve">El hobbit: La batalla de los cinco ejércitos</t>
  </si>
  <si>
    <t xml:space="preserve">Prime, Tivify, AMC Channels Amazon Channel</t>
  </si>
  <si>
    <t xml:space="preserve">Cinco ejércitos se disputan el tesoro de Erebor.</t>
  </si>
  <si>
    <t xml:space="preserve">tt2310332</t>
  </si>
  <si>
    <t xml:space="preserve">El gran Vázquez</t>
  </si>
  <si>
    <t xml:space="preserve">Óscar Aibar</t>
  </si>
  <si>
    <t xml:space="preserve">Netflix, Movistar Plus+ Ficción Total , Filmin, FlixOlé, FlixOlé Amazon Channel, Tivify</t>
  </si>
  <si>
    <t xml:space="preserve">El historietista Vázquez vive del cuento y la estafa.</t>
  </si>
  <si>
    <t xml:space="preserve">tt1525915</t>
  </si>
  <si>
    <t xml:space="preserve">Dos colgaos muy fumaos en Navidad</t>
  </si>
  <si>
    <t xml:space="preserve">Todd Strauss-Schulson</t>
  </si>
  <si>
    <t xml:space="preserve">Los dos amigos buscan un árbol de Navidad de madrugada.</t>
  </si>
  <si>
    <t xml:space="preserve">tt1268799</t>
  </si>
  <si>
    <t xml:space="preserve">Moneyball: Rompiendo las reglas</t>
  </si>
  <si>
    <t xml:space="preserve">Bennett Miller</t>
  </si>
  <si>
    <t xml:space="preserve">Un directivo ficha jugadores usando estadística.</t>
  </si>
  <si>
    <t xml:space="preserve">tt1210166</t>
  </si>
  <si>
    <t xml:space="preserve">Corazones de acero</t>
  </si>
  <si>
    <t xml:space="preserve">David Ayer</t>
  </si>
  <si>
    <t xml:space="preserve">Reino Unido, EE.UU., China</t>
  </si>
  <si>
    <t xml:space="preserve">La tripulación de un tanque en los últimos días de la guerra.</t>
  </si>
  <si>
    <t xml:space="preserve">tt2713180</t>
  </si>
  <si>
    <t xml:space="preserve">La sombra del poder</t>
  </si>
  <si>
    <t xml:space="preserve">Un periodista investiga la muerte de la ayudante de un congresista.</t>
  </si>
  <si>
    <t xml:space="preserve">tt0473705</t>
  </si>
  <si>
    <t xml:space="preserve">La venganza del conde de Montecristo</t>
  </si>
  <si>
    <t xml:space="preserve">Kevin Reynolds</t>
  </si>
  <si>
    <t xml:space="preserve">Un preso inocente escapa y se venga de quien lo delató.</t>
  </si>
  <si>
    <t xml:space="preserve">tt0245844</t>
  </si>
  <si>
    <t xml:space="preserve">Sin límites</t>
  </si>
  <si>
    <t xml:space="preserve">Un escritor toma una pastilla que multiplica su intelecto.</t>
  </si>
  <si>
    <t xml:space="preserve">tt1219289</t>
  </si>
  <si>
    <t xml:space="preserve">Agárralo como puedas</t>
  </si>
  <si>
    <t xml:space="preserve">Un teniente torpe frustra un atentado contra la reina.</t>
  </si>
  <si>
    <t xml:space="preserve">tt0095705</t>
  </si>
  <si>
    <t xml:space="preserve">Johnny Mad Dog</t>
  </si>
  <si>
    <t xml:space="preserve">Jean-Stéphane Sauvaire</t>
  </si>
  <si>
    <t xml:space="preserve">Liberia, Francia, Bélgica</t>
  </si>
  <si>
    <t xml:space="preserve">Niños soldado en una guerra civil africana.</t>
  </si>
  <si>
    <t xml:space="preserve">tt1042424</t>
  </si>
  <si>
    <t xml:space="preserve">Destino oculto</t>
  </si>
  <si>
    <t xml:space="preserve">George Nolfi</t>
  </si>
  <si>
    <t xml:space="preserve">Un político descubre que unos agentes manipulan su vida.</t>
  </si>
  <si>
    <t xml:space="preserve">tt1385826</t>
  </si>
  <si>
    <t xml:space="preserve">El Gato con Botas</t>
  </si>
  <si>
    <t xml:space="preserve">Chris Miller</t>
  </si>
  <si>
    <t xml:space="preserve">El gato busca las judías mágicas con viejos conocidos.</t>
  </si>
  <si>
    <t xml:space="preserve">tt0448694</t>
  </si>
  <si>
    <t xml:space="preserve">American Pie: ¡Menuda boda!</t>
  </si>
  <si>
    <t xml:space="preserve">Stifler organiza la boda de Jim y Michelle.</t>
  </si>
  <si>
    <t xml:space="preserve">tt0328828</t>
  </si>
  <si>
    <t xml:space="preserve">American Pie</t>
  </si>
  <si>
    <t xml:space="preserve">Paul Weitz</t>
  </si>
  <si>
    <t xml:space="preserve">Cuatro amigos se juran perder la virginidad antes de graduarse.</t>
  </si>
  <si>
    <t xml:space="preserve">tt0163651</t>
  </si>
  <si>
    <t xml:space="preserve">Hot Shots! 2</t>
  </si>
  <si>
    <t xml:space="preserve">Jim Abrahams</t>
  </si>
  <si>
    <t xml:space="preserve">Parodia de Rambo y el cine de rescate militar.</t>
  </si>
  <si>
    <t xml:space="preserve">tt0107144</t>
  </si>
  <si>
    <t xml:space="preserve">Hot Shots!</t>
  </si>
  <si>
    <t xml:space="preserve">Parodia de las películas de pilotos de combate.</t>
  </si>
  <si>
    <t xml:space="preserve">tt0102059</t>
  </si>
  <si>
    <t xml:space="preserve">In Time</t>
  </si>
  <si>
    <t xml:space="preserve">Disney+, AMC Channels Amazon Channel</t>
  </si>
  <si>
    <t xml:space="preserve">El tiempo de vida es la moneda y unos pocos lo acaparan.</t>
  </si>
  <si>
    <t xml:space="preserve">tt1637688</t>
  </si>
  <si>
    <t xml:space="preserve">Eragon</t>
  </si>
  <si>
    <t xml:space="preserve">Stefen Fangmeier</t>
  </si>
  <si>
    <t xml:space="preserve">Reino Unido, EE.UU., Hungría</t>
  </si>
  <si>
    <t xml:space="preserve">Un campesino encuentra un huevo de dragón y se hace jinete.</t>
  </si>
  <si>
    <t xml:space="preserve">tt0449010</t>
  </si>
  <si>
    <t xml:space="preserve">Jackie Brown</t>
  </si>
  <si>
    <t xml:space="preserve">Una azafata juega con la policía y un traficante de armas.</t>
  </si>
  <si>
    <t xml:space="preserve">tt0119396</t>
  </si>
  <si>
    <t xml:space="preserve">Planet 51</t>
  </si>
  <si>
    <t xml:space="preserve">Jorge Blanco,Javier Abad,Marcos Martínez</t>
  </si>
  <si>
    <t xml:space="preserve">España, Reino Unido, EE.UU.</t>
  </si>
  <si>
    <t xml:space="preserve">Un astronauta aterriza en un planeta de alienígenas apacibles.</t>
  </si>
  <si>
    <t xml:space="preserve">tt0762125</t>
  </si>
  <si>
    <t xml:space="preserve">Shrek, felices para siempre</t>
  </si>
  <si>
    <t xml:space="preserve">Mike Mitchell</t>
  </si>
  <si>
    <t xml:space="preserve">Shrek firma un pacto que borra su propia vida.</t>
  </si>
  <si>
    <t xml:space="preserve">tt0892791</t>
  </si>
  <si>
    <t xml:space="preserve">Men in Black</t>
  </si>
  <si>
    <t xml:space="preserve">Dos agentes de negro vigilan a los alienígenas en la Tierra.</t>
  </si>
  <si>
    <t xml:space="preserve">tt0119654</t>
  </si>
  <si>
    <t xml:space="preserve">Braveheart</t>
  </si>
  <si>
    <t xml:space="preserve">William Wallace lidera la rebelión escocesa.</t>
  </si>
  <si>
    <t xml:space="preserve">tt0112573</t>
  </si>
  <si>
    <t xml:space="preserve">Con Air</t>
  </si>
  <si>
    <t xml:space="preserve">Un preso ejemplar en un avión secuestrado por reclusos.</t>
  </si>
  <si>
    <t xml:space="preserve">tt0118880</t>
  </si>
  <si>
    <t xml:space="preserve">Shrek tercero</t>
  </si>
  <si>
    <t xml:space="preserve">Chris Miller,Raman Hui</t>
  </si>
  <si>
    <t xml:space="preserve">Shrek busca a un heredero para no ser rey.</t>
  </si>
  <si>
    <t xml:space="preserve">tt0413267</t>
  </si>
  <si>
    <t xml:space="preserve">Monster House</t>
  </si>
  <si>
    <t xml:space="preserve">Gil Kenan</t>
  </si>
  <si>
    <t xml:space="preserve">Tres niños descubren que la casa del vecino está viva.</t>
  </si>
  <si>
    <t xml:space="preserve">tt0385880</t>
  </si>
  <si>
    <t xml:space="preserve">Torrente 3: El protector</t>
  </si>
  <si>
    <t xml:space="preserve">Santiago Segura</t>
  </si>
  <si>
    <t xml:space="preserve">Netflix, FlixOlé</t>
  </si>
  <si>
    <t xml:space="preserve">Torrente escolta a una eurodiputada.</t>
  </si>
  <si>
    <t xml:space="preserve">tt0444505</t>
  </si>
  <si>
    <t xml:space="preserve">Torrente 4: Lethal Crisis</t>
  </si>
  <si>
    <t xml:space="preserve">Torrente sale de la cárcel en plena crisis económica.</t>
  </si>
  <si>
    <t xml:space="preserve">tt1417108</t>
  </si>
  <si>
    <t xml:space="preserve">Torrente 2: Misión en Marbella</t>
  </si>
  <si>
    <t xml:space="preserve">Torrente monta una agencia de detectives en la costa.</t>
  </si>
  <si>
    <t xml:space="preserve">tt0257231</t>
  </si>
  <si>
    <t xml:space="preserve">Torrente 5: Operación Eurovegas</t>
  </si>
  <si>
    <t xml:space="preserve">Torrente prepara un atraco a un casino.</t>
  </si>
  <si>
    <t xml:space="preserve">tt3321428</t>
  </si>
  <si>
    <t xml:space="preserve">El rey león</t>
  </si>
  <si>
    <t xml:space="preserve">Roger Allers,Rob Minkoff</t>
  </si>
  <si>
    <t xml:space="preserve">Un cachorro exiliado vuelve a reclamar su reino.</t>
  </si>
  <si>
    <t xml:space="preserve">tt0110357</t>
  </si>
  <si>
    <t xml:space="preserve">Los crímenes de Oxford</t>
  </si>
  <si>
    <t xml:space="preserve">España, Francia, Reino Unido</t>
  </si>
  <si>
    <t xml:space="preserve">Un estudiante y un profesor resuelven crímenes matemáticos.</t>
  </si>
  <si>
    <t xml:space="preserve">tt0488604</t>
  </si>
  <si>
    <t xml:space="preserve">Blow</t>
  </si>
  <si>
    <t xml:space="preserve">El ascenso y caída de un contrabandista de cocaína.</t>
  </si>
  <si>
    <t xml:space="preserve">tt0221027</t>
  </si>
  <si>
    <t xml:space="preserve">El rey león 2: El tesoro de Simba</t>
  </si>
  <si>
    <t xml:space="preserve">Darrell Rooney,Rob LaDuca</t>
  </si>
  <si>
    <t xml:space="preserve">La hija de Simba se enamora del bando enemigo.</t>
  </si>
  <si>
    <t xml:space="preserve">tt0120131</t>
  </si>
  <si>
    <t xml:space="preserve">El francotirador</t>
  </si>
  <si>
    <t xml:space="preserve">Un tirador de élite y las secuelas de cuatro misiones en Irak.</t>
  </si>
  <si>
    <t xml:space="preserve">tt2179136</t>
  </si>
  <si>
    <t xml:space="preserve">El rey león 3: Hakuna Matata</t>
  </si>
  <si>
    <t xml:space="preserve">Bradley Raymond</t>
  </si>
  <si>
    <t xml:space="preserve">Timón y Pumba cuentan su versión de la historia.</t>
  </si>
  <si>
    <t xml:space="preserve">tt0318403</t>
  </si>
  <si>
    <t xml:space="preserve">Atlantis: El imperio perdido</t>
  </si>
  <si>
    <t xml:space="preserve">Gary Trousdale,Kirk Wise</t>
  </si>
  <si>
    <t xml:space="preserve">Una expedición busca la ciudad sumergida.</t>
  </si>
  <si>
    <t xml:space="preserve">tt0230011</t>
  </si>
  <si>
    <t xml:space="preserve">Ice Age: La edad de hielo</t>
  </si>
  <si>
    <t xml:space="preserve">Chris Wedge,Carlos Saldanha</t>
  </si>
  <si>
    <t xml:space="preserve">Ice Age 2: El deshielo</t>
  </si>
  <si>
    <t xml:space="preserve">La manada huye de una inundación por el deshielo.</t>
  </si>
  <si>
    <t xml:space="preserve">tt0438097</t>
  </si>
  <si>
    <t xml:space="preserve">Ice Age 3: El origen de los dinosaurios</t>
  </si>
  <si>
    <t xml:space="preserve">Carlos Saldanha,Michael Thurmeier</t>
  </si>
  <si>
    <t xml:space="preserve">La manada baja a un mundo perdido de dinosaurios.</t>
  </si>
  <si>
    <t xml:space="preserve">tt1080016</t>
  </si>
  <si>
    <t xml:space="preserve">Los pingüinos de Madagascar</t>
  </si>
  <si>
    <t xml:space="preserve">Eric Darnell,Simon J. Smith</t>
  </si>
  <si>
    <t xml:space="preserve">Los cuatro pingüinos frenan a un pulpo vengativo.</t>
  </si>
  <si>
    <t xml:space="preserve">tt1911658</t>
  </si>
  <si>
    <t xml:space="preserve">Pequeños guerreros</t>
  </si>
  <si>
    <t xml:space="preserve">Joe Dante</t>
  </si>
  <si>
    <t xml:space="preserve">Unos juguetes militares cobran vida y atacan a sus vecinos.</t>
  </si>
  <si>
    <t xml:space="preserve">tt0122718</t>
  </si>
  <si>
    <t xml:space="preserve">La Liga de los Hombres Extraordinarios</t>
  </si>
  <si>
    <t xml:space="preserve">República Checa, Alemania, Reino Unido, EE.UU.</t>
  </si>
  <si>
    <t xml:space="preserve">Héroes literarios se unen contra una amenaza global.</t>
  </si>
  <si>
    <t xml:space="preserve">tt0311429</t>
  </si>
  <si>
    <t xml:space="preserve">La cosecha</t>
  </si>
  <si>
    <t xml:space="preserve">Stephen Hopkins</t>
  </si>
  <si>
    <t xml:space="preserve">Una investigadora estudia plagas bíblicas en un pueblo.</t>
  </si>
  <si>
    <t xml:space="preserve">tt0444682</t>
  </si>
  <si>
    <t xml:space="preserve">Dos tontos muy tontos</t>
  </si>
  <si>
    <t xml:space="preserve">Dos amigos cruzan el país para devolver un maletín.</t>
  </si>
  <si>
    <t xml:space="preserve">tt0109686</t>
  </si>
  <si>
    <t xml:space="preserve">Space Jam</t>
  </si>
  <si>
    <t xml:space="preserve">Joe Pytka</t>
  </si>
  <si>
    <t xml:space="preserve">Michael Jordan juega al baloncesto con los Looney Tunes.</t>
  </si>
  <si>
    <t xml:space="preserve">tt0117705</t>
  </si>
  <si>
    <t xml:space="preserve">Ace Ventura: Un detective diferente</t>
  </si>
  <si>
    <t xml:space="preserve">Un detective de animales busca a la mascota de un equipo.</t>
  </si>
  <si>
    <t xml:space="preserve">tt0109040</t>
  </si>
  <si>
    <t xml:space="preserve">Al filo del mañana</t>
  </si>
  <si>
    <t xml:space="preserve">Un soldado revive una y otra vez el mismo día de batalla.</t>
  </si>
  <si>
    <t xml:space="preserve">tt1631867</t>
  </si>
  <si>
    <t xml:space="preserve">Gremlins</t>
  </si>
  <si>
    <t xml:space="preserve">Una mascota adorable genera criaturas destructivas.</t>
  </si>
  <si>
    <t xml:space="preserve">tt0087363</t>
  </si>
  <si>
    <t xml:space="preserve">Fast &amp; Furious 7</t>
  </si>
  <si>
    <t xml:space="preserve">El equipo se enfrenta al hermano de un viejo enemigo.</t>
  </si>
  <si>
    <t xml:space="preserve">tt2820852</t>
  </si>
  <si>
    <t xml:space="preserve">El séptimo hijo</t>
  </si>
  <si>
    <t xml:space="preserve">Sergei Bodrov</t>
  </si>
  <si>
    <t xml:space="preserve">China, Canadá, EE.UU., Reino Unido</t>
  </si>
  <si>
    <t xml:space="preserve">Un aprendiz de cazador de brujas se enfrenta a una hechicera.</t>
  </si>
  <si>
    <t xml:space="preserve">tt1121096</t>
  </si>
  <si>
    <t xml:space="preserve">La familia Addams</t>
  </si>
  <si>
    <t xml:space="preserve">Un impostor se hace pasar por el tío perdido.</t>
  </si>
  <si>
    <t xml:space="preserve">tt0101272</t>
  </si>
  <si>
    <t xml:space="preserve">Ninja Turtles</t>
  </si>
  <si>
    <t xml:space="preserve">Cuatro tortugas mutantes defienden Nueva York.</t>
  </si>
  <si>
    <t xml:space="preserve">tt1291150</t>
  </si>
  <si>
    <t xml:space="preserve">La máscara</t>
  </si>
  <si>
    <t xml:space="preserve">Chuck Russell</t>
  </si>
  <si>
    <t xml:space="preserve">Un empleado tímido encuentra una máscara que lo desinhibe.</t>
  </si>
  <si>
    <t xml:space="preserve">tt0110475</t>
  </si>
  <si>
    <t xml:space="preserve">The Mechanic</t>
  </si>
  <si>
    <t xml:space="preserve">Un asesino profesional entrena al hijo de su víctima.</t>
  </si>
  <si>
    <t xml:space="preserve">tt0472399</t>
  </si>
  <si>
    <t xml:space="preserve">Mentiroso compulsivo</t>
  </si>
  <si>
    <t xml:space="preserve">Un abogado mentiroso no puede mentir durante un día.</t>
  </si>
  <si>
    <t xml:space="preserve">tt0119528</t>
  </si>
  <si>
    <t xml:space="preserve">Alex Rider: Operación Stormbreaker</t>
  </si>
  <si>
    <t xml:space="preserve">Geoffrey Sax</t>
  </si>
  <si>
    <t xml:space="preserve">Un adolescente es reclutado como espía del MI6.</t>
  </si>
  <si>
    <t xml:space="preserve">tt0457495</t>
  </si>
  <si>
    <t xml:space="preserve">Yo, 'El Vaquilla'</t>
  </si>
  <si>
    <t xml:space="preserve">José Antonio de la Loma Jr.,José Antonio de la Loma</t>
  </si>
  <si>
    <t xml:space="preserve">Netflix, Prime, Filmin, Acontra</t>
  </si>
  <si>
    <t xml:space="preserve">La vida del delincuente juvenil barcelonés.</t>
  </si>
  <si>
    <t xml:space="preserve">tt0090354</t>
  </si>
  <si>
    <t xml:space="preserve">Los Cazafantasmas</t>
  </si>
  <si>
    <t xml:space="preserve">Ivan Reitman</t>
  </si>
  <si>
    <t xml:space="preserve">Tres parapsicólogos montan un negocio de caza de fantasmas.</t>
  </si>
  <si>
    <t xml:space="preserve">tt0087332</t>
  </si>
  <si>
    <t xml:space="preserve">Yo, yo mismo e Irene</t>
  </si>
  <si>
    <t xml:space="preserve">Un policía con doble personalidad escolta a una fugitiva.</t>
  </si>
  <si>
    <t xml:space="preserve">tt0183505</t>
  </si>
  <si>
    <t xml:space="preserve">Zoolander</t>
  </si>
  <si>
    <t xml:space="preserve">Un modelo idiota es programado para matar.</t>
  </si>
  <si>
    <t xml:space="preserve">tt0196229</t>
  </si>
  <si>
    <t xml:space="preserve">Starsky &amp; Hutch</t>
  </si>
  <si>
    <t xml:space="preserve">Dos policías opuestos investigan un cargamento de cocaína.</t>
  </si>
  <si>
    <t xml:space="preserve">tt0335438</t>
  </si>
  <si>
    <t xml:space="preserve">La deuda</t>
  </si>
  <si>
    <t xml:space="preserve">Tres agentes del Mossad y una misión que ocultaron.</t>
  </si>
  <si>
    <t xml:space="preserve">tt1226753</t>
  </si>
  <si>
    <t xml:space="preserve">Un loco a domicilio</t>
  </si>
  <si>
    <t xml:space="preserve">Un instalador de cable se obsesiona con un cliente.</t>
  </si>
  <si>
    <t xml:space="preserve">tt0115798</t>
  </si>
  <si>
    <t xml:space="preserve">La sombra del diablo</t>
  </si>
  <si>
    <t xml:space="preserve">Un agente del FBI colabora con un terrorista del IRA.</t>
  </si>
  <si>
    <t xml:space="preserve">tt0118972</t>
  </si>
  <si>
    <t xml:space="preserve">Bolt</t>
  </si>
  <si>
    <t xml:space="preserve">Byron Howard,Chris Williams</t>
  </si>
  <si>
    <t xml:space="preserve">Un perro actor cree de verdad que tiene superpoderes.</t>
  </si>
  <si>
    <t xml:space="preserve">tt0397892</t>
  </si>
  <si>
    <t xml:space="preserve">Men in Black II</t>
  </si>
  <si>
    <t xml:space="preserve">Los agentes recuperan a un compañero jubilado.</t>
  </si>
  <si>
    <t xml:space="preserve">tt0120912</t>
  </si>
  <si>
    <t xml:space="preserve">Predestination</t>
  </si>
  <si>
    <t xml:space="preserve">Michael Spierig,Peter Spierig</t>
  </si>
  <si>
    <t xml:space="preserve">Un agente temporal persigue a un terrorista a través del tiempo.</t>
  </si>
  <si>
    <t xml:space="preserve">tt2397535</t>
  </si>
  <si>
    <t xml:space="preserve">El increíble Burt Wonderstone</t>
  </si>
  <si>
    <t xml:space="preserve">Don Scardino</t>
  </si>
  <si>
    <t xml:space="preserve">Un mago de Las Vegas superado por un ilusionista moderno.</t>
  </si>
  <si>
    <t xml:space="preserve">tt0790628</t>
  </si>
  <si>
    <t xml:space="preserve">Jurassic World</t>
  </si>
  <si>
    <t xml:space="preserve">Colin Trevorrow</t>
  </si>
  <si>
    <t xml:space="preserve">El parque reabre con un dinosaurio híbrido incontrolable.</t>
  </si>
  <si>
    <t xml:space="preserve">tt0369610</t>
  </si>
  <si>
    <t xml:space="preserve">Philip Morris ¡Te quiero!</t>
  </si>
  <si>
    <t xml:space="preserve">Un estafador se fuga una y otra vez por amor.</t>
  </si>
  <si>
    <t xml:space="preserve">tt1045772</t>
  </si>
  <si>
    <t xml:space="preserve">Dios mío, ¿pero qué te hemos hecho?</t>
  </si>
  <si>
    <t xml:space="preserve">Philippe de Chauveron</t>
  </si>
  <si>
    <t xml:space="preserve">Un matrimonio católico y sus cuatro yernos de distinta fe.</t>
  </si>
  <si>
    <t xml:space="preserve">tt2800240</t>
  </si>
  <si>
    <t xml:space="preserve">Tiburón</t>
  </si>
  <si>
    <t xml:space="preserve">Un pueblo costero aterrorizado por un tiburón blanco.</t>
  </si>
  <si>
    <t xml:space="preserve">Inventó el estreno masivo de verano y con él el concepto de blockbuster.</t>
  </si>
  <si>
    <t xml:space="preserve">tt0073195</t>
  </si>
  <si>
    <t xml:space="preserve">Vamos de polis</t>
  </si>
  <si>
    <t xml:space="preserve">Luke Greenfield</t>
  </si>
  <si>
    <t xml:space="preserve">Dos amigos se hacen pasar por policías y acaban en un caso real.</t>
  </si>
  <si>
    <t xml:space="preserve">tt1924435</t>
  </si>
  <si>
    <t xml:space="preserve">Cincuenta sombras de Grey</t>
  </si>
  <si>
    <t xml:space="preserve">Sam Taylor-Johnson</t>
  </si>
  <si>
    <t xml:space="preserve">Una estudiante inicia una relación con un magnate dominante.</t>
  </si>
  <si>
    <t xml:space="preserve">tt2322441</t>
  </si>
  <si>
    <t xml:space="preserve">Matrimonio compulsivo</t>
  </si>
  <si>
    <t xml:space="preserve">Dos bomberos fingen ser pareja por el seguro.</t>
  </si>
  <si>
    <t xml:space="preserve">tt0408839</t>
  </si>
  <si>
    <t xml:space="preserve">Austin Powers: La espía que me achuchó</t>
  </si>
  <si>
    <t xml:space="preserve">Austin viaja al pasado para recuperar su mojo.</t>
  </si>
  <si>
    <t xml:space="preserve">tt0145660</t>
  </si>
  <si>
    <t xml:space="preserve">Focus</t>
  </si>
  <si>
    <t xml:space="preserve">Un estafador veterano y su aprendiza en un gran timo.</t>
  </si>
  <si>
    <t xml:space="preserve">tt2381941</t>
  </si>
  <si>
    <t xml:space="preserve">The Crash Reel</t>
  </si>
  <si>
    <t xml:space="preserve">Lucy Walker</t>
  </si>
  <si>
    <t xml:space="preserve">Un snowboarder se recupera de una lesión cerebral grave.</t>
  </si>
  <si>
    <t xml:space="preserve">tt2499076</t>
  </si>
  <si>
    <t xml:space="preserve">Centurión</t>
  </si>
  <si>
    <t xml:space="preserve">Legionarios romanos huyen tras una emboscada picta.</t>
  </si>
  <si>
    <t xml:space="preserve">tt1020558</t>
  </si>
  <si>
    <t xml:space="preserve">Ciudadano X</t>
  </si>
  <si>
    <t xml:space="preserve">Chris Gerolmo</t>
  </si>
  <si>
    <t xml:space="preserve">Un detective soviético persigue a un asesino en serie.</t>
  </si>
  <si>
    <t xml:space="preserve">tt0112681</t>
  </si>
  <si>
    <t xml:space="preserve">El cartero siempre llama dos veces</t>
  </si>
  <si>
    <t xml:space="preserve">Bob Rafelson</t>
  </si>
  <si>
    <t xml:space="preserve">Un vagabundo y la esposa de un tabernero planean un crimen.</t>
  </si>
  <si>
    <t xml:space="preserve">tt0082934</t>
  </si>
  <si>
    <t xml:space="preserve">El jinete pálido</t>
  </si>
  <si>
    <t xml:space="preserve">Un predicador armado defiende a unos buscadores de oro.</t>
  </si>
  <si>
    <t xml:space="preserve">tt0089767</t>
  </si>
  <si>
    <t xml:space="preserve">Narc</t>
  </si>
  <si>
    <t xml:space="preserve">Dos policías investigan la muerte de un agente infiltrado.</t>
  </si>
  <si>
    <t xml:space="preserve">tt0272207</t>
  </si>
  <si>
    <t xml:space="preserve">San Andrés</t>
  </si>
  <si>
    <t xml:space="preserve">Brad Peyton</t>
  </si>
  <si>
    <t xml:space="preserve">Canadá, EE.UU., Australia</t>
  </si>
  <si>
    <t xml:space="preserve">Un rescatador busca a su hija tras un gran terremoto.</t>
  </si>
  <si>
    <t xml:space="preserve">tt2126355</t>
  </si>
  <si>
    <t xml:space="preserve">Spanglish</t>
  </si>
  <si>
    <t xml:space="preserve">Basada en hechos reales</t>
  </si>
  <si>
    <t xml:space="preserve">Una criada mexicana y la familia californiana que la emplea.</t>
  </si>
  <si>
    <t xml:space="preserve">tt0371246</t>
  </si>
  <si>
    <t xml:space="preserve">Ahora o nunca</t>
  </si>
  <si>
    <t xml:space="preserve">María Ripoll</t>
  </si>
  <si>
    <t xml:space="preserve">Una boda en Inglaterra a punto de irse al traste.</t>
  </si>
  <si>
    <t xml:space="preserve">tt4161962</t>
  </si>
  <si>
    <t xml:space="preserve">Los chicos del maíz</t>
  </si>
  <si>
    <t xml:space="preserve">Fritz Kiersch</t>
  </si>
  <si>
    <t xml:space="preserve">Una pareja llega a un pueblo gobernado por niños fanáticos.</t>
  </si>
  <si>
    <t xml:space="preserve">tt0087050</t>
  </si>
  <si>
    <t xml:space="preserve">Kingsman: Servicio secreto</t>
  </si>
  <si>
    <t xml:space="preserve">Un chaval de barrio entra en una agencia de espías elegante.</t>
  </si>
  <si>
    <t xml:space="preserve">tt2802144</t>
  </si>
  <si>
    <t xml:space="preserve">Madagascar</t>
  </si>
  <si>
    <t xml:space="preserve">Eric Darnell,Tom McGrath</t>
  </si>
  <si>
    <t xml:space="preserve">Cuatro animales de zoo acaban en una isla salvaje.</t>
  </si>
  <si>
    <t xml:space="preserve">tt0351283</t>
  </si>
  <si>
    <t xml:space="preserve">Madagascar 2</t>
  </si>
  <si>
    <t xml:space="preserve">Prime, Movistar Plus+ Ficción Total , SkyShowtime, rtve, Tivify</t>
  </si>
  <si>
    <t xml:space="preserve">Los animales acaban en la sabana africana.</t>
  </si>
  <si>
    <t xml:space="preserve">tt0479952</t>
  </si>
  <si>
    <t xml:space="preserve">Messi</t>
  </si>
  <si>
    <t xml:space="preserve">Documental sobre la trayectoria del futbolista.</t>
  </si>
  <si>
    <t xml:space="preserve">tt3538766</t>
  </si>
  <si>
    <t xml:space="preserve">Annabelle</t>
  </si>
  <si>
    <t xml:space="preserve">John R. Leonetti</t>
  </si>
  <si>
    <t xml:space="preserve">Tivify, AMC Channels Amazon Channel</t>
  </si>
  <si>
    <t xml:space="preserve">Una muñeca poseída acosa a un matrimonio.</t>
  </si>
  <si>
    <t xml:space="preserve">tt3322940</t>
  </si>
  <si>
    <t xml:space="preserve">Madagascar 3: De marcha por Europa</t>
  </si>
  <si>
    <t xml:space="preserve">Eric Darnell,Tom McGrath,Conrad Vernon</t>
  </si>
  <si>
    <t xml:space="preserve">Los animales se esconden en un circo europeo.</t>
  </si>
  <si>
    <t xml:space="preserve">tt1277953</t>
  </si>
  <si>
    <t xml:space="preserve">L.A. Confidential</t>
  </si>
  <si>
    <t xml:space="preserve">Tres policías destapan la corrupción del Los Ángeles de los cincuenta.</t>
  </si>
  <si>
    <t xml:space="preserve">tt0119488</t>
  </si>
  <si>
    <t xml:space="preserve">The Eye</t>
  </si>
  <si>
    <t xml:space="preserve">David Moreau,Xavier Palud</t>
  </si>
  <si>
    <t xml:space="preserve">Una ciega recupera la vista con un trasplante y ve muertos.</t>
  </si>
  <si>
    <t xml:space="preserve">tt0406759</t>
  </si>
  <si>
    <t xml:space="preserve">Anacleto: Agente secreto</t>
  </si>
  <si>
    <t xml:space="preserve">Un joven descubre que su padre es un espía.</t>
  </si>
  <si>
    <t xml:space="preserve">tt3510480</t>
  </si>
  <si>
    <t xml:space="preserve">El mensajero</t>
  </si>
  <si>
    <t xml:space="preserve">Ric Roman Waugh</t>
  </si>
  <si>
    <t xml:space="preserve">Un mensajero se ve envuelto en una trama criminal.</t>
  </si>
  <si>
    <t xml:space="preserve">tt0882977</t>
  </si>
  <si>
    <t xml:space="preserve">Hacia rutas salvajes</t>
  </si>
  <si>
    <t xml:space="preserve">Sean Penn</t>
  </si>
  <si>
    <t xml:space="preserve">Un joven abandona todo para vivir en Alaska.</t>
  </si>
  <si>
    <t xml:space="preserve">tt0758758</t>
  </si>
  <si>
    <t xml:space="preserve">Pandorum</t>
  </si>
  <si>
    <t xml:space="preserve">Christian Alvart</t>
  </si>
  <si>
    <t xml:space="preserve">Dos tripulantes despiertan sin memoria en una nave a la deriva.</t>
  </si>
  <si>
    <t xml:space="preserve">tt1188729</t>
  </si>
  <si>
    <t xml:space="preserve">Niños grandes 2</t>
  </si>
  <si>
    <t xml:space="preserve">Los amigos afrontan la vida en su pueblo natal.</t>
  </si>
  <si>
    <t xml:space="preserve">tt2191701</t>
  </si>
  <si>
    <t xml:space="preserve">Black Mass: Estrictamente criminal</t>
  </si>
  <si>
    <t xml:space="preserve">Scott Cooper</t>
  </si>
  <si>
    <t xml:space="preserve">Un capo de Boston colabora con el FBI mientras crece.</t>
  </si>
  <si>
    <t xml:space="preserve">tt1355683</t>
  </si>
  <si>
    <t xml:space="preserve">Leigh Whannell</t>
  </si>
  <si>
    <t xml:space="preserve">Una vidente ayuda a una adolescente acosada por un espíritu.</t>
  </si>
  <si>
    <t xml:space="preserve">tt3195644</t>
  </si>
  <si>
    <t xml:space="preserve">Yo, Frankenstein</t>
  </si>
  <si>
    <t xml:space="preserve">Stuart Beattie</t>
  </si>
  <si>
    <t xml:space="preserve">La criatura media en una guerra entre gárgolas y demonios.</t>
  </si>
  <si>
    <t xml:space="preserve">tt1418377</t>
  </si>
  <si>
    <t xml:space="preserve">Don Jon</t>
  </si>
  <si>
    <t xml:space="preserve">Joseph Gordon-Levitt</t>
  </si>
  <si>
    <t xml:space="preserve">Filmin, Tivify, AMC Channels Amazon Channel</t>
  </si>
  <si>
    <t xml:space="preserve">Un mujeriego adicto al porno intenta tener una relación real.</t>
  </si>
  <si>
    <t xml:space="preserve">tt2229499</t>
  </si>
  <si>
    <t xml:space="preserve">Los minions</t>
  </si>
  <si>
    <t xml:space="preserve">Kyle Balda,Pierre Coffin</t>
  </si>
  <si>
    <t xml:space="preserve">Los secuaces amarillos buscan un nuevo amo a quien servir.</t>
  </si>
  <si>
    <t xml:space="preserve">tt2293640</t>
  </si>
  <si>
    <t xml:space="preserve">Hotel Transilvania</t>
  </si>
  <si>
    <t xml:space="preserve">Drácula regenta un hotel para monstruos.</t>
  </si>
  <si>
    <t xml:space="preserve">tt0837562</t>
  </si>
  <si>
    <t xml:space="preserve">Riddick</t>
  </si>
  <si>
    <t xml:space="preserve">Riddick abandonado en un planeta hostil atrae a cazarrecompensas.</t>
  </si>
  <si>
    <t xml:space="preserve">tt1411250</t>
  </si>
  <si>
    <t xml:space="preserve">Lucy</t>
  </si>
  <si>
    <t xml:space="preserve">Una mujer expuesta a una droga desarrolla capacidades ilimitadas.</t>
  </si>
  <si>
    <t xml:space="preserve">tt2872732</t>
  </si>
  <si>
    <t xml:space="preserve">El puente de los espías</t>
  </si>
  <si>
    <t xml:space="preserve">India, EE.UU., Alemania</t>
  </si>
  <si>
    <t xml:space="preserve">Un abogado negocia un intercambio de espías en la Guerra Fría.</t>
  </si>
  <si>
    <t xml:space="preserve">tt3682448</t>
  </si>
  <si>
    <t xml:space="preserve">Los Picapiedra</t>
  </si>
  <si>
    <t xml:space="preserve">Brian Levant</t>
  </si>
  <si>
    <t xml:space="preserve">La familia de la Edad de Piedra en versión real.</t>
  </si>
  <si>
    <t xml:space="preserve">tt0109813</t>
  </si>
  <si>
    <t xml:space="preserve">Ant-Man</t>
  </si>
  <si>
    <t xml:space="preserve">Un ladrón hereda un traje que le permite encoger.</t>
  </si>
  <si>
    <t xml:space="preserve">tt0478970</t>
  </si>
  <si>
    <t xml:space="preserve">Blue Jasmine</t>
  </si>
  <si>
    <t xml:space="preserve">Una neoyorquina arruinada se muda con su hermana.</t>
  </si>
  <si>
    <t xml:space="preserve">tt2334873</t>
  </si>
  <si>
    <t xml:space="preserve">El hombre de acero</t>
  </si>
  <si>
    <t xml:space="preserve">Netflix, Prime, Movistar Plus+ Ficción Total , atresplayer, HBO Max, Tivify, HBO Max Amazon Channel</t>
  </si>
  <si>
    <t xml:space="preserve">El origen de Superman y su choque con el general Zod.</t>
  </si>
  <si>
    <t xml:space="preserve">tt0770828</t>
  </si>
  <si>
    <t xml:space="preserve">La gran apuesta</t>
  </si>
  <si>
    <t xml:space="preserve">Unos inversores apuestan contra la burbuja inmobiliaria.</t>
  </si>
  <si>
    <t xml:space="preserve">tt1596363</t>
  </si>
  <si>
    <t xml:space="preserve">4 Fantásticos</t>
  </si>
  <si>
    <t xml:space="preserve">Cuatro jóvenes adquieren poderes en otra dimensión.</t>
  </si>
  <si>
    <t xml:space="preserve">tt1502712</t>
  </si>
  <si>
    <t xml:space="preserve">La batalla de Argel</t>
  </si>
  <si>
    <t xml:space="preserve">Gillo Pontecorvo</t>
  </si>
  <si>
    <t xml:space="preserve">Italia, Argelia</t>
  </si>
  <si>
    <t xml:space="preserve">La insurrección argelina contra la ocupación francesa.</t>
  </si>
  <si>
    <t xml:space="preserve">Su falso documental sobre la guerrilla urbana se estudia aún en academias militares.</t>
  </si>
  <si>
    <t xml:space="preserve">tt0058946</t>
  </si>
  <si>
    <t xml:space="preserve">Arac Attack</t>
  </si>
  <si>
    <t xml:space="preserve">Ellory Elkayem</t>
  </si>
  <si>
    <t xml:space="preserve">Arañas gigantes invaden un pueblo de Arizona.</t>
  </si>
  <si>
    <t xml:space="preserve">tt0271367</t>
  </si>
  <si>
    <t xml:space="preserve">Los caballeros de la mesa cuadrada y sus locos seguidores</t>
  </si>
  <si>
    <t xml:space="preserve">Terry Gilliam,Terry Jones</t>
  </si>
  <si>
    <t xml:space="preserve">Parodia de la búsqueda del Santo Grial.</t>
  </si>
  <si>
    <t xml:space="preserve">tt0071853</t>
  </si>
  <si>
    <t xml:space="preserve">Europa Europa</t>
  </si>
  <si>
    <t xml:space="preserve">Alemania, Francia, Polonia</t>
  </si>
  <si>
    <t xml:space="preserve">Un judío sobrevive haciéndose pasar por ario en las juventudes nazis.</t>
  </si>
  <si>
    <t xml:space="preserve">tt0099776</t>
  </si>
  <si>
    <t xml:space="preserve">Hotel Transilvania 2</t>
  </si>
  <si>
    <t xml:space="preserve">Prime, Tivify, 3Cat</t>
  </si>
  <si>
    <t xml:space="preserve">Drácula teme que su nieto no sea vampiro.</t>
  </si>
  <si>
    <t xml:space="preserve">tt2510894</t>
  </si>
  <si>
    <t xml:space="preserve">El imperio contraataca</t>
  </si>
  <si>
    <t xml:space="preserve">Irvin Kershner</t>
  </si>
  <si>
    <t xml:space="preserve">La Rebelión huye del Imperio y Luke entrena con Yoda.</t>
  </si>
  <si>
    <t xml:space="preserve">tt0080684</t>
  </si>
  <si>
    <t xml:space="preserve">Star Wars: Episodio II - El ataque de los clones</t>
  </si>
  <si>
    <t xml:space="preserve">Anakin y Padmé se enamoran mientras estalla la guerra.</t>
  </si>
  <si>
    <t xml:space="preserve">tt0121765</t>
  </si>
  <si>
    <t xml:space="preserve">Star Wars: Episodio I - La amenaza fantasma</t>
  </si>
  <si>
    <t xml:space="preserve">Dos jedis descubren a un niño con un enorme potencial.</t>
  </si>
  <si>
    <t xml:space="preserve">tt0120915</t>
  </si>
  <si>
    <t xml:space="preserve">La guerra de las galaxias</t>
  </si>
  <si>
    <t xml:space="preserve">Un granjero se une a la rebelión contra el Imperio.</t>
  </si>
  <si>
    <t xml:space="preserve">Consolidó el blockbuster moderno y el negocio del merchandising.</t>
  </si>
  <si>
    <t xml:space="preserve">tt0076759</t>
  </si>
  <si>
    <t xml:space="preserve">El retorno del jedi</t>
  </si>
  <si>
    <t xml:space="preserve">Richard Marquand</t>
  </si>
  <si>
    <t xml:space="preserve">Luke se enfrenta a Vader mientras cae el Imperio.</t>
  </si>
  <si>
    <t xml:space="preserve">tt0086190</t>
  </si>
  <si>
    <t xml:space="preserve">El becario</t>
  </si>
  <si>
    <t xml:space="preserve">Nancy Meyers</t>
  </si>
  <si>
    <t xml:space="preserve">Un jubilado hace prácticas en una empresa de moda online.</t>
  </si>
  <si>
    <t xml:space="preserve">tt2361509</t>
  </si>
  <si>
    <t xml:space="preserve">Everest</t>
  </si>
  <si>
    <t xml:space="preserve">Baltasar Kormákur</t>
  </si>
  <si>
    <t xml:space="preserve">Islandia, EE.UU., Reino Unido</t>
  </si>
  <si>
    <t xml:space="preserve">Dos expediciones atrapadas por una tormenta en la cumbre.</t>
  </si>
  <si>
    <t xml:space="preserve">tt2719848</t>
  </si>
  <si>
    <t xml:space="preserve">Donnie Brasco</t>
  </si>
  <si>
    <t xml:space="preserve">Un agente del FBI se infiltra en la mafia neoyorquina.</t>
  </si>
  <si>
    <t xml:space="preserve">tt0119008</t>
  </si>
  <si>
    <t xml:space="preserve">Algunos hombres buenos</t>
  </si>
  <si>
    <t xml:space="preserve">Dos marines juzgados y un abogado que busca la verdad.</t>
  </si>
  <si>
    <t xml:space="preserve">tt0104257</t>
  </si>
  <si>
    <t xml:space="preserve">Pixels</t>
  </si>
  <si>
    <t xml:space="preserve">Alienígenas atacan la Tierra con forma de videojuegos clásicos.</t>
  </si>
  <si>
    <t xml:space="preserve">tt2120120</t>
  </si>
  <si>
    <t xml:space="preserve">El guerrero pacífico</t>
  </si>
  <si>
    <t xml:space="preserve">Victor Salva</t>
  </si>
  <si>
    <t xml:space="preserve">Un gimnasta aprende filosofía de un anciano gasolinero.</t>
  </si>
  <si>
    <t xml:space="preserve">tt0438315</t>
  </si>
  <si>
    <t xml:space="preserve">No es otra estúpida película americana</t>
  </si>
  <si>
    <t xml:space="preserve">Joel Gallen</t>
  </si>
  <si>
    <t xml:space="preserve">Parodia de las comedias adolescentes.</t>
  </si>
  <si>
    <t xml:space="preserve">tt0277371</t>
  </si>
  <si>
    <t xml:space="preserve">Kick-Ass: Listo para machacar</t>
  </si>
  <si>
    <t xml:space="preserve">Un adolescente sin poderes decide ser superhéroe.</t>
  </si>
  <si>
    <t xml:space="preserve">tt1250777</t>
  </si>
  <si>
    <t xml:space="preserve">Deadpool</t>
  </si>
  <si>
    <t xml:space="preserve">Tim Miller</t>
  </si>
  <si>
    <t xml:space="preserve">Un mercenario deslenguado busca al hombre que lo desfiguró.</t>
  </si>
  <si>
    <t xml:space="preserve">tt1431045</t>
  </si>
  <si>
    <t xml:space="preserve">Juno</t>
  </si>
  <si>
    <t xml:space="preserve">Una adolescente embarazada busca padres para su bebé.</t>
  </si>
  <si>
    <t xml:space="preserve">tt0467406</t>
  </si>
  <si>
    <t xml:space="preserve">Operación U.N.C.L.E.</t>
  </si>
  <si>
    <t xml:space="preserve">Un agente de la CIA y otro del KGB trabajan juntos.</t>
  </si>
  <si>
    <t xml:space="preserve">tt1638355</t>
  </si>
  <si>
    <t xml:space="preserve">Ocho apellidos catalanes</t>
  </si>
  <si>
    <t xml:space="preserve">La pareja sevillano-vasca se enfrenta a una familia catalana.</t>
  </si>
  <si>
    <t xml:space="preserve">tt3626742</t>
  </si>
  <si>
    <t xml:space="preserve">Batman v Superman: El amanecer de la justicia</t>
  </si>
  <si>
    <t xml:space="preserve">Los dos héroes chocan antes de unir fuerzas.</t>
  </si>
  <si>
    <t xml:space="preserve">tt2975590</t>
  </si>
  <si>
    <t xml:space="preserve">Arma fatal</t>
  </si>
  <si>
    <t xml:space="preserve">Movistar, Movistar Plus+ Ficción Total , Shadowz Amazon Channel</t>
  </si>
  <si>
    <t xml:space="preserve">Un policía urbano es destinado a un pueblo idílico y siniestro.</t>
  </si>
  <si>
    <t xml:space="preserve">tt0425112</t>
  </si>
  <si>
    <t xml:space="preserve">Alvin y las ardillas</t>
  </si>
  <si>
    <t xml:space="preserve">Tim Hill</t>
  </si>
  <si>
    <t xml:space="preserve">Tres ardillas cantantes conviven con un compositor.</t>
  </si>
  <si>
    <t xml:space="preserve">tt0952640</t>
  </si>
  <si>
    <t xml:space="preserve">Rocky II</t>
  </si>
  <si>
    <t xml:space="preserve">Rocky acepta la revancha contra Apollo Creed.</t>
  </si>
  <si>
    <t xml:space="preserve">tt0079817</t>
  </si>
  <si>
    <t xml:space="preserve">Rocky III</t>
  </si>
  <si>
    <t xml:space="preserve">Rocky pierde el título y busca recuperar el hambre.</t>
  </si>
  <si>
    <t xml:space="preserve">tt0084602</t>
  </si>
  <si>
    <t xml:space="preserve">Creep</t>
  </si>
  <si>
    <t xml:space="preserve">Christopher Smith</t>
  </si>
  <si>
    <t xml:space="preserve">Un cámara acepta grabar a un cliente cada vez más inquietante.</t>
  </si>
  <si>
    <t xml:space="preserve">tt0381966</t>
  </si>
  <si>
    <t xml:space="preserve">Rocky IV</t>
  </si>
  <si>
    <t xml:space="preserve">Rocky se enfrenta a un boxeador soviético en Moscú.</t>
  </si>
  <si>
    <t xml:space="preserve">tt0089927</t>
  </si>
  <si>
    <t xml:space="preserve">Rocky V</t>
  </si>
  <si>
    <t xml:space="preserve">Rocky, arruinado, entrena a un joven boxeador.</t>
  </si>
  <si>
    <t xml:space="preserve">tt0100507</t>
  </si>
  <si>
    <t xml:space="preserve">Rocky Balboa</t>
  </si>
  <si>
    <t xml:space="preserve">Rocky vuelve al ring ya jubilado.</t>
  </si>
  <si>
    <t xml:space="preserve">tt0479143</t>
  </si>
  <si>
    <t xml:space="preserve">Superhero Movie</t>
  </si>
  <si>
    <t xml:space="preserve">Craig Mazin</t>
  </si>
  <si>
    <t xml:space="preserve">Parodia de las películas de superhéroes.</t>
  </si>
  <si>
    <t xml:space="preserve">tt0426592</t>
  </si>
  <si>
    <t xml:space="preserve">Caminando entre las tumbas</t>
  </si>
  <si>
    <t xml:space="preserve">Scott Frank</t>
  </si>
  <si>
    <t xml:space="preserve">Un detective sin licencia caza a unos secuestradores.</t>
  </si>
  <si>
    <t xml:space="preserve">tt0365907</t>
  </si>
  <si>
    <t xml:space="preserve">Exodus: Dioses y reyes</t>
  </si>
  <si>
    <t xml:space="preserve">Moisés se enfrenta a Ramsés y libera a los hebreos.</t>
  </si>
  <si>
    <t xml:space="preserve">tt1528100</t>
  </si>
  <si>
    <t xml:space="preserve">La princesa Mononoke</t>
  </si>
  <si>
    <t xml:space="preserve">Un príncipe media entre el bosque y los hombres del hierro.</t>
  </si>
  <si>
    <t xml:space="preserve">tt0119698</t>
  </si>
  <si>
    <t xml:space="preserve">Asesinos natos</t>
  </si>
  <si>
    <t xml:space="preserve">Disney+, Tivify, Rakuten</t>
  </si>
  <si>
    <t xml:space="preserve">Una pareja de asesinos convertida en fenómeno mediático.</t>
  </si>
  <si>
    <t xml:space="preserve">tt0110632</t>
  </si>
  <si>
    <t xml:space="preserve">Chappie</t>
  </si>
  <si>
    <t xml:space="preserve">México, Sudáfrica, EE.UU.</t>
  </si>
  <si>
    <t xml:space="preserve">Un robot policía desarrolla conciencia propia.</t>
  </si>
  <si>
    <t xml:space="preserve">tt1823672</t>
  </si>
  <si>
    <t xml:space="preserve">El imperio del sol</t>
  </si>
  <si>
    <t xml:space="preserve">Movistar, Movistar Plus+ Ficción Total , CanalSurMas</t>
  </si>
  <si>
    <t xml:space="preserve">Un niño británico internado en un campo japonés en Shanghái.</t>
  </si>
  <si>
    <t xml:space="preserve">tt0092965</t>
  </si>
  <si>
    <t xml:space="preserve">¿Para qué sirve un oso?</t>
  </si>
  <si>
    <t xml:space="preserve">Tom Fernández</t>
  </si>
  <si>
    <t xml:space="preserve">Dos hermanos opuestos se reencuentran en el Ártico.</t>
  </si>
  <si>
    <t xml:space="preserve">tt1735945</t>
  </si>
  <si>
    <t xml:space="preserve">Full Monty</t>
  </si>
  <si>
    <t xml:space="preserve">Peter Cattaneo</t>
  </si>
  <si>
    <t xml:space="preserve">Seis parados de Sheffield montan un espectáculo de striptease.</t>
  </si>
  <si>
    <t xml:space="preserve">tt0119164</t>
  </si>
  <si>
    <t xml:space="preserve">Tesis</t>
  </si>
  <si>
    <t xml:space="preserve">Netflix, Disney+, Movistar Plus+ Ficción Total , FlixOlé, HBO Max, FlixOlé Amazon Channel, HBO Max Amazon Channel</t>
  </si>
  <si>
    <t xml:space="preserve">Una estudiante descubre cintas de asesinatos reales.</t>
  </si>
  <si>
    <t xml:space="preserve">tt0117883</t>
  </si>
  <si>
    <t xml:space="preserve">Ahora los padres son ellos</t>
  </si>
  <si>
    <t xml:space="preserve">Las dos familias políticas vuelven a chocar.</t>
  </si>
  <si>
    <t xml:space="preserve">tt0970866</t>
  </si>
  <si>
    <t xml:space="preserve">tt3040964</t>
  </si>
  <si>
    <t xml:space="preserve">Casi 300</t>
  </si>
  <si>
    <t xml:space="preserve">Jason Friedberg,Aaron Seltzer</t>
  </si>
  <si>
    <t xml:space="preserve">Parodia de 300 y otras películas épicas.</t>
  </si>
  <si>
    <t xml:space="preserve">tt1073498</t>
  </si>
  <si>
    <t xml:space="preserve">El mundo de los perdidos</t>
  </si>
  <si>
    <t xml:space="preserve">Brad Silberling</t>
  </si>
  <si>
    <t xml:space="preserve">Un científico y su equipo caen en un mundo prehistórico.</t>
  </si>
  <si>
    <t xml:space="preserve">tt0457400</t>
  </si>
  <si>
    <t xml:space="preserve">Regreso al futuro</t>
  </si>
  <si>
    <t xml:space="preserve">Un adolescente viaja a 1955 en un DeLorean.</t>
  </si>
  <si>
    <t xml:space="preserve">tt0088763</t>
  </si>
  <si>
    <t xml:space="preserve">En busca del arca perdida</t>
  </si>
  <si>
    <t xml:space="preserve">Un arqueólogo compite con los nazis por el Arca.</t>
  </si>
  <si>
    <t xml:space="preserve">Recuperó el cine de aventuras de serie B con medios de gran producción.</t>
  </si>
  <si>
    <t xml:space="preserve">tt0082971</t>
  </si>
  <si>
    <t xml:space="preserve">El dormilón</t>
  </si>
  <si>
    <t xml:space="preserve">Un hombre despierta doscientos años después en una distopía.</t>
  </si>
  <si>
    <t xml:space="preserve">tt0070707</t>
  </si>
  <si>
    <t xml:space="preserve">La mano que mece la cuna</t>
  </si>
  <si>
    <t xml:space="preserve">Una niñera se infiltra para destruir a una familia.</t>
  </si>
  <si>
    <t xml:space="preserve">tt0104389</t>
  </si>
  <si>
    <t xml:space="preserve">Austin Powers: Misterioso agente internacional</t>
  </si>
  <si>
    <t xml:space="preserve">Un espía sesentero descongelado en los noventa.</t>
  </si>
  <si>
    <t xml:space="preserve">tt0118655</t>
  </si>
  <si>
    <t xml:space="preserve">Warcraft: El origen</t>
  </si>
  <si>
    <t xml:space="preserve">Canadá, China, Japón, EE.UU.</t>
  </si>
  <si>
    <t xml:space="preserve">Humanos y orcos chocan por un mundo agonizante.</t>
  </si>
  <si>
    <t xml:space="preserve">tt0803096</t>
  </si>
  <si>
    <t xml:space="preserve">Caballeros, princesas y otras bestias</t>
  </si>
  <si>
    <t xml:space="preserve">Dos príncipes torpes en una misión de rescate.</t>
  </si>
  <si>
    <t xml:space="preserve">tt1240982</t>
  </si>
  <si>
    <t xml:space="preserve">El año de la garrapata</t>
  </si>
  <si>
    <t xml:space="preserve">Jorge Coira</t>
  </si>
  <si>
    <t xml:space="preserve">Un estudiante investiga la desaparición de su hermano.</t>
  </si>
  <si>
    <t xml:space="preserve">tt0416492</t>
  </si>
  <si>
    <t xml:space="preserve">Cube 2: Hypercube</t>
  </si>
  <si>
    <t xml:space="preserve">Andrzej Sekula</t>
  </si>
  <si>
    <t xml:space="preserve">Nuevos prisioneros en un cubo con leyes físicas alteradas.</t>
  </si>
  <si>
    <t xml:space="preserve">tt0285492</t>
  </si>
  <si>
    <t xml:space="preserve">Indonesia, EE.UU., Francia</t>
  </si>
  <si>
    <t xml:space="preserve">Creed. La leyenda de Rocky</t>
  </si>
  <si>
    <t xml:space="preserve">El hijo de Apollo Creed es entrenado por Rocky.</t>
  </si>
  <si>
    <t xml:space="preserve">tt3076658</t>
  </si>
  <si>
    <t xml:space="preserve">Kiss Kiss, Bang Bang</t>
  </si>
  <si>
    <t xml:space="preserve">Un ladrón se hace pasar por actor y acaba en un crimen real.</t>
  </si>
  <si>
    <t xml:space="preserve">tt0373469</t>
  </si>
  <si>
    <t xml:space="preserve">Torrente: El brazo tonto de la ley</t>
  </si>
  <si>
    <t xml:space="preserve">Un policía corrupto y machista investiga por su cuenta.</t>
  </si>
  <si>
    <t xml:space="preserve">tt0120868</t>
  </si>
  <si>
    <t xml:space="preserve">Torrente Presidente</t>
  </si>
  <si>
    <t xml:space="preserve">Torrente se lanza a la política.</t>
  </si>
  <si>
    <t xml:space="preserve">tt37969901</t>
  </si>
  <si>
    <t xml:space="preserve">Rocky</t>
  </si>
  <si>
    <t xml:space="preserve">Un boxeador de barrio consigue pelear por el título.</t>
  </si>
  <si>
    <t xml:space="preserve">tt0075148</t>
  </si>
  <si>
    <t xml:space="preserve">Club Desmadre</t>
  </si>
  <si>
    <t xml:space="preserve">Jay Chandrasekhar</t>
  </si>
  <si>
    <t xml:space="preserve">Un grupo de universitarios monta una fraternidad.</t>
  </si>
  <si>
    <t xml:space="preserve">tt0331953</t>
  </si>
  <si>
    <t xml:space="preserve">Kung Fu Panda 3</t>
  </si>
  <si>
    <t xml:space="preserve">Alessandro Carloni,Jennifer Yuh Nelson</t>
  </si>
  <si>
    <t xml:space="preserve">Po conoce a su padre biológico y a un enemigo espiritual.</t>
  </si>
  <si>
    <t xml:space="preserve">tt2267968</t>
  </si>
  <si>
    <t xml:space="preserve">Regresión</t>
  </si>
  <si>
    <t xml:space="preserve">Canadá, España</t>
  </si>
  <si>
    <t xml:space="preserve">Un detective investiga un caso de abusos rituales.</t>
  </si>
  <si>
    <t xml:space="preserve">tt3319920</t>
  </si>
  <si>
    <t xml:space="preserve">Piratas del Caribe: El cofre del hombre muerto</t>
  </si>
  <si>
    <t xml:space="preserve">Jack Sparrow debe saldar su deuda con Davy Jones.</t>
  </si>
  <si>
    <t xml:space="preserve">tt0383574</t>
  </si>
  <si>
    <t xml:space="preserve">Infiltrados en la universidad</t>
  </si>
  <si>
    <t xml:space="preserve">Los dos policías repiten la jugada en la facultad.</t>
  </si>
  <si>
    <t xml:space="preserve">tt2294449</t>
  </si>
  <si>
    <t xml:space="preserve">Jason Bourne</t>
  </si>
  <si>
    <t xml:space="preserve">Bourne sale del retiro al descubrir algo sobre su padre.</t>
  </si>
  <si>
    <t xml:space="preserve">tt4196776</t>
  </si>
  <si>
    <t xml:space="preserve">El legado de Bourne</t>
  </si>
  <si>
    <t xml:space="preserve">Tony Gilroy</t>
  </si>
  <si>
    <t xml:space="preserve">Otro agente del programa huye tras su desmantelamiento.</t>
  </si>
  <si>
    <t xml:space="preserve">tt1194173</t>
  </si>
  <si>
    <t xml:space="preserve">El doble del diablo</t>
  </si>
  <si>
    <t xml:space="preserve">Un soldado obligado a hacer de doble del hijo de Sadam.</t>
  </si>
  <si>
    <t xml:space="preserve">tt1270262</t>
  </si>
  <si>
    <t xml:space="preserve">La leyenda de Tarzán</t>
  </si>
  <si>
    <t xml:space="preserve">Tarzán vuelve al Congo ya convertido en lord inglés.</t>
  </si>
  <si>
    <t xml:space="preserve">tt0918940</t>
  </si>
  <si>
    <t xml:space="preserve">La quinta ola</t>
  </si>
  <si>
    <t xml:space="preserve">J Blakeson</t>
  </si>
  <si>
    <t xml:space="preserve">Una adolescente busca a su hermano tras una invasión alienígena.</t>
  </si>
  <si>
    <t xml:space="preserve">tt2304933</t>
  </si>
  <si>
    <t xml:space="preserve">Vicky Cristina Barcelona</t>
  </si>
  <si>
    <t xml:space="preserve">Dos americanas se enredan con un pintor en Barcelona.</t>
  </si>
  <si>
    <t xml:space="preserve">tt0497465</t>
  </si>
  <si>
    <t xml:space="preserve">Death Proof</t>
  </si>
  <si>
    <t xml:space="preserve">Slasher</t>
  </si>
  <si>
    <t xml:space="preserve">Un especialista mata mujeres con su coche a prueba de muerte.</t>
  </si>
  <si>
    <t xml:space="preserve">tt1028528</t>
  </si>
  <si>
    <t xml:space="preserve">Líbranos del mal</t>
  </si>
  <si>
    <t xml:space="preserve">Un policía de Nueva York colabora con un cura exorcista.</t>
  </si>
  <si>
    <t xml:space="preserve">tt2377322</t>
  </si>
  <si>
    <t xml:space="preserve">El día de la bestia</t>
  </si>
  <si>
    <t xml:space="preserve">Italia, España</t>
  </si>
  <si>
    <t xml:space="preserve">Movistar Plus+ Ficción Total , FlixOlé, HBO Max, FlixOlé Amazon Channel, HBO Max Amazon Channel</t>
  </si>
  <si>
    <t xml:space="preserve">Un cura, un heavy y un vidente buscan al Anticristo en Madrid.</t>
  </si>
  <si>
    <t xml:space="preserve">tt0112922</t>
  </si>
  <si>
    <t xml:space="preserve">Zoolander No. 2</t>
  </si>
  <si>
    <t xml:space="preserve">Los modelos vuelven a la pasarela y a una conspiración.</t>
  </si>
  <si>
    <t xml:space="preserve">tt1608290</t>
  </si>
  <si>
    <t xml:space="preserve">El jovencito Frankenstein</t>
  </si>
  <si>
    <t xml:space="preserve">Mel Brooks</t>
  </si>
  <si>
    <t xml:space="preserve">El nieto del doctor repite el experimento familiar.</t>
  </si>
  <si>
    <t xml:space="preserve">tt0072431</t>
  </si>
  <si>
    <t xml:space="preserve">(500) días juntos</t>
  </si>
  <si>
    <t xml:space="preserve">La historia de una relación contada en desorden.</t>
  </si>
  <si>
    <t xml:space="preserve">tt1022603</t>
  </si>
  <si>
    <t xml:space="preserve">Escuadrón suicida</t>
  </si>
  <si>
    <t xml:space="preserve">Un equipo de villanos cumple una misión suicida.</t>
  </si>
  <si>
    <t xml:space="preserve">tt1386697</t>
  </si>
  <si>
    <t xml:space="preserve">Romeo y Julieta de William Shakespeare</t>
  </si>
  <si>
    <t xml:space="preserve">La tragedia clásica trasladada a una ciudad moderna.</t>
  </si>
  <si>
    <t xml:space="preserve">tt0117509</t>
  </si>
  <si>
    <t xml:space="preserve">Calabria</t>
  </si>
  <si>
    <t xml:space="preserve">Francesco Munzi</t>
  </si>
  <si>
    <t xml:space="preserve">Una familia calabresa atrapada en la vendetta de la Ndrangheta.</t>
  </si>
  <si>
    <t xml:space="preserve">tt3894190</t>
  </si>
  <si>
    <t xml:space="preserve">La vaquilla</t>
  </si>
  <si>
    <t xml:space="preserve">Soldados republicanos intentan robar una vaquilla al bando nacional.</t>
  </si>
  <si>
    <t xml:space="preserve">tt0090250</t>
  </si>
  <si>
    <t xml:space="preserve">Días de radio</t>
  </si>
  <si>
    <t xml:space="preserve">Recuerdos de una familia judía en la era dorada de la radio.</t>
  </si>
  <si>
    <t xml:space="preserve">tt0093818</t>
  </si>
  <si>
    <t xml:space="preserve">2 Guns</t>
  </si>
  <si>
    <t xml:space="preserve">Dos infiltrados se roban entre sí sin saber quién es quién.</t>
  </si>
  <si>
    <t xml:space="preserve">tt1272878</t>
  </si>
  <si>
    <t xml:space="preserve">Sully</t>
  </si>
  <si>
    <t xml:space="preserve">El piloto que amerizó en el Hudson es investigado.</t>
  </si>
  <si>
    <t xml:space="preserve">tt3263904</t>
  </si>
  <si>
    <t xml:space="preserve">Airbag</t>
  </si>
  <si>
    <t xml:space="preserve">Juanma Bajo Ulloa</t>
  </si>
  <si>
    <t xml:space="preserve">Alemania, España, Portugal</t>
  </si>
  <si>
    <t xml:space="preserve">Tres amigos pierden un anillo en un burdel y se meten en líos.</t>
  </si>
  <si>
    <t xml:space="preserve">tt0115487</t>
  </si>
  <si>
    <t xml:space="preserve">Planeta Tierra: ¿Somos historia?</t>
  </si>
  <si>
    <t xml:space="preserve">Fisher Stevens</t>
  </si>
  <si>
    <t xml:space="preserve">Documental sobre el impacto humano en el planeta.</t>
  </si>
  <si>
    <t xml:space="preserve">tt5929776</t>
  </si>
  <si>
    <t xml:space="preserve">Asesinos de élite</t>
  </si>
  <si>
    <t xml:space="preserve">Gary McKendry</t>
  </si>
  <si>
    <t xml:space="preserve">Un sicario retirado vuelve para salvar a su mentor.</t>
  </si>
  <si>
    <t xml:space="preserve">tt1448755</t>
  </si>
  <si>
    <t xml:space="preserve">El clan de los irlandeses</t>
  </si>
  <si>
    <t xml:space="preserve">Phil Joanou</t>
  </si>
  <si>
    <t xml:space="preserve">La rivalidad entre la mafia irlandesa y la italiana.</t>
  </si>
  <si>
    <t xml:space="preserve">tt0100685</t>
  </si>
  <si>
    <t xml:space="preserve">Braindead: tu madre se ha comido a mi perro</t>
  </si>
  <si>
    <t xml:space="preserve">Un joven oculta a su madre convertida en zombi.</t>
  </si>
  <si>
    <t xml:space="preserve">tt0103873</t>
  </si>
  <si>
    <t xml:space="preserve">Kiki, el amor se hace</t>
  </si>
  <si>
    <t xml:space="preserve">Paco León</t>
  </si>
  <si>
    <t xml:space="preserve">Cinco parejas madrileñas y sus filias sexuales.</t>
  </si>
  <si>
    <t xml:space="preserve">tt4922692</t>
  </si>
  <si>
    <t xml:space="preserve">Animales fantásticos y dónde encontrarlos</t>
  </si>
  <si>
    <t xml:space="preserve">Un magizoólogo pierde sus criaturas en Nueva York.</t>
  </si>
  <si>
    <t xml:space="preserve">tt3183660</t>
  </si>
  <si>
    <t xml:space="preserve">Pacific Rim</t>
  </si>
  <si>
    <t xml:space="preserve">Robots gigantes defienden la Tierra de monstruos marinos.</t>
  </si>
  <si>
    <t xml:space="preserve">tt1663662</t>
  </si>
  <si>
    <t xml:space="preserve">Un espía y medio</t>
  </si>
  <si>
    <t xml:space="preserve">Un contable es arrastrado a una misión por un excompañero.</t>
  </si>
  <si>
    <t xml:space="preserve">tt1489889</t>
  </si>
  <si>
    <t xml:space="preserve">Top Secret!</t>
  </si>
  <si>
    <t xml:space="preserve">Jim Abrahams,David Zucker,Jerry Zucker</t>
  </si>
  <si>
    <t xml:space="preserve">Parodia de las películas de espías y de Elvis.</t>
  </si>
  <si>
    <t xml:space="preserve">tt0088286</t>
  </si>
  <si>
    <t xml:space="preserve">Un pez llamado Wanda</t>
  </si>
  <si>
    <t xml:space="preserve">Charles Crichton,John Cleese</t>
  </si>
  <si>
    <t xml:space="preserve">Cuatro ladrones se traicionan tras un robo de diamantes.</t>
  </si>
  <si>
    <t xml:space="preserve">tt0095159</t>
  </si>
  <si>
    <t xml:space="preserve">Immortals</t>
  </si>
  <si>
    <t xml:space="preserve">Un campesino griego se enfrenta a un rey y a los titanes.</t>
  </si>
  <si>
    <t xml:space="preserve">tt1253864</t>
  </si>
  <si>
    <t xml:space="preserve">La escopeta nacional</t>
  </si>
  <si>
    <t xml:space="preserve">Un empresario catalán organiza una cacería con el poder franquista.</t>
  </si>
  <si>
    <t xml:space="preserve">tt0076001</t>
  </si>
  <si>
    <t xml:space="preserve">Ha vuelto</t>
  </si>
  <si>
    <t xml:space="preserve">David Wnendt</t>
  </si>
  <si>
    <t xml:space="preserve">Hitler reaparece en la Alemania actual y triunfa en televisión.</t>
  </si>
  <si>
    <t xml:space="preserve">tt4176826</t>
  </si>
  <si>
    <t xml:space="preserve">Ice Age: El gran cataclismo</t>
  </si>
  <si>
    <t xml:space="preserve">Michael Thurmeier,Galen T. Chu</t>
  </si>
  <si>
    <t xml:space="preserve">La manada evita el impacto de un asteroide.</t>
  </si>
  <si>
    <t xml:space="preserve">tt3416828</t>
  </si>
  <si>
    <t xml:space="preserve">Múltiple</t>
  </si>
  <si>
    <t xml:space="preserve">Tres chicas secuestradas por un hombre con múltiples personalidades.</t>
  </si>
  <si>
    <t xml:space="preserve">tt4972582</t>
  </si>
  <si>
    <t xml:space="preserve">Aladdín y el rey de los ladrones</t>
  </si>
  <si>
    <t xml:space="preserve">Tad Stones</t>
  </si>
  <si>
    <t xml:space="preserve">Aladdín conoce a su padre antes de casarse.</t>
  </si>
  <si>
    <t xml:space="preserve">tt0115491</t>
  </si>
  <si>
    <t xml:space="preserve">El planeta de los simios</t>
  </si>
  <si>
    <t xml:space="preserve">Un astronauta aterriza en un mundo dominado por simios.</t>
  </si>
  <si>
    <t xml:space="preserve">tt0133152</t>
  </si>
  <si>
    <t xml:space="preserve">Pa negre</t>
  </si>
  <si>
    <t xml:space="preserve">Agustí Villaronga</t>
  </si>
  <si>
    <t xml:space="preserve">Un niño halla un cadáver en la Cataluña de posguerra.</t>
  </si>
  <si>
    <t xml:space="preserve">tt1454523</t>
  </si>
  <si>
    <t xml:space="preserve">Los hombres libres de Jones</t>
  </si>
  <si>
    <t xml:space="preserve">Un desertor confederado funda un condado rebelde.</t>
  </si>
  <si>
    <t xml:space="preserve">tt1124037</t>
  </si>
  <si>
    <t xml:space="preserve">Tarde para la ira</t>
  </si>
  <si>
    <t xml:space="preserve">Raúl Arévalo</t>
  </si>
  <si>
    <t xml:space="preserve">Un hombre planea una venganza fría tras un atraco.</t>
  </si>
  <si>
    <t xml:space="preserve">tt4771896</t>
  </si>
  <si>
    <t xml:space="preserve">Le llaman Bodhi</t>
  </si>
  <si>
    <t xml:space="preserve">Un agente del FBI se infiltra entre surfistas atracadores.</t>
  </si>
  <si>
    <t xml:space="preserve">tt0102685</t>
  </si>
  <si>
    <t xml:space="preserve">American pie - Fraternidad Beta</t>
  </si>
  <si>
    <t xml:space="preserve">Andrew Waller</t>
  </si>
  <si>
    <t xml:space="preserve">Un novato entra en una fraternidad universitaria.</t>
  </si>
  <si>
    <t xml:space="preserve">tt0974959</t>
  </si>
  <si>
    <t xml:space="preserve">Los siete magníficos</t>
  </si>
  <si>
    <t xml:space="preserve">Siete pistoleros defienden un pueblo de un empresario.</t>
  </si>
  <si>
    <t xml:space="preserve">tt2404435</t>
  </si>
  <si>
    <t xml:space="preserve">La pantera rosa 2</t>
  </si>
  <si>
    <t xml:space="preserve">Harald Zwart</t>
  </si>
  <si>
    <t xml:space="preserve">Clouseau investiga el robo de tesoros mundiales.</t>
  </si>
  <si>
    <t xml:space="preserve">tt0838232</t>
  </si>
  <si>
    <t xml:space="preserve">Angry Birds: La película</t>
  </si>
  <si>
    <t xml:space="preserve">Clay Kaytis,Fergal Reilly</t>
  </si>
  <si>
    <t xml:space="preserve">Finlandia, EE.UU.</t>
  </si>
  <si>
    <t xml:space="preserve">Unos pájaros defienden su isla de los cerdos verdes.</t>
  </si>
  <si>
    <t xml:space="preserve">tt1985949</t>
  </si>
  <si>
    <t xml:space="preserve">Mascots</t>
  </si>
  <si>
    <t xml:space="preserve">Christopher Guest</t>
  </si>
  <si>
    <t xml:space="preserve">Falso documental sobre un concurso de mascotas deportivas.</t>
  </si>
  <si>
    <t xml:space="preserve">tt4936176</t>
  </si>
  <si>
    <t xml:space="preserve">Los colegas del barrio</t>
  </si>
  <si>
    <t xml:space="preserve">Paris Barclay</t>
  </si>
  <si>
    <t xml:space="preserve">Parodia de las películas de gueto de los noventa.</t>
  </si>
  <si>
    <t xml:space="preserve">tt0116126</t>
  </si>
  <si>
    <t xml:space="preserve">Kong: La Isla Calavera</t>
  </si>
  <si>
    <t xml:space="preserve">Jordan Vogt-Roberts</t>
  </si>
  <si>
    <t xml:space="preserve">Una expedición descubre a Kong en una isla ignota.</t>
  </si>
  <si>
    <t xml:space="preserve">tt3731562</t>
  </si>
  <si>
    <t xml:space="preserve">Marley</t>
  </si>
  <si>
    <t xml:space="preserve">Plex, Filmzie</t>
  </si>
  <si>
    <t xml:space="preserve">Documental sobre la vida y el legado de Bob Marley.</t>
  </si>
  <si>
    <t xml:space="preserve">tt1183919</t>
  </si>
  <si>
    <t xml:space="preserve">Fiesta de empresa</t>
  </si>
  <si>
    <t xml:space="preserve">Josh Gordon,Will Speck</t>
  </si>
  <si>
    <t xml:space="preserve">Una fiesta navideña descontrolada para salvar la empresa.</t>
  </si>
  <si>
    <t xml:space="preserve">tt1711525</t>
  </si>
  <si>
    <t xml:space="preserve">Iverson</t>
  </si>
  <si>
    <t xml:space="preserve">Zatella Beatty</t>
  </si>
  <si>
    <t xml:space="preserve">Documental sobre la carrera del jugador Allen Iverson.</t>
  </si>
  <si>
    <t xml:space="preserve">tt2088745</t>
  </si>
  <si>
    <t xml:space="preserve">Fast &amp; Furious 8</t>
  </si>
  <si>
    <t xml:space="preserve">Toretto traiciona a su equipo forzado por una hacker.</t>
  </si>
  <si>
    <t xml:space="preserve">tt4630562</t>
  </si>
  <si>
    <t xml:space="preserve">The Equalizer. El protector</t>
  </si>
  <si>
    <t xml:space="preserve">Un exagente retirado protege a una joven de la mafia rusa.</t>
  </si>
  <si>
    <t xml:space="preserve">tt0455944</t>
  </si>
  <si>
    <t xml:space="preserve">Juego de armas</t>
  </si>
  <si>
    <t xml:space="preserve">Camboya, EE.UU.</t>
  </si>
  <si>
    <t xml:space="preserve">Dos amigos consiguen un contrato de armas del Pentágono.</t>
  </si>
  <si>
    <t xml:space="preserve">tt2005151</t>
  </si>
  <si>
    <t xml:space="preserve">Alien: Covenant</t>
  </si>
  <si>
    <t xml:space="preserve">Australia, Canadá, Nueva Zelanda, Reino Unido, EE.UU.</t>
  </si>
  <si>
    <t xml:space="preserve">Una nave colonizadora aterriza en un planeta con aliens.</t>
  </si>
  <si>
    <t xml:space="preserve">tt2316204</t>
  </si>
  <si>
    <t xml:space="preserve">League of Gods</t>
  </si>
  <si>
    <t xml:space="preserve">Koan Hui</t>
  </si>
  <si>
    <t xml:space="preserve">Guerreros y dioses chinos luchan contra un rey tirano.</t>
  </si>
  <si>
    <t xml:space="preserve">tt5481184</t>
  </si>
  <si>
    <t xml:space="preserve">Piratas del Caribe: La venganza de Salazar</t>
  </si>
  <si>
    <t xml:space="preserve">Sparrow perseguido por un capitán fantasma.</t>
  </si>
  <si>
    <t xml:space="preserve">tt1790809</t>
  </si>
  <si>
    <t xml:space="preserve">¡Canta!</t>
  </si>
  <si>
    <t xml:space="preserve">Garth Jennings,Christophe Lourdelet</t>
  </si>
  <si>
    <t xml:space="preserve">Un koala organiza un concurso de canto para salvar su teatro.</t>
  </si>
  <si>
    <t xml:space="preserve">tt3470600</t>
  </si>
  <si>
    <t xml:space="preserve">Logan</t>
  </si>
  <si>
    <t xml:space="preserve">Un Lobezno envejecido protege a una niña mutante.</t>
  </si>
  <si>
    <t xml:space="preserve">tt3315342</t>
  </si>
  <si>
    <t xml:space="preserve">La guerra del planeta de los simios</t>
  </si>
  <si>
    <t xml:space="preserve">César lidera a los simios contra un coronel humano.</t>
  </si>
  <si>
    <t xml:space="preserve">tt3450958</t>
  </si>
  <si>
    <t xml:space="preserve">Supermaderos</t>
  </si>
  <si>
    <t xml:space="preserve">Dos guardias forestales lidian con un oso y su torpeza.</t>
  </si>
  <si>
    <t xml:space="preserve">tt0247745</t>
  </si>
  <si>
    <t xml:space="preserve">Passengers</t>
  </si>
  <si>
    <t xml:space="preserve">Dos pasajeros despiertan noventa años antes de tiempo.</t>
  </si>
  <si>
    <t xml:space="preserve">tt1355644</t>
  </si>
  <si>
    <t xml:space="preserve">It</t>
  </si>
  <si>
    <t xml:space="preserve">Francia, Irlanda, EE.UU.</t>
  </si>
  <si>
    <t xml:space="preserve">Distopía</t>
  </si>
  <si>
    <t xml:space="preserve">Prime, Movistar Plus+ Ficción Total , fuboTV, HBO Max, HBO Max Amazon Channel</t>
  </si>
  <si>
    <t xml:space="preserve">Unos niños se enfrentan a un payaso que devora a los suyos.</t>
  </si>
  <si>
    <t xml:space="preserve">tt1396484</t>
  </si>
  <si>
    <t xml:space="preserve">El último cazador de brujas</t>
  </si>
  <si>
    <t xml:space="preserve">Breck Eisner</t>
  </si>
  <si>
    <t xml:space="preserve">Un inmortal protege al mundo de las brujas.</t>
  </si>
  <si>
    <t xml:space="preserve">tt1618442</t>
  </si>
  <si>
    <t xml:space="preserve">La cabaña en el bosque</t>
  </si>
  <si>
    <t xml:space="preserve">Drew Goddard</t>
  </si>
  <si>
    <t xml:space="preserve">AMC Channels Amazon Channel, 3Cat</t>
  </si>
  <si>
    <t xml:space="preserve">Cinco jóvenes en una cabaña vigilados por una organización.</t>
  </si>
  <si>
    <t xml:space="preserve">tt1259521</t>
  </si>
  <si>
    <t xml:space="preserve">Annabelle: Creation</t>
  </si>
  <si>
    <t xml:space="preserve">David F. Sandberg</t>
  </si>
  <si>
    <t xml:space="preserve">El origen de la muñeca en casa de un fabricante de juguetes.</t>
  </si>
  <si>
    <t xml:space="preserve">tt5140878</t>
  </si>
  <si>
    <t xml:space="preserve">Barry Seal: El traficante</t>
  </si>
  <si>
    <t xml:space="preserve">Colombia, Japón, EE.UU.</t>
  </si>
  <si>
    <t xml:space="preserve">Un piloto trabaja a la vez para la CIA y para el cartel.</t>
  </si>
  <si>
    <t xml:space="preserve">tt3532216</t>
  </si>
  <si>
    <t xml:space="preserve">El secreto de Marrowbone</t>
  </si>
  <si>
    <t xml:space="preserve">Sergio G. Sánchez</t>
  </si>
  <si>
    <t xml:space="preserve">Cuatro hermanos ocultan la muerte de su madre.</t>
  </si>
  <si>
    <t xml:space="preserve">tt5886440</t>
  </si>
  <si>
    <t xml:space="preserve">Star Wars: Los últimos jedi</t>
  </si>
  <si>
    <t xml:space="preserve">Rey busca a Luke mientras la Resistencia huye.</t>
  </si>
  <si>
    <t xml:space="preserve">tt2527336</t>
  </si>
  <si>
    <t xml:space="preserve">Star Wars: El despertar de la Fuerza</t>
  </si>
  <si>
    <t xml:space="preserve">Una chatarrera y un desertor hallan a Luke Skywalker.</t>
  </si>
  <si>
    <t xml:space="preserve">tt2488496</t>
  </si>
  <si>
    <t xml:space="preserve">Déjame salir</t>
  </si>
  <si>
    <t xml:space="preserve">Un joven negro visita a la familia blanca de su novia.</t>
  </si>
  <si>
    <t xml:space="preserve">Renovó el terror social y ganó el Óscar al guion original.</t>
  </si>
  <si>
    <t xml:space="preserve">tt5052448</t>
  </si>
  <si>
    <t xml:space="preserve">No respires</t>
  </si>
  <si>
    <t xml:space="preserve">Fede Alvarez</t>
  </si>
  <si>
    <t xml:space="preserve">Tres ladrones asaltan la casa de un ciego peligroso.</t>
  </si>
  <si>
    <t xml:space="preserve">tt4160708</t>
  </si>
  <si>
    <t xml:space="preserve">Expediente Warren: El caso Enfield</t>
  </si>
  <si>
    <t xml:space="preserve">Prime, Movistar Plus+ Ficción Total , HBO Max, AMC Channels Amazon Channel, HBO Max Amazon Channel</t>
  </si>
  <si>
    <t xml:space="preserve">Los Warren investigan una casa poseída en Londres.</t>
  </si>
  <si>
    <t xml:space="preserve">tt3065204</t>
  </si>
  <si>
    <t xml:space="preserve">De boda en boda</t>
  </si>
  <si>
    <t xml:space="preserve">David Dobkin</t>
  </si>
  <si>
    <t xml:space="preserve">Dos amigos se cuelan en bodas para ligar.</t>
  </si>
  <si>
    <t xml:space="preserve">tt0396269</t>
  </si>
  <si>
    <t xml:space="preserve">Insidious: La última llave</t>
  </si>
  <si>
    <t xml:space="preserve">Adam Robitel</t>
  </si>
  <si>
    <t xml:space="preserve">La médium Elise vuelve a la casa de su infancia.</t>
  </si>
  <si>
    <t xml:space="preserve">tt5726086</t>
  </si>
  <si>
    <t xml:space="preserve">La forma del agua</t>
  </si>
  <si>
    <t xml:space="preserve">Una limpiadora muda se enamora de una criatura anfibia.</t>
  </si>
  <si>
    <t xml:space="preserve">tt5580390</t>
  </si>
  <si>
    <t xml:space="preserve">Mute</t>
  </si>
  <si>
    <t xml:space="preserve">Un camarero mudo busca a su novia desaparecida en Berlín.</t>
  </si>
  <si>
    <t xml:space="preserve">tt1464763</t>
  </si>
  <si>
    <t xml:space="preserve">Resident Evil 2: Apocalipsis</t>
  </si>
  <si>
    <t xml:space="preserve">Alexander Witt</t>
  </si>
  <si>
    <t xml:space="preserve">Reino Unido, EE.UU., Alemania, Francia, Canadá</t>
  </si>
  <si>
    <t xml:space="preserve">Alice combate a los infectados en Raccoon City.</t>
  </si>
  <si>
    <t xml:space="preserve">tt0318627</t>
  </si>
  <si>
    <t xml:space="preserve">Resident Evil: Extinción</t>
  </si>
  <si>
    <t xml:space="preserve">Australia, Francia, Alemania, Reino Unido, EE.UU.</t>
  </si>
  <si>
    <t xml:space="preserve">Disney+, 3Cat</t>
  </si>
  <si>
    <t xml:space="preserve">Alice cruza un desierto lleno de infectados.</t>
  </si>
  <si>
    <t xml:space="preserve">tt0432021</t>
  </si>
  <si>
    <t xml:space="preserve">Resident Evil: Ultratumba</t>
  </si>
  <si>
    <t xml:space="preserve">Alemania, EE.UU., Francia, Canadá</t>
  </si>
  <si>
    <t xml:space="preserve">Alice busca supervivientes en Los Ángeles.</t>
  </si>
  <si>
    <t xml:space="preserve">tt1220634</t>
  </si>
  <si>
    <t xml:space="preserve">Resident Evil</t>
  </si>
  <si>
    <t xml:space="preserve">Francia, Alemania, Reino Unido, EE.UU.</t>
  </si>
  <si>
    <t xml:space="preserve">Zombis</t>
  </si>
  <si>
    <t xml:space="preserve">Un virus convierte en zombis a un laboratorio subterráneo.</t>
  </si>
  <si>
    <t xml:space="preserve">tt0120804</t>
  </si>
  <si>
    <t xml:space="preserve">Tomb Raider</t>
  </si>
  <si>
    <t xml:space="preserve">Roar Uthaug</t>
  </si>
  <si>
    <t xml:space="preserve">Japón, Reino Unido, EE.UU.</t>
  </si>
  <si>
    <t xml:space="preserve">Lara Croft busca a su padre en una isla japonesa.</t>
  </si>
  <si>
    <t xml:space="preserve">tt1365519</t>
  </si>
  <si>
    <t xml:space="preserve">Detroit</t>
  </si>
  <si>
    <t xml:space="preserve">La violencia policial durante los disturbios de 1967.</t>
  </si>
  <si>
    <t xml:space="preserve">tt5390504</t>
  </si>
  <si>
    <t xml:space="preserve">Ready Player One</t>
  </si>
  <si>
    <t xml:space="preserve">Netflix, Prime, Apple TV, Apple TV Amazon Channel</t>
  </si>
  <si>
    <t xml:space="preserve">Una cacería del tesoro dentro de un mundo virtual.</t>
  </si>
  <si>
    <t xml:space="preserve">tt1677720</t>
  </si>
  <si>
    <t xml:space="preserve">La invitación</t>
  </si>
  <si>
    <t xml:space="preserve">Karyn Kusama</t>
  </si>
  <si>
    <t xml:space="preserve">Un hombre sospecha de la cena que organizan su ex y su pareja.</t>
  </si>
  <si>
    <t xml:space="preserve">tt2400463</t>
  </si>
  <si>
    <t xml:space="preserve">El bosque de los suicidios</t>
  </si>
  <si>
    <t xml:space="preserve">Jason Zada</t>
  </si>
  <si>
    <t xml:space="preserve">Una mujer busca a su hermana en el bosque de Aokigahara.</t>
  </si>
  <si>
    <t xml:space="preserve">tt3387542</t>
  </si>
  <si>
    <t xml:space="preserve">Capitán América: Civil War</t>
  </si>
  <si>
    <t xml:space="preserve">Los Vengadores se dividen por un tratado de control.</t>
  </si>
  <si>
    <t xml:space="preserve">tt3498820</t>
  </si>
  <si>
    <t xml:space="preserve">Infierno azul</t>
  </si>
  <si>
    <t xml:space="preserve">Una surfista herida atrapada en una roca por un tiburón.</t>
  </si>
  <si>
    <t xml:space="preserve">tt4052882</t>
  </si>
  <si>
    <t xml:space="preserve">Un lugar tranquilo</t>
  </si>
  <si>
    <t xml:space="preserve">Una familia sobrevive en silencio ante criaturas que oyen.</t>
  </si>
  <si>
    <t xml:space="preserve">tt6644200</t>
  </si>
  <si>
    <t xml:space="preserve">Han Solo: Una historia de Star Wars</t>
  </si>
  <si>
    <t xml:space="preserve">Los primeros golpes del joven contrabandista.</t>
  </si>
  <si>
    <t xml:space="preserve">tt3778644</t>
  </si>
  <si>
    <t xml:space="preserve">Jurassic World: El reino caído</t>
  </si>
  <si>
    <t xml:space="preserve">Rescatan dinosaurios de una isla con un volcán activo.</t>
  </si>
  <si>
    <t xml:space="preserve">tt4881806</t>
  </si>
  <si>
    <t xml:space="preserve">Black Panther</t>
  </si>
  <si>
    <t xml:space="preserve">El nuevo rey de Wakanda defiende su trono.</t>
  </si>
  <si>
    <t xml:space="preserve">tt1825683</t>
  </si>
  <si>
    <t xml:space="preserve">Juego de ladrones: El atraco perfecto</t>
  </si>
  <si>
    <t xml:space="preserve">Christian Gudegast</t>
  </si>
  <si>
    <t xml:space="preserve">Una brigada persigue a unos atracadores de la Reserva Federal.</t>
  </si>
  <si>
    <t xml:space="preserve">tt1259528</t>
  </si>
  <si>
    <t xml:space="preserve">Ip Man: La leyenda</t>
  </si>
  <si>
    <t xml:space="preserve">Herman Yau</t>
  </si>
  <si>
    <t xml:space="preserve">Los primeros años del maestro de wing chun.</t>
  </si>
  <si>
    <t xml:space="preserve">tt1641638</t>
  </si>
  <si>
    <t xml:space="preserve">Blair Witch</t>
  </si>
  <si>
    <t xml:space="preserve">Unos jóvenes buscan a la hermana desaparecida en el bosque.</t>
  </si>
  <si>
    <t xml:space="preserve">tt1540011</t>
  </si>
  <si>
    <t xml:space="preserve">La playa</t>
  </si>
  <si>
    <t xml:space="preserve">Un mochilero encuentra una comuna secreta en Tailandia.</t>
  </si>
  <si>
    <t xml:space="preserve">tt0163978</t>
  </si>
  <si>
    <t xml:space="preserve">La fiesta de las salchichas</t>
  </si>
  <si>
    <t xml:space="preserve">Greg Tiernan,Conrad Vernon</t>
  </si>
  <si>
    <t xml:space="preserve">Unos alimentos descubren qué les espera fuera del súper.</t>
  </si>
  <si>
    <t xml:space="preserve">tt1700841</t>
  </si>
  <si>
    <t xml:space="preserve">La espada del inmortal</t>
  </si>
  <si>
    <t xml:space="preserve">Japón, Corea del Sur, Reino Unido</t>
  </si>
  <si>
    <t xml:space="preserve">Un samurái inmortal protege a una joven vengadora.</t>
  </si>
  <si>
    <t xml:space="preserve">tt5084170</t>
  </si>
  <si>
    <t xml:space="preserve">Emelie</t>
  </si>
  <si>
    <t xml:space="preserve">Michael Thelin</t>
  </si>
  <si>
    <t xml:space="preserve">Una canguro sustituta resulta ser una amenaza.</t>
  </si>
  <si>
    <t xml:space="preserve">tt4503598</t>
  </si>
  <si>
    <t xml:space="preserve">The Bourne Identity: El caso Bourne</t>
  </si>
  <si>
    <t xml:space="preserve">EE.UU., Alemania, República Checa</t>
  </si>
  <si>
    <t xml:space="preserve">La mansión</t>
  </si>
  <si>
    <t xml:space="preserve">Tony T. Datis</t>
  </si>
  <si>
    <t xml:space="preserve">Unos amigos pasan la noche en una mansión aislada.</t>
  </si>
  <si>
    <t xml:space="preserve">tt7029854</t>
  </si>
  <si>
    <t xml:space="preserve">Misión: Imposible - Fallout</t>
  </si>
  <si>
    <t xml:space="preserve">Hunt recupera un plutonio perdido con un agente vigilándolo.</t>
  </si>
  <si>
    <t xml:space="preserve">tt4912910</t>
  </si>
  <si>
    <t xml:space="preserve">Session 9</t>
  </si>
  <si>
    <t xml:space="preserve">Un equipo de desamiantado trabaja en un psiquiátrico abandonado.</t>
  </si>
  <si>
    <t xml:space="preserve">tt0261983</t>
  </si>
  <si>
    <t xml:space="preserve">Deadpool 2</t>
  </si>
  <si>
    <t xml:space="preserve">Deadpool forma un equipo para proteger a un joven mutante.</t>
  </si>
  <si>
    <t xml:space="preserve">tt5463162</t>
  </si>
  <si>
    <t xml:space="preserve">First Man - El primer hombre</t>
  </si>
  <si>
    <t xml:space="preserve">Neil Armstrong y el camino hasta la Luna.</t>
  </si>
  <si>
    <t xml:space="preserve">tt1213641</t>
  </si>
  <si>
    <t xml:space="preserve">Malas calles</t>
  </si>
  <si>
    <t xml:space="preserve">Un joven mafioso de Little Italy protege a su amigo imprudente.</t>
  </si>
  <si>
    <t xml:space="preserve">tt0070379</t>
  </si>
  <si>
    <t xml:space="preserve">Ha nacido una estrella</t>
  </si>
  <si>
    <t xml:space="preserve">Bradley Cooper</t>
  </si>
  <si>
    <t xml:space="preserve">Un músico en declive impulsa a una cantante desconocida.</t>
  </si>
  <si>
    <t xml:space="preserve">tt1517451</t>
  </si>
  <si>
    <t xml:space="preserve">Animales fantásticos: Los crímenes de Grindelwald</t>
  </si>
  <si>
    <t xml:space="preserve">Newt se enfrenta al mago oscuro Grindelwald.</t>
  </si>
  <si>
    <t xml:space="preserve">tt4123430</t>
  </si>
  <si>
    <t xml:space="preserve">Hannibal</t>
  </si>
  <si>
    <t xml:space="preserve">Lecter es perseguido por una víctima que sobrevivió.</t>
  </si>
  <si>
    <t xml:space="preserve">tt0212985</t>
  </si>
  <si>
    <t xml:space="preserve">Mortal Engines</t>
  </si>
  <si>
    <t xml:space="preserve">Christian Rivers</t>
  </si>
  <si>
    <t xml:space="preserve">Ciudades móviles se devoran entre sí tras una guerra.</t>
  </si>
  <si>
    <t xml:space="preserve">tt1571234</t>
  </si>
  <si>
    <t xml:space="preserve">Bird Box: A ciegas</t>
  </si>
  <si>
    <t xml:space="preserve">Una madre huye con los ojos vendados de algo que induce al suicidio.</t>
  </si>
  <si>
    <t xml:space="preserve">tt2737304</t>
  </si>
  <si>
    <t xml:space="preserve">Glass</t>
  </si>
  <si>
    <t xml:space="preserve">Tres hombres con capacidades extraordinarias, encerrados juntos.</t>
  </si>
  <si>
    <t xml:space="preserve">tt6823368</t>
  </si>
  <si>
    <t xml:space="preserve">Life: Vida</t>
  </si>
  <si>
    <t xml:space="preserve">Una tripulación halla vida marciana a bordo de la estación.</t>
  </si>
  <si>
    <t xml:space="preserve">tt5442430</t>
  </si>
  <si>
    <t xml:space="preserve">Contagio</t>
  </si>
  <si>
    <t xml:space="preserve">EE.UU., United Arab Emirates</t>
  </si>
  <si>
    <t xml:space="preserve">Netflix, AMC Channels Amazon Channel</t>
  </si>
  <si>
    <t xml:space="preserve">Una pandemia se propaga mientras científicos buscan la vacuna.</t>
  </si>
  <si>
    <t xml:space="preserve">tt1598778</t>
  </si>
  <si>
    <t xml:space="preserve">Cars 3</t>
  </si>
  <si>
    <t xml:space="preserve">Brian Fee</t>
  </si>
  <si>
    <t xml:space="preserve">Rayo McQueen intenta seguir compitiendo frente a los nuevos.</t>
  </si>
  <si>
    <t xml:space="preserve">tt3606752</t>
  </si>
  <si>
    <t xml:space="preserve">Expediente 39</t>
  </si>
  <si>
    <t xml:space="preserve">Una trabajadora social acoge a una niña maltratada.</t>
  </si>
  <si>
    <t xml:space="preserve">tt0795351</t>
  </si>
  <si>
    <t xml:space="preserve">Polar</t>
  </si>
  <si>
    <t xml:space="preserve">Jonas Åkerlund</t>
  </si>
  <si>
    <t xml:space="preserve">Un sicario a punto de jubilarse es cazado por su propia empresa.</t>
  </si>
  <si>
    <t xml:space="preserve">tt4139588</t>
  </si>
  <si>
    <t xml:space="preserve">La balada de Buster Scruggs</t>
  </si>
  <si>
    <t xml:space="preserve">Ethan Coen,Joel Coen</t>
  </si>
  <si>
    <t xml:space="preserve">Seis relatos del Oeste con distintos tonos.</t>
  </si>
  <si>
    <t xml:space="preserve">tt6412452</t>
  </si>
  <si>
    <t xml:space="preserve">tt6139732</t>
  </si>
  <si>
    <t xml:space="preserve">Es por tu bien</t>
  </si>
  <si>
    <t xml:space="preserve">Tres padres se alían para separar a sus hijas de sus novios.</t>
  </si>
  <si>
    <t xml:space="preserve">tt5790492</t>
  </si>
  <si>
    <t xml:space="preserve">Spider-Man: Lejos de casa</t>
  </si>
  <si>
    <t xml:space="preserve">Apple TV, Disney+, Movistar Plus+ Ficción Total , HBO Max, Apple TV Amazon Channel, HBO Max Amazon Channel</t>
  </si>
  <si>
    <t xml:space="preserve">Peter se enfrenta a Mysterio durante un viaje escolar.</t>
  </si>
  <si>
    <t xml:space="preserve">tt6320628</t>
  </si>
  <si>
    <t xml:space="preserve">Baby Driver</t>
  </si>
  <si>
    <t xml:space="preserve">Un conductor de fugas con música siempre puesta quiere retirarse.</t>
  </si>
  <si>
    <t xml:space="preserve">tt3890160</t>
  </si>
  <si>
    <t xml:space="preserve">Alita: Ángel de combate</t>
  </si>
  <si>
    <t xml:space="preserve">Una ciborg amnésica descubre su pasado guerrero.</t>
  </si>
  <si>
    <t xml:space="preserve">tt0437086</t>
  </si>
  <si>
    <t xml:space="preserve">Nosotros</t>
  </si>
  <si>
    <t xml:space="preserve">Una familia es atacada por sus dobles.</t>
  </si>
  <si>
    <t xml:space="preserve">tt6857112</t>
  </si>
  <si>
    <t xml:space="preserve">Campeones</t>
  </si>
  <si>
    <t xml:space="preserve">Netflix, Prime, Movistar Plus+ Ficción Total , SkyShowtime, HBO Max, HBO Max Amazon Channel, rtve</t>
  </si>
  <si>
    <t xml:space="preserve">Un entrenador castigado dirige a un equipo con discapacidad.</t>
  </si>
  <si>
    <t xml:space="preserve">tt6793580</t>
  </si>
  <si>
    <t xml:space="preserve">Venom</t>
  </si>
  <si>
    <t xml:space="preserve">Un periodista comparte cuerpo con un simbionte alienígena.</t>
  </si>
  <si>
    <t xml:space="preserve">tt1270797</t>
  </si>
  <si>
    <t xml:space="preserve">It: Capítulo 2</t>
  </si>
  <si>
    <t xml:space="preserve">Los amigos vuelven adultos a enfrentarse al payaso.</t>
  </si>
  <si>
    <t xml:space="preserve">tt7349950</t>
  </si>
  <si>
    <t xml:space="preserve">Cuando llama un extraño</t>
  </si>
  <si>
    <t xml:space="preserve">Una canguro recibe llamadas desde dentro de la casa.</t>
  </si>
  <si>
    <t xml:space="preserve">tt0455857</t>
  </si>
  <si>
    <t xml:space="preserve">The Karate Kid</t>
  </si>
  <si>
    <t xml:space="preserve">Un chaval americano en China aprende kung fu.</t>
  </si>
  <si>
    <t xml:space="preserve">tt1155076</t>
  </si>
  <si>
    <t xml:space="preserve">Ad Astra</t>
  </si>
  <si>
    <t xml:space="preserve">Brasil, China, EE.UU.</t>
  </si>
  <si>
    <t xml:space="preserve">Netflix, Disney+, Tivify</t>
  </si>
  <si>
    <t xml:space="preserve">Un astronauta viaja a Neptuno buscando a su padre.</t>
  </si>
  <si>
    <t xml:space="preserve">tt2935510</t>
  </si>
  <si>
    <t xml:space="preserve">Patrick Brice</t>
  </si>
  <si>
    <t xml:space="preserve">tt2428170</t>
  </si>
  <si>
    <t xml:space="preserve">Creep 2</t>
  </si>
  <si>
    <t xml:space="preserve">Una videoartista acepta grabar a un asesino confeso.</t>
  </si>
  <si>
    <t xml:space="preserve">tt3654796</t>
  </si>
  <si>
    <t xml:space="preserve">Mientras dure la guerra</t>
  </si>
  <si>
    <t xml:space="preserve">Unamuno ante el estallido del golpe de 1936.</t>
  </si>
  <si>
    <t xml:space="preserve">tt7818580</t>
  </si>
  <si>
    <t xml:space="preserve">Doctor Sueño</t>
  </si>
  <si>
    <t xml:space="preserve">Mike Flanagan</t>
  </si>
  <si>
    <t xml:space="preserve">Danny Torrance adulto protege a una niña con su mismo don.</t>
  </si>
  <si>
    <t xml:space="preserve">tt5606664</t>
  </si>
  <si>
    <t xml:space="preserve">Maestro del crimen</t>
  </si>
  <si>
    <t xml:space="preserve">Un joven monta una red criminal en el Madrid de los ochenta.</t>
  </si>
  <si>
    <t xml:space="preserve">tt4633690</t>
  </si>
  <si>
    <t xml:space="preserve">El hombre de las mil caras</t>
  </si>
  <si>
    <t xml:space="preserve">Un exespía ayuda a fugarse a un político corrupto.</t>
  </si>
  <si>
    <t xml:space="preserve">tt1713440</t>
  </si>
  <si>
    <t xml:space="preserve">Fractura</t>
  </si>
  <si>
    <t xml:space="preserve">Un padre denuncia que su hija ha desaparecido del hospital.</t>
  </si>
  <si>
    <t xml:space="preserve">tt4332232</t>
  </si>
  <si>
    <t xml:space="preserve">Star Wars: El ascenso de Skywalker</t>
  </si>
  <si>
    <t xml:space="preserve">Rey se enfrenta a su origen y al emperador.</t>
  </si>
  <si>
    <t xml:space="preserve">tt2527338</t>
  </si>
  <si>
    <t xml:space="preserve">Divergente</t>
  </si>
  <si>
    <t xml:space="preserve">Una joven no encaja en ninguna facción de su sociedad.</t>
  </si>
  <si>
    <t xml:space="preserve">tt1840309</t>
  </si>
  <si>
    <t xml:space="preserve">tt6105098</t>
  </si>
  <si>
    <t xml:space="preserve">Los dos Papas</t>
  </si>
  <si>
    <t xml:space="preserve">Benedicto XVI y el futuro Francisco conversan antes de la renuncia.</t>
  </si>
  <si>
    <t xml:space="preserve">tt8404614</t>
  </si>
  <si>
    <t xml:space="preserve">Hogar</t>
  </si>
  <si>
    <t xml:space="preserve">David Pastor,Àlex Pastor</t>
  </si>
  <si>
    <t xml:space="preserve">Un publicista arruinado se obsesiona con los nuevos inquilinos de su piso.</t>
  </si>
  <si>
    <t xml:space="preserve">tt9345754</t>
  </si>
  <si>
    <t xml:space="preserve">Virus</t>
  </si>
  <si>
    <t xml:space="preserve">Sung Soo Kim</t>
  </si>
  <si>
    <t xml:space="preserve">Una amenaza biológica se propaga entre la población.</t>
  </si>
  <si>
    <t xml:space="preserve">tt2351310</t>
  </si>
  <si>
    <t xml:space="preserve">El declive</t>
  </si>
  <si>
    <t xml:space="preserve">Patrice Laliberté</t>
  </si>
  <si>
    <t xml:space="preserve">Unos supervivencialistas en un campamento aislado.</t>
  </si>
  <si>
    <t xml:space="preserve">tt10307440</t>
  </si>
  <si>
    <t xml:space="preserve">The Silence</t>
  </si>
  <si>
    <t xml:space="preserve">Canadá, Alemania, Reino Unido, EE.UU.</t>
  </si>
  <si>
    <t xml:space="preserve">Netflix, Filmin</t>
  </si>
  <si>
    <t xml:space="preserve">Una familia huye de criaturas que cazan por el sonido.</t>
  </si>
  <si>
    <t xml:space="preserve">tt7315484</t>
  </si>
  <si>
    <t xml:space="preserve">La morada del miedo</t>
  </si>
  <si>
    <t xml:space="preserve">Andrew Douglas</t>
  </si>
  <si>
    <t xml:space="preserve">Una familia se muda a una casa donde hubo una masacre.</t>
  </si>
  <si>
    <t xml:space="preserve">tt0384806</t>
  </si>
  <si>
    <t xml:space="preserve">El hoyo</t>
  </si>
  <si>
    <t xml:space="preserve">Galder Gaztelu-Urrutia</t>
  </si>
  <si>
    <t xml:space="preserve">Presos en una cárcel vertical donde la comida baja piso a piso.</t>
  </si>
  <si>
    <t xml:space="preserve">tt8228288</t>
  </si>
  <si>
    <t xml:space="preserve">Onward</t>
  </si>
  <si>
    <t xml:space="preserve">Dos hermanos elfos intentan resucitar a su padre un día.</t>
  </si>
  <si>
    <t xml:space="preserve">tt7146812</t>
  </si>
  <si>
    <t xml:space="preserve">Searching...</t>
  </si>
  <si>
    <t xml:space="preserve">Aneesh Chaganty</t>
  </si>
  <si>
    <t xml:space="preserve">Un padre busca a su hija a través de sus dispositivos.</t>
  </si>
  <si>
    <t xml:space="preserve">tt7668870</t>
  </si>
  <si>
    <t xml:space="preserve">Invencible</t>
  </si>
  <si>
    <t xml:space="preserve">Angelina Jolie</t>
  </si>
  <si>
    <t xml:space="preserve">Un atleta olímpico sobrevive como prisionero de guerra.</t>
  </si>
  <si>
    <t xml:space="preserve">tt1809398</t>
  </si>
  <si>
    <t xml:space="preserve">Hater</t>
  </si>
  <si>
    <t xml:space="preserve">Un estudiante expulsado se dedica a manipular las redes.</t>
  </si>
  <si>
    <t xml:space="preserve">tt9506474</t>
  </si>
  <si>
    <t xml:space="preserve">No dormirás</t>
  </si>
  <si>
    <t xml:space="preserve">Gustavo Hernández</t>
  </si>
  <si>
    <t xml:space="preserve">España, Argentina, Uruguay</t>
  </si>
  <si>
    <t xml:space="preserve">Una compañía teatral experimenta con la privación del sueño.</t>
  </si>
  <si>
    <t xml:space="preserve">tt7158686</t>
  </si>
  <si>
    <t xml:space="preserve">Tenet</t>
  </si>
  <si>
    <t xml:space="preserve">Un agente manipula el flujo del tiempo para evitar una guerra.</t>
  </si>
  <si>
    <t xml:space="preserve">tt6723592</t>
  </si>
  <si>
    <t xml:space="preserve">Los extraños: Cacería nocturna</t>
  </si>
  <si>
    <t xml:space="preserve">Johannes Roberts</t>
  </si>
  <si>
    <t xml:space="preserve">Una familia acosada por enmascarados en un parque de caravanas.</t>
  </si>
  <si>
    <t xml:space="preserve">tt1285009</t>
  </si>
  <si>
    <t xml:space="preserve">John Wick</t>
  </si>
  <si>
    <t xml:space="preserve">Canadá, China, EE.UU.</t>
  </si>
  <si>
    <t xml:space="preserve">Un sicario retirado vuelve tras la muerte de su perro.</t>
  </si>
  <si>
    <t xml:space="preserve">tt2911666</t>
  </si>
  <si>
    <t xml:space="preserve">John Wick: Pacto de sangre</t>
  </si>
  <si>
    <t xml:space="preserve">Wick paga una deuda y se convierte en objetivo.</t>
  </si>
  <si>
    <t xml:space="preserve">tt4425200</t>
  </si>
  <si>
    <t xml:space="preserve">John Wick: Capítulo 3 - Parabellum</t>
  </si>
  <si>
    <t xml:space="preserve">Wick huye con una recompensa sobre su cabeza.</t>
  </si>
  <si>
    <t xml:space="preserve">tt6146586</t>
  </si>
  <si>
    <t xml:space="preserve">Alien, el octavo pasajero</t>
  </si>
  <si>
    <t xml:space="preserve">Una criatura acecha a la tripulación de un carguero espacial.</t>
  </si>
  <si>
    <t xml:space="preserve">Fusionó terror y ciencia ficción y creó un icono del diseño.</t>
  </si>
  <si>
    <t xml:space="preserve">tt0078748</t>
  </si>
  <si>
    <t xml:space="preserve">Midsommar</t>
  </si>
  <si>
    <t xml:space="preserve">Suecia, EE.UU.</t>
  </si>
  <si>
    <t xml:space="preserve">Prime, AMC Channels Amazon Channel, Shadowz Amazon Channel</t>
  </si>
  <si>
    <t xml:space="preserve">Una pareja asiste a un festival sueco que se vuelve siniestro.</t>
  </si>
  <si>
    <t xml:space="preserve">tt8772262</t>
  </si>
  <si>
    <t xml:space="preserve">Train to Busan</t>
  </si>
  <si>
    <t xml:space="preserve">Yeon Sang-ho</t>
  </si>
  <si>
    <t xml:space="preserve">Un brote zombi estalla en un tren surcoreano.</t>
  </si>
  <si>
    <t xml:space="preserve">tt5700672</t>
  </si>
  <si>
    <t xml:space="preserve">Bajocero</t>
  </si>
  <si>
    <t xml:space="preserve">Lluís Quílez</t>
  </si>
  <si>
    <t xml:space="preserve">Netflix, 3Cat</t>
  </si>
  <si>
    <t xml:space="preserve">Un policía atrapado en un furgón de presos asaltado.</t>
  </si>
  <si>
    <t xml:space="preserve">tt9845564</t>
  </si>
  <si>
    <t xml:space="preserve">Kin</t>
  </si>
  <si>
    <t xml:space="preserve">Jonathan Baker,Josh Baker</t>
  </si>
  <si>
    <t xml:space="preserve">Un chaval encuentra un arma alienígena y huye con su hermano.</t>
  </si>
  <si>
    <t xml:space="preserve">tt6017942</t>
  </si>
  <si>
    <t xml:space="preserve">Rocketman</t>
  </si>
  <si>
    <t xml:space="preserve">Dexter Fletcher</t>
  </si>
  <si>
    <t xml:space="preserve">La vida de Elton John contada como musical.</t>
  </si>
  <si>
    <t xml:space="preserve">tt2066051</t>
  </si>
  <si>
    <t xml:space="preserve">Adú</t>
  </si>
  <si>
    <t xml:space="preserve">Salvador Calvo</t>
  </si>
  <si>
    <t xml:space="preserve">Tres historias cruzadas en la frontera de Melilla.</t>
  </si>
  <si>
    <t xml:space="preserve">tt9616700</t>
  </si>
  <si>
    <t xml:space="preserve">La maldición de Lake Manor</t>
  </si>
  <si>
    <t xml:space="preserve">Roberto De Feo</t>
  </si>
  <si>
    <t xml:space="preserve">Una familia acosada por presencias en una casa junto al lago.</t>
  </si>
  <si>
    <t xml:space="preserve">tt4925340</t>
  </si>
  <si>
    <t xml:space="preserve">Greenland: El último refugio</t>
  </si>
  <si>
    <t xml:space="preserve">Prime, atresplayer</t>
  </si>
  <si>
    <t xml:space="preserve">Una familia busca refugio ante la caída de un cometa.</t>
  </si>
  <si>
    <t xml:space="preserve">tt7737786</t>
  </si>
  <si>
    <t xml:space="preserve">Akelarre</t>
  </si>
  <si>
    <t xml:space="preserve">Pablo Agüero</t>
  </si>
  <si>
    <t xml:space="preserve">Unas jóvenes vascas acusadas de brujería en el siglo XVII.</t>
  </si>
  <si>
    <t xml:space="preserve">tt9916362</t>
  </si>
  <si>
    <t xml:space="preserve">La casa al final de la calle</t>
  </si>
  <si>
    <t xml:space="preserve">Mark Tonderai</t>
  </si>
  <si>
    <t xml:space="preserve">Una adolescente se acerca al hijo de una casa con pasado turbio.</t>
  </si>
  <si>
    <t xml:space="preserve">tt1582507</t>
  </si>
  <si>
    <t xml:space="preserve">Aliens: El regreso</t>
  </si>
  <si>
    <t xml:space="preserve">Ripley vuelve al planeta del alien con un pelotón de marines.</t>
  </si>
  <si>
    <t xml:space="preserve">tt0090605</t>
  </si>
  <si>
    <t xml:space="preserve">Géminis</t>
  </si>
  <si>
    <t xml:space="preserve">Un asesino a sueldo es perseguido por un clon joven de sí mismo.</t>
  </si>
  <si>
    <t xml:space="preserve">tt1025100</t>
  </si>
  <si>
    <t xml:space="preserve">Ejército de los muertos</t>
  </si>
  <si>
    <t xml:space="preserve">Unos mercenarios atracan un casino en un Las Vegas zombi.</t>
  </si>
  <si>
    <t xml:space="preserve">tt0993840</t>
  </si>
  <si>
    <t xml:space="preserve">A descubierto</t>
  </si>
  <si>
    <t xml:space="preserve">Un veterano de Irak intenta reintegrarse en la vida civil.</t>
  </si>
  <si>
    <t xml:space="preserve">tt10451914</t>
  </si>
  <si>
    <t xml:space="preserve">La entrega</t>
  </si>
  <si>
    <t xml:space="preserve">Michaël R. Roskam</t>
  </si>
  <si>
    <t xml:space="preserve">Un camarero encuentra un cachorro y se ve envuelto en la mafia.</t>
  </si>
  <si>
    <t xml:space="preserve">tt1600196</t>
  </si>
  <si>
    <t xml:space="preserve">La Purga: Infinita</t>
  </si>
  <si>
    <t xml:space="preserve">Everardo Gout</t>
  </si>
  <si>
    <t xml:space="preserve">La purga se descontrola y no termina al amanecer.</t>
  </si>
  <si>
    <t xml:space="preserve">tt10327252</t>
  </si>
  <si>
    <t xml:space="preserve">Malasaña 32</t>
  </si>
  <si>
    <t xml:space="preserve">Albert Pintó</t>
  </si>
  <si>
    <t xml:space="preserve">Una familia se muda a un piso madrileño con presencias.</t>
  </si>
  <si>
    <t xml:space="preserve">tt10952782</t>
  </si>
  <si>
    <t xml:space="preserve">Lo que el pulpo me enseñó</t>
  </si>
  <si>
    <t xml:space="preserve">Pippa Ehrlich,James Reed</t>
  </si>
  <si>
    <t xml:space="preserve">Sudáfrica, Reino Unido</t>
  </si>
  <si>
    <t xml:space="preserve">Un buceador traba amistad con un pulpo salvaje.</t>
  </si>
  <si>
    <t xml:space="preserve">tt12888462</t>
  </si>
  <si>
    <t xml:space="preserve">El dragón de los deseos</t>
  </si>
  <si>
    <t xml:space="preserve">Chris Appelhans</t>
  </si>
  <si>
    <t xml:space="preserve">Un joven encuentra un dragón que concede deseos.</t>
  </si>
  <si>
    <t xml:space="preserve">tt5562070</t>
  </si>
  <si>
    <t xml:space="preserve">Tiempo</t>
  </si>
  <si>
    <t xml:space="preserve">Unos turistas envejecen a toda velocidad en una playa.</t>
  </si>
  <si>
    <t xml:space="preserve">tt10954652</t>
  </si>
  <si>
    <t xml:space="preserve">Cementerio de animales</t>
  </si>
  <si>
    <t xml:space="preserve">Kevin Kölsch,Dennis Widmyer</t>
  </si>
  <si>
    <t xml:space="preserve">Una familia entierra a su gato en tierra que resucita.</t>
  </si>
  <si>
    <t xml:space="preserve">tt0837563</t>
  </si>
  <si>
    <t xml:space="preserve">Shang-Chi y la leyenda de los diez anillos</t>
  </si>
  <si>
    <t xml:space="preserve">Destin Daniel Cretton</t>
  </si>
  <si>
    <t xml:space="preserve">Un joven se enfrenta al pasado criminal de su padre.</t>
  </si>
  <si>
    <t xml:space="preserve">tt9376612</t>
  </si>
  <si>
    <t xml:space="preserve">La noche más oscura</t>
  </si>
  <si>
    <t xml:space="preserve">La búsqueda de Bin Laden por una analista de la CIA.</t>
  </si>
  <si>
    <t xml:space="preserve">tt1790885</t>
  </si>
  <si>
    <t xml:space="preserve">BAC Nord: Brigada de Investigación Criminal</t>
  </si>
  <si>
    <t xml:space="preserve">Cédric Jimenez</t>
  </si>
  <si>
    <t xml:space="preserve">Una brigada marsellesa acaba investigada por sus métodos.</t>
  </si>
  <si>
    <t xml:space="preserve">tt10404944</t>
  </si>
  <si>
    <t xml:space="preserve">Eternals</t>
  </si>
  <si>
    <t xml:space="preserve">Seres inmortales protegen la Tierra desde hace milenios.</t>
  </si>
  <si>
    <t xml:space="preserve">tt9032400</t>
  </si>
  <si>
    <t xml:space="preserve">Bad Boys for Life</t>
  </si>
  <si>
    <t xml:space="preserve">Adil El Arbi,Bilall Fallah</t>
  </si>
  <si>
    <t xml:space="preserve">Los detectives afrontan una venganza del pasado.</t>
  </si>
  <si>
    <t xml:space="preserve">tt1502397</t>
  </si>
  <si>
    <t xml:space="preserve">Thor: Ragnarok</t>
  </si>
  <si>
    <t xml:space="preserve">Thor debe impedir la destrucción de Asgard.</t>
  </si>
  <si>
    <t xml:space="preserve">tt3501632</t>
  </si>
  <si>
    <t xml:space="preserve">Thor</t>
  </si>
  <si>
    <t xml:space="preserve">Un dios arrogante es desterrado a la Tierra.</t>
  </si>
  <si>
    <t xml:space="preserve">tt0800369</t>
  </si>
  <si>
    <t xml:space="preserve">Thor: El mundo oscuro</t>
  </si>
  <si>
    <t xml:space="preserve">Alan Taylor</t>
  </si>
  <si>
    <t xml:space="preserve">Thor se alía con Loki para salvar los nueve reinos.</t>
  </si>
  <si>
    <t xml:space="preserve">tt1981115</t>
  </si>
  <si>
    <t xml:space="preserve">Descarrilados</t>
  </si>
  <si>
    <t xml:space="preserve">Fer García-Ruiz</t>
  </si>
  <si>
    <t xml:space="preserve">Cuatro amigos hacen un viaje que se les descontrola.</t>
  </si>
  <si>
    <t xml:space="preserve">tt12610584</t>
  </si>
  <si>
    <t xml:space="preserve">Matrix</t>
  </si>
  <si>
    <t xml:space="preserve">Un programador descubre que el mundo es una simulación.</t>
  </si>
  <si>
    <t xml:space="preserve">Popularizó el bullet time y renovó el imaginario visual de la ciencia ficción.</t>
  </si>
  <si>
    <t xml:space="preserve">tt0133093</t>
  </si>
  <si>
    <t xml:space="preserve">The Batman</t>
  </si>
  <si>
    <t xml:space="preserve">Batman investiga a un asesino en serie en Gotham.</t>
  </si>
  <si>
    <t xml:space="preserve">tt1877830</t>
  </si>
  <si>
    <t xml:space="preserve">David Blue Garcia</t>
  </si>
  <si>
    <t xml:space="preserve">Unos jóvenes empresarios despiertan a Leatherface.</t>
  </si>
  <si>
    <t xml:space="preserve">tt11755740</t>
  </si>
  <si>
    <t xml:space="preserve">Uncharted</t>
  </si>
  <si>
    <t xml:space="preserve">Un joven busca un tesoro perdido con un cazafortunas.</t>
  </si>
  <si>
    <t xml:space="preserve">tt1464335</t>
  </si>
  <si>
    <t xml:space="preserve">El diablo a todas horas</t>
  </si>
  <si>
    <t xml:space="preserve">Antonio Campos</t>
  </si>
  <si>
    <t xml:space="preserve">Personajes entrelazados por la violencia en Ohio.</t>
  </si>
  <si>
    <t xml:space="preserve">tt7395114</t>
  </si>
  <si>
    <t xml:space="preserve">Doctor Strange en el multiverso de la locura</t>
  </si>
  <si>
    <t xml:space="preserve">Strange cruza universos persiguiendo a una joven.</t>
  </si>
  <si>
    <t xml:space="preserve">tt9419884</t>
  </si>
  <si>
    <t xml:space="preserve">La familia perfecta</t>
  </si>
  <si>
    <t xml:space="preserve">Arantxa Echevarría</t>
  </si>
  <si>
    <t xml:space="preserve">Una familia acomodada choca con la de su futura nuera.</t>
  </si>
  <si>
    <t xml:space="preserve">tt11924738</t>
  </si>
  <si>
    <t xml:space="preserve">El hombre del norte</t>
  </si>
  <si>
    <t xml:space="preserve">Un príncipe vikingo busca vengar a su padre.</t>
  </si>
  <si>
    <t xml:space="preserve">tt11138512</t>
  </si>
  <si>
    <t xml:space="preserve">Jurassic World: Dominion</t>
  </si>
  <si>
    <t xml:space="preserve">Dinosaurios sueltos por el mundo y una amenaza agrícola.</t>
  </si>
  <si>
    <t xml:space="preserve">tt8041270</t>
  </si>
  <si>
    <t xml:space="preserve">Malnazidos</t>
  </si>
  <si>
    <t xml:space="preserve">Alberto de Toro,Javier Ruiz Caldera</t>
  </si>
  <si>
    <t xml:space="preserve">Republicanos y nacionales se alían contra zombis en la Guerra Civil.</t>
  </si>
  <si>
    <t xml:space="preserve">tt10127708</t>
  </si>
  <si>
    <t xml:space="preserve">Turno de día</t>
  </si>
  <si>
    <t xml:space="preserve">J.J. Perry</t>
  </si>
  <si>
    <t xml:space="preserve">Un limpiapiscinas caza vampiros en Los Ángeles.</t>
  </si>
  <si>
    <t xml:space="preserve">tt13314558</t>
  </si>
  <si>
    <t xml:space="preserve">Pequeños detalles</t>
  </si>
  <si>
    <t xml:space="preserve">John Lee Hancock</t>
  </si>
  <si>
    <t xml:space="preserve">Netflix, Prime, atresplayer</t>
  </si>
  <si>
    <t xml:space="preserve">Dos policías obsesionados con un caso de asesinatos.</t>
  </si>
  <si>
    <t xml:space="preserve">tt10016180</t>
  </si>
  <si>
    <t xml:space="preserve">Smile</t>
  </si>
  <si>
    <t xml:space="preserve">Parker Finn</t>
  </si>
  <si>
    <t xml:space="preserve">Disney+, Movistar Plus+ Ficción Total , SkyShowtime</t>
  </si>
  <si>
    <t xml:space="preserve">Una psiquiatra es perseguida por una entidad que sonríe.</t>
  </si>
  <si>
    <t xml:space="preserve">tt15474916</t>
  </si>
  <si>
    <t xml:space="preserve">Alpha</t>
  </si>
  <si>
    <t xml:space="preserve">Albert Hughes</t>
  </si>
  <si>
    <t xml:space="preserve">Un joven prehistórico domestica a un lobo herido.</t>
  </si>
  <si>
    <t xml:space="preserve">tt4244998</t>
  </si>
  <si>
    <t xml:space="preserve">Vivarium</t>
  </si>
  <si>
    <t xml:space="preserve">Lorcan Finnegan</t>
  </si>
  <si>
    <t xml:space="preserve">Bélgica, Dinamarca, Irlanda</t>
  </si>
  <si>
    <t xml:space="preserve">Acontra, Acontra Plus Amazon Channel, MIDNIGHT FACTORY Amazon Channel, Tivify</t>
  </si>
  <si>
    <t xml:space="preserve">Una pareja atrapada en una urbanización idéntica e infinita.</t>
  </si>
  <si>
    <t xml:space="preserve">tt8368406</t>
  </si>
  <si>
    <t xml:space="preserve">El apóstol</t>
  </si>
  <si>
    <t xml:space="preserve">Un hombre se infiltra en una secta para rescatar a su hermana.</t>
  </si>
  <si>
    <t xml:space="preserve">tt6217306</t>
  </si>
  <si>
    <t xml:space="preserve">Tarzán</t>
  </si>
  <si>
    <t xml:space="preserve">Chris Buck,Kevin Lima</t>
  </si>
  <si>
    <t xml:space="preserve">Un niño criado por gorilas conoce a los humanos.</t>
  </si>
  <si>
    <t xml:space="preserve">tt0120855</t>
  </si>
  <si>
    <t xml:space="preserve">Stutz</t>
  </si>
  <si>
    <t xml:space="preserve">Jonah Hill</t>
  </si>
  <si>
    <t xml:space="preserve">Un actor entrevista a su psiquiatra sobre sus herramientas.</t>
  </si>
  <si>
    <t xml:space="preserve">tt21819228</t>
  </si>
  <si>
    <t xml:space="preserve">Llaman a la puerta</t>
  </si>
  <si>
    <t xml:space="preserve">Cuatro desconocidos exigen a una familia un sacrificio.</t>
  </si>
  <si>
    <t xml:space="preserve">tt15679400</t>
  </si>
  <si>
    <t xml:space="preserve">Avatar: El sentido del agua</t>
  </si>
  <si>
    <t xml:space="preserve">La familia Sully huye al mar de Pandora.</t>
  </si>
  <si>
    <t xml:space="preserve">tt1630029</t>
  </si>
  <si>
    <t xml:space="preserve">Nathaniel Martello-White</t>
  </si>
  <si>
    <t xml:space="preserve">Una mujer acosada por desconocidos en una casa aislada.</t>
  </si>
  <si>
    <t xml:space="preserve">tt16437278</t>
  </si>
  <si>
    <t xml:space="preserve">The Owners</t>
  </si>
  <si>
    <t xml:space="preserve">Julius Berg</t>
  </si>
  <si>
    <t xml:space="preserve">Unos ladrones asaltan la casa de un matrimonio anciano.</t>
  </si>
  <si>
    <t xml:space="preserve">tt9806370</t>
  </si>
  <si>
    <t xml:space="preserve">Infiesto</t>
  </si>
  <si>
    <t xml:space="preserve">Dos policías investigan una desaparición en plena pandemia.</t>
  </si>
  <si>
    <t xml:space="preserve">tt15789492</t>
  </si>
  <si>
    <t xml:space="preserve">El regalo</t>
  </si>
  <si>
    <t xml:space="preserve">Joel Edgerton</t>
  </si>
  <si>
    <t xml:space="preserve">Un antiguo compañero de clase reaparece con regalos inquietantes.</t>
  </si>
  <si>
    <t xml:space="preserve">tt4178092</t>
  </si>
  <si>
    <t xml:space="preserve">Babylon</t>
  </si>
  <si>
    <t xml:space="preserve">El salvaje Hollywood del paso del mudo al sonoro.</t>
  </si>
  <si>
    <t xml:space="preserve">tt10640346</t>
  </si>
  <si>
    <t xml:space="preserve">Reptiles</t>
  </si>
  <si>
    <t xml:space="preserve">Grant Singer</t>
  </si>
  <si>
    <t xml:space="preserve">Un detective investiga el asesinato de un agente inmobiliario.</t>
  </si>
  <si>
    <t xml:space="preserve">tt13274016</t>
  </si>
  <si>
    <t xml:space="preserve">Napoleón</t>
  </si>
  <si>
    <t xml:space="preserve">Abel Gance</t>
  </si>
  <si>
    <t xml:space="preserve">Malta, Reino Unido, EE.UU.</t>
  </si>
  <si>
    <t xml:space="preserve">La juventud y ascenso de Bonaparte, en cine mudo.</t>
  </si>
  <si>
    <t xml:space="preserve">Usó pantalla triple y cámaras en movimiento décadas antes que nadie.</t>
  </si>
  <si>
    <t xml:space="preserve">tt0018192</t>
  </si>
  <si>
    <t xml:space="preserve">Barbie</t>
  </si>
  <si>
    <t xml:space="preserve">Barbie sale de su mundo de plástico al real.</t>
  </si>
  <si>
    <t xml:space="preserve">tt1517268</t>
  </si>
  <si>
    <t xml:space="preserve">El asesino</t>
  </si>
  <si>
    <t xml:space="preserve">Un sicario metódico falla un encargo y busca venganza.</t>
  </si>
  <si>
    <t xml:space="preserve">tt1136617</t>
  </si>
  <si>
    <t xml:space="preserve">300: El origen de un imperio</t>
  </si>
  <si>
    <t xml:space="preserve">Noam Murro</t>
  </si>
  <si>
    <t xml:space="preserve">La flota griega frente a la armada persa.</t>
  </si>
  <si>
    <t xml:space="preserve">tt1253863</t>
  </si>
  <si>
    <t xml:space="preserve">Beekeeper: El protector</t>
  </si>
  <si>
    <t xml:space="preserve">Un exagente destapa una red de estafas telefónicas.</t>
  </si>
  <si>
    <t xml:space="preserve">tt15314262</t>
  </si>
  <si>
    <t xml:space="preserve">Beau tiene miedo</t>
  </si>
  <si>
    <t xml:space="preserve">Un hombre ansioso vive una odisea para llegar a casa de su madre.</t>
  </si>
  <si>
    <t xml:space="preserve">tt13521006</t>
  </si>
  <si>
    <t xml:space="preserve">De perdidos a Río</t>
  </si>
  <si>
    <t xml:space="preserve">Joaquín Mazón</t>
  </si>
  <si>
    <t xml:space="preserve">Unos amigos se meten en un lío en Brasil.</t>
  </si>
  <si>
    <t xml:space="preserve">tt16058152</t>
  </si>
  <si>
    <t xml:space="preserve">No te preocupes, querida</t>
  </si>
  <si>
    <t xml:space="preserve">Olivia Wilde</t>
  </si>
  <si>
    <t xml:space="preserve">Movistar Plus+ Ficción Total , atresplayer, HBO Max, Tivify, HBO Max Amazon Channel</t>
  </si>
  <si>
    <t xml:space="preserve">Una ama de casa sospecha del proyecto donde trabaja su marido.</t>
  </si>
  <si>
    <t xml:space="preserve">tt10731256</t>
  </si>
  <si>
    <t xml:space="preserve">La mesita del comedor</t>
  </si>
  <si>
    <t xml:space="preserve">Caye Casas</t>
  </si>
  <si>
    <t xml:space="preserve">Una compra doméstica desencadena una tragedia.</t>
  </si>
  <si>
    <t xml:space="preserve">tt21874760</t>
  </si>
  <si>
    <t xml:space="preserve">La hora de la venganza</t>
  </si>
  <si>
    <t xml:space="preserve">Johnny Martin</t>
  </si>
  <si>
    <t xml:space="preserve">Un hombre busca a los culpables de la muerte de su familia.</t>
  </si>
  <si>
    <t xml:space="preserve">tt5460530</t>
  </si>
  <si>
    <t xml:space="preserve">Amor, acoso, asesinato</t>
  </si>
  <si>
    <t xml:space="preserve">Sam Hobkinson</t>
  </si>
  <si>
    <t xml:space="preserve">Una relación que deriva en acoso y violencia.</t>
  </si>
  <si>
    <t xml:space="preserve">tt30852970</t>
  </si>
  <si>
    <t xml:space="preserve">El mochilero del hacha</t>
  </si>
  <si>
    <t xml:space="preserve">Colette Camden</t>
  </si>
  <si>
    <t xml:space="preserve">Un asesino recorre carreteras buscando víctimas.</t>
  </si>
  <si>
    <t xml:space="preserve">tt24509990</t>
  </si>
  <si>
    <t xml:space="preserve">Kung Fu Panda 4</t>
  </si>
  <si>
    <t xml:space="preserve">Mike Mitchell,Stephanie Stine</t>
  </si>
  <si>
    <t xml:space="preserve">Po busca sucesor mientras aparece una camaleona.</t>
  </si>
  <si>
    <t xml:space="preserve">tt21692408</t>
  </si>
  <si>
    <t xml:space="preserve">Barbarian</t>
  </si>
  <si>
    <t xml:space="preserve">Zach Cregger</t>
  </si>
  <si>
    <t xml:space="preserve">Dos desconocidos comparten alquiler y descubren un sótano.</t>
  </si>
  <si>
    <t xml:space="preserve">tt15791034</t>
  </si>
  <si>
    <t xml:space="preserve">Joker: Folie à Deux</t>
  </si>
  <si>
    <t xml:space="preserve">Arthur Fleck en el manicomio conoce a Harley Quinn.</t>
  </si>
  <si>
    <t xml:space="preserve">tt11315808</t>
  </si>
  <si>
    <t xml:space="preserve">La trampa</t>
  </si>
  <si>
    <t xml:space="preserve">Un padre lleva a su hija a un concierto que es una encerrona.</t>
  </si>
  <si>
    <t xml:space="preserve">tt26753003</t>
  </si>
  <si>
    <t xml:space="preserve">Los horrores de Caddo Lake</t>
  </si>
  <si>
    <t xml:space="preserve">Logan George,Celine Held</t>
  </si>
  <si>
    <t xml:space="preserve">Desapariciones en un lago con el tiempo alterado.</t>
  </si>
  <si>
    <t xml:space="preserve">tt15552142</t>
  </si>
  <si>
    <t xml:space="preserve">Serenity</t>
  </si>
  <si>
    <t xml:space="preserve">La tripulación de una nave protege a una joven con poderes.</t>
  </si>
  <si>
    <t xml:space="preserve">tt0379786</t>
  </si>
  <si>
    <t xml:space="preserve">Zombies Party</t>
  </si>
  <si>
    <t xml:space="preserve">Prime, Movistar, Movistar Plus+ Ficción Total , FlixOlé, Shadowz Amazon Channel</t>
  </si>
  <si>
    <t xml:space="preserve">Un treintañero inútil afronta un apocalipsis zombi en Londres.</t>
  </si>
  <si>
    <t xml:space="preserve">tt0365748</t>
  </si>
  <si>
    <t xml:space="preserve">Mufasa: El rey león</t>
  </si>
  <si>
    <t xml:space="preserve">La infancia y ascenso de Mufasa contada como flashback.</t>
  </si>
  <si>
    <t xml:space="preserve">tt13186482</t>
  </si>
  <si>
    <t xml:space="preserve">El muro negro</t>
  </si>
  <si>
    <t xml:space="preserve">Philip Koch</t>
  </si>
  <si>
    <t xml:space="preserve">Un thriller sobre una frontera y sus secretos.</t>
  </si>
  <si>
    <t xml:space="preserve">tt31806049</t>
  </si>
  <si>
    <t xml:space="preserve">Intrusión</t>
  </si>
  <si>
    <t xml:space="preserve">Adam Salky</t>
  </si>
  <si>
    <t xml:space="preserve">Una pareja estrena casa y sufre un asalto.</t>
  </si>
  <si>
    <t xml:space="preserve">tt5563324</t>
  </si>
  <si>
    <t xml:space="preserve">Equipaje de mano</t>
  </si>
  <si>
    <t xml:space="preserve">Un agente de seguridad chantajeado en Nochebuena.</t>
  </si>
  <si>
    <t xml:space="preserve">tt21382296</t>
  </si>
  <si>
    <t xml:space="preserve">El experimento del sueño</t>
  </si>
  <si>
    <t xml:space="preserve">Ian Hunt-Duffy</t>
  </si>
  <si>
    <t xml:space="preserve">Un experimento sobre la privación del sueño se descontrola.</t>
  </si>
  <si>
    <t xml:space="preserve">tt14729020</t>
  </si>
  <si>
    <t xml:space="preserve">Ad Vitam</t>
  </si>
  <si>
    <t xml:space="preserve">Rodolphe Lauga</t>
  </si>
  <si>
    <t xml:space="preserve">Un exagente busca a su mujer secuestrada.</t>
  </si>
  <si>
    <t xml:space="preserve">tt32138452</t>
  </si>
  <si>
    <t xml:space="preserve">The Equalizer 2</t>
  </si>
  <si>
    <t xml:space="preserve">McCall venga la muerte de una vieja amiga.</t>
  </si>
  <si>
    <t xml:space="preserve">tt3766354</t>
  </si>
  <si>
    <t xml:space="preserve">Smile 2</t>
  </si>
  <si>
    <t xml:space="preserve">Una estrella del pop es acosada por la maldición de la sonrisa.</t>
  </si>
  <si>
    <t xml:space="preserve">tt29268110</t>
  </si>
  <si>
    <t xml:space="preserve">No mires arriba</t>
  </si>
  <si>
    <t xml:space="preserve">Dos científicos avisan de un cometa y nadie les hace caso.</t>
  </si>
  <si>
    <t xml:space="preserve">tt11286314</t>
  </si>
  <si>
    <t xml:space="preserve">Protegidos por su enemigo</t>
  </si>
  <si>
    <t xml:space="preserve">Neil LaBute</t>
  </si>
  <si>
    <t xml:space="preserve">Un policía protege al testigo de un crimen.</t>
  </si>
  <si>
    <t xml:space="preserve">tt0947802</t>
  </si>
  <si>
    <t xml:space="preserve">El proyecto Adam</t>
  </si>
  <si>
    <t xml:space="preserve">Un piloto del futuro se alía con su yo de doce años.</t>
  </si>
  <si>
    <t xml:space="preserve">tt2463208</t>
  </si>
  <si>
    <t xml:space="preserve">Los pecadores</t>
  </si>
  <si>
    <t xml:space="preserve">Dos hermanos gemelos vuelven a su pueblo del sur.</t>
  </si>
  <si>
    <t xml:space="preserve">tt31193180</t>
  </si>
  <si>
    <t xml:space="preserve">Sisu</t>
  </si>
  <si>
    <t xml:space="preserve">Jalmari Helander</t>
  </si>
  <si>
    <t xml:space="preserve">Finlandia, Reino Unido, EE.UU.</t>
  </si>
  <si>
    <t xml:space="preserve">Un minero finlandés con oro se enfrenta a una división nazi.</t>
  </si>
  <si>
    <t xml:space="preserve">tt14846026</t>
  </si>
  <si>
    <t xml:space="preserve">Baila, Vini</t>
  </si>
  <si>
    <t xml:space="preserve">Emílio Domingos,Andrucha Waddington</t>
  </si>
  <si>
    <t xml:space="preserve">Documental sobre el futbolista Vinícius Júnior.</t>
  </si>
  <si>
    <t xml:space="preserve">tt34682248</t>
  </si>
  <si>
    <t xml:space="preserve">28 años después</t>
  </si>
  <si>
    <t xml:space="preserve">Una comunidad aislada tras décadas del virus de la ira.</t>
  </si>
  <si>
    <t xml:space="preserve">tt10548174</t>
  </si>
  <si>
    <t xml:space="preserve">The Equalizer 3</t>
  </si>
  <si>
    <t xml:space="preserve">McCall se enfrenta a la camorra en un pueblo italiano.</t>
  </si>
  <si>
    <t xml:space="preserve">tt17024450</t>
  </si>
  <si>
    <t xml:space="preserve">Jurassic World: El renacer</t>
  </si>
  <si>
    <t xml:space="preserve">Una expedición busca ADN de dinosaurio en una isla remota.</t>
  </si>
  <si>
    <t xml:space="preserve">tt31036941</t>
  </si>
  <si>
    <t xml:space="preserve">No te muevas</t>
  </si>
  <si>
    <t xml:space="preserve">Brian Netto,Adam Schindler</t>
  </si>
  <si>
    <t xml:space="preserve">Una mujer drogada pierde el movimiento mientras huye.</t>
  </si>
  <si>
    <t xml:space="preserve">tt24807110</t>
  </si>
  <si>
    <t xml:space="preserve">Thunderbolts*</t>
  </si>
  <si>
    <t xml:space="preserve">Jake Schreier</t>
  </si>
  <si>
    <t xml:space="preserve">Un grupo de antihéroes forzados a trabajar juntos.</t>
  </si>
  <si>
    <t xml:space="preserve">tt20969586</t>
  </si>
  <si>
    <t xml:space="preserve">The Voices</t>
  </si>
  <si>
    <t xml:space="preserve">Marjane Satrapi</t>
  </si>
  <si>
    <t xml:space="preserve">Un hombre esquizofrénico recibe consejos de sus mascotas.</t>
  </si>
  <si>
    <t xml:space="preserve">tt1567437</t>
  </si>
  <si>
    <t xml:space="preserve">Terminagolf 2</t>
  </si>
  <si>
    <t xml:space="preserve">Kyle Newacheck</t>
  </si>
  <si>
    <t xml:space="preserve">Continuación de la comedia sobre golfistas desastrosos.</t>
  </si>
  <si>
    <t xml:space="preserve">tt31868189</t>
  </si>
  <si>
    <t xml:space="preserve">Weapons</t>
  </si>
  <si>
    <t xml:space="preserve">Una clase entera de niños desaparece la misma noche.</t>
  </si>
  <si>
    <t xml:space="preserve">tt26581740</t>
  </si>
  <si>
    <t xml:space="preserve">Predator: La presa</t>
  </si>
  <si>
    <t xml:space="preserve">Dan Trachtenberg</t>
  </si>
  <si>
    <t xml:space="preserve">Una joven comanche se enfrenta a un depredador alienígena.</t>
  </si>
  <si>
    <t xml:space="preserve">tt11866324</t>
  </si>
  <si>
    <t xml:space="preserve">IO</t>
  </si>
  <si>
    <t xml:space="preserve">Jonathan Helpert</t>
  </si>
  <si>
    <t xml:space="preserve">Una joven científica en una Tierra casi inhabitable.</t>
  </si>
  <si>
    <t xml:space="preserve">tt3256226</t>
  </si>
  <si>
    <t xml:space="preserve">Avatar: Fuego y ceniza</t>
  </si>
  <si>
    <t xml:space="preserve">Los Sully se enfrentan a un nuevo clan na'vi hostil.</t>
  </si>
  <si>
    <t xml:space="preserve">tt1757678</t>
  </si>
  <si>
    <t xml:space="preserve">Predator: Badlands</t>
  </si>
  <si>
    <t xml:space="preserve">Un joven depredador cazado por los suyos en un planeta letal.</t>
  </si>
  <si>
    <t xml:space="preserve">tt31227572</t>
  </si>
  <si>
    <t xml:space="preserve">Depredador 2</t>
  </si>
  <si>
    <t xml:space="preserve">El cazador alienígena llega a Los Ángeles.</t>
  </si>
  <si>
    <t xml:space="preserve">tt0100403</t>
  </si>
  <si>
    <t xml:space="preserve">Predators</t>
  </si>
  <si>
    <t xml:space="preserve">Nimród Antal</t>
  </si>
  <si>
    <t xml:space="preserve">Unos mercenarios cazados en un planeta ajeno.</t>
  </si>
  <si>
    <t xml:space="preserve">tt1424381</t>
  </si>
  <si>
    <t xml:space="preserve">Alien: Romulus</t>
  </si>
  <si>
    <t xml:space="preserve">Unos jóvenes colonos despiertan xenomorfos en una estación.</t>
  </si>
  <si>
    <t xml:space="preserve">tt18412256</t>
  </si>
  <si>
    <t xml:space="preserve">Outcome</t>
  </si>
  <si>
    <t xml:space="preserve">Un actor de Hollywood enfrenta un chantaje del pasado.</t>
  </si>
  <si>
    <t xml:space="preserve">tt23724682</t>
  </si>
  <si>
    <t xml:space="preserve">Toy Story 5</t>
  </si>
  <si>
    <t xml:space="preserve">Andrew Stanton,McKenna Harris</t>
  </si>
  <si>
    <t xml:space="preserve">Nueva aventura de los juguetes de Bonnie.</t>
  </si>
  <si>
    <t xml:space="preserve">tt29355505</t>
  </si>
  <si>
    <t xml:space="preserve">Gladiator II</t>
  </si>
  <si>
    <t xml:space="preserve">Netflix, Movistar, Movistar Plus+ Ficción Total , rtve, Tivify</t>
  </si>
  <si>
    <t xml:space="preserve">El hijo de Lucila vuelve a Roma como gladiador.</t>
  </si>
  <si>
    <t xml:space="preserve">tt9218128</t>
  </si>
  <si>
    <t xml:space="preserve">Beau travail</t>
  </si>
  <si>
    <t xml:space="preserve">Legionarios franceses en Yibuti y los celos de un sargento.</t>
  </si>
  <si>
    <t xml:space="preserve">Reformuló el cine sobre el cuerpo masculino con estructura casi coreográfica.</t>
  </si>
  <si>
    <t xml:space="preserve">tt0209933</t>
  </si>
  <si>
    <t xml:space="preserve">Cantando bajo la lluvia</t>
  </si>
  <si>
    <t xml:space="preserve">Stanley Donen, Gene Kelly</t>
  </si>
  <si>
    <t xml:space="preserve">Hollywood pasa del cine mudo al sonoro.</t>
  </si>
  <si>
    <t xml:space="preserve">Retrató la transición del mudo al sonoro y fijó el canon del musical.</t>
  </si>
  <si>
    <t xml:space="preserve">tt0045152</t>
  </si>
  <si>
    <t xml:space="preserve">La regla del juego</t>
  </si>
  <si>
    <t xml:space="preserve">Jean Renoir</t>
  </si>
  <si>
    <t xml:space="preserve">Aristócratas y criados enredados en una cacería.</t>
  </si>
  <si>
    <t xml:space="preserve">Renoir usó la profundidad de campo y el plano coral antes que Welles.</t>
  </si>
  <si>
    <t xml:space="preserve">tt0031885</t>
  </si>
  <si>
    <t xml:space="preserve">Un falso despertar</t>
  </si>
  <si>
    <t xml:space="preserve">Maya Deren, Alexander Hammid</t>
  </si>
  <si>
    <t xml:space="preserve">Una mujer revive en bucle un sueño con una figura encapuchada.</t>
  </si>
  <si>
    <t xml:space="preserve">Pieza fundacional del cine experimental estadounidense.</t>
  </si>
  <si>
    <t xml:space="preserve">tt0036154</t>
  </si>
  <si>
    <t xml:space="preserve">Primer plano</t>
  </si>
  <si>
    <t xml:space="preserve">Un hombre se hace pasar por un director de cine famoso.</t>
  </si>
  <si>
    <t xml:space="preserve">Difuminó documental y ficción usando a las personas reales del caso.</t>
  </si>
  <si>
    <t xml:space="preserve">tt0100234</t>
  </si>
  <si>
    <t xml:space="preserve">Primavera tardía</t>
  </si>
  <si>
    <t xml:space="preserve">Una hija se resiste a casarse y dejar solo a su padre.</t>
  </si>
  <si>
    <t xml:space="preserve">Consolidó el estilo de Ozu: cámara baja, planos fijos y elipsis.</t>
  </si>
  <si>
    <t xml:space="preserve">tt0041154</t>
  </si>
  <si>
    <t xml:space="preserve">Playtime</t>
  </si>
  <si>
    <t xml:space="preserve">Jacques Tati</t>
  </si>
  <si>
    <t xml:space="preserve">Turistas y oficinistas perdidos en un París ultramoderno.</t>
  </si>
  <si>
    <t xml:space="preserve">Tati construyó una ciudad entera para coreografiar el gag en plano general.</t>
  </si>
  <si>
    <t xml:space="preserve">tt0062136</t>
  </si>
  <si>
    <t xml:space="preserve">La noche del cazador</t>
  </si>
  <si>
    <t xml:space="preserve">Charles Laughton</t>
  </si>
  <si>
    <t xml:space="preserve">Un falso predicador persigue a dos niños por un botín.</t>
  </si>
  <si>
    <t xml:space="preserve">Fracasó en su estreno y hoy es referencia del expresionismo americano.</t>
  </si>
  <si>
    <t xml:space="preserve">tt0048424</t>
  </si>
  <si>
    <t xml:space="preserve">Las margaritas</t>
  </si>
  <si>
    <t xml:space="preserve">Vera Chytilová</t>
  </si>
  <si>
    <t xml:space="preserve">República Checa</t>
  </si>
  <si>
    <t xml:space="preserve">Dos jóvenes deciden portarse mal con todo el mundo.</t>
  </si>
  <si>
    <t xml:space="preserve">Cumbre de la vanguardia checa; fue prohibida por el régimen.</t>
  </si>
  <si>
    <t xml:space="preserve">tt0060959</t>
  </si>
  <si>
    <t xml:space="preserve">Fellini 8½</t>
  </si>
  <si>
    <t xml:space="preserve">Movistar, Movistar Plus+ Ficción Total , Filmin, Acontra, Acontra Plus Amazon Channel, Tivify, 3Cat, Runtime</t>
  </si>
  <si>
    <t xml:space="preserve">Un director bloqueado se refugia en recuerdos y fantasías.</t>
  </si>
  <si>
    <t xml:space="preserve">Fijó el modelo del cine sobre el bloqueo creativo del propio autor.</t>
  </si>
  <si>
    <t xml:space="preserve">tt0056801</t>
  </si>
  <si>
    <t xml:space="preserve">L'atalante</t>
  </si>
  <si>
    <t xml:space="preserve">Jean Vigo</t>
  </si>
  <si>
    <t xml:space="preserve">Recién casados conviven en una gabarra por los canales franceses.</t>
  </si>
  <si>
    <t xml:space="preserve">Fusionó realismo y lirismo poético con una libertad formal inédita.</t>
  </si>
  <si>
    <t xml:space="preserve">tt0024844</t>
  </si>
  <si>
    <t xml:space="preserve">La canción del camino</t>
  </si>
  <si>
    <t xml:space="preserve">Satyajit Ray</t>
  </si>
  <si>
    <t xml:space="preserve">La infancia de un niño pobre en la Bengala rural.</t>
  </si>
  <si>
    <t xml:space="preserve">Abrió el cine indio al mundo e inauguró el neorrealismo bengalí.</t>
  </si>
  <si>
    <t xml:space="preserve">tt0048473</t>
  </si>
  <si>
    <t xml:space="preserve">Killer of Sheep</t>
  </si>
  <si>
    <t xml:space="preserve">Charles Burnett</t>
  </si>
  <si>
    <t xml:space="preserve">Un matarife negro de Los Ángeles y su vida cotidiana.</t>
  </si>
  <si>
    <t xml:space="preserve">Pilar del cine negro independiente estadounidense de los setenta.</t>
  </si>
  <si>
    <t xml:space="preserve">tt0076263</t>
  </si>
  <si>
    <t xml:space="preserve">Wanda</t>
  </si>
  <si>
    <t xml:space="preserve">Barbara Loden</t>
  </si>
  <si>
    <t xml:space="preserve">Una mujer sin rumbo acompaña a un atracador.</t>
  </si>
  <si>
    <t xml:space="preserve">Rareza dirigida por una mujer que anticipó el cine independiente americano.</t>
  </si>
  <si>
    <t xml:space="preserve">tt0067961</t>
  </si>
  <si>
    <t xml:space="preserve">Los 400 golpes</t>
  </si>
  <si>
    <t xml:space="preserve">François Truffaut</t>
  </si>
  <si>
    <t xml:space="preserve">Prime, Filmin, MUBI, MUBI Amazon Channel, Rakuten</t>
  </si>
  <si>
    <t xml:space="preserve">Un chaval parisino entre la escuela, la calle y el reformatorio.</t>
  </si>
  <si>
    <t xml:space="preserve">Acta de nacimiento de la Nouvelle Vague y su plano final congelado.</t>
  </si>
  <si>
    <t xml:space="preserve">tt0053198</t>
  </si>
  <si>
    <t xml:space="preserve">News from Home</t>
  </si>
  <si>
    <t xml:space="preserve">Nueva York filmada mientras se leen cartas de una madre.</t>
  </si>
  <si>
    <t xml:space="preserve">Referencia del cine estructural y del ensayo autobiográfico.</t>
  </si>
  <si>
    <t xml:space="preserve">tt0076452</t>
  </si>
  <si>
    <t xml:space="preserve">El desprecio</t>
  </si>
  <si>
    <t xml:space="preserve">Un guionista ve cómo su matrimonio se rompe en un rodaje.</t>
  </si>
  <si>
    <t xml:space="preserve">Godard convirtió el CinemaScope y el color en discurso sobre el cine.</t>
  </si>
  <si>
    <t xml:space="preserve">tt0057345</t>
  </si>
  <si>
    <t xml:space="preserve">Sans Soleil</t>
  </si>
  <si>
    <t xml:space="preserve">Chris Marker</t>
  </si>
  <si>
    <t xml:space="preserve">Cartas de un viajero entre Japón y África sobre la memoria.</t>
  </si>
  <si>
    <t xml:space="preserve">Redefinió el documental como ensayo filosófico en primera persona.</t>
  </si>
  <si>
    <t xml:space="preserve">tt0084628</t>
  </si>
  <si>
    <t xml:space="preserve">Daughters of the Dust</t>
  </si>
  <si>
    <t xml:space="preserve">Julie Dash</t>
  </si>
  <si>
    <t xml:space="preserve">Una familia gullah se despide de su isla en 1902.</t>
  </si>
  <si>
    <t xml:space="preserve">Primer largo de una directora negra estrenado comercialmente en EE.UU.</t>
  </si>
  <si>
    <t xml:space="preserve">tt0104057</t>
  </si>
  <si>
    <t xml:space="preserve">Touki Bouki</t>
  </si>
  <si>
    <t xml:space="preserve">Djibril Diop Mambéty</t>
  </si>
  <si>
    <t xml:space="preserve">Senegal</t>
  </si>
  <si>
    <t xml:space="preserve">Dos jóvenes senegaleses sueñan con escapar a París.</t>
  </si>
  <si>
    <t xml:space="preserve">Aplicó la vanguardia europea al cine africano poscolonial.</t>
  </si>
  <si>
    <t xml:space="preserve">tt0070820</t>
  </si>
  <si>
    <t xml:space="preserve">Andrei Rublev</t>
  </si>
  <si>
    <t xml:space="preserve">URSS, Rusia</t>
  </si>
  <si>
    <t xml:space="preserve">El pintor de iconos atraviesa la Rusia medieval.</t>
  </si>
  <si>
    <t xml:space="preserve">Reinventó el cine histórico con planos-secuencia y tiempo dilatado.</t>
  </si>
  <si>
    <t xml:space="preserve">tt0060107</t>
  </si>
  <si>
    <t xml:space="preserve">El muelle</t>
  </si>
  <si>
    <t xml:space="preserve">Un prisionero del futuro viaja al pasado a través de una imagen.</t>
  </si>
  <si>
    <t xml:space="preserve">Contada casi solo con fotos fijas; inspiró Doce monos.</t>
  </si>
  <si>
    <t xml:space="preserve">tt0056119</t>
  </si>
  <si>
    <t xml:space="preserve">La aventura</t>
  </si>
  <si>
    <t xml:space="preserve">Michelangelo Antonioni</t>
  </si>
  <si>
    <t xml:space="preserve">Una mujer desaparece en una isla y nadie la busca de verdad.</t>
  </si>
  <si>
    <t xml:space="preserve">Abolió la resolución narrativa; fue abucheada en Cannes y luego canonizada.</t>
  </si>
  <si>
    <t xml:space="preserve">tt0053619</t>
  </si>
  <si>
    <t xml:space="preserve">Te querré siempre</t>
  </si>
  <si>
    <t xml:space="preserve">Un matrimonio inglés al borde de la ruptura recorre Nápoles.</t>
  </si>
  <si>
    <t xml:space="preserve">Rossellini inauguró el cine moderno de la incomunicación en pareja.</t>
  </si>
  <si>
    <t xml:space="preserve">tt0046511</t>
  </si>
  <si>
    <t xml:space="preserve">El intendente Sansho</t>
  </si>
  <si>
    <t xml:space="preserve">Dos hermanos separados de su madre y vendidos como esclavos.</t>
  </si>
  <si>
    <t xml:space="preserve">Cumbre del plano-secuencia de Mizoguchi y su cámara fluida.</t>
  </si>
  <si>
    <t xml:space="preserve">tt0047445</t>
  </si>
  <si>
    <t xml:space="preserve">Imitación a la vida</t>
  </si>
  <si>
    <t xml:space="preserve">Douglas Sirk</t>
  </si>
  <si>
    <t xml:space="preserve">Dos madres, una blanca y otra negra, y sus hijas.</t>
  </si>
  <si>
    <t xml:space="preserve">Melodrama que abordó el racismo y el paso por blanco en pleno Hollywood.</t>
  </si>
  <si>
    <t xml:space="preserve">tt0052918</t>
  </si>
  <si>
    <t xml:space="preserve">A vida o muerte</t>
  </si>
  <si>
    <t xml:space="preserve">Michael Powell, Emeric Pressburger</t>
  </si>
  <si>
    <t xml:space="preserve">Prime, FlixOlé, Artiflix</t>
  </si>
  <si>
    <t xml:space="preserve">Un piloto sobrevive a una caída y es juzgado en el más allá.</t>
  </si>
  <si>
    <t xml:space="preserve">Alternó Technicolor y blanco y negro como recurso narrativo.</t>
  </si>
  <si>
    <t xml:space="preserve">tt0038733</t>
  </si>
  <si>
    <t xml:space="preserve">Celine y Julie van en barco</t>
  </si>
  <si>
    <t xml:space="preserve">Dos amigas entran en una casa donde se repite un drama.</t>
  </si>
  <si>
    <t xml:space="preserve">Referente del cine lúdico y metaficcional; influyó en Lynch.</t>
  </si>
  <si>
    <t xml:space="preserve">tt0071381</t>
  </si>
  <si>
    <t xml:space="preserve">Un día de verano</t>
  </si>
  <si>
    <t xml:space="preserve">Un adolescente en el Taipéi de los años sesenta.</t>
  </si>
  <si>
    <t xml:space="preserve">Cima del Nuevo Cine Taiwanés y su mirada generacional.</t>
  </si>
  <si>
    <t xml:space="preserve">tt0101985</t>
  </si>
  <si>
    <t xml:space="preserve">El espíritu de la colmena</t>
  </si>
  <si>
    <t xml:space="preserve">Una niña de la posguerra queda fascinada por Frankenstein.</t>
  </si>
  <si>
    <t xml:space="preserve">Cumbre del cine español bajo censura, con el franquismo dicho en silencios.</t>
  </si>
  <si>
    <t xml:space="preserve">tt0070040</t>
  </si>
  <si>
    <t xml:space="preserve">Pierrot, el loco</t>
  </si>
  <si>
    <t xml:space="preserve">Una pareja huye por el sur de Francia hacia la nada.</t>
  </si>
  <si>
    <t xml:space="preserve">Llevó al límite la ruptura formal del cine de Godard.</t>
  </si>
  <si>
    <t xml:space="preserve">tt0059592</t>
  </si>
  <si>
    <t xml:space="preserve">Chungking Express</t>
  </si>
  <si>
    <t xml:space="preserve">Dos policías de Hong Kong y sus desamores paralelos.</t>
  </si>
  <si>
    <t xml:space="preserve">Consagró la estética de Wong Kar-Wai y el cine de Hong Kong en Occidente.</t>
  </si>
  <si>
    <t xml:space="preserve">tt0109424</t>
  </si>
  <si>
    <t xml:space="preserve">El gatopardo</t>
  </si>
  <si>
    <t xml:space="preserve">Luchino Visconti</t>
  </si>
  <si>
    <t xml:space="preserve">Un príncipe siciliano ve desaparecer su mundo con la unificación.</t>
  </si>
  <si>
    <t xml:space="preserve">Modelo del cine histórico de gran formato con lectura política.</t>
  </si>
  <si>
    <t xml:space="preserve">tt0057091</t>
  </si>
  <si>
    <t xml:space="preserve">Madame de...</t>
  </si>
  <si>
    <t xml:space="preserve">Max Ophüls</t>
  </si>
  <si>
    <t xml:space="preserve">Unos pendientes vendidos en secreto desatan una tragedia.</t>
  </si>
  <si>
    <t xml:space="preserve">Sus movimientos de cámara encadenados son estudio obligado de puesta en escena.</t>
  </si>
  <si>
    <t xml:space="preserve">tt0046022</t>
  </si>
  <si>
    <t xml:space="preserve">Un condenado a muerte se ha escapado</t>
  </si>
  <si>
    <t xml:space="preserve">Un preso de la Resistencia prepara su fuga celda a celda.</t>
  </si>
  <si>
    <t xml:space="preserve">Ejemplo máximo del cine de Bresson: sonido y manos en vez de espectáculo.</t>
  </si>
  <si>
    <t xml:space="preserve">tt0049902</t>
  </si>
  <si>
    <t xml:space="preserve">Black Girl</t>
  </si>
  <si>
    <t xml:space="preserve">Senegal, Francia</t>
  </si>
  <si>
    <t xml:space="preserve">MUBI, MUBI Amazon Channel, Plex</t>
  </si>
  <si>
    <t xml:space="preserve">Una joven senegalesa trabaja de criada en Francia.</t>
  </si>
  <si>
    <t xml:space="preserve">Primer largometraje del África subsahariana con distribución internacional.</t>
  </si>
  <si>
    <t xml:space="preserve">tt0060758</t>
  </si>
  <si>
    <t xml:space="preserve">Tropical Malady</t>
  </si>
  <si>
    <t xml:space="preserve">Tailandia, Italia, Francia, Alemania</t>
  </si>
  <si>
    <t xml:space="preserve">Un soldado y un aldeano, y una leyenda de la selva.</t>
  </si>
  <si>
    <t xml:space="preserve">Rompió la película en dos mitades irreconciliables; Premio del Jurado en Cannes.</t>
  </si>
  <si>
    <t xml:space="preserve">tt0381668</t>
  </si>
  <si>
    <t xml:space="preserve">Sin techo ni ley</t>
  </si>
  <si>
    <t xml:space="preserve">Los últimos meses de una vagabunda hallada muerta.</t>
  </si>
  <si>
    <t xml:space="preserve">Varda construyó un retrato en negativo mediante testimonios ajenos.</t>
  </si>
  <si>
    <t xml:space="preserve">tt0089960</t>
  </si>
  <si>
    <t xml:space="preserve">La casa es negra</t>
  </si>
  <si>
    <t xml:space="preserve">Forugh Farrokhzad</t>
  </si>
  <si>
    <t xml:space="preserve">La vida en una leprosería iraní.</t>
  </si>
  <si>
    <t xml:space="preserve">Cortometraje que fundó la nueva ola del cine iraní.</t>
  </si>
  <si>
    <t xml:space="preserve">tt0336693</t>
  </si>
  <si>
    <t xml:space="preserve">Río Bravo</t>
  </si>
  <si>
    <t xml:space="preserve">Howard Hawks</t>
  </si>
  <si>
    <t xml:space="preserve">Un sheriff y sus ayudantes resisten un asedio.</t>
  </si>
  <si>
    <t xml:space="preserve">Respuesta de Hawks a Solo ante el peligro; modelo del western de asedio.</t>
  </si>
  <si>
    <t xml:space="preserve">tt0053221</t>
  </si>
  <si>
    <t xml:space="preserve">La maman et la putain</t>
  </si>
  <si>
    <t xml:space="preserve">Jean Eustache</t>
  </si>
  <si>
    <t xml:space="preserve">Un joven parisino entre dos mujeres, hablando sin parar.</t>
  </si>
  <si>
    <t xml:space="preserve">Retrato desencantado de la generación post-68 en más de tres horas de diálogo.</t>
  </si>
  <si>
    <t xml:space="preserve">tt0070359</t>
  </si>
  <si>
    <t xml:space="preserve">La fiera de mi niña</t>
  </si>
  <si>
    <t xml:space="preserve">Un paleontólogo y una heredera caótica con un leopardo.</t>
  </si>
  <si>
    <t xml:space="preserve">Cumbre de la screwball comedy y su diálogo solapado.</t>
  </si>
  <si>
    <t xml:space="preserve">tt0029947</t>
  </si>
  <si>
    <t xml:space="preserve">Fresas salvajes</t>
  </si>
  <si>
    <t xml:space="preserve">Un profesor anciano repasa su vida en un viaje en coche.</t>
  </si>
  <si>
    <t xml:space="preserve">Fusionó sueño, memoria y presente en un mismo relato.</t>
  </si>
  <si>
    <t xml:space="preserve">tt0050986</t>
  </si>
  <si>
    <t xml:space="preserve">El mago de Oz</t>
  </si>
  <si>
    <t xml:space="preserve">Victor Fleming, George Cukor, Norman Taurog</t>
  </si>
  <si>
    <t xml:space="preserve">Una niña de Kansas llega a un país de fantasía.</t>
  </si>
  <si>
    <t xml:space="preserve">Popularizó el Technicolor como salto narrativo del sepia al color.</t>
  </si>
  <si>
    <t xml:space="preserve">tt0032138</t>
  </si>
  <si>
    <t xml:space="preserve">Amenaza en la sombra</t>
  </si>
  <si>
    <t xml:space="preserve">Nicolas Roeg</t>
  </si>
  <si>
    <t xml:space="preserve">Filmin, Shadowz Amazon Channel</t>
  </si>
  <si>
    <t xml:space="preserve">Una pareja en duelo cree ver a su hija muerta en Venecia.</t>
  </si>
  <si>
    <t xml:space="preserve">Su montaje fragmentado sobre el duelo influyó en el thriller psicológico.</t>
  </si>
  <si>
    <t xml:space="preserve">tt0069995</t>
  </si>
  <si>
    <t xml:space="preserve">Nashville</t>
  </si>
  <si>
    <t xml:space="preserve">Veinticuatro personajes en la escena country y política.</t>
  </si>
  <si>
    <t xml:space="preserve">Modelo del relato coral con veinticuatro personajes y sonido superpuesto.</t>
  </si>
  <si>
    <t xml:space="preserve">tt0073440</t>
  </si>
  <si>
    <t xml:space="preserve">Una mujer bajo la influencia</t>
  </si>
  <si>
    <t xml:space="preserve">Una madre inestable y su marido incapaz de ayudarla.</t>
  </si>
  <si>
    <t xml:space="preserve">Cima del método Cassavetes: rodaje independiente y actuación al límite.</t>
  </si>
  <si>
    <t xml:space="preserve">tt0072417</t>
  </si>
  <si>
    <t xml:space="preserve">El conformista</t>
  </si>
  <si>
    <t xml:space="preserve">Italia, Alemania, Francia</t>
  </si>
  <si>
    <t xml:space="preserve">Un burócrata fascista recibe el encargo de matar a su maestro.</t>
  </si>
  <si>
    <t xml:space="preserve">Su fotografía y encuadres influyeron en toda una generación de directores.</t>
  </si>
  <si>
    <t xml:space="preserve">tt0065571</t>
  </si>
  <si>
    <t xml:space="preserve">Aguirre, la cólera de Dios</t>
  </si>
  <si>
    <t xml:space="preserve">Alemania, Perú</t>
  </si>
  <si>
    <t xml:space="preserve">Un conquistador enloquece buscando El Dorado.</t>
  </si>
  <si>
    <t xml:space="preserve">Rodada en la selva en condiciones extremas; mito del cine alemán.</t>
  </si>
  <si>
    <t xml:space="preserve">tt0068182</t>
  </si>
  <si>
    <t xml:space="preserve">Solo los ángeles tienen alas</t>
  </si>
  <si>
    <t xml:space="preserve">Pilotos de correo arriesgan la vida en los Andes.</t>
  </si>
  <si>
    <t xml:space="preserve">Modelo del cine de grupo profesional de Hawks.</t>
  </si>
  <si>
    <t xml:space="preserve">tt0031762</t>
  </si>
  <si>
    <t xml:space="preserve">Los paraguas de Cherburgo</t>
  </si>
  <si>
    <t xml:space="preserve">Jacques Demy</t>
  </si>
  <si>
    <t xml:space="preserve">Un amor separado por la guerra, íntegramente cantado.</t>
  </si>
  <si>
    <t xml:space="preserve">Musical íntegramente cantado que ganó la Palma de Oro.</t>
  </si>
  <si>
    <t xml:space="preserve">tt0058450</t>
  </si>
  <si>
    <t xml:space="preserve">Johnny Guitar</t>
  </si>
  <si>
    <t xml:space="preserve">Nicholas Ray</t>
  </si>
  <si>
    <t xml:space="preserve">Dos mujeres se enfrentan por el poder en un pueblo del Oeste.</t>
  </si>
  <si>
    <t xml:space="preserve">Western atípico con protagonismo femenino y lectura anti-McCarthy.</t>
  </si>
  <si>
    <t xml:space="preserve">tt0047136</t>
  </si>
  <si>
    <t xml:space="preserve">El color de la granada</t>
  </si>
  <si>
    <t xml:space="preserve">Sergei Parajanov</t>
  </si>
  <si>
    <t xml:space="preserve">Armenia</t>
  </si>
  <si>
    <t xml:space="preserve">La vida del poeta Sayat-Nova en cuadros simbólicos.</t>
  </si>
  <si>
    <t xml:space="preserve">Abandonó la narración por completo a favor del cuadro simbólico.</t>
  </si>
  <si>
    <t xml:space="preserve">tt0063555</t>
  </si>
  <si>
    <t xml:space="preserve">La ascensión</t>
  </si>
  <si>
    <t xml:space="preserve">Larisa Shepitko</t>
  </si>
  <si>
    <t xml:space="preserve">Dos partisanos soviéticos capturados por los alemanes.</t>
  </si>
  <si>
    <t xml:space="preserve">Cumbre del cine bélico soviético; Oso de Oro en Berlín.</t>
  </si>
  <si>
    <t xml:space="preserve">tt0075404</t>
  </si>
  <si>
    <t xml:space="preserve">Luna nueva</t>
  </si>
  <si>
    <t xml:space="preserve">Movistar, Movistar Plus+ Ficción Total , Filmin, FlixOlé, Artiflix, Runtime</t>
  </si>
  <si>
    <t xml:space="preserve">Un director de periódico impide que su exmujer se case.</t>
  </si>
  <si>
    <t xml:space="preserve">Llevó el diálogo rápido y solapado a su máxima velocidad.</t>
  </si>
  <si>
    <t xml:space="preserve">tt0032599</t>
  </si>
  <si>
    <t xml:space="preserve">Lawrence de Arabia</t>
  </si>
  <si>
    <t xml:space="preserve">David Lean</t>
  </si>
  <si>
    <t xml:space="preserve">Un oficial británico lidera la revuelta árabe en el desierto.</t>
  </si>
  <si>
    <t xml:space="preserve">Cumbre del cine épico en 70 mm y de la elipsis del fósforo al desierto.</t>
  </si>
  <si>
    <t xml:space="preserve">tt0056172</t>
  </si>
  <si>
    <t xml:space="preserve">Gertrud</t>
  </si>
  <si>
    <t xml:space="preserve">Una mujer abandona a los hombres que no la aman del todo.</t>
  </si>
  <si>
    <t xml:space="preserve">Su rigor formal extremo fue rechazado en su estreno y luego reivindicado.</t>
  </si>
  <si>
    <t xml:space="preserve">tt0058138</t>
  </si>
  <si>
    <t xml:space="preserve">Sólo el cielo lo sabe</t>
  </si>
  <si>
    <t xml:space="preserve">Una viuda burguesa se enamora de su jardinero.</t>
  </si>
  <si>
    <t xml:space="preserve">Melodrama de crítica social que inspiró a Fassbinder y a Haynes.</t>
  </si>
  <si>
    <t xml:space="preserve">tt0047811</t>
  </si>
  <si>
    <t xml:space="preserve">El ratero</t>
  </si>
  <si>
    <t xml:space="preserve">Un joven parisino se vuelve adicto a robar carteras.</t>
  </si>
  <si>
    <t xml:space="preserve">Ejemplo canónico del montaje y la austeridad bressoniana.</t>
  </si>
  <si>
    <t xml:space="preserve">tt0053168</t>
  </si>
  <si>
    <t xml:space="preserve">El séptimo sello</t>
  </si>
  <si>
    <t xml:space="preserve">Un cruzado juega al ajedrez con la Muerte.</t>
  </si>
  <si>
    <t xml:space="preserve">Su partida de ajedrez con la Muerte es de las imágenes más citadas del cine.</t>
  </si>
  <si>
    <t xml:space="preserve">tt0050976</t>
  </si>
  <si>
    <t xml:space="preserve">Un ladrón en la alcoba</t>
  </si>
  <si>
    <t xml:space="preserve">Dos estafadores enamorados intentan desplumar a una viuda.</t>
  </si>
  <si>
    <t xml:space="preserve">Cumbre del toque Lubitsch antes del código Hays.</t>
  </si>
  <si>
    <t xml:space="preserve">tt0023622</t>
  </si>
  <si>
    <t xml:space="preserve">Sambizanga</t>
  </si>
  <si>
    <t xml:space="preserve">Sarah Maldoror</t>
  </si>
  <si>
    <t xml:space="preserve">Angola</t>
  </si>
  <si>
    <t xml:space="preserve">Una angoleña busca a su marido detenido por los portugueses.</t>
  </si>
  <si>
    <t xml:space="preserve">Pionera del cine africano dirigido por una mujer.</t>
  </si>
  <si>
    <t xml:space="preserve">tt0069214</t>
  </si>
  <si>
    <t xml:space="preserve">Grupo salvaje</t>
  </si>
  <si>
    <t xml:space="preserve">Forajidos veteranos dan un último golpe en México.</t>
  </si>
  <si>
    <t xml:space="preserve">Revolucionó la violencia en pantalla con montaje y cámara lenta.</t>
  </si>
  <si>
    <t xml:space="preserve">tt0065214</t>
  </si>
  <si>
    <t xml:space="preserve">Los niños del paraíso</t>
  </si>
  <si>
    <t xml:space="preserve">Marcel Carné</t>
  </si>
  <si>
    <t xml:space="preserve">Amores cruzados en el teatro parisino del XIX.</t>
  </si>
  <si>
    <t xml:space="preserve">Rodada bajo la ocupación nazi; considerada la mejor película francesa de su siglo.</t>
  </si>
  <si>
    <t xml:space="preserve">tt0037674</t>
  </si>
  <si>
    <t xml:space="preserve">La ciénaga</t>
  </si>
  <si>
    <t xml:space="preserve">Lucrecia Martel</t>
  </si>
  <si>
    <t xml:space="preserve">Argentina, Japón, Francia, España</t>
  </si>
  <si>
    <t xml:space="preserve">Dos familias argentinas se pudren en el calor del verano.</t>
  </si>
  <si>
    <t xml:space="preserve">Marcó el arranque del Nuevo Cine Argentino.</t>
  </si>
  <si>
    <t xml:space="preserve">tt0240419</t>
  </si>
  <si>
    <t xml:space="preserve">Chinatown</t>
  </si>
  <si>
    <t xml:space="preserve">Un detective destapa una trama por el agua de Los Ángeles.</t>
  </si>
  <si>
    <t xml:space="preserve">Modelo del neo-noir y de guion de estructura perfecta.</t>
  </si>
  <si>
    <t xml:space="preserve">tt0071315</t>
  </si>
  <si>
    <t xml:space="preserve">La gran ilusión</t>
  </si>
  <si>
    <t xml:space="preserve">Prisioneros franceses planean fugarse en la Gran Guerra.</t>
  </si>
  <si>
    <t xml:space="preserve">Primera película extranjera nominada al Óscar a mejor película.</t>
  </si>
  <si>
    <t xml:space="preserve">tt0028950</t>
  </si>
  <si>
    <t xml:space="preserve">India Song</t>
  </si>
  <si>
    <t xml:space="preserve">Marguerite Duras</t>
  </si>
  <si>
    <t xml:space="preserve">La esposa de un embajador francés en la Calcuta colonial.</t>
  </si>
  <si>
    <t xml:space="preserve">Disoció por completo imagen y sonido como propuesta radical.</t>
  </si>
  <si>
    <t xml:space="preserve">tt0073166</t>
  </si>
  <si>
    <t xml:space="preserve">La bruja vampiro</t>
  </si>
  <si>
    <t xml:space="preserve">Bloodstream, Plex</t>
  </si>
  <si>
    <t xml:space="preserve">Un viajero llega a una aldea dominada por una vampira.</t>
  </si>
  <si>
    <t xml:space="preserve">Cumbre del terror atmosférico con imagen velada y montaje onírico.</t>
  </si>
  <si>
    <t xml:space="preserve">tt0023649</t>
  </si>
  <si>
    <t xml:space="preserve">The Watermelon Woman</t>
  </si>
  <si>
    <t xml:space="preserve">Cheryl Dunye</t>
  </si>
  <si>
    <t xml:space="preserve">Una cineasta negra investiga a una actriz olvidada.</t>
  </si>
  <si>
    <t xml:space="preserve">Primer largo de ficción dirigido por una mujer negra lesbiana en EE.UU.</t>
  </si>
  <si>
    <t xml:space="preserve">tt0118125</t>
  </si>
  <si>
    <t xml:space="preserve">La estrella oculta</t>
  </si>
  <si>
    <t xml:space="preserve">Ritwik Ghatak</t>
  </si>
  <si>
    <t xml:space="preserve">Hoichoi</t>
  </si>
  <si>
    <t xml:space="preserve">Una joven bengalí se sacrifica por su familia refugiada.</t>
  </si>
  <si>
    <t xml:space="preserve">Obra central del cine bengalí y del melodrama de la Partición.</t>
  </si>
  <si>
    <t xml:space="preserve">tt0054073</t>
  </si>
  <si>
    <t xml:space="preserve">Días del cielo</t>
  </si>
  <si>
    <t xml:space="preserve">Un triángulo amoroso entre los trigales de Texas.</t>
  </si>
  <si>
    <t xml:space="preserve">Rodada casi entera en hora mágica; ganó el Óscar de fotografía.</t>
  </si>
  <si>
    <t xml:space="preserve">tt0077405</t>
  </si>
  <si>
    <t xml:space="preserve">West Indies</t>
  </si>
  <si>
    <t xml:space="preserve">Med Hondo</t>
  </si>
  <si>
    <t xml:space="preserve">Argelia, Francia, Mauritania</t>
  </si>
  <si>
    <t xml:space="preserve">La historia colonial antillana contada como musical en un barco.</t>
  </si>
  <si>
    <t xml:space="preserve">Musical anticolonial rodado íntegramente dentro de un barco negrero.</t>
  </si>
  <si>
    <t xml:space="preserve">tt0080125</t>
  </si>
  <si>
    <t xml:space="preserve">Retorno al pasado</t>
  </si>
  <si>
    <t xml:space="preserve">Jacques Tourneur</t>
  </si>
  <si>
    <t xml:space="preserve">Un detective retirado atrapado por su antiguo amor.</t>
  </si>
  <si>
    <t xml:space="preserve">Modelo del cine negro clásico y de la femme fatale.</t>
  </si>
  <si>
    <t xml:space="preserve">tt0039689</t>
  </si>
  <si>
    <t xml:space="preserve">Amarcord</t>
  </si>
  <si>
    <t xml:space="preserve">Un año en un pueblo italiano bajo el fascismo, entre recuerdos.</t>
  </si>
  <si>
    <t xml:space="preserve">Fijó el modelo del recuerdo de infancia como fresco colectivo.</t>
  </si>
  <si>
    <t xml:space="preserve">tt0071129</t>
  </si>
  <si>
    <t xml:space="preserve">El Evangelio según san Mateo</t>
  </si>
  <si>
    <t xml:space="preserve">Pier Paolo Pasolini</t>
  </si>
  <si>
    <t xml:space="preserve">La vida de Jesús rodada con actores no profesionales.</t>
  </si>
  <si>
    <t xml:space="preserve">Vida de Jesús filmada por un marxista con actores no profesionales.</t>
  </si>
  <si>
    <t xml:space="preserve">tt0058715</t>
  </si>
  <si>
    <t xml:space="preserve">¿Dónde está la casa de mi amigo?</t>
  </si>
  <si>
    <t xml:space="preserve">Un niño busca la casa de su compañero para devolverle un cuaderno.</t>
  </si>
  <si>
    <t xml:space="preserve">Inició la nueva ola iraní y su cine de niños y trayectos.</t>
  </si>
  <si>
    <t xml:space="preserve">tt0093342</t>
  </si>
  <si>
    <t xml:space="preserve">Ciudad doliente</t>
  </si>
  <si>
    <t xml:space="preserve">Hsiao-Hsien Hou</t>
  </si>
  <si>
    <t xml:space="preserve">Hong Kong, Taiwán</t>
  </si>
  <si>
    <t xml:space="preserve">Una familia taiwanesa durante la represión de 1947.</t>
  </si>
  <si>
    <t xml:space="preserve">Primera película que abordó la masacre del 28 de febrero en Taiwán.</t>
  </si>
  <si>
    <t xml:space="preserve">tt0096908</t>
  </si>
  <si>
    <t xml:space="preserve">Orlando</t>
  </si>
  <si>
    <t xml:space="preserve">Sally Potter</t>
  </si>
  <si>
    <t xml:space="preserve">Reino Unido, Francia, Italia, Países Bajos, Rusia</t>
  </si>
  <si>
    <t xml:space="preserve">Un noble vive cuatro siglos y cambia de sexo por el camino.</t>
  </si>
  <si>
    <t xml:space="preserve">Adaptación pionera sobre identidad de género y paso del tiempo.</t>
  </si>
  <si>
    <t xml:space="preserve">tt0107756</t>
  </si>
  <si>
    <t xml:space="preserve">Al oeste de los raíles</t>
  </si>
  <si>
    <t xml:space="preserve">Wang Bing</t>
  </si>
  <si>
    <t xml:space="preserve">Países Bajos, China</t>
  </si>
  <si>
    <t xml:space="preserve">El desmantelamiento de un complejo industrial chino.</t>
  </si>
  <si>
    <t xml:space="preserve">Documental de nueve horas sobre el fin de la industria china.</t>
  </si>
  <si>
    <t xml:space="preserve">tt0389448</t>
  </si>
  <si>
    <t xml:space="preserve">El cuarto mandamiento</t>
  </si>
  <si>
    <t xml:space="preserve">Orson Welles, Fred Fleck, Robert Wise</t>
  </si>
  <si>
    <t xml:space="preserve">Movistar, Movistar Plus+ Ficción Total , FlixOlé, FlixOlé Amazon Channel, Plex</t>
  </si>
  <si>
    <t xml:space="preserve">Una familia acomodada se arruina con la llegada del automóvil.</t>
  </si>
  <si>
    <t xml:space="preserve">Mutilada por el estudio; su versión original sigue perdida.</t>
  </si>
  <si>
    <t xml:space="preserve">tt0035015</t>
  </si>
  <si>
    <t xml:space="preserve">Hiroshima, mon amour</t>
  </si>
  <si>
    <t xml:space="preserve">Una actriz francesa y un japonés hablan de memoria y olvido.</t>
  </si>
  <si>
    <t xml:space="preserve">Fusionó memoria e Historia con un montaje que abrió el cine moderno.</t>
  </si>
  <si>
    <t xml:space="preserve">tt0052893</t>
  </si>
  <si>
    <t xml:space="preserve">Carta de una desconocida</t>
  </si>
  <si>
    <t xml:space="preserve">Una mujer escribe al pianista que nunca la recordó.</t>
  </si>
  <si>
    <t xml:space="preserve">Cumbre del melodrama y del punto de vista femenino en Hollywood.</t>
  </si>
  <si>
    <t xml:space="preserve">tt0040536</t>
  </si>
  <si>
    <t xml:space="preserve">Charulata. La esposa solitaria</t>
  </si>
  <si>
    <t xml:space="preserve">Una esposa culta se enamora de su cuñado.</t>
  </si>
  <si>
    <t xml:space="preserve">Ray la consideraba su película más perfecta.</t>
  </si>
  <si>
    <t xml:space="preserve">tt0057935</t>
  </si>
  <si>
    <t xml:space="preserve">El desierto rojo</t>
  </si>
  <si>
    <t xml:space="preserve">Una mujer angustiada en un paisaje industrial.</t>
  </si>
  <si>
    <t xml:space="preserve">Primer color de Antonioni: pintó paisajes reales para expresar el ánimo.</t>
  </si>
  <si>
    <t xml:space="preserve">tt0058003</t>
  </si>
  <si>
    <t xml:space="preserve">Narciso negro</t>
  </si>
  <si>
    <t xml:space="preserve">Monjas británicas pierden el juicio en un convento del Himalaya.</t>
  </si>
  <si>
    <t xml:space="preserve">Su uso del Technicolor y los decorados pintados ganó dos Óscars.</t>
  </si>
  <si>
    <t xml:space="preserve">tt0039192</t>
  </si>
  <si>
    <t xml:space="preserve">Memorias del subdesarrollo</t>
  </si>
  <si>
    <t xml:space="preserve">Tomás Gutiérrez Alea</t>
  </si>
  <si>
    <t xml:space="preserve">Un burgués cubano se queda en La Habana tras la revolución.</t>
  </si>
  <si>
    <t xml:space="preserve">Película clave del cine cubano revolucionario y su ambigüedad.</t>
  </si>
  <si>
    <t xml:space="preserve">tt0063291</t>
  </si>
  <si>
    <t xml:space="preserve">El ángel exterminador</t>
  </si>
  <si>
    <t xml:space="preserve">Movistar, Movistar Plus+ Ficción Total , FlixOlé, FlixOlé Amazon Channel, Cultpix</t>
  </si>
  <si>
    <t xml:space="preserve">Unos burgueses no logran salir del salón tras una cena.</t>
  </si>
  <si>
    <t xml:space="preserve">Cumbre del surrealismo de Buñuel aplicado a la crítica burguesa.</t>
  </si>
  <si>
    <t xml:space="preserve">tt0056732</t>
  </si>
  <si>
    <t xml:space="preserve">Symbiopsychotaxiplasm: Take One</t>
  </si>
  <si>
    <t xml:space="preserve">William Greaves</t>
  </si>
  <si>
    <t xml:space="preserve">Un rodaje en Central Park que se rebela contra su director.</t>
  </si>
  <si>
    <t xml:space="preserve">Metacine radical sobre el propio rodaje y su jerarquía.</t>
  </si>
  <si>
    <t xml:space="preserve">tt0296881</t>
  </si>
  <si>
    <t xml:space="preserve">Out 1</t>
  </si>
  <si>
    <t xml:space="preserve">Jacques Rivette, Suzanne Schiffman</t>
  </si>
  <si>
    <t xml:space="preserve">Dos grupos teatrales y una conspiración en el París post-68.</t>
  </si>
  <si>
    <t xml:space="preserve">Con más de doce horas, extremo del cine como experiencia temporal.</t>
  </si>
  <si>
    <t xml:space="preserve">tt0246135</t>
  </si>
  <si>
    <t xml:space="preserve">El dinero</t>
  </si>
  <si>
    <t xml:space="preserve">Francia, Suiza</t>
  </si>
  <si>
    <t xml:space="preserve">Un billete falso arruina la vida de un hombre honrado.</t>
  </si>
  <si>
    <t xml:space="preserve">Última película de Bresson; depuración máxima de su método.</t>
  </si>
  <si>
    <t xml:space="preserve">tt0085180</t>
  </si>
  <si>
    <t xml:space="preserve">Las señoritas de Rochefort</t>
  </si>
  <si>
    <t xml:space="preserve">Dos hermanas buscan el amor en una ciudad portuaria.</t>
  </si>
  <si>
    <t xml:space="preserve">Homenaje al musical de Hollywood desde el cine francés.</t>
  </si>
  <si>
    <t xml:space="preserve">tt0062873</t>
  </si>
  <si>
    <t xml:space="preserve">Los pájaros</t>
  </si>
  <si>
    <t xml:space="preserve">Un pueblo costero es atacado por bandadas de aves.</t>
  </si>
  <si>
    <t xml:space="preserve">Renovó el terror sin música, usando sonido electrónico.</t>
  </si>
  <si>
    <t xml:space="preserve">tt0056869</t>
  </si>
  <si>
    <t xml:space="preserve">El río</t>
  </si>
  <si>
    <t xml:space="preserve">Francia, India, EE.UU.</t>
  </si>
  <si>
    <t xml:space="preserve">Tres jóvenes británicas descubren el amor junto al Ganges.</t>
  </si>
  <si>
    <t xml:space="preserve">Primer color de Renoir; influyó decisivamente en Scorsese y en Ray.</t>
  </si>
  <si>
    <t xml:space="preserve">tt0043972</t>
  </si>
  <si>
    <t xml:space="preserve">Tarde de otoño</t>
  </si>
  <si>
    <t xml:space="preserve">Un viudo prepara la boda de su hija y se queda solo.</t>
  </si>
  <si>
    <t xml:space="preserve">Última película de Ozu y cierre de su ciclo sobre la familia.</t>
  </si>
  <si>
    <t xml:space="preserve">tt0056444</t>
  </si>
  <si>
    <t xml:space="preserve">Corrientes de amor</t>
  </si>
  <si>
    <t xml:space="preserve">Un escritor y su hermana se refugian el uno en el otro.</t>
  </si>
  <si>
    <t xml:space="preserve">Testamento de Cassavetes sobre la dependencia afectiva.</t>
  </si>
  <si>
    <t xml:space="preserve">tt0087644</t>
  </si>
  <si>
    <t xml:space="preserve">Avaricia</t>
  </si>
  <si>
    <t xml:space="preserve">Erich von Stroheim</t>
  </si>
  <si>
    <t xml:space="preserve">Un dentista y su esposa destruidos por un premio de lotería.</t>
  </si>
  <si>
    <t xml:space="preserve">Von Stroheim la rodó de nueve horas; el estudio destruyó el metraje.</t>
  </si>
  <si>
    <t xml:space="preserve">tt0015881</t>
  </si>
  <si>
    <t xml:space="preserve">Sed eterna</t>
  </si>
  <si>
    <t xml:space="preserve">Guru Dutt</t>
  </si>
  <si>
    <t xml:space="preserve">Un poeta indio despreciado por todos salvo por una prostituta.</t>
  </si>
  <si>
    <t xml:space="preserve">Cumbre del cine clásico indio y de su musical melodramático.</t>
  </si>
  <si>
    <t xml:space="preserve">tt0050870</t>
  </si>
  <si>
    <t xml:space="preserve">Coronel Blimp</t>
  </si>
  <si>
    <t xml:space="preserve">La vida de un militar británico a lo largo de tres guerras.</t>
  </si>
  <si>
    <t xml:space="preserve">Churchill intentó impedir su rodaje por su retrato del militar británico.</t>
  </si>
  <si>
    <t xml:space="preserve">tt0036112</t>
  </si>
  <si>
    <t xml:space="preserve">Wavelength</t>
  </si>
  <si>
    <t xml:space="preserve">Michael Snow</t>
  </si>
  <si>
    <t xml:space="preserve">Un zoom de cuarenta minutos sobre una habitación vacía.</t>
  </si>
  <si>
    <t xml:space="preserve">Obra fundacional del cine estructural norteamericano.</t>
  </si>
  <si>
    <t xml:space="preserve">tt0127354</t>
  </si>
  <si>
    <t xml:space="preserve">Sé a dónde voy</t>
  </si>
  <si>
    <t xml:space="preserve">Una joven decidida queda atrapada en una isla escocesa.</t>
  </si>
  <si>
    <t xml:space="preserve">Cumbre del romance británico con sentido del paisaje y del azar.</t>
  </si>
  <si>
    <t xml:space="preserve">tt0037800</t>
  </si>
  <si>
    <t xml:space="preserve">El eclipse</t>
  </si>
  <si>
    <t xml:space="preserve">Una mujer deja a su pareja y se acerca a un corredor de bolsa.</t>
  </si>
  <si>
    <t xml:space="preserve">Su final de siete minutos sin personajes es hito del cine moderno.</t>
  </si>
  <si>
    <t xml:space="preserve">tt0056736</t>
  </si>
  <si>
    <t xml:space="preserve">Nosferatu, el vampiro</t>
  </si>
  <si>
    <t xml:space="preserve">Filmin, Cultpix, Bloodstream, JustWatch TV, Artiflix, Plex</t>
  </si>
  <si>
    <t xml:space="preserve">Un vampiro llega por mar a una ciudad alemana.</t>
  </si>
  <si>
    <t xml:space="preserve">Primera adaptación de Drácula; casi destruida por un pleito de derechos.</t>
  </si>
  <si>
    <t xml:space="preserve">tt0013442</t>
  </si>
  <si>
    <t xml:space="preserve">Paisà</t>
  </si>
  <si>
    <t xml:space="preserve">Seis episodios de la liberación de Italia.</t>
  </si>
  <si>
    <t xml:space="preserve">Pilar del neorrealismo con actores no profesionales y rodaje en ruinas.</t>
  </si>
  <si>
    <t xml:space="preserve">tt0038823</t>
  </si>
  <si>
    <t xml:space="preserve">Zama</t>
  </si>
  <si>
    <t xml:space="preserve">Argentina, Brasil, Francia, Líbano, México, Países Bajos, Portugal, España, EE.UU.</t>
  </si>
  <si>
    <t xml:space="preserve">Un funcionario colonial espera un traslado que nunca llega.</t>
  </si>
  <si>
    <t xml:space="preserve">Renovó el cine colonial latinoamericano desde la espera y el absurdo.</t>
  </si>
  <si>
    <t xml:space="preserve">tt3409848</t>
  </si>
  <si>
    <t xml:space="preserve">El tío Boonmee recuerda sus vidas pasadas</t>
  </si>
  <si>
    <t xml:space="preserve">Tailandia, Reino Unido, Francia, Alemania, España, Países Bajos</t>
  </si>
  <si>
    <t xml:space="preserve">Un moribundo recibe a fantasmas de su familia en la selva.</t>
  </si>
  <si>
    <t xml:space="preserve">Palma de Oro que llevó el cine contemplativo tailandés al primer plano.</t>
  </si>
  <si>
    <t xml:space="preserve">tt1588895</t>
  </si>
  <si>
    <t xml:space="preserve">La mujer rubia</t>
  </si>
  <si>
    <t xml:space="preserve">Argentina, España, Francia, Italia</t>
  </si>
  <si>
    <t xml:space="preserve">Una mujer atropella algo en la carretera y no mira atrás.</t>
  </si>
  <si>
    <t xml:space="preserve">Cumbre del cine de Martel: fuera de campo y sonido como narración.</t>
  </si>
  <si>
    <t xml:space="preserve">tt1221141</t>
  </si>
  <si>
    <t xml:space="preserve">Paris Is Burning</t>
  </si>
  <si>
    <t xml:space="preserve">Jennie Livingston</t>
  </si>
  <si>
    <t xml:space="preserve">La cultura de los bailes drag en el Nueva York de los ochenta.</t>
  </si>
  <si>
    <t xml:space="preserve">Documentó la cultura ballroom y el vogue antes de su difusión global.</t>
  </si>
  <si>
    <t xml:space="preserve">tt0100332</t>
  </si>
  <si>
    <t xml:space="preserve">Junto al mar azul</t>
  </si>
  <si>
    <t xml:space="preserve">Boris Barnet, Samad Mardanov</t>
  </si>
  <si>
    <t xml:space="preserve">Rusia, Azerbaijan</t>
  </si>
  <si>
    <t xml:space="preserve">Dos pescadores rivalizan por la misma mujer.</t>
  </si>
  <si>
    <t xml:space="preserve">Rareza del cine soviético por su ligereza en plena era estalinista.</t>
  </si>
  <si>
    <t xml:space="preserve">tt0028436</t>
  </si>
  <si>
    <t xml:space="preserve">Breve encuentro</t>
  </si>
  <si>
    <t xml:space="preserve">Dos personas casadas se enamoran en una estación de tren.</t>
  </si>
  <si>
    <t xml:space="preserve">Modelo del melodrama contenido y de la voz en off interior.</t>
  </si>
  <si>
    <t xml:space="preserve">tt0037558</t>
  </si>
  <si>
    <t xml:space="preserve">Suspiria</t>
  </si>
  <si>
    <t xml:space="preserve">Dario Argento</t>
  </si>
  <si>
    <t xml:space="preserve">Movistar, Movistar Plus+ Ficción Total , Filmin, Acontra, Tivify</t>
  </si>
  <si>
    <t xml:space="preserve">Una bailarina descubre que su academia esconde una secta.</t>
  </si>
  <si>
    <t xml:space="preserve">Su uso del color saturado y la música de Goblin marcó el terror italiano.</t>
  </si>
  <si>
    <t xml:space="preserve">tt0076786</t>
  </si>
  <si>
    <t xml:space="preserve">En un lugar solitario</t>
  </si>
  <si>
    <t xml:space="preserve">Un guionista violento se convierte en sospechoso de asesinato.</t>
  </si>
  <si>
    <t xml:space="preserve">Noir que anticipó la mirada crítica sobre el propio Hollywood.</t>
  </si>
  <si>
    <t xml:space="preserve">tt0042593</t>
  </si>
  <si>
    <t xml:space="preserve">El ejército de las sombras</t>
  </si>
  <si>
    <t xml:space="preserve">La rutina clandestina de la Resistencia francesa.</t>
  </si>
  <si>
    <t xml:space="preserve">Retrató la Resistencia sin heroísmo; se revalorizó décadas después.</t>
  </si>
  <si>
    <t xml:space="preserve">tt0064040</t>
  </si>
  <si>
    <t xml:space="preserve">Veinte años después</t>
  </si>
  <si>
    <t xml:space="preserve">Eduardo Coutinho</t>
  </si>
  <si>
    <t xml:space="preserve">Un documental interrumpido por el golpe militar brasileño.</t>
  </si>
  <si>
    <t xml:space="preserve">Documental interrumpido por el golpe militar y retomado veinte años más tarde.</t>
  </si>
  <si>
    <t xml:space="preserve">tt0134402</t>
  </si>
  <si>
    <t xml:space="preserve">Pink Flamingos</t>
  </si>
  <si>
    <t xml:space="preserve">John Waters</t>
  </si>
  <si>
    <t xml:space="preserve">Una competición por el título de persona más repugnante.</t>
  </si>
  <si>
    <t xml:space="preserve">Cumbre del cine trash y del movimiento underground americano.</t>
  </si>
  <si>
    <t xml:space="preserve">tt0069089</t>
  </si>
  <si>
    <t xml:space="preserve">Limite</t>
  </si>
  <si>
    <t xml:space="preserve">Mario Peixoto</t>
  </si>
  <si>
    <t xml:space="preserve">Tres náufragos recuerdan sus vidas a la deriva.</t>
  </si>
  <si>
    <t xml:space="preserve">Única película de Peixoto; obra vanguardista fundacional del cine brasileño.</t>
  </si>
  <si>
    <t xml:space="preserve">tt0022080</t>
  </si>
  <si>
    <t xml:space="preserve">Harlan County U.S.A.</t>
  </si>
  <si>
    <t xml:space="preserve">Barbara Kopple</t>
  </si>
  <si>
    <t xml:space="preserve">La huelga de unos mineros de Kentucky.</t>
  </si>
  <si>
    <t xml:space="preserve">Documental de huelga rodado en el conflicto; ganó el Óscar.</t>
  </si>
  <si>
    <t xml:space="preserve">tt0074605</t>
  </si>
  <si>
    <t xml:space="preserve">Intolerancia</t>
  </si>
  <si>
    <t xml:space="preserve">1910s</t>
  </si>
  <si>
    <t xml:space="preserve">D.W. Griffith</t>
  </si>
  <si>
    <t xml:space="preserve">Filmin, Acontra, Acontra Plus Amazon Channel, JustWatch TV, Plex</t>
  </si>
  <si>
    <t xml:space="preserve">Cuatro historias de intolerancia a lo largo de la historia.</t>
  </si>
  <si>
    <t xml:space="preserve">Griffith montó cuatro épocas en paralelo, base del montaje moderno.</t>
  </si>
  <si>
    <t xml:space="preserve">tt0006864</t>
  </si>
  <si>
    <t xml:space="preserve">The Hour of the Furnaces</t>
  </si>
  <si>
    <t xml:space="preserve">Octavio Getino, Fernando E. Solanas</t>
  </si>
  <si>
    <t xml:space="preserve">Ensayo militante sobre el neocolonialismo en Latinoamérica.</t>
  </si>
  <si>
    <t xml:space="preserve">Manifiesto del Tercer Cine y del documental militante latinoamericano.</t>
  </si>
  <si>
    <t xml:space="preserve">tt0063084</t>
  </si>
  <si>
    <t xml:space="preserve">Europa '51</t>
  </si>
  <si>
    <t xml:space="preserve">Una madre burguesa se vuelca en los pobres tras perder a su hijo.</t>
  </si>
  <si>
    <t xml:space="preserve">Rossellini pasó del neorrealismo al retrato interior femenino.</t>
  </si>
  <si>
    <t xml:space="preserve">tt0043511</t>
  </si>
  <si>
    <t xml:space="preserve">Y el mundo marcha</t>
  </si>
  <si>
    <t xml:space="preserve">King Vidor</t>
  </si>
  <si>
    <t xml:space="preserve">Un oficinista anónimo intenta destacar en Nueva York.</t>
  </si>
  <si>
    <t xml:space="preserve">Retrató la alienación urbana con recursos técnicos pioneros.</t>
  </si>
  <si>
    <t xml:space="preserve">tt0018806</t>
  </si>
  <si>
    <t xml:space="preserve">Un toque de zen</t>
  </si>
  <si>
    <t xml:space="preserve">King Hu</t>
  </si>
  <si>
    <t xml:space="preserve">Una fugitiva y un pintor perseguidos por la guardia imperial.</t>
  </si>
  <si>
    <t xml:space="preserve">Llevó el wuxia a Cannes y elevó el cine de artes marciales.</t>
  </si>
  <si>
    <t xml:space="preserve">tt0064451</t>
  </si>
  <si>
    <t xml:space="preserve">Yo, tú, él, ella</t>
  </si>
  <si>
    <t xml:space="preserve">Una mujer sale de su habitación y recorre encuentros.</t>
  </si>
  <si>
    <t xml:space="preserve">Akerman filmó el cuerpo y el deseo femenino sin concesiones.</t>
  </si>
  <si>
    <t xml:space="preserve">tt0071690</t>
  </si>
  <si>
    <t xml:space="preserve">Petite maman</t>
  </si>
  <si>
    <t xml:space="preserve">Filmin, MUBI, MUBI Amazon Channel, Rakuten</t>
  </si>
  <si>
    <t xml:space="preserve">Una niña conoce en el bosque a su madre de pequeña.</t>
  </si>
  <si>
    <t xml:space="preserve">Redujo el relato fantástico a lo mínimo y lo íntimo.</t>
  </si>
  <si>
    <t xml:space="preserve">tt13204490</t>
  </si>
  <si>
    <t xml:space="preserve">En el camino, de cuando en cuando, vislumbré breves momentos de belleza</t>
  </si>
  <si>
    <t xml:space="preserve">Jonas Mekas</t>
  </si>
  <si>
    <t xml:space="preserve">Diario filmado de un cineasta durante tres décadas.</t>
  </si>
  <si>
    <t xml:space="preserve">Cumbre del cine-diario y del found footage personal.</t>
  </si>
  <si>
    <t xml:space="preserve">tt0262240</t>
  </si>
  <si>
    <t xml:space="preserve">Flores de Shanghai</t>
  </si>
  <si>
    <t xml:space="preserve">La vida en las casas de cortesanas del Shanghái del XIX.</t>
  </si>
  <si>
    <t xml:space="preserve">Rodada solo con planos-secuencia y luz de aceite.</t>
  </si>
  <si>
    <t xml:space="preserve">tt0156587</t>
  </si>
  <si>
    <t xml:space="preserve">Happy Together</t>
  </si>
  <si>
    <t xml:space="preserve">Una pareja gay de Hong Kong se rompe en Buenos Aires.</t>
  </si>
  <si>
    <t xml:space="preserve">Cine gay asiático premiado en Cannes cuando era casi inexistente.</t>
  </si>
  <si>
    <t xml:space="preserve">tt0118845</t>
  </si>
  <si>
    <t xml:space="preserve">Crash</t>
  </si>
  <si>
    <t xml:space="preserve">Una pareja se excita con los accidentes de tráfico.</t>
  </si>
  <si>
    <t xml:space="preserve">Su erotismo del accidente provocó escándalo y censura en varios países.</t>
  </si>
  <si>
    <t xml:space="preserve">tt0115964</t>
  </si>
  <si>
    <t xml:space="preserve">Blue</t>
  </si>
  <si>
    <t xml:space="preserve">Derek Jarman</t>
  </si>
  <si>
    <t xml:space="preserve">Una pantalla azul y la voz del cineasta perdiendo la vista.</t>
  </si>
  <si>
    <t xml:space="preserve">Una única imagen azul durante 79 minutos; testamento de Jarman.</t>
  </si>
  <si>
    <t xml:space="preserve">tt0106438</t>
  </si>
  <si>
    <t xml:space="preserve">El rayo verde</t>
  </si>
  <si>
    <t xml:space="preserve">Éric Rohmer</t>
  </si>
  <si>
    <t xml:space="preserve">Una joven pasa unas vacaciones solitarias buscando algo.</t>
  </si>
  <si>
    <t xml:space="preserve">Rodada con diálogos improvisados; León de Oro en Venecia.</t>
  </si>
  <si>
    <t xml:space="preserve">tt0091830</t>
  </si>
  <si>
    <t xml:space="preserve">Born in Flames</t>
  </si>
  <si>
    <t xml:space="preserve">Lizzie Borden</t>
  </si>
  <si>
    <t xml:space="preserve">Mujeres organizadas en una radio pirata tras una revolución fallida.</t>
  </si>
  <si>
    <t xml:space="preserve">Ciencia ficción feminista de bajo presupuesto y reparto amateur.</t>
  </si>
  <si>
    <t xml:space="preserve">tt0085267</t>
  </si>
  <si>
    <t xml:space="preserve">La caja de Pandora</t>
  </si>
  <si>
    <t xml:space="preserve">Georg Wilhelm Pabst</t>
  </si>
  <si>
    <t xml:space="preserve">Una joven libre arrastra a la ruina a quienes la desean.</t>
  </si>
  <si>
    <t xml:space="preserve">Louise Brooks creó un icono de la modernidad femenina.</t>
  </si>
  <si>
    <t xml:space="preserve">tt0018737</t>
  </si>
  <si>
    <t xml:space="preserve">Los viajes de Sullivan</t>
  </si>
  <si>
    <t xml:space="preserve">Preston Sturges</t>
  </si>
  <si>
    <t xml:space="preserve">Un director de comedias se hace pasar por vagabundo.</t>
  </si>
  <si>
    <t xml:space="preserve">Reflexión de Hollywood sobre el papel social de la comedia.</t>
  </si>
  <si>
    <t xml:space="preserve">tt0034240</t>
  </si>
  <si>
    <t xml:space="preserve">La tierra</t>
  </si>
  <si>
    <t xml:space="preserve">Aleksandr Dovzhenko</t>
  </si>
  <si>
    <t xml:space="preserve">Ucrania</t>
  </si>
  <si>
    <t xml:space="preserve">Un pueblo ucraniano dividido por la llegada del tractor.</t>
  </si>
  <si>
    <t xml:space="preserve">Cumbre del cine poético soviético y del montaje lírico.</t>
  </si>
  <si>
    <t xml:space="preserve">tt0021571</t>
  </si>
  <si>
    <t xml:space="preserve">Pasión de los fuertes</t>
  </si>
  <si>
    <t xml:space="preserve">John Ford, Lloyd Bacon</t>
  </si>
  <si>
    <t xml:space="preserve">Wyatt Earp y el duelo en el O.K. Corral.</t>
  </si>
  <si>
    <t xml:space="preserve">Modelo del western clásico de comunidad y ley.</t>
  </si>
  <si>
    <t xml:space="preserve">tt0038762</t>
  </si>
  <si>
    <t xml:space="preserve">Mouchette</t>
  </si>
  <si>
    <t xml:space="preserve">Una adolescente maltratada en un pueblo francés.</t>
  </si>
  <si>
    <t xml:space="preserve">Bresson llevó al extremo su retrato de la humillación y la gracia.</t>
  </si>
  <si>
    <t xml:space="preserve">tt0061996</t>
  </si>
  <si>
    <t xml:space="preserve">Un cuento de Canterbury</t>
  </si>
  <si>
    <t xml:space="preserve">Tres viajeros investigan a un misterioso agresor rural.</t>
  </si>
  <si>
    <t xml:space="preserve">Rareza británica que mezcla propaganda de guerra y misticismo rural.</t>
  </si>
  <si>
    <t xml:space="preserve">tt0036695</t>
  </si>
  <si>
    <t xml:space="preserve">Soleil Ô</t>
  </si>
  <si>
    <t xml:space="preserve">Mauritania, Francia</t>
  </si>
  <si>
    <t xml:space="preserve">Un inmigrante africano choca con el racismo en París.</t>
  </si>
  <si>
    <t xml:space="preserve">Pionera del cine africano en la diáspora y del ensayo militante.</t>
  </si>
  <si>
    <t xml:space="preserve">tt0062285</t>
  </si>
  <si>
    <t xml:space="preserve">Voces distantes</t>
  </si>
  <si>
    <t xml:space="preserve">Reino Unido, Alemania</t>
  </si>
  <si>
    <t xml:space="preserve">Recuerdos de una familia obrera de Liverpool.</t>
  </si>
  <si>
    <t xml:space="preserve">Estructuró la memoria mediante canciones populares en vez de trama.</t>
  </si>
  <si>
    <t xml:space="preserve">tt0095037</t>
  </si>
  <si>
    <t xml:space="preserve">Nostalgia de la luz</t>
  </si>
  <si>
    <t xml:space="preserve">Patricio Guzmán</t>
  </si>
  <si>
    <t xml:space="preserve">Chile, EE.UU., Francia, Alemania, España</t>
  </si>
  <si>
    <t xml:space="preserve">Astrónomos y madres buscan en el desierto de Atacama.</t>
  </si>
  <si>
    <t xml:space="preserve">Unió astronomía y memoria de las víctimas de Pinochet.</t>
  </si>
  <si>
    <t xml:space="preserve">tt1556190</t>
  </si>
  <si>
    <t xml:space="preserve">El intruso</t>
  </si>
  <si>
    <t xml:space="preserve">Un hombre busca un corazón nuevo y a un hijo perdido.</t>
  </si>
  <si>
    <t xml:space="preserve">Cine sensorial de Claire Denis, narrado por elipsis y cuerpos.</t>
  </si>
  <si>
    <t xml:space="preserve">tt0422491</t>
  </si>
  <si>
    <t xml:space="preserve">Morvern Callar</t>
  </si>
  <si>
    <t xml:space="preserve">Reino Unido, Canadá</t>
  </si>
  <si>
    <t xml:space="preserve">Una joven firma con su nombre la novela de su novio muerto.</t>
  </si>
  <si>
    <t xml:space="preserve">Renovó el cine británico con narración sensorial y banda sonora diegética.</t>
  </si>
  <si>
    <t xml:space="preserve">tt0300214</t>
  </si>
  <si>
    <t xml:space="preserve">In Vanda's Room</t>
  </si>
  <si>
    <t xml:space="preserve">Portugal, Suiza, Alemania</t>
  </si>
  <si>
    <t xml:space="preserve">La vida de unos yonquis en un barrio de Lisboa a demoler.</t>
  </si>
  <si>
    <t xml:space="preserve">Rodada en vídeo digital durante dos años; cambió el documental de autor.</t>
  </si>
  <si>
    <t xml:space="preserve">tt0139500</t>
  </si>
  <si>
    <t xml:space="preserve">El sabor de las cerezas</t>
  </si>
  <si>
    <t xml:space="preserve">Un hombre recorre Teherán buscando quien lo entierre.</t>
  </si>
  <si>
    <t xml:space="preserve">Palma de Oro que llevó el cine iraní al centro del debate mundial.</t>
  </si>
  <si>
    <t xml:space="preserve">tt0120265</t>
  </si>
  <si>
    <t xml:space="preserve">El último</t>
  </si>
  <si>
    <t xml:space="preserve">Filmin, JustWatch TV</t>
  </si>
  <si>
    <t xml:space="preserve">Un portero de hotel degradado a encargado de los lavabos.</t>
  </si>
  <si>
    <t xml:space="preserve">Contada sin un solo intertítulo; popularizó la cámara desencadenada.</t>
  </si>
  <si>
    <t xml:space="preserve">tt0015064</t>
  </si>
  <si>
    <t xml:space="preserve">La larga marcha</t>
  </si>
  <si>
    <t xml:space="preserve">En un futuro distópico, cien adolescentes participan en una brutal competición conocida como "La larga marcha", donde deben caminar sin descanso: si se…</t>
  </si>
  <si>
    <t xml:space="preserve">tt10374610</t>
  </si>
  <si>
    <t xml:space="preserve">La Odisea</t>
  </si>
  <si>
    <t xml:space="preserve">Tras la caída de Troya, el legendario rey de Ítaca, Odiseo a.k.a.</t>
  </si>
  <si>
    <t xml:space="preserve">tt33764258</t>
  </si>
  <si>
    <t xml:space="preserve">Primate</t>
  </si>
  <si>
    <t xml:space="preserve">Lucy, una estudiante universitaria, pasa las vacaciones con sus amigos en la casa de su familia en Hawái, donde vive con su mascota, un chimpancé llamado Ben.</t>
  </si>
  <si>
    <t xml:space="preserve">tt33028778</t>
  </si>
  <si>
    <t xml:space="preserve">Laberinto en llamas</t>
  </si>
  <si>
    <t xml:space="preserve">Apple TV, Movistar, Movistar Plus+ Ficción Total , Apple TV Amazon Channel</t>
  </si>
  <si>
    <t xml:space="preserve">En uno de los incendios forestales más mortíferos de la historia de Estados Unidos que amenaza la ciudad de Paradise, Kevin McKay, un conductor de autobús…</t>
  </si>
  <si>
    <t xml:space="preserve">tt21103218</t>
  </si>
  <si>
    <t xml:space="preserve">Election: La noche de las bestias</t>
  </si>
  <si>
    <t xml:space="preserve">Francia, Japón, EE.UU.</t>
  </si>
  <si>
    <t xml:space="preserve">Han pasado dos años desde que el ex-sargento de policía Leo Barnes (Frank Grillo) decidió no vengarse del hombre que mató a su hijo.</t>
  </si>
  <si>
    <t xml:space="preserve">tt4094724</t>
  </si>
  <si>
    <t xml:space="preserve">Durante un viaje de Texas a México, un grupo de jóvenes recoge a una autoestopista ensangrentada que asegura que es la única superviviente de una masacre…</t>
  </si>
  <si>
    <t xml:space="preserve">tt0324216</t>
  </si>
  <si>
    <t xml:space="preserve">Notorious</t>
  </si>
  <si>
    <t xml:space="preserve">Biopic de la vida del famoso rapero Notorious B.I.G., un voluminoso cantante de rap neoyorquino que irrumpió con fuerza en el mundo de la música del hip hop.</t>
  </si>
  <si>
    <t xml:space="preserve">tt0472198</t>
  </si>
  <si>
    <t xml:space="preserve">EE.UU., Austria, Francia</t>
  </si>
  <si>
    <t xml:space="preserve">Acontra Plus Amazon Channel, MIDNIGHT FACTORY Amazon Channel</t>
  </si>
  <si>
    <t xml:space="preserve">Anna, su marido George y su hijo de diez años se van a descansar a su residencia de vacaciones situada al lado de un lago.</t>
  </si>
  <si>
    <t xml:space="preserve">tt0808279</t>
  </si>
  <si>
    <t xml:space="preserve">El Niño</t>
  </si>
  <si>
    <t xml:space="preserve">Francia, Morocco, España</t>
  </si>
  <si>
    <t xml:space="preserve">Gibraltar, el Estrecho.</t>
  </si>
  <si>
    <t xml:space="preserve">tt2093990</t>
  </si>
  <si>
    <t xml:space="preserve">Toc, toc</t>
  </si>
  <si>
    <t xml:space="preserve">Chile, Alemania, EE.UU.</t>
  </si>
  <si>
    <t xml:space="preserve">Prime, Movistar Plus+ Ficción Total , Filmin, FlixOlé, HBO Max, AMC Channels Amazon Channel, HBO Max Amazon Channel, Rakuten</t>
  </si>
  <si>
    <t xml:space="preserve">Dos chicas jóvenes se presentan sin previo aviso en la casa de un hombre casado, dispuestas a seducirle y complicar su vida perfecta.</t>
  </si>
  <si>
    <t xml:space="preserve">tt3605418</t>
  </si>
  <si>
    <t xml:space="preserve">Serie</t>
  </si>
  <si>
    <t xml:space="preserve">Año inicio</t>
  </si>
  <si>
    <t xml:space="preserve">Año fin</t>
  </si>
  <si>
    <t xml:space="preserve">Tipo</t>
  </si>
  <si>
    <t xml:space="preserve">Creador</t>
  </si>
  <si>
    <t xml:space="preserve">Emmys</t>
  </si>
  <si>
    <t xml:space="preserve">Emmy Serie</t>
  </si>
  <si>
    <t xml:space="preserve">Nom. Emmy</t>
  </si>
  <si>
    <t xml:space="preserve">Breaking Bad</t>
  </si>
  <si>
    <t xml:space="preserve">Michelle MacLaren, Adam Bernstein</t>
  </si>
  <si>
    <t xml:space="preserve">tt0903747</t>
  </si>
  <si>
    <t xml:space="preserve">Juego de tronos</t>
  </si>
  <si>
    <t xml:space="preserve">David Nutter, Alan Taylor</t>
  </si>
  <si>
    <t xml:space="preserve">Movistar Plus+ Ficción Total , HBO Max</t>
  </si>
  <si>
    <t xml:space="preserve">tt0944947</t>
  </si>
  <si>
    <t xml:space="preserve">Stranger Things</t>
  </si>
  <si>
    <t xml:space="preserve">Matt Duffer, Ross Duffer</t>
  </si>
  <si>
    <t xml:space="preserve">tt4574334</t>
  </si>
  <si>
    <t xml:space="preserve">The Walking Dead</t>
  </si>
  <si>
    <t xml:space="preserve">Greg Nicotero, Michael E. Satrazemis</t>
  </si>
  <si>
    <t xml:space="preserve">Netflix, Prime, Disney+, Movistar Plus+ Ficción Total , AMC+ Amazon Channel, AMC Plus Apple TV channel</t>
  </si>
  <si>
    <t xml:space="preserve">tt1520211</t>
  </si>
  <si>
    <t xml:space="preserve">Friends</t>
  </si>
  <si>
    <t xml:space="preserve">Gary Halvorson, Kevin Bright</t>
  </si>
  <si>
    <t xml:space="preserve">Netflix, Movistar Plus+ Ficción Total , HBO Max, Tivify, HBO Max Amazon Channel</t>
  </si>
  <si>
    <t xml:space="preserve">tt0108778</t>
  </si>
  <si>
    <t xml:space="preserve">Sherlock</t>
  </si>
  <si>
    <t xml:space="preserve">Paul McGuigan, Jeremy Lovering</t>
  </si>
  <si>
    <t xml:space="preserve">tt1475582</t>
  </si>
  <si>
    <t xml:space="preserve">Chernobyl</t>
  </si>
  <si>
    <t xml:space="preserve">Miniserie</t>
  </si>
  <si>
    <t xml:space="preserve">Johan Renck</t>
  </si>
  <si>
    <t xml:space="preserve">tt7366338</t>
  </si>
  <si>
    <t xml:space="preserve">The Boys</t>
  </si>
  <si>
    <t xml:space="preserve">Philip Sgriccia, Karen Gaviola</t>
  </si>
  <si>
    <t xml:space="preserve">tt1190634</t>
  </si>
  <si>
    <t xml:space="preserve">Dexter</t>
  </si>
  <si>
    <t xml:space="preserve">John Dahl, Steve Shill</t>
  </si>
  <si>
    <t xml:space="preserve">tt0773262</t>
  </si>
  <si>
    <t xml:space="preserve">Big Bang</t>
  </si>
  <si>
    <t xml:space="preserve">Mark Cendrowski, Anthony Rich</t>
  </si>
  <si>
    <t xml:space="preserve">tt0898266</t>
  </si>
  <si>
    <t xml:space="preserve">Better Call Saul</t>
  </si>
  <si>
    <t xml:space="preserve">Vince Gilligan, Thomas Schnauz</t>
  </si>
  <si>
    <t xml:space="preserve">tt3032476</t>
  </si>
  <si>
    <t xml:space="preserve">The Office</t>
  </si>
  <si>
    <t xml:space="preserve">Paul Feig, Randall Einhorn</t>
  </si>
  <si>
    <t xml:space="preserve">Netflix, Prime, Disney+, Movistar Plus+ Ficción Total , SkyShowtime</t>
  </si>
  <si>
    <t xml:space="preserve">tt0386676</t>
  </si>
  <si>
    <t xml:space="preserve">Peaky Blinders</t>
  </si>
  <si>
    <t xml:space="preserve">Anthony Byrne, Colm McCarthy</t>
  </si>
  <si>
    <t xml:space="preserve">tt2442560</t>
  </si>
  <si>
    <t xml:space="preserve">Cómo conocí a vuestra madre</t>
  </si>
  <si>
    <t xml:space="preserve">Pamela Fryman, Rob Greenberg</t>
  </si>
  <si>
    <t xml:space="preserve">tt0460649</t>
  </si>
  <si>
    <t xml:space="preserve">El juego del calamar</t>
  </si>
  <si>
    <t xml:space="preserve">tt10919420</t>
  </si>
  <si>
    <t xml:space="preserve">True Detective: Noche polar</t>
  </si>
  <si>
    <t xml:space="preserve">Cary Joji Fukunaga, Issa López</t>
  </si>
  <si>
    <t xml:space="preserve">tt2356777</t>
  </si>
  <si>
    <t xml:space="preserve">Los últimos de nosotros</t>
  </si>
  <si>
    <t xml:space="preserve">Craig Mazin, Neil Druckmann</t>
  </si>
  <si>
    <t xml:space="preserve">Black Mirror</t>
  </si>
  <si>
    <t xml:space="preserve">Toby Haynes, Owen Harris</t>
  </si>
  <si>
    <t xml:space="preserve">tt2085059</t>
  </si>
  <si>
    <t xml:space="preserve">Ataque a los titanes</t>
  </si>
  <si>
    <t xml:space="preserve">Netflix, Prime, Crunchyroll, Crunchyroll Amazon Channel, Animebox Channel Amazon Channel</t>
  </si>
  <si>
    <t xml:space="preserve">tt2560140</t>
  </si>
  <si>
    <t xml:space="preserve">Rick y Morty</t>
  </si>
  <si>
    <t xml:space="preserve">Wes Archer, Jacob Hair</t>
  </si>
  <si>
    <t xml:space="preserve">tt2861424</t>
  </si>
  <si>
    <t xml:space="preserve">Perdidos</t>
  </si>
  <si>
    <t xml:space="preserve">Jack Bender, Stephen Williams</t>
  </si>
  <si>
    <t xml:space="preserve">tt0411008</t>
  </si>
  <si>
    <t xml:space="preserve">Prison Break</t>
  </si>
  <si>
    <t xml:space="preserve">Bobby Roth, Kevin Hooks</t>
  </si>
  <si>
    <t xml:space="preserve">tt0455275</t>
  </si>
  <si>
    <t xml:space="preserve">Gambito de dama</t>
  </si>
  <si>
    <t xml:space="preserve">tt10048342</t>
  </si>
  <si>
    <t xml:space="preserve">The Mandalorian</t>
  </si>
  <si>
    <t xml:space="preserve">Rick Famuyiwa, Bryce Dallas Howard</t>
  </si>
  <si>
    <t xml:space="preserve">tt8111088</t>
  </si>
  <si>
    <t xml:space="preserve">Vikingos</t>
  </si>
  <si>
    <t xml:space="preserve">Ciaran Donnelly, Ken Girotti</t>
  </si>
  <si>
    <t xml:space="preserve">tt2306299</t>
  </si>
  <si>
    <t xml:space="preserve">The Witcher</t>
  </si>
  <si>
    <t xml:space="preserve">Alex Garcia Lopez, Jeremy Webb</t>
  </si>
  <si>
    <t xml:space="preserve">tt5180504</t>
  </si>
  <si>
    <t xml:space="preserve">La casa de papel</t>
  </si>
  <si>
    <t xml:space="preserve">Jesús Colmenar, Alex Rodrigo</t>
  </si>
  <si>
    <t xml:space="preserve">tt6468322</t>
  </si>
  <si>
    <t xml:space="preserve">Hermanos de sangre</t>
  </si>
  <si>
    <t xml:space="preserve">David Frankel, Mikael Salomon</t>
  </si>
  <si>
    <t xml:space="preserve">tt0185906</t>
  </si>
  <si>
    <t xml:space="preserve">House</t>
  </si>
  <si>
    <t xml:space="preserve">Greg Yaitanes, Deran Sarafian</t>
  </si>
  <si>
    <t xml:space="preserve">tt0412142</t>
  </si>
  <si>
    <t xml:space="preserve">Los Soprano</t>
  </si>
  <si>
    <t xml:space="preserve">Timothy Van Patten, John Patterson</t>
  </si>
  <si>
    <t xml:space="preserve">tt0141842</t>
  </si>
  <si>
    <t xml:space="preserve">House of Cards</t>
  </si>
  <si>
    <t xml:space="preserve">James Foley, Robin Wright</t>
  </si>
  <si>
    <t xml:space="preserve">tt1856010</t>
  </si>
  <si>
    <t xml:space="preserve">La casa del dragón</t>
  </si>
  <si>
    <t xml:space="preserve">Clare Kilner, Geeta Vasant Patel</t>
  </si>
  <si>
    <t xml:space="preserve">tt11198330</t>
  </si>
  <si>
    <t xml:space="preserve">Westworld</t>
  </si>
  <si>
    <t xml:space="preserve">Richard J. Lewis, Jonathan Nolan</t>
  </si>
  <si>
    <t xml:space="preserve">tt0475784</t>
  </si>
  <si>
    <t xml:space="preserve">Dark</t>
  </si>
  <si>
    <t xml:space="preserve">Baran bo Odar</t>
  </si>
  <si>
    <t xml:space="preserve">tt5753856</t>
  </si>
  <si>
    <t xml:space="preserve">Suits: La clave del éxito</t>
  </si>
  <si>
    <t xml:space="preserve">Michael Smith, Anton Cropper</t>
  </si>
  <si>
    <t xml:space="preserve">tt1632701</t>
  </si>
  <si>
    <t xml:space="preserve">Sobrenatural</t>
  </si>
  <si>
    <t xml:space="preserve">Robert Singer, Philip Sgriccia</t>
  </si>
  <si>
    <t xml:space="preserve">tt0460681</t>
  </si>
  <si>
    <t xml:space="preserve">Modern Family</t>
  </si>
  <si>
    <t xml:space="preserve">Gail Mancuso, Steven Levitan</t>
  </si>
  <si>
    <t xml:space="preserve">tt1442437</t>
  </si>
  <si>
    <t xml:space="preserve">Phil Abraham, Stephen Surjik</t>
  </si>
  <si>
    <t xml:space="preserve">tt3322312</t>
  </si>
  <si>
    <t xml:space="preserve">Narcos</t>
  </si>
  <si>
    <t xml:space="preserve">Andrés Baiz, Josef Kubota Wladyka</t>
  </si>
  <si>
    <t xml:space="preserve">tt2707408</t>
  </si>
  <si>
    <t xml:space="preserve">Miércoles</t>
  </si>
  <si>
    <t xml:space="preserve">Tim Burton, James Marshall</t>
  </si>
  <si>
    <t xml:space="preserve">tt13443470</t>
  </si>
  <si>
    <t xml:space="preserve">Death Note</t>
  </si>
  <si>
    <t xml:space="preserve">Tetsurō Araki, Kei Tsunematsu</t>
  </si>
  <si>
    <t xml:space="preserve">tt0877057</t>
  </si>
  <si>
    <t xml:space="preserve">Loki</t>
  </si>
  <si>
    <t xml:space="preserve">Kate Herron, Justin Benson</t>
  </si>
  <si>
    <t xml:space="preserve">tt9140554</t>
  </si>
  <si>
    <t xml:space="preserve">Noah Hawley, Michael Uppendahl</t>
  </si>
  <si>
    <t xml:space="preserve">Netflix, Prime, Movistar, Movistar Plus+ Ficción Total , HBO Max, MGM Plus Amazon Channel, HBO Max Amazon Channel</t>
  </si>
  <si>
    <t xml:space="preserve">tt2802850</t>
  </si>
  <si>
    <t xml:space="preserve">Mr. Robot</t>
  </si>
  <si>
    <t xml:space="preserve">Sam Esmail, Jim McKay</t>
  </si>
  <si>
    <t xml:space="preserve">tt4158110</t>
  </si>
  <si>
    <t xml:space="preserve">Los Simpson</t>
  </si>
  <si>
    <t xml:space="preserve">Mike B. Anderson, Jim Reardon</t>
  </si>
  <si>
    <t xml:space="preserve">tt0096697</t>
  </si>
  <si>
    <t xml:space="preserve">Arrow</t>
  </si>
  <si>
    <t xml:space="preserve">James Bamford, John Behring</t>
  </si>
  <si>
    <t xml:space="preserve">tt2193021</t>
  </si>
  <si>
    <t xml:space="preserve">Ted Lasso</t>
  </si>
  <si>
    <t xml:space="preserve">Declan Lowney, MJ Delaney</t>
  </si>
  <si>
    <t xml:space="preserve">tt10986410</t>
  </si>
  <si>
    <t xml:space="preserve">Arcane</t>
  </si>
  <si>
    <t xml:space="preserve">Pascal Charrue, Arnaud Delord</t>
  </si>
  <si>
    <t xml:space="preserve">tt11126994</t>
  </si>
  <si>
    <t xml:space="preserve">Avatar. La leyenda de Aang</t>
  </si>
  <si>
    <t xml:space="preserve">Oh Seung-hyun, Giancarlo Volpe</t>
  </si>
  <si>
    <t xml:space="preserve">tt0417299</t>
  </si>
  <si>
    <t xml:space="preserve">South Park</t>
  </si>
  <si>
    <t xml:space="preserve">Trey Parker, Eric Stough</t>
  </si>
  <si>
    <t xml:space="preserve">Movistar, Movistar Plus+ Ficción Total , fuboTV, Pluto TV</t>
  </si>
  <si>
    <t xml:space="preserve">tt0121955</t>
  </si>
  <si>
    <t xml:space="preserve">El señor de los anillos: Los anillos de poder</t>
  </si>
  <si>
    <t xml:space="preserve">Charlotte Brändström, Sanaa Hamri</t>
  </si>
  <si>
    <t xml:space="preserve">tt7631058</t>
  </si>
  <si>
    <t xml:space="preserve">The Wire (Bajo escucha)</t>
  </si>
  <si>
    <t xml:space="preserve">Joe Chappelle, Ernest Dickerson</t>
  </si>
  <si>
    <t xml:space="preserve">tt0306414</t>
  </si>
  <si>
    <t xml:space="preserve">Brooklyn Nine-Nine</t>
  </si>
  <si>
    <t xml:space="preserve">Michael McDonald, Claire Scanlon</t>
  </si>
  <si>
    <t xml:space="preserve">tt2467372</t>
  </si>
  <si>
    <t xml:space="preserve">Bruja Escarlata y Visión</t>
  </si>
  <si>
    <t xml:space="preserve">Matt Shakman</t>
  </si>
  <si>
    <t xml:space="preserve">tt9140560</t>
  </si>
  <si>
    <t xml:space="preserve">Mindhunter</t>
  </si>
  <si>
    <t xml:space="preserve">David Fincher, Carl Franklin</t>
  </si>
  <si>
    <t xml:space="preserve">tt5290382</t>
  </si>
  <si>
    <t xml:space="preserve">Sex Education</t>
  </si>
  <si>
    <t xml:space="preserve">Ben Taylor, Kate Herron</t>
  </si>
  <si>
    <t xml:space="preserve">tt7767422</t>
  </si>
  <si>
    <t xml:space="preserve">Separación</t>
  </si>
  <si>
    <t xml:space="preserve">Ben Stiller, Aoife McArdle</t>
  </si>
  <si>
    <t xml:space="preserve">tt11280740</t>
  </si>
  <si>
    <t xml:space="preserve">Fallout</t>
  </si>
  <si>
    <t xml:space="preserve">Frederick E.O. Toye, Jonathan Nolan</t>
  </si>
  <si>
    <t xml:space="preserve">tt12637874</t>
  </si>
  <si>
    <t xml:space="preserve">Ozark</t>
  </si>
  <si>
    <t xml:space="preserve">Jason Bateman, Alik Sakharov</t>
  </si>
  <si>
    <t xml:space="preserve">tt5071412</t>
  </si>
  <si>
    <t xml:space="preserve">Lucifer</t>
  </si>
  <si>
    <t xml:space="preserve">Nathan Hope, Eagle Egilsson</t>
  </si>
  <si>
    <t xml:space="preserve">tt4052886</t>
  </si>
  <si>
    <t xml:space="preserve">Padre de familia</t>
  </si>
  <si>
    <t xml:space="preserve">James Purdum, Dominic Bianchi</t>
  </si>
  <si>
    <t xml:space="preserve">tt0182576</t>
  </si>
  <si>
    <t xml:space="preserve">The Flash</t>
  </si>
  <si>
    <t xml:space="preserve">Stefan Pleszczynski, David McWhirter</t>
  </si>
  <si>
    <t xml:space="preserve">tt3107288</t>
  </si>
  <si>
    <t xml:space="preserve">Seinfeld</t>
  </si>
  <si>
    <t xml:space="preserve">Andy Ackerman, Tom Cherones</t>
  </si>
  <si>
    <t xml:space="preserve">tt0098904</t>
  </si>
  <si>
    <t xml:space="preserve">Crónicas vampíricas</t>
  </si>
  <si>
    <t xml:space="preserve">Chris Grismer, Joshua Butler</t>
  </si>
  <si>
    <t xml:space="preserve">tt1405406</t>
  </si>
  <si>
    <t xml:space="preserve">Homeland</t>
  </si>
  <si>
    <t xml:space="preserve">Lesli Linka Glatter, Michael Cuesta</t>
  </si>
  <si>
    <t xml:space="preserve">tt1796960</t>
  </si>
  <si>
    <t xml:space="preserve">Anatomía de Grey</t>
  </si>
  <si>
    <t xml:space="preserve">Kevin McKidd, Debbie Allen</t>
  </si>
  <si>
    <t xml:space="preserve">tt0413573</t>
  </si>
  <si>
    <t xml:space="preserve">You</t>
  </si>
  <si>
    <t xml:space="preserve">Silver Tree, Marcos Siega</t>
  </si>
  <si>
    <t xml:space="preserve">tt7335184</t>
  </si>
  <si>
    <t xml:space="preserve">Succession</t>
  </si>
  <si>
    <t xml:space="preserve">Mark Mylod, Andrij Parekh</t>
  </si>
  <si>
    <t xml:space="preserve">tt7660850</t>
  </si>
  <si>
    <t xml:space="preserve">American Horror Story: Asylum</t>
  </si>
  <si>
    <t xml:space="preserve">Bradley Buecker, Alfonso Gomez-Rejon</t>
  </si>
  <si>
    <t xml:space="preserve">tt1844624</t>
  </si>
  <si>
    <t xml:space="preserve">One Piece</t>
  </si>
  <si>
    <t xml:space="preserve">Munehisa Sakai, Kōnosuke Uda</t>
  </si>
  <si>
    <t xml:space="preserve">Netflix, Disney+, Crunchyroll, Crunchyroll Amazon Channel, Animebox Channel Amazon Channel, 3Cat</t>
  </si>
  <si>
    <t xml:space="preserve">tt0388629</t>
  </si>
  <si>
    <t xml:space="preserve">Hijos de la anarquía</t>
  </si>
  <si>
    <t xml:space="preserve">Paris Barclay, Guy Ferland</t>
  </si>
  <si>
    <t xml:space="preserve">tt1124373</t>
  </si>
  <si>
    <t xml:space="preserve">Invincible</t>
  </si>
  <si>
    <t xml:space="preserve">Dan Duncan, Shaun O'Neil</t>
  </si>
  <si>
    <t xml:space="preserve">tt6741278</t>
  </si>
  <si>
    <t xml:space="preserve">Arrested Development</t>
  </si>
  <si>
    <t xml:space="preserve">Troy Miller, Mitchell Hurwitz</t>
  </si>
  <si>
    <t xml:space="preserve">tt0367279</t>
  </si>
  <si>
    <t xml:space="preserve">Por trece razones</t>
  </si>
  <si>
    <t xml:space="preserve">Jessica Yu, Kyle Patrick Alvarez</t>
  </si>
  <si>
    <t xml:space="preserve">tt1837492</t>
  </si>
  <si>
    <t xml:space="preserve">Orange Is the New Black</t>
  </si>
  <si>
    <t xml:space="preserve">Andrew McCarthy, Phil Abraham</t>
  </si>
  <si>
    <t xml:space="preserve">tt2372162</t>
  </si>
  <si>
    <t xml:space="preserve">Shameless</t>
  </si>
  <si>
    <t xml:space="preserve">Iain B. MacDonald, Mark Mylod</t>
  </si>
  <si>
    <t xml:space="preserve">tt1586680</t>
  </si>
  <si>
    <t xml:space="preserve">La maldición de Hill House</t>
  </si>
  <si>
    <t xml:space="preserve">tt6763664</t>
  </si>
  <si>
    <t xml:space="preserve">The White Lotus</t>
  </si>
  <si>
    <t xml:space="preserve">Mike White</t>
  </si>
  <si>
    <t xml:space="preserve">tt13406094</t>
  </si>
  <si>
    <t xml:space="preserve">Euphoria</t>
  </si>
  <si>
    <t xml:space="preserve">Sam Levinson, Pippa Bianco</t>
  </si>
  <si>
    <t xml:space="preserve">tt8772296</t>
  </si>
  <si>
    <t xml:space="preserve">The Bear</t>
  </si>
  <si>
    <t xml:space="preserve">Christopher Storer, Joanna Calo</t>
  </si>
  <si>
    <t xml:space="preserve">tt14452776</t>
  </si>
  <si>
    <t xml:space="preserve">Aspirantes</t>
  </si>
  <si>
    <t xml:space="preserve">Apoorv Singh Karki, Deepesh Sumitra Jagdish</t>
  </si>
  <si>
    <t xml:space="preserve">Yellowstone</t>
  </si>
  <si>
    <t xml:space="preserve">Stephen Kay, Taylor Sheridan</t>
  </si>
  <si>
    <t xml:space="preserve">tt4236770</t>
  </si>
  <si>
    <t xml:space="preserve">Parks and Recreation</t>
  </si>
  <si>
    <t xml:space="preserve">Dean Holland, Michael Schur</t>
  </si>
  <si>
    <t xml:space="preserve">tt1266020</t>
  </si>
  <si>
    <t xml:space="preserve">Caballero Luna</t>
  </si>
  <si>
    <t xml:space="preserve">Mohamed Diab, Justin Benson</t>
  </si>
  <si>
    <t xml:space="preserve">tt10234724</t>
  </si>
  <si>
    <t xml:space="preserve">The Umbrella Academy</t>
  </si>
  <si>
    <t xml:space="preserve">Jeremy Webb, Paco Cabezas</t>
  </si>
  <si>
    <t xml:space="preserve">tt1312171</t>
  </si>
  <si>
    <t xml:space="preserve">Community</t>
  </si>
  <si>
    <t xml:space="preserve">Tristram Shapeero, Joe Russo</t>
  </si>
  <si>
    <t xml:space="preserve">tt1439629</t>
  </si>
  <si>
    <t xml:space="preserve">Adolescencia</t>
  </si>
  <si>
    <t xml:space="preserve">Philip Barantini</t>
  </si>
  <si>
    <t xml:space="preserve">tt31806037</t>
  </si>
  <si>
    <t xml:space="preserve">Michael Rymer, Guillermo Navarro</t>
  </si>
  <si>
    <t xml:space="preserve">tt2243973</t>
  </si>
  <si>
    <t xml:space="preserve">The Punisher</t>
  </si>
  <si>
    <t xml:space="preserve">Jim O'Hanlon, Jeremy Webb</t>
  </si>
  <si>
    <t xml:space="preserve">tt5675620</t>
  </si>
  <si>
    <t xml:space="preserve">Los 100</t>
  </si>
  <si>
    <t xml:space="preserve">Dean White, Ed Fraiman</t>
  </si>
  <si>
    <t xml:space="preserve">tt2661044</t>
  </si>
  <si>
    <t xml:space="preserve">Firefly</t>
  </si>
  <si>
    <t xml:space="preserve">Joss Whedon, Vern Gillum</t>
  </si>
  <si>
    <t xml:space="preserve">tt0303461</t>
  </si>
  <si>
    <t xml:space="preserve">El cuento de la criada</t>
  </si>
  <si>
    <t xml:space="preserve">Mike Barker, Elisabeth Moss</t>
  </si>
  <si>
    <t xml:space="preserve">Netflix, Prime, Disney+, Movistar Plus+ Ficción Total , HBO Max, MGM Plus Amazon Channel, HBO Max Amazon Channel</t>
  </si>
  <si>
    <t xml:space="preserve">tt5834204</t>
  </si>
  <si>
    <t xml:space="preserve">The Blacklist</t>
  </si>
  <si>
    <t xml:space="preserve">Andrew McCarthy, Michael W. Watkins</t>
  </si>
  <si>
    <t xml:space="preserve">tt2741602</t>
  </si>
  <si>
    <t xml:space="preserve">Reacher</t>
  </si>
  <si>
    <t xml:space="preserve">Sam Hill, Omar Madha</t>
  </si>
  <si>
    <t xml:space="preserve">tt9288030</t>
  </si>
  <si>
    <t xml:space="preserve">Dos hombres y medio</t>
  </si>
  <si>
    <t xml:space="preserve">James Widdoes, Gary Halvorson</t>
  </si>
  <si>
    <t xml:space="preserve">tt0369179</t>
  </si>
  <si>
    <t xml:space="preserve">Spartacus: Sangre y arena</t>
  </si>
  <si>
    <t xml:space="preserve">Jesse Warn, Michael Hurst</t>
  </si>
  <si>
    <t xml:space="preserve">Netflix, MGM Plus Amazon Channel</t>
  </si>
  <si>
    <t xml:space="preserve">tt1442449</t>
  </si>
  <si>
    <t xml:space="preserve">Mad Men</t>
  </si>
  <si>
    <t xml:space="preserve">Phil Abraham, Michael Uppendahl</t>
  </si>
  <si>
    <t xml:space="preserve">tt0804503</t>
  </si>
  <si>
    <t xml:space="preserve">Scrubs</t>
  </si>
  <si>
    <t xml:space="preserve">Michael Spiller, Bill Lawrence</t>
  </si>
  <si>
    <t xml:space="preserve">tt0285403</t>
  </si>
  <si>
    <t xml:space="preserve">Falcon y el Soldado de Invierno</t>
  </si>
  <si>
    <t xml:space="preserve">Kari Skogland</t>
  </si>
  <si>
    <t xml:space="preserve">tt9208876</t>
  </si>
  <si>
    <t xml:space="preserve">Andor</t>
  </si>
  <si>
    <t xml:space="preserve">Toby Haynes, Ariel Kleiman</t>
  </si>
  <si>
    <t xml:space="preserve">tt9253284</t>
  </si>
  <si>
    <t xml:space="preserve">The Crown</t>
  </si>
  <si>
    <t xml:space="preserve">Benjamin Caron, Philip Martin</t>
  </si>
  <si>
    <t xml:space="preserve">tt4786824</t>
  </si>
  <si>
    <t xml:space="preserve">Colgados en Filadelfia</t>
  </si>
  <si>
    <t xml:space="preserve">Matt Shakman, Todd Biermann</t>
  </si>
  <si>
    <t xml:space="preserve">tt0472954</t>
  </si>
  <si>
    <t xml:space="preserve">Futurama</t>
  </si>
  <si>
    <t xml:space="preserve">Peter Avanzino, Rich Moore</t>
  </si>
  <si>
    <t xml:space="preserve">tt0149460</t>
  </si>
  <si>
    <t xml:space="preserve">El caballero de los Siete Reinos</t>
  </si>
  <si>
    <t xml:space="preserve">Owen Harris, Sarah Adina Smith</t>
  </si>
  <si>
    <t xml:space="preserve">tt27497448</t>
  </si>
  <si>
    <t xml:space="preserve">Expediente X</t>
  </si>
  <si>
    <t xml:space="preserve">Kim Manners, Rob Bowman</t>
  </si>
  <si>
    <t xml:space="preserve">Prime, Disney+, Tivify, AMC Channels Amazon Channel</t>
  </si>
  <si>
    <t xml:space="preserve">tt0106179</t>
  </si>
  <si>
    <t xml:space="preserve">True Blood</t>
  </si>
  <si>
    <t xml:space="preserve">Michael Lehmann, Scott Winant</t>
  </si>
  <si>
    <t xml:space="preserve">tt0844441</t>
  </si>
  <si>
    <t xml:space="preserve">Fringe (Al límite)</t>
  </si>
  <si>
    <t xml:space="preserve">Joe Chappelle, Brad Anderson</t>
  </si>
  <si>
    <t xml:space="preserve">tt1119644</t>
  </si>
  <si>
    <t xml:space="preserve">Obi-Wan Kenobi</t>
  </si>
  <si>
    <t xml:space="preserve">Deborah Chow</t>
  </si>
  <si>
    <t xml:space="preserve">tt8466564</t>
  </si>
  <si>
    <t xml:space="preserve">New Girl</t>
  </si>
  <si>
    <t xml:space="preserve">Trent O'Donnell, Erin O'Malley</t>
  </si>
  <si>
    <t xml:space="preserve">tt1826940</t>
  </si>
  <si>
    <t xml:space="preserve">Doctor Who</t>
  </si>
  <si>
    <t xml:space="preserve">Graeme Harper, Euros Lyn</t>
  </si>
  <si>
    <t xml:space="preserve">tt0436992</t>
  </si>
  <si>
    <t xml:space="preserve">Héroes</t>
  </si>
  <si>
    <t xml:space="preserve">Greg Beeman, Allan Arkush</t>
  </si>
  <si>
    <t xml:space="preserve">tt0813715</t>
  </si>
  <si>
    <t xml:space="preserve">Fullmetal Alchemist: Brotherhood</t>
  </si>
  <si>
    <t xml:space="preserve">Yasuhiro Irie, Takuya Igarashi</t>
  </si>
  <si>
    <t xml:space="preserve">Netflix, Animebox Channel Amazon Channel, 3Cat</t>
  </si>
  <si>
    <t xml:space="preserve">tt1355642</t>
  </si>
  <si>
    <t xml:space="preserve">Gotham</t>
  </si>
  <si>
    <t xml:space="preserve">Rob Bailey, Danny Cannon</t>
  </si>
  <si>
    <t xml:space="preserve">tt3749900</t>
  </si>
  <si>
    <t xml:space="preserve">Fleabag</t>
  </si>
  <si>
    <t xml:space="preserve">Harry Bradbeer, Tim Kirkby</t>
  </si>
  <si>
    <t xml:space="preserve">tt5687612</t>
  </si>
  <si>
    <t xml:space="preserve">Shōgun</t>
  </si>
  <si>
    <t xml:space="preserve">Frederick E.O. Toye, Jonathan van Tulleken</t>
  </si>
  <si>
    <t xml:space="preserve">tt2788316</t>
  </si>
  <si>
    <t xml:space="preserve">Twin Peaks</t>
  </si>
  <si>
    <t xml:space="preserve">David Lynch, Lesli Linka Glatter</t>
  </si>
  <si>
    <t xml:space="preserve">Movistar Plus+ Ficción Total , Filmin, SkyShowtime, AMC Channels Amazon Channel</t>
  </si>
  <si>
    <t xml:space="preserve">tt0098936</t>
  </si>
  <si>
    <t xml:space="preserve">Érase una vez</t>
  </si>
  <si>
    <t xml:space="preserve">Ralph Hemecker, Ron Underwood</t>
  </si>
  <si>
    <t xml:space="preserve">tt1843230</t>
  </si>
  <si>
    <t xml:space="preserve">The End of the F***ing World</t>
  </si>
  <si>
    <t xml:space="preserve">Jonathan Entwistle, Lucy Tcherniak</t>
  </si>
  <si>
    <t xml:space="preserve">tt6257970</t>
  </si>
  <si>
    <t xml:space="preserve">Downton Abbey</t>
  </si>
  <si>
    <t xml:space="preserve">Brian Percival, David Evans</t>
  </si>
  <si>
    <t xml:space="preserve">Prime, Disney+, Movistar Plus+ Ficción Total , SkyShowtime, 3Cat</t>
  </si>
  <si>
    <t xml:space="preserve">tt1606375</t>
  </si>
  <si>
    <t xml:space="preserve">Big Little Lies</t>
  </si>
  <si>
    <t xml:space="preserve">Jean-Marc Vallée, Andrea Arnold</t>
  </si>
  <si>
    <t xml:space="preserve">tt3920596</t>
  </si>
  <si>
    <t xml:space="preserve">Ojo de Halcón</t>
  </si>
  <si>
    <t xml:space="preserve">Bertie Ellwood, Amber Templemore</t>
  </si>
  <si>
    <t xml:space="preserve">tt10160804</t>
  </si>
  <si>
    <t xml:space="preserve">El Pingüino</t>
  </si>
  <si>
    <t xml:space="preserve">Craig Zobel, Kevin Bray</t>
  </si>
  <si>
    <t xml:space="preserve">tt15435876</t>
  </si>
  <si>
    <t xml:space="preserve">Cobra Kai</t>
  </si>
  <si>
    <t xml:space="preserve">Jon Hurwitz, Hayden Schlossberg</t>
  </si>
  <si>
    <t xml:space="preserve">tt7221388</t>
  </si>
  <si>
    <t xml:space="preserve">Mentes criminales</t>
  </si>
  <si>
    <t xml:space="preserve">Glenn Kershaw, Félix Enríquez Alcalá</t>
  </si>
  <si>
    <t xml:space="preserve">tt0452046</t>
  </si>
  <si>
    <t xml:space="preserve">El mentalista</t>
  </si>
  <si>
    <t xml:space="preserve">Chris Long, Eric Laneuville</t>
  </si>
  <si>
    <t xml:space="preserve">tt1196946</t>
  </si>
  <si>
    <t xml:space="preserve">Jessica Jones</t>
  </si>
  <si>
    <t xml:space="preserve">Stephen Surjik, Jennifer Getzinger</t>
  </si>
  <si>
    <t xml:space="preserve">tt2357547</t>
  </si>
  <si>
    <t xml:space="preserve">BoJack Horseman</t>
  </si>
  <si>
    <t xml:space="preserve">Amy Winfrey, JC Gonzalez</t>
  </si>
  <si>
    <t xml:space="preserve">tt3398228</t>
  </si>
  <si>
    <t xml:space="preserve">Agentes de S.H.I.E.L.D.</t>
  </si>
  <si>
    <t xml:space="preserve">Kevin Tancharoen, Jesse Bochco</t>
  </si>
  <si>
    <t xml:space="preserve">tt2364582</t>
  </si>
  <si>
    <t xml:space="preserve">Planeta Tierra</t>
  </si>
  <si>
    <t xml:space="preserve">Alastair Fothergill, Mark Linfield</t>
  </si>
  <si>
    <t xml:space="preserve">tt0795176</t>
  </si>
  <si>
    <t xml:space="preserve">Guardianes de la noche: Kimetsu no Yaiba</t>
  </si>
  <si>
    <t xml:space="preserve">Haruo Sotozaki, Shin'ya Shimomura</t>
  </si>
  <si>
    <t xml:space="preserve">Netflix, Prime, Crunchyroll, Crunchyroll Amazon Channel, Animebox Channel Amazon Channel, 3Cat</t>
  </si>
  <si>
    <t xml:space="preserve">tt9335498</t>
  </si>
  <si>
    <t xml:space="preserve">Los Bridgerton</t>
  </si>
  <si>
    <t xml:space="preserve">Tom Verica, Tricia Brock</t>
  </si>
  <si>
    <t xml:space="preserve">tt8740790</t>
  </si>
  <si>
    <t xml:space="preserve">Love, Death &amp; Robots</t>
  </si>
  <si>
    <t xml:space="preserve">Gabriele Pennacchioli, Jennifer Yuh Nelson</t>
  </si>
  <si>
    <t xml:space="preserve">tt9561862</t>
  </si>
  <si>
    <t xml:space="preserve">One Punch Man</t>
  </si>
  <si>
    <t xml:space="preserve">Shingo Natsume, Chikara Sakurai</t>
  </si>
  <si>
    <t xml:space="preserve">tt4508902</t>
  </si>
  <si>
    <t xml:space="preserve">Naruto: Shippûden</t>
  </si>
  <si>
    <t xml:space="preserve">Hayato Date, Masaaki Kumagai</t>
  </si>
  <si>
    <t xml:space="preserve">Netflix, Disney+, Crunchyroll, Crunchyroll Amazon Channel, Animebox Channel Amazon Channel</t>
  </si>
  <si>
    <t xml:space="preserve">tt0988824</t>
  </si>
  <si>
    <t xml:space="preserve">Silo</t>
  </si>
  <si>
    <t xml:space="preserve">Amber Templemore, Michael Dinner</t>
  </si>
  <si>
    <t xml:space="preserve">tt14688458</t>
  </si>
  <si>
    <t xml:space="preserve">Mare of Easttown</t>
  </si>
  <si>
    <t xml:space="preserve">Craig Zobel</t>
  </si>
  <si>
    <t xml:space="preserve">tt10155688</t>
  </si>
  <si>
    <t xml:space="preserve">Dahmer - Monstruo: La historia de Jeffrey Dahmer</t>
  </si>
  <si>
    <t xml:space="preserve">Max Winkler, Paris Barclay</t>
  </si>
  <si>
    <t xml:space="preserve">The Good Place</t>
  </si>
  <si>
    <t xml:space="preserve">Dean Holland, Beth McCarthy-Miller</t>
  </si>
  <si>
    <t xml:space="preserve">tt4955642</t>
  </si>
  <si>
    <t xml:space="preserve">Boardwalk Empire</t>
  </si>
  <si>
    <t xml:space="preserve">Timothy Van Patten, Allen Coulter</t>
  </si>
  <si>
    <t xml:space="preserve">tt0979432</t>
  </si>
  <si>
    <t xml:space="preserve">Jujutsu Kaisen</t>
  </si>
  <si>
    <t xml:space="preserve">Shouta Goshozono, Sunghoo Park</t>
  </si>
  <si>
    <t xml:space="preserve">tt12343534</t>
  </si>
  <si>
    <t xml:space="preserve">Gossip Girl</t>
  </si>
  <si>
    <t xml:space="preserve">Mark Piznarski, Norman Buckley</t>
  </si>
  <si>
    <t xml:space="preserve">tt0397442</t>
  </si>
  <si>
    <t xml:space="preserve">Vigilados: Person of Interest</t>
  </si>
  <si>
    <t xml:space="preserve">Chris Fisher, Richard J. Lewis</t>
  </si>
  <si>
    <t xml:space="preserve">tt1839578</t>
  </si>
  <si>
    <t xml:space="preserve">El libro de Boba Fett</t>
  </si>
  <si>
    <t xml:space="preserve">Robert Rodriguez, Dave Filoni</t>
  </si>
  <si>
    <t xml:space="preserve">tt13668894</t>
  </si>
  <si>
    <t xml:space="preserve">She-Hulk: Abogada Hulka</t>
  </si>
  <si>
    <t xml:space="preserve">Kat Coiro, Anu Valia</t>
  </si>
  <si>
    <t xml:space="preserve">tt10857160</t>
  </si>
  <si>
    <t xml:space="preserve">Sandman</t>
  </si>
  <si>
    <t xml:space="preserve">Jamie Childs, Andrés Baiz</t>
  </si>
  <si>
    <t xml:space="preserve">tt1751634</t>
  </si>
  <si>
    <t xml:space="preserve">Emma Sullivan, Josef Kubota Wladyka</t>
  </si>
  <si>
    <t xml:space="preserve">tt11737520</t>
  </si>
  <si>
    <t xml:space="preserve">24</t>
  </si>
  <si>
    <t xml:space="preserve">Jon Cassar, Brad Turner</t>
  </si>
  <si>
    <t xml:space="preserve">tt0285331</t>
  </si>
  <si>
    <t xml:space="preserve">Michael Apted, Mikael Salomon</t>
  </si>
  <si>
    <t xml:space="preserve">tt0384766</t>
  </si>
  <si>
    <t xml:space="preserve">Solo asesinatos en el edificio</t>
  </si>
  <si>
    <t xml:space="preserve">Jamie Babbit, John Hoffman</t>
  </si>
  <si>
    <t xml:space="preserve">tt11691774</t>
  </si>
  <si>
    <t xml:space="preserve">Outlander</t>
  </si>
  <si>
    <t xml:space="preserve">Metin Hüseyin, Jamie Payne</t>
  </si>
  <si>
    <t xml:space="preserve">tt3006802</t>
  </si>
  <si>
    <t xml:space="preserve">Altered Carbon</t>
  </si>
  <si>
    <t xml:space="preserve">Uta Briesewitz, Alex Graves</t>
  </si>
  <si>
    <t xml:space="preserve">tt2261227</t>
  </si>
  <si>
    <t xml:space="preserve">Jack Bender, Alexandra La Roche</t>
  </si>
  <si>
    <t xml:space="preserve">tt14417802</t>
  </si>
  <si>
    <t xml:space="preserve">Hunter X Hunter</t>
  </si>
  <si>
    <t xml:space="preserve">Hiroshi Kôjina, Tony Oliver</t>
  </si>
  <si>
    <t xml:space="preserve">Netflix, Prime, Crunchyroll</t>
  </si>
  <si>
    <t xml:space="preserve">tt2098220</t>
  </si>
  <si>
    <t xml:space="preserve">Aquellos maravillosos 70</t>
  </si>
  <si>
    <t xml:space="preserve">David Trainer, Terry Hughes</t>
  </si>
  <si>
    <t xml:space="preserve">tt0165598</t>
  </si>
  <si>
    <t xml:space="preserve">The Night Of</t>
  </si>
  <si>
    <t xml:space="preserve">Steven Zaillian, James Marsh</t>
  </si>
  <si>
    <t xml:space="preserve">tt2401256</t>
  </si>
  <si>
    <t xml:space="preserve">El Pacificador</t>
  </si>
  <si>
    <t xml:space="preserve">James Gunn, Alethea Jones</t>
  </si>
  <si>
    <t xml:space="preserve">tt13146488</t>
  </si>
  <si>
    <t xml:space="preserve">Jack Ryan</t>
  </si>
  <si>
    <t xml:space="preserve">Jann Turner, Patricia Riggen</t>
  </si>
  <si>
    <t xml:space="preserve">tt5057054</t>
  </si>
  <si>
    <t xml:space="preserve">Californication</t>
  </si>
  <si>
    <t xml:space="preserve">David Von Ancken, Adam Bernstein</t>
  </si>
  <si>
    <t xml:space="preserve">tt0904208</t>
  </si>
  <si>
    <t xml:space="preserve">Bebé reno</t>
  </si>
  <si>
    <t xml:space="preserve">Weronika Tofilska, Josephine Bornebusch</t>
  </si>
  <si>
    <t xml:space="preserve">tt13649112</t>
  </si>
  <si>
    <t xml:space="preserve">The Expanse</t>
  </si>
  <si>
    <t xml:space="preserve">Breck Eisner, Jeff Woolnough</t>
  </si>
  <si>
    <t xml:space="preserve">tt3230854</t>
  </si>
  <si>
    <t xml:space="preserve">Bones</t>
  </si>
  <si>
    <t xml:space="preserve">Ian Toynton, Dwight H. Little</t>
  </si>
  <si>
    <t xml:space="preserve">tt0460627</t>
  </si>
  <si>
    <t xml:space="preserve">The Last Kingdom</t>
  </si>
  <si>
    <t xml:space="preserve">Jon East, Edward Bazalgette</t>
  </si>
  <si>
    <t xml:space="preserve">tt4179452</t>
  </si>
  <si>
    <t xml:space="preserve">Pequeñas mentirosas</t>
  </si>
  <si>
    <t xml:space="preserve">Norman Buckley, Ron Lagomarsino</t>
  </si>
  <si>
    <t xml:space="preserve">tt1578873</t>
  </si>
  <si>
    <t xml:space="preserve">Castle</t>
  </si>
  <si>
    <t xml:space="preserve">Rob Bowman, John Terlesky</t>
  </si>
  <si>
    <t xml:space="preserve">tt1219024</t>
  </si>
  <si>
    <t xml:space="preserve">Galáctica, estrella de combate</t>
  </si>
  <si>
    <t xml:space="preserve">Michael Rymer, Michael Nankin</t>
  </si>
  <si>
    <t xml:space="preserve">tt0407362</t>
  </si>
  <si>
    <t xml:space="preserve">Entourage (El séquito)</t>
  </si>
  <si>
    <t xml:space="preserve">Julian Farino, Mark Mylod</t>
  </si>
  <si>
    <t xml:space="preserve">tt0387199</t>
  </si>
  <si>
    <t xml:space="preserve">El problema de los 3 cuerpos</t>
  </si>
  <si>
    <t xml:space="preserve">Jeremy Podeswa, Minkie Spiro</t>
  </si>
  <si>
    <t xml:space="preserve">tt13016388</t>
  </si>
  <si>
    <t xml:space="preserve">Silicon Valley</t>
  </si>
  <si>
    <t xml:space="preserve">Mike Judge, Alec Berg</t>
  </si>
  <si>
    <t xml:space="preserve">tt2575988</t>
  </si>
  <si>
    <t xml:space="preserve">Gravity Falls</t>
  </si>
  <si>
    <t xml:space="preserve">Joe Pitt, John Aoshima</t>
  </si>
  <si>
    <t xml:space="preserve">tt1865718</t>
  </si>
  <si>
    <t xml:space="preserve">El último baile</t>
  </si>
  <si>
    <t xml:space="preserve">Jason Hehir</t>
  </si>
  <si>
    <t xml:space="preserve">tt8420184</t>
  </si>
  <si>
    <t xml:space="preserve">The Gentlemen: La serie</t>
  </si>
  <si>
    <t xml:space="preserve">Eran Creevy, Guy Ritchie</t>
  </si>
  <si>
    <t xml:space="preserve">tt13210838</t>
  </si>
  <si>
    <t xml:space="preserve">Teen Wolf</t>
  </si>
  <si>
    <t xml:space="preserve">Russell Mulcahy, Tim Andrew</t>
  </si>
  <si>
    <t xml:space="preserve">tt1567432</t>
  </si>
  <si>
    <t xml:space="preserve">Cómo defender a un asesino</t>
  </si>
  <si>
    <t xml:space="preserve">Bill D'Elia, Stephen Cragg</t>
  </si>
  <si>
    <t xml:space="preserve">tt3205802</t>
  </si>
  <si>
    <t xml:space="preserve">Dragon Ball Z</t>
  </si>
  <si>
    <t xml:space="preserve">Daisuke Nishio</t>
  </si>
  <si>
    <t xml:space="preserve">tt0214341</t>
  </si>
  <si>
    <t xml:space="preserve">Bronca</t>
  </si>
  <si>
    <t xml:space="preserve">Jake Schreier, Lee Sung Jin</t>
  </si>
  <si>
    <t xml:space="preserve">tt14403178</t>
  </si>
  <si>
    <t xml:space="preserve">Navy: Investigación criminal</t>
  </si>
  <si>
    <t xml:space="preserve">Dennis Smith, Terrence O'Hara</t>
  </si>
  <si>
    <t xml:space="preserve">Prime, Disney+, Movistar Plus+ Ficción Total , SkyShowtime, Tivify, atresplayer</t>
  </si>
  <si>
    <t xml:space="preserve">tt0364845</t>
  </si>
  <si>
    <t xml:space="preserve">Los informáticos</t>
  </si>
  <si>
    <t xml:space="preserve">Graham Linehan, Derek Hallworth</t>
  </si>
  <si>
    <t xml:space="preserve">tt0487831</t>
  </si>
  <si>
    <t xml:space="preserve">Archer</t>
  </si>
  <si>
    <t xml:space="preserve">Bryan Fordney, Mack Williams</t>
  </si>
  <si>
    <t xml:space="preserve">tt1486217</t>
  </si>
  <si>
    <t xml:space="preserve">Planeta Tierra II</t>
  </si>
  <si>
    <t xml:space="preserve">Justin Anderson, Ed Charles</t>
  </si>
  <si>
    <t xml:space="preserve">tt5491994</t>
  </si>
  <si>
    <t xml:space="preserve">Schitt's Creek</t>
  </si>
  <si>
    <t xml:space="preserve">Paul Fox, Jerry Ciccoritti</t>
  </si>
  <si>
    <t xml:space="preserve">tt3526078</t>
  </si>
  <si>
    <t xml:space="preserve">Las chicas Gilmore</t>
  </si>
  <si>
    <t xml:space="preserve">Jamie Babbit, Amy Sherman-Palladino</t>
  </si>
  <si>
    <t xml:space="preserve">tt0238784</t>
  </si>
  <si>
    <t xml:space="preserve">Buffy, cazavampiros</t>
  </si>
  <si>
    <t xml:space="preserve">Joss Whedon, James A. Contner</t>
  </si>
  <si>
    <t xml:space="preserve">Disney+, Tivify, AMC Channels Amazon Channel</t>
  </si>
  <si>
    <t xml:space="preserve">tt0118276</t>
  </si>
  <si>
    <t xml:space="preserve">This Is Us</t>
  </si>
  <si>
    <t xml:space="preserve">Ken Olin, Chris Koch</t>
  </si>
  <si>
    <t xml:space="preserve">tt5555260</t>
  </si>
  <si>
    <t xml:space="preserve">Scam 1992: The Harshad Mehta Story</t>
  </si>
  <si>
    <t xml:space="preserve">Hansal Mehta, Jai Mehta</t>
  </si>
  <si>
    <t xml:space="preserve">tt12392504</t>
  </si>
  <si>
    <t xml:space="preserve">Misa de medianoche</t>
  </si>
  <si>
    <t xml:space="preserve">tt10574558</t>
  </si>
  <si>
    <t xml:space="preserve">Sense8</t>
  </si>
  <si>
    <t xml:space="preserve">Lana Wachowski, Lilly Wachowski</t>
  </si>
  <si>
    <t xml:space="preserve">tt2431438</t>
  </si>
  <si>
    <t xml:space="preserve">Bodyguard</t>
  </si>
  <si>
    <t xml:space="preserve">John Strickland, Thomas Vincent</t>
  </si>
  <si>
    <t xml:space="preserve">tt7493974</t>
  </si>
  <si>
    <t xml:space="preserve">Cowboy Bebop</t>
  </si>
  <si>
    <t xml:space="preserve">Shin'ichirō Watanabe, Yoshiyuki Takei</t>
  </si>
  <si>
    <t xml:space="preserve">tt0213338</t>
  </si>
  <si>
    <t xml:space="preserve">Naruto</t>
  </si>
  <si>
    <t xml:space="preserve">Hayato Date, Harume Kosaka</t>
  </si>
  <si>
    <t xml:space="preserve">Netflix, Prime, Crunchyroll, Crunchyroll Amazon Channel, 3Cat, CanalSurMas</t>
  </si>
  <si>
    <t xml:space="preserve">tt0409591</t>
  </si>
  <si>
    <t xml:space="preserve">The Heroes</t>
  </si>
  <si>
    <t xml:space="preserve">Siavash ZarrinAbadi, Mehrdad Sheikhan</t>
  </si>
  <si>
    <t xml:space="preserve">tt7657124</t>
  </si>
  <si>
    <t xml:space="preserve">After Life</t>
  </si>
  <si>
    <t xml:space="preserve">Ricky Gervais</t>
  </si>
  <si>
    <t xml:space="preserve">tt8398600</t>
  </si>
  <si>
    <t xml:space="preserve">A dos metros bajo tierra</t>
  </si>
  <si>
    <t xml:space="preserve">Alan Ball, Daniel Attias</t>
  </si>
  <si>
    <t xml:space="preserve">tt0248654</t>
  </si>
  <si>
    <t xml:space="preserve">1883</t>
  </si>
  <si>
    <t xml:space="preserve">Ben Richardson, Christina Alexandra Voros</t>
  </si>
  <si>
    <t xml:space="preserve">tt13991232</t>
  </si>
  <si>
    <t xml:space="preserve">Pluribus</t>
  </si>
  <si>
    <t xml:space="preserve">Gordon Smith, Vince Gilligan</t>
  </si>
  <si>
    <t xml:space="preserve">tt22202452</t>
  </si>
  <si>
    <t xml:space="preserve">Larry David (Curb Your Enthusiasm)</t>
  </si>
  <si>
    <t xml:space="preserve">Jeff Schaffer, Robert B. Weide</t>
  </si>
  <si>
    <t xml:space="preserve">tt0264235</t>
  </si>
  <si>
    <t xml:space="preserve">Riverdale</t>
  </si>
  <si>
    <t xml:space="preserve">Gabriel Correa, Rob Seidenglanz</t>
  </si>
  <si>
    <t xml:space="preserve">tt5420376</t>
  </si>
  <si>
    <t xml:space="preserve">Instituto McKinley</t>
  </si>
  <si>
    <t xml:space="preserve">Jake Kasdan, Judd Apatow</t>
  </si>
  <si>
    <t xml:space="preserve">tt0193676</t>
  </si>
  <si>
    <t xml:space="preserve">La rueda del tiempo</t>
  </si>
  <si>
    <t xml:space="preserve">Ciaran Donnelly, Thomas Napper</t>
  </si>
  <si>
    <t xml:space="preserve">tt7462410</t>
  </si>
  <si>
    <t xml:space="preserve">Luther</t>
  </si>
  <si>
    <t xml:space="preserve">Sam Miller, Jamie Payne</t>
  </si>
  <si>
    <t xml:space="preserve">tt1474684</t>
  </si>
  <si>
    <t xml:space="preserve">The Pitt</t>
  </si>
  <si>
    <t xml:space="preserve">Damian Marcano, Amanda Marsalis</t>
  </si>
  <si>
    <t xml:space="preserve">tt31938062</t>
  </si>
  <si>
    <t xml:space="preserve">Taboo</t>
  </si>
  <si>
    <t xml:space="preserve">Anders Engström, Kristoffer Nyholm</t>
  </si>
  <si>
    <t xml:space="preserve">Netflix, Prime, AMC+ Amazon Channel, AMC Plus Apple TV channel, Rakuten</t>
  </si>
  <si>
    <t xml:space="preserve">tt3647998</t>
  </si>
  <si>
    <t xml:space="preserve">El agente nocturno</t>
  </si>
  <si>
    <t xml:space="preserve">Adam Arkin, Guy Ferland</t>
  </si>
  <si>
    <t xml:space="preserve">tt13918776</t>
  </si>
  <si>
    <t xml:space="preserve">¿Qué pasaría si...?</t>
  </si>
  <si>
    <t xml:space="preserve">Bryan Andrews, Stephan Franck</t>
  </si>
  <si>
    <t xml:space="preserve">tt10168312</t>
  </si>
  <si>
    <t xml:space="preserve">Glee</t>
  </si>
  <si>
    <t xml:space="preserve">Bradley Buecker, Brad Falchuk</t>
  </si>
  <si>
    <t xml:space="preserve">tt1327801</t>
  </si>
  <si>
    <t xml:space="preserve">Los originales</t>
  </si>
  <si>
    <t xml:space="preserve">Matthew Hastings, Chris Grismer</t>
  </si>
  <si>
    <t xml:space="preserve">tt2632424</t>
  </si>
  <si>
    <t xml:space="preserve">Malcolm</t>
  </si>
  <si>
    <t xml:space="preserve">Todd Holland, Jeff Melman</t>
  </si>
  <si>
    <t xml:space="preserve">tt0212671</t>
  </si>
  <si>
    <t xml:space="preserve">Sexe a Nova York</t>
  </si>
  <si>
    <t xml:space="preserve">Michael Patrick King, Allen Coulter</t>
  </si>
  <si>
    <t xml:space="preserve">tt0159206</t>
  </si>
  <si>
    <t xml:space="preserve">Así nos ven</t>
  </si>
  <si>
    <t xml:space="preserve">Ava DuVernay</t>
  </si>
  <si>
    <t xml:space="preserve">tt7137906</t>
  </si>
  <si>
    <t xml:space="preserve">Lupin</t>
  </si>
  <si>
    <t xml:space="preserve">Ludovic Bernard, Louis Leterrier</t>
  </si>
  <si>
    <t xml:space="preserve">tt2531336</t>
  </si>
  <si>
    <t xml:space="preserve">Dexter: New Blood</t>
  </si>
  <si>
    <t xml:space="preserve">Marcos Siega, Sanford Bookstaver</t>
  </si>
  <si>
    <t xml:space="preserve">tt14164730</t>
  </si>
  <si>
    <t xml:space="preserve">La maravillosa Sra. Maisel</t>
  </si>
  <si>
    <t xml:space="preserve">Amy Sherman-Palladino, Daniel Palladino</t>
  </si>
  <si>
    <t xml:space="preserve">tt5788792</t>
  </si>
  <si>
    <t xml:space="preserve">Smallville</t>
  </si>
  <si>
    <t xml:space="preserve">James Marshall, Greg Beeman</t>
  </si>
  <si>
    <t xml:space="preserve">tt0279600</t>
  </si>
  <si>
    <t xml:space="preserve">Gen V</t>
  </si>
  <si>
    <t xml:space="preserve">Steve Boyum, Nelson Cragg</t>
  </si>
  <si>
    <t xml:space="preserve">tt13159924</t>
  </si>
  <si>
    <t xml:space="preserve">Mujeres desesperadas</t>
  </si>
  <si>
    <t xml:space="preserve">David Grossman, Larry Shaw</t>
  </si>
  <si>
    <t xml:space="preserve">tt0410975</t>
  </si>
  <si>
    <t xml:space="preserve">Killing Eve</t>
  </si>
  <si>
    <t xml:space="preserve">Damon Thomas, Stella Corradi</t>
  </si>
  <si>
    <t xml:space="preserve">tt7016936</t>
  </si>
  <si>
    <t xml:space="preserve">Fear the Walking Dead</t>
  </si>
  <si>
    <t xml:space="preserve">Michael E. Satrazemis, Stefan Schwartz</t>
  </si>
  <si>
    <t xml:space="preserve">tt3743822</t>
  </si>
  <si>
    <t xml:space="preserve">Ladrón de guante blanco</t>
  </si>
  <si>
    <t xml:space="preserve">John T. Kretchmer, Russell Lee Fine</t>
  </si>
  <si>
    <t xml:space="preserve">tt1358522</t>
  </si>
  <si>
    <t xml:space="preserve">Chuck</t>
  </si>
  <si>
    <t xml:space="preserve">Robert Duncan McNeill, Allan Kroeker</t>
  </si>
  <si>
    <t xml:space="preserve">tt0934814</t>
  </si>
  <si>
    <t xml:space="preserve">IT (Eso)</t>
  </si>
  <si>
    <t xml:space="preserve">Tommy Lee Wallace</t>
  </si>
  <si>
    <t xml:space="preserve">tt0099864</t>
  </si>
  <si>
    <t xml:space="preserve">El príncep de Bel-Air</t>
  </si>
  <si>
    <t xml:space="preserve">Shelley Jensen, Jeff Melman</t>
  </si>
  <si>
    <t xml:space="preserve">tt0098800</t>
  </si>
  <si>
    <t xml:space="preserve">La leyenda de Korra</t>
  </si>
  <si>
    <t xml:space="preserve">Ian Graham, Colin Heck</t>
  </si>
  <si>
    <t xml:space="preserve">tt1695360</t>
  </si>
  <si>
    <t xml:space="preserve">The Sinner</t>
  </si>
  <si>
    <t xml:space="preserve">Antonio Campos, Adam Bernstein</t>
  </si>
  <si>
    <t xml:space="preserve">tt6048596</t>
  </si>
  <si>
    <t xml:space="preserve">Mr. Bean</t>
  </si>
  <si>
    <t xml:space="preserve">John Birkin, Paul Weiland</t>
  </si>
  <si>
    <t xml:space="preserve">Prime, 3Cat</t>
  </si>
  <si>
    <t xml:space="preserve">tt0096657</t>
  </si>
  <si>
    <t xml:space="preserve">Dexter: Resurrección</t>
  </si>
  <si>
    <t xml:space="preserve">Marcos Siega, Monica Raymund</t>
  </si>
  <si>
    <t xml:space="preserve">tt33043892</t>
  </si>
  <si>
    <t xml:space="preserve">Slow Horses</t>
  </si>
  <si>
    <t xml:space="preserve">Adam Randall, Saul Metzstein</t>
  </si>
  <si>
    <t xml:space="preserve">tt5875444</t>
  </si>
  <si>
    <t xml:space="preserve">The Morning Show</t>
  </si>
  <si>
    <t xml:space="preserve">Mimi Leder, Stacie Passon</t>
  </si>
  <si>
    <t xml:space="preserve">tt7203552</t>
  </si>
  <si>
    <t xml:space="preserve">El joven Sheldon</t>
  </si>
  <si>
    <t xml:space="preserve">Alex Reid, Jaffar Mahmood</t>
  </si>
  <si>
    <t xml:space="preserve">tt6226232</t>
  </si>
  <si>
    <t xml:space="preserve">Alice in Borderland</t>
  </si>
  <si>
    <t xml:space="preserve">Shinsuke Satô</t>
  </si>
  <si>
    <t xml:space="preserve">tt10795658</t>
  </si>
  <si>
    <t xml:space="preserve">Star Trek: La nueva generación</t>
  </si>
  <si>
    <t xml:space="preserve">Cliff Bole, Les Landau</t>
  </si>
  <si>
    <t xml:space="preserve">tt0092455</t>
  </si>
  <si>
    <t xml:space="preserve">Iron Fist</t>
  </si>
  <si>
    <t xml:space="preserve">Stephen Surjik, John Dahl</t>
  </si>
  <si>
    <t xml:space="preserve">tt3322310</t>
  </si>
  <si>
    <t xml:space="preserve">Banshee</t>
  </si>
  <si>
    <t xml:space="preserve">Ole Christian Madsen, Greg Yaitanes</t>
  </si>
  <si>
    <t xml:space="preserve">HBO Max</t>
  </si>
  <si>
    <t xml:space="preserve">tt2017109</t>
  </si>
  <si>
    <t xml:space="preserve">Luke Cage</t>
  </si>
  <si>
    <t xml:space="preserve">Andy Goddard, Marc Jobst</t>
  </si>
  <si>
    <t xml:space="preserve">tt3322314</t>
  </si>
  <si>
    <t xml:space="preserve">Star Wars: The Clone Wars</t>
  </si>
  <si>
    <t xml:space="preserve">Dave Filoni, Brian Kalin O'Connell</t>
  </si>
  <si>
    <t xml:space="preserve">tt0458290</t>
  </si>
  <si>
    <t xml:space="preserve">Nicole Kassell, Stephen Williams</t>
  </si>
  <si>
    <t xml:space="preserve">tt7049682</t>
  </si>
  <si>
    <t xml:space="preserve">Vinland Saga</t>
  </si>
  <si>
    <t xml:space="preserve">Shûhei Yabuta, Kazuya Murata</t>
  </si>
  <si>
    <t xml:space="preserve">tt10233448</t>
  </si>
  <si>
    <t xml:space="preserve">Star Trek: Discovery</t>
  </si>
  <si>
    <t xml:space="preserve">Olatunde Osunsanmi, Jonathan Frakes</t>
  </si>
  <si>
    <t xml:space="preserve">tt5171438</t>
  </si>
  <si>
    <t xml:space="preserve">Encerrado con el diablo</t>
  </si>
  <si>
    <t xml:space="preserve">Michaël R. Roskam, Joe Chappelle</t>
  </si>
  <si>
    <t xml:space="preserve">tt4301160</t>
  </si>
  <si>
    <t xml:space="preserve">Law &amp; Order: UVE</t>
  </si>
  <si>
    <t xml:space="preserve">Jean de Segonzac, David Platt</t>
  </si>
  <si>
    <t xml:space="preserve">Netflix, Prime, Disney+, Movistar Plus+ Ficción Total , SkyShowtime, Tivify, atresplayer</t>
  </si>
  <si>
    <t xml:space="preserve">tt0203259</t>
  </si>
  <si>
    <t xml:space="preserve">La maldición de Bly Manor</t>
  </si>
  <si>
    <t xml:space="preserve">Ciarán Foy, Liam Gavin</t>
  </si>
  <si>
    <t xml:space="preserve">tt10970552</t>
  </si>
  <si>
    <t xml:space="preserve">The Acolyte</t>
  </si>
  <si>
    <t xml:space="preserve">Hanelle M. Culpepper, Alex Garcia Lopez</t>
  </si>
  <si>
    <t xml:space="preserve">tt12262202</t>
  </si>
  <si>
    <t xml:space="preserve">Padre Made in USA</t>
  </si>
  <si>
    <t xml:space="preserve">Ron Hughart, Brent Woods</t>
  </si>
  <si>
    <t xml:space="preserve">tt0397306</t>
  </si>
  <si>
    <t xml:space="preserve">The Pacific</t>
  </si>
  <si>
    <t xml:space="preserve">Jeremy Podeswa, Timothy Van Patten</t>
  </si>
  <si>
    <t xml:space="preserve">tt0374463</t>
  </si>
  <si>
    <t xml:space="preserve">Barry</t>
  </si>
  <si>
    <t xml:space="preserve">Bill Hader, Alec Berg</t>
  </si>
  <si>
    <t xml:space="preserve">tt5348176</t>
  </si>
  <si>
    <t xml:space="preserve">Emily en París</t>
  </si>
  <si>
    <t xml:space="preserve">Andrew Fleming, Erin Ehrlich</t>
  </si>
  <si>
    <t xml:space="preserve">tt8962124</t>
  </si>
  <si>
    <t xml:space="preserve">Ahsoka</t>
  </si>
  <si>
    <t xml:space="preserve">Dave Filoni, Jennifer Getzinger</t>
  </si>
  <si>
    <t xml:space="preserve">tt13622776</t>
  </si>
  <si>
    <t xml:space="preserve">Broadchurch</t>
  </si>
  <si>
    <t xml:space="preserve">James Strong, Paul Andrew Williams</t>
  </si>
  <si>
    <t xml:space="preserve">tt2249364</t>
  </si>
  <si>
    <t xml:space="preserve">King the Land</t>
  </si>
  <si>
    <t xml:space="preserve">tt26693803</t>
  </si>
  <si>
    <t xml:space="preserve">Grimm</t>
  </si>
  <si>
    <t xml:space="preserve">Norberto Barba, Terrence O'Hara</t>
  </si>
  <si>
    <t xml:space="preserve">tt1830617</t>
  </si>
  <si>
    <t xml:space="preserve">El infiltrado</t>
  </si>
  <si>
    <t xml:space="preserve">Susanne Bier, Georgi Banks-Davies</t>
  </si>
  <si>
    <t xml:space="preserve">tt1399664</t>
  </si>
  <si>
    <t xml:space="preserve">Cosmos: Una odisea en el espacio-tiempo</t>
  </si>
  <si>
    <t xml:space="preserve">Brannon Braga, Ann Druyan</t>
  </si>
  <si>
    <t xml:space="preserve">tt2395695</t>
  </si>
  <si>
    <t xml:space="preserve">Heridas abiertas</t>
  </si>
  <si>
    <t xml:space="preserve">tt2649356</t>
  </si>
  <si>
    <t xml:space="preserve">Penny Dreadful</t>
  </si>
  <si>
    <t xml:space="preserve">Damon Thomas, James Hawes</t>
  </si>
  <si>
    <t xml:space="preserve">tt2628232</t>
  </si>
  <si>
    <t xml:space="preserve">Rockefeller Plaza</t>
  </si>
  <si>
    <t xml:space="preserve">Don Scardino, Beth McCarthy-Miller</t>
  </si>
  <si>
    <t xml:space="preserve">tt0496424</t>
  </si>
  <si>
    <t xml:space="preserve">Batman: La serie animada</t>
  </si>
  <si>
    <t xml:space="preserve">Kevin Altieri, Boyd Kirkland</t>
  </si>
  <si>
    <t xml:space="preserve">tt0103359</t>
  </si>
  <si>
    <t xml:space="preserve">Creedme</t>
  </si>
  <si>
    <t xml:space="preserve">Lisa Cholodenko, Michael Dinner</t>
  </si>
  <si>
    <t xml:space="preserve">tt7909970</t>
  </si>
  <si>
    <t xml:space="preserve">Top Gear</t>
  </si>
  <si>
    <t xml:space="preserve">Brian Klein, Phil Churchward</t>
  </si>
  <si>
    <t xml:space="preserve">Prime, Movistar Plus+ Ficción Total , Pluto TV</t>
  </si>
  <si>
    <t xml:space="preserve">tt1628033</t>
  </si>
  <si>
    <t xml:space="preserve">La caída de la Casa Usher</t>
  </si>
  <si>
    <t xml:space="preserve">Michael Fimognari, Mike Flanagan</t>
  </si>
  <si>
    <t xml:space="preserve">tt15567174</t>
  </si>
  <si>
    <t xml:space="preserve">The Newsroom</t>
  </si>
  <si>
    <t xml:space="preserve">Alan Poul, Greg Mottola</t>
  </si>
  <si>
    <t xml:space="preserve">tt1870479</t>
  </si>
  <si>
    <t xml:space="preserve">Miénteme</t>
  </si>
  <si>
    <t xml:space="preserve">Daniel Sackheim, Michael Zinberg</t>
  </si>
  <si>
    <t xml:space="preserve">tt1235099</t>
  </si>
  <si>
    <t xml:space="preserve">Supergirl</t>
  </si>
  <si>
    <t xml:space="preserve">Jesse Warn, Glen Winter</t>
  </si>
  <si>
    <t xml:space="preserve">tt4016454</t>
  </si>
  <si>
    <t xml:space="preserve">Chacal</t>
  </si>
  <si>
    <t xml:space="preserve">Brian Kirk, Paul Wilmshurst</t>
  </si>
  <si>
    <t xml:space="preserve">tt24053860</t>
  </si>
  <si>
    <t xml:space="preserve">Hora de aventuras</t>
  </si>
  <si>
    <t xml:space="preserve">Bong Hee Han, Larry Leichliter</t>
  </si>
  <si>
    <t xml:space="preserve">tt1305826</t>
  </si>
  <si>
    <t xml:space="preserve">The Killing</t>
  </si>
  <si>
    <t xml:space="preserve">Ed Bianchi, Nicole Kassell</t>
  </si>
  <si>
    <t xml:space="preserve">tt1637727</t>
  </si>
  <si>
    <t xml:space="preserve">Ricky Gervais, Stephen Merchant</t>
  </si>
  <si>
    <t xml:space="preserve">The Leftovers</t>
  </si>
  <si>
    <t xml:space="preserve">Mimi Leder, Carl Franklin</t>
  </si>
  <si>
    <t xml:space="preserve">tt2699128</t>
  </si>
  <si>
    <t xml:space="preserve">The Rookie</t>
  </si>
  <si>
    <t xml:space="preserve">Bill Roe, Tori Garrett</t>
  </si>
  <si>
    <t xml:space="preserve">Netflix, Disney+, Movistar, Movistar Plus+ Ficción Total , Tivify, Lionsgate+ Amazon Channel</t>
  </si>
  <si>
    <t xml:space="preserve">tt7587890</t>
  </si>
  <si>
    <t xml:space="preserve">Ms. Marvel</t>
  </si>
  <si>
    <t xml:space="preserve">Adil El Arbi, Bilall Fallah</t>
  </si>
  <si>
    <t xml:space="preserve">tt10857164</t>
  </si>
  <si>
    <t xml:space="preserve">Allan Cubitt, Jakob Verbruggen</t>
  </si>
  <si>
    <t xml:space="preserve">tt2294189</t>
  </si>
  <si>
    <t xml:space="preserve">Cyberpunk: Edgerunners</t>
  </si>
  <si>
    <t xml:space="preserve">Hiroyuki Imaishi, Kai Ikarashi</t>
  </si>
  <si>
    <t xml:space="preserve">tt12590266</t>
  </si>
  <si>
    <t xml:space="preserve">Justified: La ley de Raylan</t>
  </si>
  <si>
    <t xml:space="preserve">Adam Arkin, Jon Avnet</t>
  </si>
  <si>
    <t xml:space="preserve">tt1489428</t>
  </si>
  <si>
    <t xml:space="preserve">The Good Doctor</t>
  </si>
  <si>
    <t xml:space="preserve">Mike Listo, Steven DePaul</t>
  </si>
  <si>
    <t xml:space="preserve">tt6470478</t>
  </si>
  <si>
    <t xml:space="preserve">Revenge</t>
  </si>
  <si>
    <t xml:space="preserve">Kenneth Fink, J. Miller Tobin</t>
  </si>
  <si>
    <t xml:space="preserve">tt1837642</t>
  </si>
  <si>
    <t xml:space="preserve">Deadwood</t>
  </si>
  <si>
    <t xml:space="preserve">Ed Bianchi, Daniel Minahan</t>
  </si>
  <si>
    <t xml:space="preserve">tt0348914</t>
  </si>
  <si>
    <t xml:space="preserve">La lista final</t>
  </si>
  <si>
    <t xml:space="preserve">Frederick E.O. Toye, Sylvain White</t>
  </si>
  <si>
    <t xml:space="preserve">tt11743610</t>
  </si>
  <si>
    <t xml:space="preserve">Terapia sin filtro</t>
  </si>
  <si>
    <t xml:space="preserve">Randall Keenan Winston, James Ponsoldt</t>
  </si>
  <si>
    <t xml:space="preserve">tt15677150</t>
  </si>
  <si>
    <t xml:space="preserve">The Defenders</t>
  </si>
  <si>
    <t xml:space="preserve">S.J. Clarkson, Phil Abraham</t>
  </si>
  <si>
    <t xml:space="preserve">tt4230076</t>
  </si>
  <si>
    <t xml:space="preserve">Lo que hacemos en las sombras</t>
  </si>
  <si>
    <t xml:space="preserve">Yana Gorskaya, Kyle Newacheck</t>
  </si>
  <si>
    <t xml:space="preserve">tt7908628</t>
  </si>
  <si>
    <t xml:space="preserve">The OA</t>
  </si>
  <si>
    <t xml:space="preserve">Zal Batmanglij, Andrew Haigh</t>
  </si>
  <si>
    <t xml:space="preserve">tt4635282</t>
  </si>
  <si>
    <t xml:space="preserve">Fundación</t>
  </si>
  <si>
    <t xml:space="preserve">Roxann Dawson, Alex Graves</t>
  </si>
  <si>
    <t xml:space="preserve">tt0804484</t>
  </si>
  <si>
    <t xml:space="preserve">Elementary</t>
  </si>
  <si>
    <t xml:space="preserve">Guy Ferland, Christine Moore</t>
  </si>
  <si>
    <t xml:space="preserve">tt2191671</t>
  </si>
  <si>
    <t xml:space="preserve">Bob Esponja</t>
  </si>
  <si>
    <t xml:space="preserve">Vincent Waller, Dave Cunningham</t>
  </si>
  <si>
    <t xml:space="preserve">Netflix, Prime, Movistar, Movistar Plus+ Ficción Total , fuboTV, SkyShowtime, rtve, Tivify</t>
  </si>
  <si>
    <t xml:space="preserve">tt0206512</t>
  </si>
  <si>
    <t xml:space="preserve">Bons averanys</t>
  </si>
  <si>
    <t xml:space="preserve">Douglas Mackinnon, Rachel Talalay</t>
  </si>
  <si>
    <t xml:space="preserve">tt1869454</t>
  </si>
  <si>
    <t xml:space="preserve">Dhindora</t>
  </si>
  <si>
    <t xml:space="preserve">Himank Gaur</t>
  </si>
  <si>
    <t xml:space="preserve">tt14650074</t>
  </si>
  <si>
    <t xml:space="preserve">Black Sails</t>
  </si>
  <si>
    <t xml:space="preserve">Steve Boyum, Alik Sakharov</t>
  </si>
  <si>
    <t xml:space="preserve">AMC Channels Amazon Channel, Lionsgate+ Amazon Channel</t>
  </si>
  <si>
    <t xml:space="preserve">tt2375692</t>
  </si>
  <si>
    <t xml:space="preserve">Bates Motel</t>
  </si>
  <si>
    <t xml:space="preserve">Tucker Gates, Ed Bianchi</t>
  </si>
  <si>
    <t xml:space="preserve">tt2188671</t>
  </si>
  <si>
    <t xml:space="preserve">El hombre en el castillo</t>
  </si>
  <si>
    <t xml:space="preserve">Daniel Percival, John Fawcett</t>
  </si>
  <si>
    <t xml:space="preserve">tt1740299</t>
  </si>
  <si>
    <t xml:space="preserve">Sombra y hueso</t>
  </si>
  <si>
    <t xml:space="preserve">Mairzee Almas, Lee Toland Krieger</t>
  </si>
  <si>
    <t xml:space="preserve">tt2403776</t>
  </si>
  <si>
    <t xml:space="preserve">Orphan Black</t>
  </si>
  <si>
    <t xml:space="preserve">John Fawcett, David Frazee</t>
  </si>
  <si>
    <t xml:space="preserve">tt2234222</t>
  </si>
  <si>
    <t xml:space="preserve">The Americans</t>
  </si>
  <si>
    <t xml:space="preserve">Chris Long, Daniel Sackheim</t>
  </si>
  <si>
    <t xml:space="preserve">tt2149175</t>
  </si>
  <si>
    <t xml:space="preserve">My Hero Academia</t>
  </si>
  <si>
    <t xml:space="preserve">Kenji Nagasaki, Naomi Nakayama</t>
  </si>
  <si>
    <t xml:space="preserve">Netflix, Disney+, Crunchyroll, Crunchyroll Amazon Channel</t>
  </si>
  <si>
    <t xml:space="preserve">tt5626028</t>
  </si>
  <si>
    <t xml:space="preserve">22.11.63</t>
  </si>
  <si>
    <t xml:space="preserve">James Strong, Frederick E.O. Toye</t>
  </si>
  <si>
    <t xml:space="preserve">tt2879552</t>
  </si>
  <si>
    <t xml:space="preserve">1899</t>
  </si>
  <si>
    <t xml:space="preserve">tt9319668</t>
  </si>
  <si>
    <t xml:space="preserve">Weeds</t>
  </si>
  <si>
    <t xml:space="preserve">Craig Zisk, Michael Trim</t>
  </si>
  <si>
    <t xml:space="preserve">tt0439100</t>
  </si>
  <si>
    <t xml:space="preserve">John Wells, Helen Shaver</t>
  </si>
  <si>
    <t xml:space="preserve">tt11337908</t>
  </si>
  <si>
    <t xml:space="preserve">Psych</t>
  </si>
  <si>
    <t xml:space="preserve">Mel Damski, Steve Franks</t>
  </si>
  <si>
    <t xml:space="preserve">tt0491738</t>
  </si>
  <si>
    <t xml:space="preserve">Tierra de mafiosos</t>
  </si>
  <si>
    <t xml:space="preserve">Lawrence Gough, Guy Ritchie</t>
  </si>
  <si>
    <t xml:space="preserve">tt31510819</t>
  </si>
  <si>
    <t xml:space="preserve">Titanes</t>
  </si>
  <si>
    <t xml:space="preserve">Carol Banker, Boris Mojsovski</t>
  </si>
  <si>
    <t xml:space="preserve">tt1043813</t>
  </si>
  <si>
    <t xml:space="preserve">Las escalofriantes aventuras de Sabrina</t>
  </si>
  <si>
    <t xml:space="preserve">Rob Seidenglanz, Alex Pillai</t>
  </si>
  <si>
    <t xml:space="preserve">tt7569592</t>
  </si>
  <si>
    <t xml:space="preserve">Tulsa King</t>
  </si>
  <si>
    <t xml:space="preserve">Guy Ferland, Kevin Dowling</t>
  </si>
  <si>
    <t xml:space="preserve">tt16358384</t>
  </si>
  <si>
    <t xml:space="preserve">La cúpula</t>
  </si>
  <si>
    <t xml:space="preserve">Jack Bender, Peter Leto</t>
  </si>
  <si>
    <t xml:space="preserve">tt1553656</t>
  </si>
  <si>
    <t xml:space="preserve">Panchayat</t>
  </si>
  <si>
    <t xml:space="preserve">Deepak Kumar Mishra, Akshat Vijaywargiya</t>
  </si>
  <si>
    <t xml:space="preserve">tt12004706</t>
  </si>
  <si>
    <t xml:space="preserve">Billions</t>
  </si>
  <si>
    <t xml:space="preserve">Colin Bucksey, Neil Burger</t>
  </si>
  <si>
    <t xml:space="preserve">tt4270492</t>
  </si>
  <si>
    <t xml:space="preserve">Solo Leveling</t>
  </si>
  <si>
    <t xml:space="preserve">Shunsuke Nakashige, Yuya Horiuchi</t>
  </si>
  <si>
    <t xml:space="preserve">tt21209876</t>
  </si>
  <si>
    <t xml:space="preserve">Matrimonio con hijos</t>
  </si>
  <si>
    <t xml:space="preserve">Gerry Cohen, Linda Day</t>
  </si>
  <si>
    <t xml:space="preserve">tt0092400</t>
  </si>
  <si>
    <t xml:space="preserve">The Undoing</t>
  </si>
  <si>
    <t xml:space="preserve">tt8134470</t>
  </si>
  <si>
    <t xml:space="preserve">El visitante</t>
  </si>
  <si>
    <t xml:space="preserve">Andrew Bernstein, Jason Bateman</t>
  </si>
  <si>
    <t xml:space="preserve">tt8550800</t>
  </si>
  <si>
    <t xml:space="preserve">Normal People</t>
  </si>
  <si>
    <t xml:space="preserve">Lenny Abrahamson, Hettie Macdonald</t>
  </si>
  <si>
    <t xml:space="preserve">tt9059760</t>
  </si>
  <si>
    <t xml:space="preserve">Dept. Q</t>
  </si>
  <si>
    <t xml:space="preserve">Scott Frank, Elisa Amoruso</t>
  </si>
  <si>
    <t xml:space="preserve">tt27995114</t>
  </si>
  <si>
    <t xml:space="preserve">Oz</t>
  </si>
  <si>
    <t xml:space="preserve">Adam Bernstein, Alex Zakrzewski</t>
  </si>
  <si>
    <t xml:space="preserve">tt0118421</t>
  </si>
  <si>
    <t xml:space="preserve">Me llamo Earl</t>
  </si>
  <si>
    <t xml:space="preserve">Marc Buckland, Eyal Gordin</t>
  </si>
  <si>
    <t xml:space="preserve">tt0460091</t>
  </si>
  <si>
    <t xml:space="preserve">The Idol</t>
  </si>
  <si>
    <t xml:space="preserve">Sam Levinson</t>
  </si>
  <si>
    <t xml:space="preserve">tt14954666</t>
  </si>
  <si>
    <t xml:space="preserve">Muñeca rusa</t>
  </si>
  <si>
    <t xml:space="preserve">Natasha Lyonne, Leslye Headland</t>
  </si>
  <si>
    <t xml:space="preserve">tt7520794</t>
  </si>
  <si>
    <t xml:space="preserve">Yellowjackets</t>
  </si>
  <si>
    <t xml:space="preserve">Ben Semanoff, Eva Sørhaug</t>
  </si>
  <si>
    <t xml:space="preserve">tt11041332</t>
  </si>
  <si>
    <t xml:space="preserve">Sucesor designado</t>
  </si>
  <si>
    <t xml:space="preserve">Chris Grismer, Frederick E.O. Toye</t>
  </si>
  <si>
    <t xml:space="preserve">tt5296406</t>
  </si>
  <si>
    <t xml:space="preserve">It: Bienvenidos a Derry</t>
  </si>
  <si>
    <t xml:space="preserve">Andy Muschietti, Andrew Bernstein</t>
  </si>
  <si>
    <t xml:space="preserve">tt19244304</t>
  </si>
  <si>
    <t xml:space="preserve">Dos chicas sin blanca</t>
  </si>
  <si>
    <t xml:space="preserve">Don Scardino, Fred Savage</t>
  </si>
  <si>
    <t xml:space="preserve">tt1845307</t>
  </si>
  <si>
    <t xml:space="preserve">DC's Legends of Tomorrow</t>
  </si>
  <si>
    <t xml:space="preserve">Kevin Mock, David Geddes</t>
  </si>
  <si>
    <t xml:space="preserve">tt4532368</t>
  </si>
  <si>
    <t xml:space="preserve">Atípico</t>
  </si>
  <si>
    <t xml:space="preserve">Michael Patrick Jann, Ryan Case</t>
  </si>
  <si>
    <t xml:space="preserve">tt6315640</t>
  </si>
  <si>
    <t xml:space="preserve">Daredevil: Born Again</t>
  </si>
  <si>
    <t xml:space="preserve">Justin Benson, Aaron Moorhead</t>
  </si>
  <si>
    <t xml:space="preserve">tt18923754</t>
  </si>
  <si>
    <t xml:space="preserve">Perdidos en el espacio</t>
  </si>
  <si>
    <t xml:space="preserve">Tim Southam, Stephen Surjik</t>
  </si>
  <si>
    <t xml:space="preserve">tt5232792</t>
  </si>
  <si>
    <t xml:space="preserve">Neon Genesis Evangelion</t>
  </si>
  <si>
    <t xml:space="preserve">Hideaki Anno, Kazuya Tsurumaki</t>
  </si>
  <si>
    <t xml:space="preserve">Netflix, Animebox Channel Amazon Channel, 3Cat, CanalSurMas</t>
  </si>
  <si>
    <t xml:space="preserve">tt0112159</t>
  </si>
  <si>
    <t xml:space="preserve">Landman: Un negocio crudo</t>
  </si>
  <si>
    <t xml:space="preserve">Stephen Kay, Michael Friedman</t>
  </si>
  <si>
    <t xml:space="preserve">tt14186672</t>
  </si>
  <si>
    <t xml:space="preserve">The Family Man</t>
  </si>
  <si>
    <t xml:space="preserve">Krishna D.K., Raj Nidimoru</t>
  </si>
  <si>
    <t xml:space="preserve">tt9544034</t>
  </si>
  <si>
    <t xml:space="preserve">Misfits</t>
  </si>
  <si>
    <t xml:space="preserve">Tom Green, Jonathan van Tulleken</t>
  </si>
  <si>
    <t xml:space="preserve">tt1548850</t>
  </si>
  <si>
    <t xml:space="preserve">Más que rivales</t>
  </si>
  <si>
    <t xml:space="preserve">Jacob Tierney</t>
  </si>
  <si>
    <t xml:space="preserve">tt35495073</t>
  </si>
  <si>
    <t xml:space="preserve">Hotel Fawlty</t>
  </si>
  <si>
    <t xml:space="preserve">Bob Spiers, John Howard Davies</t>
  </si>
  <si>
    <t xml:space="preserve">tt0072500</t>
  </si>
  <si>
    <t xml:space="preserve">See</t>
  </si>
  <si>
    <t xml:space="preserve">Anders Engström, Frederick E.O. Toye</t>
  </si>
  <si>
    <t xml:space="preserve">tt7949218</t>
  </si>
  <si>
    <t xml:space="preserve">Dead to Me</t>
  </si>
  <si>
    <t xml:space="preserve">Rebecca Asher, Silver Tree</t>
  </si>
  <si>
    <t xml:space="preserve">tt8064302</t>
  </si>
  <si>
    <t xml:space="preserve">Halo</t>
  </si>
  <si>
    <t xml:space="preserve">Otto Bathurst, Jonathan Liebesman</t>
  </si>
  <si>
    <t xml:space="preserve">tt2934286</t>
  </si>
  <si>
    <t xml:space="preserve">Stargate SG-1</t>
  </si>
  <si>
    <t xml:space="preserve">Peter DeLuise, Martin Wood</t>
  </si>
  <si>
    <t xml:space="preserve">tt0118480</t>
  </si>
  <si>
    <t xml:space="preserve">The Orville</t>
  </si>
  <si>
    <t xml:space="preserve">Jon Cassar, Seth MacFarlane</t>
  </si>
  <si>
    <t xml:space="preserve">tt5691552</t>
  </si>
  <si>
    <t xml:space="preserve">Ginny y Georgia</t>
  </si>
  <si>
    <t xml:space="preserve">Sharon Lewis, Anya Adams</t>
  </si>
  <si>
    <t xml:space="preserve">tt10813940</t>
  </si>
  <si>
    <t xml:space="preserve">Outer Banks</t>
  </si>
  <si>
    <t xml:space="preserve">Jonas Pate, Valerie Weiss</t>
  </si>
  <si>
    <t xml:space="preserve">tt10293938</t>
  </si>
  <si>
    <t xml:space="preserve">La dimensión desconocida</t>
  </si>
  <si>
    <t xml:space="preserve">John Brahm, Douglas Heyes</t>
  </si>
  <si>
    <t xml:space="preserve">tt0052520</t>
  </si>
  <si>
    <t xml:space="preserve">Chainsaw Man</t>
  </si>
  <si>
    <t xml:space="preserve">Ryû Nakayama, Masato Nakazono</t>
  </si>
  <si>
    <t xml:space="preserve">tt13616990</t>
  </si>
  <si>
    <t xml:space="preserve">Locke &amp; Key</t>
  </si>
  <si>
    <t xml:space="preserve">Mark Tonderai, Mairzee Almas</t>
  </si>
  <si>
    <t xml:space="preserve">tt3007572</t>
  </si>
  <si>
    <t xml:space="preserve">Making a Murderer</t>
  </si>
  <si>
    <t xml:space="preserve">Moira Demos, Laura Ricciardi</t>
  </si>
  <si>
    <t xml:space="preserve">tt5189670</t>
  </si>
  <si>
    <t xml:space="preserve">Alien: Planeta Tierra</t>
  </si>
  <si>
    <t xml:space="preserve">Dana Gonzales, Ugla Hauksdóttir</t>
  </si>
  <si>
    <t xml:space="preserve">tt13623632</t>
  </si>
  <si>
    <t xml:space="preserve">Code Geass: Lelouch of the Rebellion</t>
  </si>
  <si>
    <t xml:space="preserve">Gorô Taniguchi, Yoshimitsu Ôhashi</t>
  </si>
  <si>
    <t xml:space="preserve">tt0994314</t>
  </si>
  <si>
    <t xml:space="preserve">Samurái de ojos azules</t>
  </si>
  <si>
    <t xml:space="preserve">Jane Wu, Federico D'Alessandro</t>
  </si>
  <si>
    <t xml:space="preserve">tt13309742</t>
  </si>
  <si>
    <t xml:space="preserve">Manifest</t>
  </si>
  <si>
    <t xml:space="preserve">Romeo Tirone, Michael Smith</t>
  </si>
  <si>
    <t xml:space="preserve">tt8421350</t>
  </si>
  <si>
    <t xml:space="preserve">1923</t>
  </si>
  <si>
    <t xml:space="preserve">Ben Richardson, Guy Ferland</t>
  </si>
  <si>
    <t xml:space="preserve">tt18335752</t>
  </si>
  <si>
    <t xml:space="preserve">Last Week Tonight with John Oliver</t>
  </si>
  <si>
    <t xml:space="preserve">Paul Pennolino, Christopher Werner</t>
  </si>
  <si>
    <t xml:space="preserve">tt3530232</t>
  </si>
  <si>
    <t xml:space="preserve">O.C.</t>
  </si>
  <si>
    <t xml:space="preserve">Ian Toynton, Michael Lange</t>
  </si>
  <si>
    <t xml:space="preserve">tt0362359</t>
  </si>
  <si>
    <t xml:space="preserve">Daisuke Nishio, Shigeyasu Yamauchi</t>
  </si>
  <si>
    <t xml:space="preserve">tt0121220</t>
  </si>
  <si>
    <t xml:space="preserve">Simon Langton</t>
  </si>
  <si>
    <t xml:space="preserve">Prime, Movistar Plus+ Ficción Total , Rakuten, Pluto TV</t>
  </si>
  <si>
    <t xml:space="preserve">tt0112130</t>
  </si>
  <si>
    <t xml:space="preserve">John Cameron, Noah Hawley</t>
  </si>
  <si>
    <t xml:space="preserve">tt5114356</t>
  </si>
  <si>
    <t xml:space="preserve">Leyla and Mecnun</t>
  </si>
  <si>
    <t xml:space="preserve">Onur Ünlü, Eyüp Boz</t>
  </si>
  <si>
    <t xml:space="preserve">tt1831164</t>
  </si>
  <si>
    <t xml:space="preserve">Frasier</t>
  </si>
  <si>
    <t xml:space="preserve">David Lee, Kelsey Grammer</t>
  </si>
  <si>
    <t xml:space="preserve">tt0106004</t>
  </si>
  <si>
    <t xml:space="preserve">Bob's Burgers</t>
  </si>
  <si>
    <t xml:space="preserve">Bernard Derriman, Tony Gennaro</t>
  </si>
  <si>
    <t xml:space="preserve">tt1561755</t>
  </si>
  <si>
    <t xml:space="preserve">Crímenes Americanos. El caso de O.J. Simpson</t>
  </si>
  <si>
    <t xml:space="preserve">Ryan Murphy, Anthony Hemingway</t>
  </si>
  <si>
    <t xml:space="preserve">Élite</t>
  </si>
  <si>
    <t xml:space="preserve">Dani de la Orden, Ginesta Guindal</t>
  </si>
  <si>
    <t xml:space="preserve">tt7134908</t>
  </si>
  <si>
    <t xml:space="preserve">Monk</t>
  </si>
  <si>
    <t xml:space="preserve">Randy Zisk, Jerry Levine</t>
  </si>
  <si>
    <t xml:space="preserve">tt0312172</t>
  </si>
  <si>
    <t xml:space="preserve">Narcos: México</t>
  </si>
  <si>
    <t xml:space="preserve">Andrés Baiz, Amat Escalante</t>
  </si>
  <si>
    <t xml:space="preserve">tt8714904</t>
  </si>
  <si>
    <t xml:space="preserve">Star Trek: Picard</t>
  </si>
  <si>
    <t xml:space="preserve">Jonathan Frakes, Doug Aarniokoski</t>
  </si>
  <si>
    <t xml:space="preserve">tt8806524</t>
  </si>
  <si>
    <t xml:space="preserve">La conquista del espacio</t>
  </si>
  <si>
    <t xml:space="preserve">Marc Daniels, Joseph Pevney</t>
  </si>
  <si>
    <t xml:space="preserve">The Inbetweeners</t>
  </si>
  <si>
    <t xml:space="preserve">Ben Palmer, Gordon Anderson</t>
  </si>
  <si>
    <t xml:space="preserve">tt1220617</t>
  </si>
  <si>
    <t xml:space="preserve">Skins</t>
  </si>
  <si>
    <t xml:space="preserve">Charles Martin, Simon Massey</t>
  </si>
  <si>
    <t xml:space="preserve">tt0840196</t>
  </si>
  <si>
    <t xml:space="preserve">El ala oeste de la Casa Blanca</t>
  </si>
  <si>
    <t xml:space="preserve">Christopher Misiano, Alex Graves</t>
  </si>
  <si>
    <t xml:space="preserve">tt0200276</t>
  </si>
  <si>
    <t xml:space="preserve">Ray Donovan</t>
  </si>
  <si>
    <t xml:space="preserve">John Dahl, Tucker Gates</t>
  </si>
  <si>
    <t xml:space="preserve">tt2249007</t>
  </si>
  <si>
    <t xml:space="preserve">El abogado del Lincoln</t>
  </si>
  <si>
    <t xml:space="preserve">Antonio Negret, Alonso Alvarez</t>
  </si>
  <si>
    <t xml:space="preserve">tt13833978</t>
  </si>
  <si>
    <t xml:space="preserve">La diplomática</t>
  </si>
  <si>
    <t xml:space="preserve">Alex Graves, Liza Johnson</t>
  </si>
  <si>
    <t xml:space="preserve">tt17491088</t>
  </si>
  <si>
    <t xml:space="preserve">Atlanta</t>
  </si>
  <si>
    <t xml:space="preserve">Hiro Murai, Donald Glover</t>
  </si>
  <si>
    <t xml:space="preserve">tt4288182</t>
  </si>
  <si>
    <t xml:space="preserve">Unorthodox</t>
  </si>
  <si>
    <t xml:space="preserve">Maria Schrader</t>
  </si>
  <si>
    <t xml:space="preserve">tt9815454</t>
  </si>
  <si>
    <t xml:space="preserve">Embrujadas</t>
  </si>
  <si>
    <t xml:space="preserve">John T. Kretchmer, James L. Conway</t>
  </si>
  <si>
    <t xml:space="preserve">tt0158552</t>
  </si>
  <si>
    <t xml:space="preserve">Falling Skies</t>
  </si>
  <si>
    <t xml:space="preserve">Greg Beeman, Olatunde Osunsanmi</t>
  </si>
  <si>
    <t xml:space="preserve">tt1462059</t>
  </si>
  <si>
    <t xml:space="preserve">Big Mouth</t>
  </si>
  <si>
    <t xml:space="preserve">Bryan Francis, Henrique Jardim</t>
  </si>
  <si>
    <t xml:space="preserve">tt6524350</t>
  </si>
  <si>
    <t xml:space="preserve">American Gods</t>
  </si>
  <si>
    <t xml:space="preserve">David Slade, Adam Kane</t>
  </si>
  <si>
    <t xml:space="preserve">tt1898069</t>
  </si>
  <si>
    <t xml:space="preserve">Bosch</t>
  </si>
  <si>
    <t xml:space="preserve">Alex Zakrzewski, Ernest Dickerson</t>
  </si>
  <si>
    <t xml:space="preserve">tt3502248</t>
  </si>
  <si>
    <t xml:space="preserve">Juegos sagrados</t>
  </si>
  <si>
    <t xml:space="preserve">Anurag Kashyap, Vikramaditya Motwane</t>
  </si>
  <si>
    <t xml:space="preserve">tt6077448</t>
  </si>
  <si>
    <t xml:space="preserve">The Shield: Al margen de la ley</t>
  </si>
  <si>
    <t xml:space="preserve">Guy Ferland, Scott Brazil</t>
  </si>
  <si>
    <t xml:space="preserve">tt0286486</t>
  </si>
  <si>
    <t xml:space="preserve">Presunto inocente</t>
  </si>
  <si>
    <t xml:space="preserve">Greg Yaitanes, Anne Sewitsky</t>
  </si>
  <si>
    <t xml:space="preserve">tt17677860</t>
  </si>
  <si>
    <t xml:space="preserve">The Following</t>
  </si>
  <si>
    <t xml:space="preserve">Marcos Siega, Nicole Kassell</t>
  </si>
  <si>
    <t xml:space="preserve">tt2071645</t>
  </si>
  <si>
    <t xml:space="preserve">Yo nunca</t>
  </si>
  <si>
    <t xml:space="preserve">Kabir Akhtar, Tristram Shapeero</t>
  </si>
  <si>
    <t xml:space="preserve">tt10062292</t>
  </si>
  <si>
    <t xml:space="preserve">Castlevania</t>
  </si>
  <si>
    <t xml:space="preserve">Sam Deats, Adam Deats</t>
  </si>
  <si>
    <t xml:space="preserve">tt6517102</t>
  </si>
  <si>
    <t xml:space="preserve">Agente Carter</t>
  </si>
  <si>
    <t xml:space="preserve">Jennifer Getzinger, Metin Hüseyin</t>
  </si>
  <si>
    <t xml:space="preserve">tt3475734</t>
  </si>
  <si>
    <t xml:space="preserve">Detrás de sus ojos</t>
  </si>
  <si>
    <t xml:space="preserve">Erik Richter Strand</t>
  </si>
  <si>
    <t xml:space="preserve">tt9698442</t>
  </si>
  <si>
    <t xml:space="preserve">El rey de Queens</t>
  </si>
  <si>
    <t xml:space="preserve">Rob Schiller, James Widdoes</t>
  </si>
  <si>
    <t xml:space="preserve">tt0165581</t>
  </si>
  <si>
    <t xml:space="preserve">The Grand Tour</t>
  </si>
  <si>
    <t xml:space="preserve">Phil Churchward, Kit Lynch Robinson</t>
  </si>
  <si>
    <t xml:space="preserve">tt5712554</t>
  </si>
  <si>
    <t xml:space="preserve">One Tree Hill</t>
  </si>
  <si>
    <t xml:space="preserve">Gregory Prange, Paul Johansson</t>
  </si>
  <si>
    <t xml:space="preserve">tt0368530</t>
  </si>
  <si>
    <t xml:space="preserve">Steins;Gate</t>
  </si>
  <si>
    <t xml:space="preserve">Hiroshi Hamasaki, Takuya Satō</t>
  </si>
  <si>
    <t xml:space="preserve">tt1910272</t>
  </si>
  <si>
    <t xml:space="preserve">La materia oscura</t>
  </si>
  <si>
    <t xml:space="preserve">Jamie Childs, William McGregor</t>
  </si>
  <si>
    <t xml:space="preserve">tt5607976</t>
  </si>
  <si>
    <t xml:space="preserve">Heartstopper</t>
  </si>
  <si>
    <t xml:space="preserve">Euros Lyn, Andy Newbery</t>
  </si>
  <si>
    <t xml:space="preserve">tt10638036</t>
  </si>
  <si>
    <t xml:space="preserve">Bleach</t>
  </si>
  <si>
    <t xml:space="preserve">Noriyuki Abe, Jun'ya Koshiba</t>
  </si>
  <si>
    <t xml:space="preserve">tt0434665</t>
  </si>
  <si>
    <t xml:space="preserve">C.S.I.</t>
  </si>
  <si>
    <t xml:space="preserve">Kenneth Fink, Richard J. Lewis</t>
  </si>
  <si>
    <t xml:space="preserve">tt0247082</t>
  </si>
  <si>
    <t xml:space="preserve">Vigilante</t>
  </si>
  <si>
    <t xml:space="preserve">Paris Barclay, Jennifer Lynch</t>
  </si>
  <si>
    <t xml:space="preserve">tt14852808</t>
  </si>
  <si>
    <t xml:space="preserve">Secuestro en el aire</t>
  </si>
  <si>
    <t xml:space="preserve">Jim Field Smith, Shaun James Grant</t>
  </si>
  <si>
    <t xml:space="preserve">tt19854762</t>
  </si>
  <si>
    <t xml:space="preserve">Mirapur</t>
  </si>
  <si>
    <t xml:space="preserve">Gurmmeet Singh, Mihir Desai</t>
  </si>
  <si>
    <t xml:space="preserve">tt6473300</t>
  </si>
  <si>
    <t xml:space="preserve">Merlín</t>
  </si>
  <si>
    <t xml:space="preserve">Jeremy Webb, Alice Troughton</t>
  </si>
  <si>
    <t xml:space="preserve">tt1199099</t>
  </si>
  <si>
    <t xml:space="preserve">Dopesick: Historia de una adicción</t>
  </si>
  <si>
    <t xml:space="preserve">Michael Cuesta, Barry Levinson</t>
  </si>
  <si>
    <t xml:space="preserve">tt9174558</t>
  </si>
  <si>
    <t xml:space="preserve">The Strain</t>
  </si>
  <si>
    <t xml:space="preserve">J. Miles Dale, Kevin Dowling</t>
  </si>
  <si>
    <t xml:space="preserve">tt2654620</t>
  </si>
  <si>
    <t xml:space="preserve">Estamos muertos</t>
  </si>
  <si>
    <t xml:space="preserve">J.Q. Lee, Kim Nam-Soo</t>
  </si>
  <si>
    <t xml:space="preserve">tt14169960</t>
  </si>
  <si>
    <t xml:space="preserve">Maniac</t>
  </si>
  <si>
    <t xml:space="preserve">tt5580146</t>
  </si>
  <si>
    <t xml:space="preserve">Raised by Wolves</t>
  </si>
  <si>
    <t xml:space="preserve">Alex Gabassi, Luke Scott</t>
  </si>
  <si>
    <t xml:space="preserve">tt9170108</t>
  </si>
  <si>
    <t xml:space="preserve">La fábrica de Kota</t>
  </si>
  <si>
    <t xml:space="preserve">Raghav Subbu, Pratish Mehta</t>
  </si>
  <si>
    <t xml:space="preserve">Avatar: La leyenda de Aang</t>
  </si>
  <si>
    <t xml:space="preserve">Jabbar Raisani, Michael Goi</t>
  </si>
  <si>
    <t xml:space="preserve">tt9018736</t>
  </si>
  <si>
    <t xml:space="preserve">Para toda la humanidad</t>
  </si>
  <si>
    <t xml:space="preserve">Sergio Mimica-Gezzan, Dan Liu</t>
  </si>
  <si>
    <t xml:space="preserve">tt7772588</t>
  </si>
  <si>
    <t xml:space="preserve">El perifèric</t>
  </si>
  <si>
    <t xml:space="preserve">Vincenzo Natali, Alrick Riley</t>
  </si>
  <si>
    <t xml:space="preserve">tt8291284</t>
  </si>
  <si>
    <t xml:space="preserve">Cuando el teléfono suena</t>
  </si>
  <si>
    <t xml:space="preserve">Park Sang Woo</t>
  </si>
  <si>
    <t xml:space="preserve">tt33503491</t>
  </si>
  <si>
    <t xml:space="preserve">Godless</t>
  </si>
  <si>
    <t xml:space="preserve">tt5516154</t>
  </si>
  <si>
    <t xml:space="preserve">Invasión secreta</t>
  </si>
  <si>
    <t xml:space="preserve">Ali Selim</t>
  </si>
  <si>
    <t xml:space="preserve">tt13157618</t>
  </si>
  <si>
    <t xml:space="preserve">Lioness</t>
  </si>
  <si>
    <t xml:space="preserve">Michael Friedman, John Hillcoat</t>
  </si>
  <si>
    <t xml:space="preserve">tt13111078</t>
  </si>
  <si>
    <t xml:space="preserve">Más allá del jardín</t>
  </si>
  <si>
    <t xml:space="preserve">Nate Cash</t>
  </si>
  <si>
    <t xml:space="preserve">tt3718778</t>
  </si>
  <si>
    <t xml:space="preserve">Tiger King</t>
  </si>
  <si>
    <t xml:space="preserve">Rebecca Chaiklin, Eric Goode</t>
  </si>
  <si>
    <t xml:space="preserve">tt11823076</t>
  </si>
  <si>
    <t xml:space="preserve">tt4093826</t>
  </si>
  <si>
    <t xml:space="preserve">¿Quién es Anna?</t>
  </si>
  <si>
    <t xml:space="preserve">David Frankel, Ellen Kuras</t>
  </si>
  <si>
    <t xml:space="preserve">tt8740976</t>
  </si>
  <si>
    <t xml:space="preserve">Upload</t>
  </si>
  <si>
    <t xml:space="preserve">Jeffrey Blitz, Daina Reid</t>
  </si>
  <si>
    <t xml:space="preserve">tt7826376</t>
  </si>
  <si>
    <t xml:space="preserve">Agatha, ¿quién si no?</t>
  </si>
  <si>
    <t xml:space="preserve">Rachel Goldberg, Gandja Monteiro</t>
  </si>
  <si>
    <t xml:space="preserve">tt15571732</t>
  </si>
  <si>
    <t xml:space="preserve">Resident Alien</t>
  </si>
  <si>
    <t xml:space="preserve">Robert Duncan McNeill, Brennan Shroff</t>
  </si>
  <si>
    <t xml:space="preserve">Netflix, Movistar, Movistar Plus+ Ficción Total , SkyShowtime</t>
  </si>
  <si>
    <t xml:space="preserve">tt8690918</t>
  </si>
  <si>
    <t xml:space="preserve">Él y ella</t>
  </si>
  <si>
    <t xml:space="preserve">Anja Marquardt, William Oldroyd</t>
  </si>
  <si>
    <t xml:space="preserve">tt33035373</t>
  </si>
  <si>
    <t xml:space="preserve">The Good Wife</t>
  </si>
  <si>
    <t xml:space="preserve">Rosemary Rodriguez, Michael Zinberg</t>
  </si>
  <si>
    <t xml:space="preserve">tt1442462</t>
  </si>
  <si>
    <t xml:space="preserve">La granja de Clarkson</t>
  </si>
  <si>
    <t xml:space="preserve">Kit Lynch Robinson, Gavin Whitehead</t>
  </si>
  <si>
    <t xml:space="preserve">tt10541088</t>
  </si>
  <si>
    <t xml:space="preserve">Carnival Row</t>
  </si>
  <si>
    <t xml:space="preserve">Thor Freudenthal, Andy Goddard</t>
  </si>
  <si>
    <t xml:space="preserve">tt0489974</t>
  </si>
  <si>
    <t xml:space="preserve">Terra Nova</t>
  </si>
  <si>
    <t xml:space="preserve">Jon Cassar, Karen Gaviola</t>
  </si>
  <si>
    <t xml:space="preserve">tt1641349</t>
  </si>
  <si>
    <t xml:space="preserve">Revolution</t>
  </si>
  <si>
    <t xml:space="preserve">Charles Beeson, Steve Boyum</t>
  </si>
  <si>
    <t xml:space="preserve">tt2070791</t>
  </si>
  <si>
    <t xml:space="preserve">La reina Cleopatra</t>
  </si>
  <si>
    <t xml:space="preserve">Tina Gharavi</t>
  </si>
  <si>
    <t xml:space="preserve">tt27528139</t>
  </si>
  <si>
    <t xml:space="preserve">Los Tudor</t>
  </si>
  <si>
    <t xml:space="preserve">Ciaran Donnelly, Jeremy Podeswa</t>
  </si>
  <si>
    <t xml:space="preserve">tt0758790</t>
  </si>
  <si>
    <t xml:space="preserve">Monty Python's Flying Circus</t>
  </si>
  <si>
    <t xml:space="preserve">Ian MacNaughton, John Howard Davies</t>
  </si>
  <si>
    <t xml:space="preserve">tt0063929</t>
  </si>
  <si>
    <t xml:space="preserve">Preacher</t>
  </si>
  <si>
    <t xml:space="preserve">Michael Slovis, Evan Goldberg</t>
  </si>
  <si>
    <t xml:space="preserve">tt5016504</t>
  </si>
  <si>
    <t xml:space="preserve">Sapne Vs Everyone</t>
  </si>
  <si>
    <t xml:space="preserve">Ambrish Verma</t>
  </si>
  <si>
    <t xml:space="preserve">tt30263074</t>
  </si>
  <si>
    <t xml:space="preserve">Paradise</t>
  </si>
  <si>
    <t xml:space="preserve">Glenn Ficarra, John Requa</t>
  </si>
  <si>
    <t xml:space="preserve">tt27444205</t>
  </si>
  <si>
    <t xml:space="preserve">Érase una vez el oeste</t>
  </si>
  <si>
    <t xml:space="preserve">tt24069848</t>
  </si>
  <si>
    <t xml:space="preserve">El alquimista de acero</t>
  </si>
  <si>
    <t xml:space="preserve">Seiji Mizushima, Masahiro Andô</t>
  </si>
  <si>
    <t xml:space="preserve">Ash vs. Evil Dead</t>
  </si>
  <si>
    <t xml:space="preserve">Mark Beesley, Rick Jacobson</t>
  </si>
  <si>
    <t xml:space="preserve">tt4189022</t>
  </si>
  <si>
    <t xml:space="preserve">Blindspot</t>
  </si>
  <si>
    <t xml:space="preserve">David McWhirter, Rob Seidenglanz</t>
  </si>
  <si>
    <t xml:space="preserve">tt4474344</t>
  </si>
  <si>
    <t xml:space="preserve">Superstore</t>
  </si>
  <si>
    <t xml:space="preserve">Victor Nelli Jr., Matt Sohn</t>
  </si>
  <si>
    <t xml:space="preserve">tt4477976</t>
  </si>
  <si>
    <t xml:space="preserve">Louie</t>
  </si>
  <si>
    <t xml:space="preserve">Louis C.K., Liz Plonka</t>
  </si>
  <si>
    <t xml:space="preserve">tt1492966</t>
  </si>
  <si>
    <t xml:space="preserve">Battlestar Galactica</t>
  </si>
  <si>
    <t xml:space="preserve">Michael Rymer</t>
  </si>
  <si>
    <t xml:space="preserve">tt0314979</t>
  </si>
  <si>
    <t xml:space="preserve">Bron (El puente)</t>
  </si>
  <si>
    <t xml:space="preserve">Henrik Georgsson, Rumle Hammerich</t>
  </si>
  <si>
    <t xml:space="preserve">tt1733785</t>
  </si>
  <si>
    <t xml:space="preserve">Star Trek: Voyager</t>
  </si>
  <si>
    <t xml:space="preserve">David Livingston, Winrich Kolbe</t>
  </si>
  <si>
    <t xml:space="preserve">tt0112178</t>
  </si>
  <si>
    <t xml:space="preserve">Scandal</t>
  </si>
  <si>
    <t xml:space="preserve">Tom Verica, Oliver Bokelberg</t>
  </si>
  <si>
    <t xml:space="preserve">tt1837576</t>
  </si>
  <si>
    <t xml:space="preserve">Marco Polo</t>
  </si>
  <si>
    <t xml:space="preserve">Daniel Minahan, David Petrarca</t>
  </si>
  <si>
    <t xml:space="preserve">tt2189461</t>
  </si>
  <si>
    <t xml:space="preserve">Tokyo Ghoul</t>
  </si>
  <si>
    <t xml:space="preserve">Shūhei Morita</t>
  </si>
  <si>
    <t xml:space="preserve">Netflix, Animebox Channel Amazon Channel</t>
  </si>
  <si>
    <t xml:space="preserve">tt3741634</t>
  </si>
  <si>
    <t xml:space="preserve">Nadie quiere esto</t>
  </si>
  <si>
    <t xml:space="preserve">Hannah Fidell, Karen Maine</t>
  </si>
  <si>
    <t xml:space="preserve">tt26933824</t>
  </si>
  <si>
    <t xml:space="preserve">Veronica Mars</t>
  </si>
  <si>
    <t xml:space="preserve">John T. Kretchmer, Nick Marck</t>
  </si>
  <si>
    <t xml:space="preserve">tt0412253</t>
  </si>
  <si>
    <t xml:space="preserve">Hawai 5.0</t>
  </si>
  <si>
    <t xml:space="preserve">Bryan Spicer, Peter Weller</t>
  </si>
  <si>
    <t xml:space="preserve">tt1600194</t>
  </si>
  <si>
    <t xml:space="preserve">Unbreakable Kimmy Schmidt</t>
  </si>
  <si>
    <t xml:space="preserve">Tristram Shapeero, Michael Engler</t>
  </si>
  <si>
    <t xml:space="preserve">tt3339966</t>
  </si>
  <si>
    <t xml:space="preserve">Santa Clarita Diet</t>
  </si>
  <si>
    <t xml:space="preserve">Marc Buckland, Ken Kwapis</t>
  </si>
  <si>
    <t xml:space="preserve">tt5580540</t>
  </si>
  <si>
    <t xml:space="preserve">Girls</t>
  </si>
  <si>
    <t xml:space="preserve">Lena Dunham, Jesse Peretz</t>
  </si>
  <si>
    <t xml:space="preserve">tt1723816</t>
  </si>
  <si>
    <t xml:space="preserve">Esta mierda me supera</t>
  </si>
  <si>
    <t xml:space="preserve">Jonathan Entwistle</t>
  </si>
  <si>
    <t xml:space="preserve">tt9446688</t>
  </si>
  <si>
    <t xml:space="preserve">Raymond</t>
  </si>
  <si>
    <t xml:space="preserve">Gary Halvorson, Will Mackenzie</t>
  </si>
  <si>
    <t xml:space="preserve">tt0115167</t>
  </si>
  <si>
    <t xml:space="preserve">Último aviso</t>
  </si>
  <si>
    <t xml:space="preserve">Stephen Surjik, Jeremiah S. Chechik</t>
  </si>
  <si>
    <t xml:space="preserve">tt0810788</t>
  </si>
  <si>
    <t xml:space="preserve">Ana</t>
  </si>
  <si>
    <t xml:space="preserve">Paul Fox, Amanda Tapping</t>
  </si>
  <si>
    <t xml:space="preserve">Frieren en el funeral</t>
  </si>
  <si>
    <t xml:space="preserve">Keiichirô Saitô, Tomoya Kitagawa</t>
  </si>
  <si>
    <t xml:space="preserve">Line of Duty</t>
  </si>
  <si>
    <t xml:space="preserve">John Strickland, Jennie Darnell</t>
  </si>
  <si>
    <t xml:space="preserve">tt2303687</t>
  </si>
  <si>
    <t xml:space="preserve">Berserk</t>
  </si>
  <si>
    <t xml:space="preserve">Naohito Takahashi, Masakazu Amiya</t>
  </si>
  <si>
    <t xml:space="preserve">tt0318871</t>
  </si>
  <si>
    <t xml:space="preserve">Velma</t>
  </si>
  <si>
    <t xml:space="preserve">Anne Walker Farrell, Meg Waldow</t>
  </si>
  <si>
    <t xml:space="preserve">tt14153790</t>
  </si>
  <si>
    <t xml:space="preserve">Da Vinci's Demons</t>
  </si>
  <si>
    <t xml:space="preserve">Peter Hoar, MJ Bassett</t>
  </si>
  <si>
    <t xml:space="preserve">tt2094262</t>
  </si>
  <si>
    <t xml:space="preserve">Ángel</t>
  </si>
  <si>
    <t xml:space="preserve">James A. Contner, Joss Whedon</t>
  </si>
  <si>
    <t xml:space="preserve">tt0162065</t>
  </si>
  <si>
    <t xml:space="preserve">Bleach: Thousand Year Blood War</t>
  </si>
  <si>
    <t xml:space="preserve">Tomohisa Taguchi, Hikaru Murata</t>
  </si>
  <si>
    <t xml:space="preserve">tt14986406</t>
  </si>
  <si>
    <t xml:space="preserve">(Des)encanto</t>
  </si>
  <si>
    <t xml:space="preserve">Dwayne Carey-Hill, Peter Avanzino</t>
  </si>
  <si>
    <t xml:space="preserve">tt5363918</t>
  </si>
  <si>
    <t xml:space="preserve">Defender a Jacob</t>
  </si>
  <si>
    <t xml:space="preserve">tt2304589</t>
  </si>
  <si>
    <t xml:space="preserve">Your Honor</t>
  </si>
  <si>
    <t xml:space="preserve">Peter Sollett, Clark Johnson</t>
  </si>
  <si>
    <t xml:space="preserve">tt7440726</t>
  </si>
  <si>
    <t xml:space="preserve">Ratched</t>
  </si>
  <si>
    <t xml:space="preserve">Ryan Murphy, Michael Uppendahl</t>
  </si>
  <si>
    <t xml:space="preserve">tt7423538</t>
  </si>
  <si>
    <t xml:space="preserve">TVF Pitchers</t>
  </si>
  <si>
    <t xml:space="preserve">Amit Golani, Vaibhav Bundhoo</t>
  </si>
  <si>
    <t xml:space="preserve">tt4742876</t>
  </si>
  <si>
    <t xml:space="preserve">Friday Night Lights</t>
  </si>
  <si>
    <t xml:space="preserve">Jeffrey Reiner, Michael Waxman</t>
  </si>
  <si>
    <t xml:space="preserve">tt0758745</t>
  </si>
  <si>
    <t xml:space="preserve">Urgencias</t>
  </si>
  <si>
    <t xml:space="preserve">Christopher Chulack, Jonathan Kaplan</t>
  </si>
  <si>
    <t xml:space="preserve">tt0108757</t>
  </si>
  <si>
    <t xml:space="preserve">iZombie</t>
  </si>
  <si>
    <t xml:space="preserve">Michael Fields, Jason Bloom</t>
  </si>
  <si>
    <t xml:space="preserve">tt3501584</t>
  </si>
  <si>
    <t xml:space="preserve">Sweet Tooth: El niño ciervo</t>
  </si>
  <si>
    <t xml:space="preserve">Jim Mickle, Toa Fraser</t>
  </si>
  <si>
    <t xml:space="preserve">tt12809988</t>
  </si>
  <si>
    <t xml:space="preserve">La reina Carlota: Una historia de Los Bridgerton</t>
  </si>
  <si>
    <t xml:space="preserve">Tom Verica</t>
  </si>
  <si>
    <t xml:space="preserve">tt14661396</t>
  </si>
  <si>
    <t xml:space="preserve">Chappelle's Show</t>
  </si>
  <si>
    <t xml:space="preserve">Rusty Cundieff, Andre Allen</t>
  </si>
  <si>
    <t xml:space="preserve">tt0353049</t>
  </si>
  <si>
    <t xml:space="preserve">Derry Girls</t>
  </si>
  <si>
    <t xml:space="preserve">Michael Lennox</t>
  </si>
  <si>
    <t xml:space="preserve">tt7120662</t>
  </si>
  <si>
    <t xml:space="preserve">Master of None</t>
  </si>
  <si>
    <t xml:space="preserve">Aziz Ansari, Eric Wareheim</t>
  </si>
  <si>
    <t xml:space="preserve">tt4635276</t>
  </si>
  <si>
    <t xml:space="preserve">Ballers</t>
  </si>
  <si>
    <t xml:space="preserve">Julian Farino, Simon Cellan Jones</t>
  </si>
  <si>
    <t xml:space="preserve">tt2891574</t>
  </si>
  <si>
    <t xml:space="preserve">Re: Zero - Empezar de cero en un mundo diferente</t>
  </si>
  <si>
    <t xml:space="preserve">Masaharu Watanabe, Kazuomi Koga</t>
  </si>
  <si>
    <t xml:space="preserve">tt5607616</t>
  </si>
  <si>
    <t xml:space="preserve">Task</t>
  </si>
  <si>
    <t xml:space="preserve">Jeremiah Zagar, Salli Richardson-Whitfield</t>
  </si>
  <si>
    <t xml:space="preserve">tt28013708</t>
  </si>
  <si>
    <t xml:space="preserve">Star Trek: Espacio profundo nueve</t>
  </si>
  <si>
    <t xml:space="preserve">David Livingston, Les Landau</t>
  </si>
  <si>
    <t xml:space="preserve">tt0106145</t>
  </si>
  <si>
    <t xml:space="preserve">Shadowhunters: The Mortal Instruments</t>
  </si>
  <si>
    <t xml:space="preserve">Matthew Hastings, J. Miles Dale</t>
  </si>
  <si>
    <t xml:space="preserve">tt4145054</t>
  </si>
  <si>
    <t xml:space="preserve">Sandeep Bhaiya</t>
  </si>
  <si>
    <t xml:space="preserve">Parijat Joshi</t>
  </si>
  <si>
    <t xml:space="preserve">tt28227737</t>
  </si>
  <si>
    <t xml:space="preserve">Star Trek: Strange New Worlds</t>
  </si>
  <si>
    <t xml:space="preserve">Chris Fisher, Jordan Canning</t>
  </si>
  <si>
    <t xml:space="preserve">tt12327578</t>
  </si>
  <si>
    <t xml:space="preserve">El verano en que me enamoré</t>
  </si>
  <si>
    <t xml:space="preserve">Jesse Peretz, Zoe R. Cassavetes</t>
  </si>
  <si>
    <t xml:space="preserve">tt14016500</t>
  </si>
  <si>
    <t xml:space="preserve">Dragon Ball</t>
  </si>
  <si>
    <t xml:space="preserve">Daisuke Nishio, Kazuhisa Takenouchi</t>
  </si>
  <si>
    <t xml:space="preserve">Animebox Channel Amazon Channel, 3Cat</t>
  </si>
  <si>
    <t xml:space="preserve">tt0088509</t>
  </si>
  <si>
    <t xml:space="preserve">As bólas máxicas</t>
  </si>
  <si>
    <t xml:space="preserve">Minoru Okazaki, Daisuke Nishio</t>
  </si>
  <si>
    <t xml:space="preserve">Materia oscura</t>
  </si>
  <si>
    <t xml:space="preserve">Alik Sakharov, Jakob Verbruggen</t>
  </si>
  <si>
    <t xml:space="preserve">tt19231492</t>
  </si>
  <si>
    <t xml:space="preserve">Space Force</t>
  </si>
  <si>
    <t xml:space="preserve">Ken Kwapis, Paul King</t>
  </si>
  <si>
    <t xml:space="preserve">tt9612516</t>
  </si>
  <si>
    <t xml:space="preserve">Stargate: Atlantis</t>
  </si>
  <si>
    <t xml:space="preserve">Martin Wood, Andy Mikita</t>
  </si>
  <si>
    <t xml:space="preserve">tt0374455</t>
  </si>
  <si>
    <t xml:space="preserve">Desaparecido</t>
  </si>
  <si>
    <t xml:space="preserve">Tomohiko Itô, Makoto Hoshino</t>
  </si>
  <si>
    <t xml:space="preserve">tt5249462</t>
  </si>
  <si>
    <t xml:space="preserve">Historias corrientes</t>
  </si>
  <si>
    <t xml:space="preserve">John Davis Infantino, Sean Szeles</t>
  </si>
  <si>
    <t xml:space="preserve">tt1710308</t>
  </si>
  <si>
    <t xml:space="preserve">La bestia en mí</t>
  </si>
  <si>
    <t xml:space="preserve">Antonio Campos, Lila Neugebauer</t>
  </si>
  <si>
    <t xml:space="preserve">tt31974367</t>
  </si>
  <si>
    <t xml:space="preserve">Paatal Lok</t>
  </si>
  <si>
    <t xml:space="preserve">Avinash Arun, Prosit Roy</t>
  </si>
  <si>
    <t xml:space="preserve">tt9680440</t>
  </si>
  <si>
    <t xml:space="preserve">Paranormal</t>
  </si>
  <si>
    <t xml:space="preserve">Amr Salama, Majid Al Ansari</t>
  </si>
  <si>
    <t xml:space="preserve">tt12411074</t>
  </si>
  <si>
    <t xml:space="preserve">Palomas Negras</t>
  </si>
  <si>
    <t xml:space="preserve">Julian Farino, Alex Gabassi</t>
  </si>
  <si>
    <t xml:space="preserve">tt27995113</t>
  </si>
  <si>
    <t xml:space="preserve">Lucha de clases - Snowpiercer: Rompenieves</t>
  </si>
  <si>
    <t xml:space="preserve">Christoph Schrewe, Leslie Hope</t>
  </si>
  <si>
    <t xml:space="preserve">El descubrimiento de las brujas</t>
  </si>
  <si>
    <t xml:space="preserve">Farren Blackburn, Jamie Donoughue</t>
  </si>
  <si>
    <t xml:space="preserve">tt2177461</t>
  </si>
  <si>
    <t xml:space="preserve">Doug Aarniokoski, Peter Werner</t>
  </si>
  <si>
    <t xml:space="preserve">tt4422836</t>
  </si>
  <si>
    <t xml:space="preserve">Nueve perfectos extraños</t>
  </si>
  <si>
    <t xml:space="preserve">Jonathan Levine, Anthony Byrne</t>
  </si>
  <si>
    <t xml:space="preserve">Happy Valley</t>
  </si>
  <si>
    <t xml:space="preserve">Sally Wainwright, Euros Lyn</t>
  </si>
  <si>
    <t xml:space="preserve">Arte</t>
  </si>
  <si>
    <t xml:space="preserve">tt3428912</t>
  </si>
  <si>
    <t xml:space="preserve">Peep Show</t>
  </si>
  <si>
    <t xml:space="preserve">Becky Martin, Tristram Shapeero</t>
  </si>
  <si>
    <t xml:space="preserve">tt0387764</t>
  </si>
  <si>
    <t xml:space="preserve">Mayor of Kingstown</t>
  </si>
  <si>
    <t xml:space="preserve">Christoph Schrewe, Guy Ferland</t>
  </si>
  <si>
    <t xml:space="preserve">tt11712058</t>
  </si>
  <si>
    <t xml:space="preserve">Indomable</t>
  </si>
  <si>
    <t xml:space="preserve">Thomas Bezucha, Neasa Hardiman</t>
  </si>
  <si>
    <t xml:space="preserve">tt31710822</t>
  </si>
  <si>
    <t xml:space="preserve">Monster</t>
  </si>
  <si>
    <t xml:space="preserve">Masayuki Kojima, Yukihiro Miyamoto</t>
  </si>
  <si>
    <t xml:space="preserve">tt0434706</t>
  </si>
  <si>
    <t xml:space="preserve">La pareja perfecta</t>
  </si>
  <si>
    <t xml:space="preserve">tt11514868</t>
  </si>
  <si>
    <t xml:space="preserve">Una serie de catastróficas desdichas</t>
  </si>
  <si>
    <t xml:space="preserve">Barry Sonnenfeld, Bo Welch</t>
  </si>
  <si>
    <t xml:space="preserve">tt4834206</t>
  </si>
  <si>
    <t xml:space="preserve">Viajeros</t>
  </si>
  <si>
    <t xml:space="preserve">Andy Mikita, Amanda Tapping</t>
  </si>
  <si>
    <t xml:space="preserve">tt5651844</t>
  </si>
  <si>
    <t xml:space="preserve">Veep</t>
  </si>
  <si>
    <t xml:space="preserve">Becky Martin, Chris Addison</t>
  </si>
  <si>
    <t xml:space="preserve">tt1759761</t>
  </si>
  <si>
    <t xml:space="preserve">Chicago Fire</t>
  </si>
  <si>
    <t xml:space="preserve">Reza Tabrizi, Joe Chappelle</t>
  </si>
  <si>
    <t xml:space="preserve">Prime, Movistar, Movistar Plus+ Ficción Total , Tivify</t>
  </si>
  <si>
    <t xml:space="preserve">tt2261391</t>
  </si>
  <si>
    <t xml:space="preserve">Vikingos: Valhalla</t>
  </si>
  <si>
    <t xml:space="preserve">David Frazee, Hannah Quinn</t>
  </si>
  <si>
    <t xml:space="preserve">tt11311302</t>
  </si>
  <si>
    <t xml:space="preserve">Asur: Welcome to Your Dark Side</t>
  </si>
  <si>
    <t xml:space="preserve">Oni Sen</t>
  </si>
  <si>
    <t xml:space="preserve">tt11912196</t>
  </si>
  <si>
    <t xml:space="preserve">Los amos del aire</t>
  </si>
  <si>
    <t xml:space="preserve">Cary Joji Fukunaga, Anna Boden</t>
  </si>
  <si>
    <t xml:space="preserve">tt2640044</t>
  </si>
  <si>
    <t xml:space="preserve">Star Wars Rebels</t>
  </si>
  <si>
    <t xml:space="preserve">Dave Filoni, Justin Ridge</t>
  </si>
  <si>
    <t xml:space="preserve">tt2930604</t>
  </si>
  <si>
    <t xml:space="preserve">The Chosen (Los elegidos)</t>
  </si>
  <si>
    <t xml:space="preserve">Dallas Jenkins</t>
  </si>
  <si>
    <t xml:space="preserve">tt5622316</t>
  </si>
  <si>
    <t xml:space="preserve">De culo y cuesta abajo</t>
  </si>
  <si>
    <t xml:space="preserve">Jody Hill, David Gordon Green</t>
  </si>
  <si>
    <t xml:space="preserve">tt0866442</t>
  </si>
  <si>
    <t xml:space="preserve">Engaños</t>
  </si>
  <si>
    <t xml:space="preserve">David Moore, Nimer Rashed</t>
  </si>
  <si>
    <t xml:space="preserve">tt5611024</t>
  </si>
  <si>
    <t xml:space="preserve">No hables con extraños</t>
  </si>
  <si>
    <t xml:space="preserve">Daniel O'Hara, Hannah Quinn</t>
  </si>
  <si>
    <t xml:space="preserve">tt9698480</t>
  </si>
  <si>
    <t xml:space="preserve">The Last Ship</t>
  </si>
  <si>
    <t xml:space="preserve">Paul Holahan, Jack Bender</t>
  </si>
  <si>
    <t xml:space="preserve">tt2402207</t>
  </si>
  <si>
    <t xml:space="preserve">A los gatos, ni tocarlos: Un asesino en Internet</t>
  </si>
  <si>
    <t xml:space="preserve">Mark Lewis</t>
  </si>
  <si>
    <t xml:space="preserve">tt11318602</t>
  </si>
  <si>
    <t xml:space="preserve">Mob Psycho 100</t>
  </si>
  <si>
    <t xml:space="preserve">Yuzuru Tachikawa, Katsuya Shigehara</t>
  </si>
  <si>
    <t xml:space="preserve">tt5897304</t>
  </si>
  <si>
    <t xml:space="preserve">Los Conchords</t>
  </si>
  <si>
    <t xml:space="preserve">James Bobin, Troy Miller</t>
  </si>
  <si>
    <t xml:space="preserve">Dexter: Pecado original</t>
  </si>
  <si>
    <t xml:space="preserve">Michael Lehmann, Monica Raymund</t>
  </si>
  <si>
    <t xml:space="preserve">tt32252772</t>
  </si>
  <si>
    <t xml:space="preserve">M*A*S*H</t>
  </si>
  <si>
    <t xml:space="preserve">Charles S. Dubin, Alan Alda</t>
  </si>
  <si>
    <t xml:space="preserve">tt0068098</t>
  </si>
  <si>
    <t xml:space="preserve">Dune: La profecía</t>
  </si>
  <si>
    <t xml:space="preserve">Richard J. Lewis, Anna Foerster</t>
  </si>
  <si>
    <t xml:space="preserve">tt10466872</t>
  </si>
  <si>
    <t xml:space="preserve">Cadáveres</t>
  </si>
  <si>
    <t xml:space="preserve">Marco Kreuzpaintner, Haolu Wang</t>
  </si>
  <si>
    <t xml:space="preserve">tt18347622</t>
  </si>
  <si>
    <t xml:space="preserve">Ripley</t>
  </si>
  <si>
    <t xml:space="preserve">Steven Zaillian</t>
  </si>
  <si>
    <t xml:space="preserve">tt11016042</t>
  </si>
  <si>
    <t xml:space="preserve">El caso Hartung</t>
  </si>
  <si>
    <t xml:space="preserve">Kasper Barfoed, Mikkel Serup</t>
  </si>
  <si>
    <t xml:space="preserve">tt10834220</t>
  </si>
  <si>
    <t xml:space="preserve">Ironheart</t>
  </si>
  <si>
    <t xml:space="preserve">Samantha Bailey, Angela Barnes</t>
  </si>
  <si>
    <t xml:space="preserve">tt13623126</t>
  </si>
  <si>
    <t xml:space="preserve">Poker Face</t>
  </si>
  <si>
    <t xml:space="preserve">Rian Johnson, Natasha Lyonne</t>
  </si>
  <si>
    <t xml:space="preserve">tt14269590</t>
  </si>
  <si>
    <t xml:space="preserve">Phineas y Ferb</t>
  </si>
  <si>
    <t xml:space="preserve">Robert Hughes, Zac Moncrief</t>
  </si>
  <si>
    <t xml:space="preserve">tt0852863</t>
  </si>
  <si>
    <t xml:space="preserve">El último hombre en la Tierra</t>
  </si>
  <si>
    <t xml:space="preserve">John Solomon, Jason Woliner</t>
  </si>
  <si>
    <t xml:space="preserve">tt3230454</t>
  </si>
  <si>
    <t xml:space="preserve">The Studio</t>
  </si>
  <si>
    <t xml:space="preserve">Evan Goldberg, Seth Rogen</t>
  </si>
  <si>
    <t xml:space="preserve">tt23649128</t>
  </si>
  <si>
    <t xml:space="preserve">Cheers</t>
  </si>
  <si>
    <t xml:space="preserve">James Burrows, Andy Ackerman</t>
  </si>
  <si>
    <t xml:space="preserve">tt0083399</t>
  </si>
  <si>
    <t xml:space="preserve">Hacks</t>
  </si>
  <si>
    <t xml:space="preserve">Lucia Aniello, Paul W. Downs</t>
  </si>
  <si>
    <t xml:space="preserve">tt11815682</t>
  </si>
  <si>
    <t xml:space="preserve">Archivo 81</t>
  </si>
  <si>
    <t xml:space="preserve">Rebecca Thomas, Haifaa Al-Mansour</t>
  </si>
  <si>
    <t xml:space="preserve">tt13365348</t>
  </si>
  <si>
    <t xml:space="preserve">Chicas buenas</t>
  </si>
  <si>
    <t xml:space="preserve">Michael Weaver, Eric Tignini</t>
  </si>
  <si>
    <t xml:space="preserve">tt6474378</t>
  </si>
  <si>
    <t xml:space="preserve">Star Wars: La remesa mala</t>
  </si>
  <si>
    <t xml:space="preserve">Brad Rau, Steward Lee</t>
  </si>
  <si>
    <t xml:space="preserve">tt12708542</t>
  </si>
  <si>
    <t xml:space="preserve">Clickbait</t>
  </si>
  <si>
    <t xml:space="preserve">Brad Anderson, Emma Freeman</t>
  </si>
  <si>
    <t xml:space="preserve">tt10888878</t>
  </si>
  <si>
    <t xml:space="preserve">Padres forzosos</t>
  </si>
  <si>
    <t xml:space="preserve">Joel Zwick, John Tracy</t>
  </si>
  <si>
    <t xml:space="preserve">tt0092359</t>
  </si>
  <si>
    <t xml:space="preserve">The Flight Attendant</t>
  </si>
  <si>
    <t xml:space="preserve">Silver Tree, Susanna Fogel</t>
  </si>
  <si>
    <t xml:space="preserve">tt7569576</t>
  </si>
  <si>
    <t xml:space="preserve">Samurai Jack</t>
  </si>
  <si>
    <t xml:space="preserve">Genndy Tartakovsky, Randy Myers</t>
  </si>
  <si>
    <t xml:space="preserve">tt0278238</t>
  </si>
  <si>
    <t xml:space="preserve">Manhunt: Unabomber</t>
  </si>
  <si>
    <t xml:space="preserve">Greg Yaitanes, Michael Dinner</t>
  </si>
  <si>
    <t xml:space="preserve">tt5618256</t>
  </si>
  <si>
    <t xml:space="preserve">One Day</t>
  </si>
  <si>
    <t xml:space="preserve">Molly Manners, Luke Snellin</t>
  </si>
  <si>
    <t xml:space="preserve">tt16283804</t>
  </si>
  <si>
    <t xml:space="preserve">Russell Lee Fine, Paul A. Edwards</t>
  </si>
  <si>
    <t xml:space="preserve">tt2647544</t>
  </si>
  <si>
    <t xml:space="preserve">Continuum</t>
  </si>
  <si>
    <t xml:space="preserve">Pat Williams, David Frazee</t>
  </si>
  <si>
    <t xml:space="preserve">tt1954347</t>
  </si>
  <si>
    <t xml:space="preserve">Los Gemstone</t>
  </si>
  <si>
    <t xml:space="preserve">tt8634332</t>
  </si>
  <si>
    <t xml:space="preserve">Forever</t>
  </si>
  <si>
    <t xml:space="preserve">Brad Anderson, John T. Kretchmer</t>
  </si>
  <si>
    <t xml:space="preserve">tt3487382</t>
  </si>
  <si>
    <t xml:space="preserve">El rey de la colina</t>
  </si>
  <si>
    <t xml:space="preserve">Wes Archer, Klay Hall</t>
  </si>
  <si>
    <t xml:space="preserve">tt0118375</t>
  </si>
  <si>
    <t xml:space="preserve">Only Fools and Horses</t>
  </si>
  <si>
    <t xml:space="preserve">Tony Dow, Ray Butt</t>
  </si>
  <si>
    <t xml:space="preserve">tt0081912</t>
  </si>
  <si>
    <t xml:space="preserve">Las crónicas de Shannara</t>
  </si>
  <si>
    <t xml:space="preserve">Brad Turner, James Marshall</t>
  </si>
  <si>
    <t xml:space="preserve">tt1051220</t>
  </si>
  <si>
    <t xml:space="preserve">Quantico</t>
  </si>
  <si>
    <t xml:space="preserve">David McWhirter, Jennifer Lynch</t>
  </si>
  <si>
    <t xml:space="preserve">tt4428122</t>
  </si>
  <si>
    <t xml:space="preserve">The Great</t>
  </si>
  <si>
    <t xml:space="preserve">Colin Bucksey, Matthew Moore</t>
  </si>
  <si>
    <t xml:space="preserve">tt2235759</t>
  </si>
  <si>
    <t xml:space="preserve">Tandav</t>
  </si>
  <si>
    <t xml:space="preserve">Ali Abbas Zafar</t>
  </si>
  <si>
    <t xml:space="preserve">tt11117570</t>
  </si>
  <si>
    <t xml:space="preserve">Terminator: Las crónicas de Sarah Connor</t>
  </si>
  <si>
    <t xml:space="preserve">Charles Beeson, Jeffrey G. Hunt</t>
  </si>
  <si>
    <t xml:space="preserve">tt0851851</t>
  </si>
  <si>
    <t xml:space="preserve">Día cero</t>
  </si>
  <si>
    <t xml:space="preserve">Lesli Linka Glatter</t>
  </si>
  <si>
    <t xml:space="preserve">tt23872886</t>
  </si>
  <si>
    <t xml:space="preserve">L'escurçó negre</t>
  </si>
  <si>
    <t xml:space="preserve">Richard Boden</t>
  </si>
  <si>
    <t xml:space="preserve">tt0084988</t>
  </si>
  <si>
    <t xml:space="preserve">Wayward Pines</t>
  </si>
  <si>
    <t xml:space="preserve">Jeff T. Thomas, Zal Batmanglij</t>
  </si>
  <si>
    <t xml:space="preserve">tt2618986</t>
  </si>
  <si>
    <t xml:space="preserve">El gabinete de curiosidades de Guillermo del Toro</t>
  </si>
  <si>
    <t xml:space="preserve">Ana Lily Amirpour, Panos Cosmatos</t>
  </si>
  <si>
    <t xml:space="preserve">tt8415836</t>
  </si>
  <si>
    <t xml:space="preserve">Generation Kill</t>
  </si>
  <si>
    <t xml:space="preserve">Susanna White, Simon Cellan Jones</t>
  </si>
  <si>
    <t xml:space="preserve">tt0995832</t>
  </si>
  <si>
    <t xml:space="preserve">La maldición de Widow's Bay</t>
  </si>
  <si>
    <t xml:space="preserve">Hiro Murai, Andrew DeYoung</t>
  </si>
  <si>
    <t xml:space="preserve">tt33332385</t>
  </si>
  <si>
    <t xml:space="preserve">Vicios ocultos</t>
  </si>
  <si>
    <t xml:space="preserve">Stephanie Laing, Greg Yaitanes</t>
  </si>
  <si>
    <t xml:space="preserve">tt30459041</t>
  </si>
  <si>
    <t xml:space="preserve">Destino: La saga Winx</t>
  </si>
  <si>
    <t xml:space="preserve">Edward Bazalgette, Lisa James Larsson</t>
  </si>
  <si>
    <t xml:space="preserve">tt8179402</t>
  </si>
  <si>
    <t xml:space="preserve">El nuevo empleado</t>
  </si>
  <si>
    <t xml:space="preserve">Julian Holmes, Alex Kalymnios</t>
  </si>
  <si>
    <t xml:space="preserve">tt16030542</t>
  </si>
  <si>
    <t xml:space="preserve">El alienista</t>
  </si>
  <si>
    <t xml:space="preserve">David Caffrey, Jakob Verbruggen</t>
  </si>
  <si>
    <t xml:space="preserve">tt4604612</t>
  </si>
  <si>
    <t xml:space="preserve">Jane the Virgin</t>
  </si>
  <si>
    <t xml:space="preserve">Melanie Mayron, Gina Lamar</t>
  </si>
  <si>
    <t xml:space="preserve">tt3566726</t>
  </si>
  <si>
    <t xml:space="preserve">La residencia</t>
  </si>
  <si>
    <t xml:space="preserve">Liza Johnson, Jaffar Mahmood</t>
  </si>
  <si>
    <t xml:space="preserve">tt8740614</t>
  </si>
  <si>
    <t xml:space="preserve">Star Trek: Enterprise</t>
  </si>
  <si>
    <t xml:space="preserve">David Livingston, Allan Kroeker</t>
  </si>
  <si>
    <t xml:space="preserve">tt0244365</t>
  </si>
  <si>
    <t xml:space="preserve">CSI: Miami</t>
  </si>
  <si>
    <t xml:space="preserve">Sam Hill, Joe Chappelle</t>
  </si>
  <si>
    <t xml:space="preserve">tt0313043</t>
  </si>
  <si>
    <t xml:space="preserve">9-1-1</t>
  </si>
  <si>
    <t xml:space="preserve">Bradley Buecker, John J. Gray</t>
  </si>
  <si>
    <t xml:space="preserve">tt7235466</t>
  </si>
  <si>
    <t xml:space="preserve">Spider-Noir</t>
  </si>
  <si>
    <t xml:space="preserve">Harry Bradbeer, Alethea Jones</t>
  </si>
  <si>
    <t xml:space="preserve">tt30460310</t>
  </si>
  <si>
    <t xml:space="preserve">Kingdom</t>
  </si>
  <si>
    <t xml:space="preserve">Kim Seong-hun, Park In-je</t>
  </si>
  <si>
    <t xml:space="preserve">tt6611916</t>
  </si>
  <si>
    <t xml:space="preserve">Black Books</t>
  </si>
  <si>
    <t xml:space="preserve">Martin Dennis, Graham Linehan</t>
  </si>
  <si>
    <t xml:space="preserve">tt0262150</t>
  </si>
  <si>
    <t xml:space="preserve">Will &amp; Grace</t>
  </si>
  <si>
    <t xml:space="preserve">James Burrows</t>
  </si>
  <si>
    <t xml:space="preserve">tt0157246</t>
  </si>
  <si>
    <t xml:space="preserve">Samurai Champloo</t>
  </si>
  <si>
    <t xml:space="preserve">Mamoru Hosoda, Shin'ichirō Watanabe</t>
  </si>
  <si>
    <t xml:space="preserve">AMC+ Amazon Channel, AMC Plus Apple TV channel, Animebox Channel Amazon Channel</t>
  </si>
  <si>
    <t xml:space="preserve">tt0423731</t>
  </si>
  <si>
    <t xml:space="preserve">Parasyte</t>
  </si>
  <si>
    <t xml:space="preserve">Ken'ichi Shimizu, Chie Yamashiro</t>
  </si>
  <si>
    <t xml:space="preserve">tt3358020</t>
  </si>
  <si>
    <t xml:space="preserve">Blue Mountain State</t>
  </si>
  <si>
    <t xml:space="preserve">John Fortenberry, Clark Mathis</t>
  </si>
  <si>
    <t xml:space="preserve">tt1344204</t>
  </si>
  <si>
    <t xml:space="preserve">Spy x Family</t>
  </si>
  <si>
    <t xml:space="preserve">Kazuhiro Furuhashi, Takahiro Harada</t>
  </si>
  <si>
    <t xml:space="preserve">tt13706018</t>
  </si>
  <si>
    <t xml:space="preserve">Goliat</t>
  </si>
  <si>
    <t xml:space="preserve">Lawrence Trilling, Dennie Gordon</t>
  </si>
  <si>
    <t xml:space="preserve">tt4687880</t>
  </si>
  <si>
    <t xml:space="preserve">Scorpion</t>
  </si>
  <si>
    <t xml:space="preserve">tt3514324</t>
  </si>
  <si>
    <t xml:space="preserve">Sword Art Online</t>
  </si>
  <si>
    <t xml:space="preserve">Tomohiko Itô, Manabu Ono</t>
  </si>
  <si>
    <t xml:space="preserve">Prime, Crunchyroll, Crunchyroll Amazon Channel</t>
  </si>
  <si>
    <t xml:space="preserve">tt2250192</t>
  </si>
  <si>
    <t xml:space="preserve">Bloodline</t>
  </si>
  <si>
    <t xml:space="preserve">Mikael Håfström, Todd A. Kessler</t>
  </si>
  <si>
    <t xml:space="preserve">tt3520702</t>
  </si>
  <si>
    <t xml:space="preserve">La patrulla condenada</t>
  </si>
  <si>
    <t xml:space="preserve">Chris Manley, Omar Madha</t>
  </si>
  <si>
    <t xml:space="preserve">tt8416494</t>
  </si>
  <si>
    <t xml:space="preserve">Extras</t>
  </si>
  <si>
    <t xml:space="preserve">tt0445114</t>
  </si>
  <si>
    <t xml:space="preserve">Nuestro planeta</t>
  </si>
  <si>
    <t xml:space="preserve">Adam Chapman, Hugh Pearson</t>
  </si>
  <si>
    <t xml:space="preserve">tt9253866</t>
  </si>
  <si>
    <t xml:space="preserve">FlashForward</t>
  </si>
  <si>
    <t xml:space="preserve">Nick Gomez, Bobby Roth</t>
  </si>
  <si>
    <t xml:space="preserve">tt1441135</t>
  </si>
  <si>
    <t xml:space="preserve">The Old Man</t>
  </si>
  <si>
    <t xml:space="preserve">Jet Wilkinson, Jon Watts</t>
  </si>
  <si>
    <t xml:space="preserve">tt5645432</t>
  </si>
  <si>
    <t xml:space="preserve">Dirk Gently: Agencia de investigaciones holísticas</t>
  </si>
  <si>
    <t xml:space="preserve">Michael Patrick Jann, Paco Cabezas</t>
  </si>
  <si>
    <t xml:space="preserve">tt4047038</t>
  </si>
  <si>
    <t xml:space="preserve">The Terror</t>
  </si>
  <si>
    <t xml:space="preserve">Tim Mielants, Edward Berger</t>
  </si>
  <si>
    <t xml:space="preserve">AMC+ Amazon Channel, AMC Plus Apple TV channel</t>
  </si>
  <si>
    <t xml:space="preserve">tt2708480</t>
  </si>
  <si>
    <t xml:space="preserve">Monarch: El legado de los monstruos</t>
  </si>
  <si>
    <t xml:space="preserve">Hiromi Kamata, Lawrence Trilling</t>
  </si>
  <si>
    <t xml:space="preserve">tt17220216</t>
  </si>
  <si>
    <t xml:space="preserve">Safe</t>
  </si>
  <si>
    <t xml:space="preserve">Julia Ford, Daniel O'Hara</t>
  </si>
  <si>
    <t xml:space="preserve">tt7902072</t>
  </si>
  <si>
    <t xml:space="preserve">The Middle</t>
  </si>
  <si>
    <t xml:space="preserve">Lee Shallat Chemel, Phil Traill</t>
  </si>
  <si>
    <t xml:space="preserve">tt1442464</t>
  </si>
  <si>
    <t xml:space="preserve">Criando malvas</t>
  </si>
  <si>
    <t xml:space="preserve">Lawrence Trilling, Adam Kane</t>
  </si>
  <si>
    <t xml:space="preserve">tt0925266</t>
  </si>
  <si>
    <t xml:space="preserve">Grace and Frankie</t>
  </si>
  <si>
    <t xml:space="preserve">Rebecca Asher, Ken Whittingham</t>
  </si>
  <si>
    <t xml:space="preserve">tt3609352</t>
  </si>
  <si>
    <t xml:space="preserve">Pequeños fuegos por todas partes</t>
  </si>
  <si>
    <t xml:space="preserve">Lynn Shelton, Nzingha Stewart</t>
  </si>
  <si>
    <t xml:space="preserve">tt8089592</t>
  </si>
  <si>
    <t xml:space="preserve">Nip/Tuck, a golpe de bisturí</t>
  </si>
  <si>
    <t xml:space="preserve">Michael M. Robin, Elodie Keene</t>
  </si>
  <si>
    <t xml:space="preserve">tt0361217</t>
  </si>
  <si>
    <t xml:space="preserve">Eureka</t>
  </si>
  <si>
    <t xml:space="preserve">Mike Rohl, Michael Robison</t>
  </si>
  <si>
    <t xml:space="preserve">tt0796264</t>
  </si>
  <si>
    <t xml:space="preserve">Almacén 13</t>
  </si>
  <si>
    <t xml:space="preserve">Chris Fisher, Constantine Makris</t>
  </si>
  <si>
    <t xml:space="preserve">tt1132290</t>
  </si>
  <si>
    <t xml:space="preserve">Jericho</t>
  </si>
  <si>
    <t xml:space="preserve">Guy Norman Bee, Sanford Bookstaver</t>
  </si>
  <si>
    <t xml:space="preserve">tt0805663</t>
  </si>
  <si>
    <t xml:space="preserve">V</t>
  </si>
  <si>
    <t xml:space="preserve">Yves Simoneau, David Barrett</t>
  </si>
  <si>
    <t xml:space="preserve">tt1307824</t>
  </si>
  <si>
    <t xml:space="preserve">La mujer de la casa de enfrente de la chica en la ventana</t>
  </si>
  <si>
    <t xml:space="preserve">Michael Lehmann</t>
  </si>
  <si>
    <t xml:space="preserve">tt13315324</t>
  </si>
  <si>
    <t xml:space="preserve">Spaced</t>
  </si>
  <si>
    <t xml:space="preserve">tt0187664</t>
  </si>
  <si>
    <t xml:space="preserve">NCIS: Los Ángeles</t>
  </si>
  <si>
    <t xml:space="preserve">tt1378167</t>
  </si>
  <si>
    <t xml:space="preserve">Fórmula 1: La emoción de un Grand Prix</t>
  </si>
  <si>
    <t xml:space="preserve">Piers Sanderson, Jake Jones</t>
  </si>
  <si>
    <t xml:space="preserve">tt8289930</t>
  </si>
  <si>
    <t xml:space="preserve">The Magicians</t>
  </si>
  <si>
    <t xml:space="preserve">Chris Fisher, James L. Conway</t>
  </si>
  <si>
    <t xml:space="preserve">tt4254242</t>
  </si>
  <si>
    <t xml:space="preserve">Crash Landing on You</t>
  </si>
  <si>
    <t xml:space="preserve">Kim Hee-won, Lee Jung-hyo</t>
  </si>
  <si>
    <t xml:space="preserve">tt10850932</t>
  </si>
  <si>
    <t xml:space="preserve">Un lugar para soñar</t>
  </si>
  <si>
    <t xml:space="preserve">tt9077530</t>
  </si>
  <si>
    <t xml:space="preserve">Doctora en Alabama</t>
  </si>
  <si>
    <t xml:space="preserve">David Paymer, Tim Matheson</t>
  </si>
  <si>
    <t xml:space="preserve">tt1832979</t>
  </si>
  <si>
    <t xml:space="preserve">Infierno sobre ruedas</t>
  </si>
  <si>
    <t xml:space="preserve">David Von Ancken, Adam Davidson</t>
  </si>
  <si>
    <t xml:space="preserve">tt1699748</t>
  </si>
  <si>
    <t xml:space="preserve">JoJo's Bizarre Adventure</t>
  </si>
  <si>
    <t xml:space="preserve">Naokatsu Tsuda, Kenichi Suzuki</t>
  </si>
  <si>
    <t xml:space="preserve">tt2359704</t>
  </si>
  <si>
    <t xml:space="preserve">Agatha Christie's Poirot</t>
  </si>
  <si>
    <t xml:space="preserve">Edward Bennett, Renny Rye</t>
  </si>
  <si>
    <t xml:space="preserve">Prime, Filmin, Pluto TV</t>
  </si>
  <si>
    <t xml:space="preserve">tt0094525</t>
  </si>
  <si>
    <t xml:space="preserve">The Promised Neverland</t>
  </si>
  <si>
    <t xml:space="preserve">Mamoru Kanbe, Atsushi Nishigori</t>
  </si>
  <si>
    <t xml:space="preserve">tt8788458</t>
  </si>
  <si>
    <t xml:space="preserve">La monja guerrera</t>
  </si>
  <si>
    <t xml:space="preserve">Simon Barry, Sarah Walker</t>
  </si>
  <si>
    <t xml:space="preserve">tt9059350</t>
  </si>
  <si>
    <t xml:space="preserve">Caiguts del cel</t>
  </si>
  <si>
    <t xml:space="preserve">Terry Hughes, Robert Berlinger</t>
  </si>
  <si>
    <t xml:space="preserve">Power</t>
  </si>
  <si>
    <t xml:space="preserve">Sanford Bookstaver, MJ Bassett</t>
  </si>
  <si>
    <t xml:space="preserve">tt3281796</t>
  </si>
  <si>
    <t xml:space="preserve">Animal Kingdom</t>
  </si>
  <si>
    <t xml:space="preserve">Nick Copus, John Wells</t>
  </si>
  <si>
    <t xml:space="preserve">tt5574490</t>
  </si>
  <si>
    <t xml:space="preserve">Workaholics</t>
  </si>
  <si>
    <t xml:space="preserve">Kyle Newacheck, Jaime Eliezer Karas</t>
  </si>
  <si>
    <t xml:space="preserve">tt1610527</t>
  </si>
  <si>
    <t xml:space="preserve">The Jinx (El gafe)</t>
  </si>
  <si>
    <t xml:space="preserve">Andrew Jarecki</t>
  </si>
  <si>
    <t xml:space="preserve">tt4299972</t>
  </si>
  <si>
    <t xml:space="preserve">Aashram</t>
  </si>
  <si>
    <t xml:space="preserve">Prakash Jha</t>
  </si>
  <si>
    <t xml:space="preserve">tt12805346</t>
  </si>
  <si>
    <t xml:space="preserve">Romeo Tirone, Neil Marshall</t>
  </si>
  <si>
    <t xml:space="preserve">tt3489184</t>
  </si>
  <si>
    <t xml:space="preserve">Indian Police Force</t>
  </si>
  <si>
    <t xml:space="preserve">Sushwanth Prakash, Rohit Shetty</t>
  </si>
  <si>
    <t xml:space="preserve">tt19768024</t>
  </si>
  <si>
    <t xml:space="preserve">Devs</t>
  </si>
  <si>
    <t xml:space="preserve">tt8134186</t>
  </si>
  <si>
    <t xml:space="preserve">El laboratorio de Dexter</t>
  </si>
  <si>
    <t xml:space="preserve">Genndy Tartakovsky, Rob Renzetti</t>
  </si>
  <si>
    <t xml:space="preserve">tt0115157</t>
  </si>
  <si>
    <t xml:space="preserve">Castle Rock</t>
  </si>
  <si>
    <t xml:space="preserve">Greg Yaitanes, Michael Uppendahl</t>
  </si>
  <si>
    <t xml:space="preserve">tt6548228</t>
  </si>
  <si>
    <t xml:space="preserve">Planeta azul II</t>
  </si>
  <si>
    <t xml:space="preserve">James Honeyborne</t>
  </si>
  <si>
    <t xml:space="preserve">tt6769208</t>
  </si>
  <si>
    <t xml:space="preserve">Invasión</t>
  </si>
  <si>
    <t xml:space="preserve">Alik Sakharov, Brad Anderson</t>
  </si>
  <si>
    <t xml:space="preserve">tt9737326</t>
  </si>
  <si>
    <t xml:space="preserve">Trailer Park Boys</t>
  </si>
  <si>
    <t xml:space="preserve">Mike Clattenburg, Ron Murphy</t>
  </si>
  <si>
    <t xml:space="preserve">tt0290988</t>
  </si>
  <si>
    <t xml:space="preserve">Reign</t>
  </si>
  <si>
    <t xml:space="preserve">Fred Gerber, Holly Dale</t>
  </si>
  <si>
    <t xml:space="preserve">tt2710394</t>
  </si>
  <si>
    <t xml:space="preserve">Drácula</t>
  </si>
  <si>
    <t xml:space="preserve">Jonny Campbell, Paul McGuigan</t>
  </si>
  <si>
    <t xml:space="preserve">tt9139220</t>
  </si>
  <si>
    <t xml:space="preserve">El espía</t>
  </si>
  <si>
    <t xml:space="preserve">Gideon Raff</t>
  </si>
  <si>
    <t xml:space="preserve">tt5952634</t>
  </si>
  <si>
    <t xml:space="preserve">Agallas, el perro cobarde</t>
  </si>
  <si>
    <t xml:space="preserve">John R. Dilworth</t>
  </si>
  <si>
    <t xml:space="preserve">tt0220880</t>
  </si>
  <si>
    <t xml:space="preserve">Alias</t>
  </si>
  <si>
    <t xml:space="preserve">Ken Olin, Lawrence Trilling</t>
  </si>
  <si>
    <t xml:space="preserve">tt0285333</t>
  </si>
  <si>
    <t xml:space="preserve">Saturday Night Live</t>
  </si>
  <si>
    <t xml:space="preserve">Dave Wilson, Don Roy King</t>
  </si>
  <si>
    <t xml:space="preserve">tt0072562</t>
  </si>
  <si>
    <t xml:space="preserve">X-Men '97</t>
  </si>
  <si>
    <t xml:space="preserve">Chase Conley, Emi Yonemura</t>
  </si>
  <si>
    <t xml:space="preserve">tt16026746</t>
  </si>
  <si>
    <t xml:space="preserve">Taaza Khabar</t>
  </si>
  <si>
    <t xml:space="preserve">tt22014226</t>
  </si>
  <si>
    <t xml:space="preserve">La Liga de la Justicia</t>
  </si>
  <si>
    <t xml:space="preserve">Butch Lukic, Dan Riba</t>
  </si>
  <si>
    <t xml:space="preserve">tt0275137</t>
  </si>
  <si>
    <t xml:space="preserve">Dan Da Dan</t>
  </si>
  <si>
    <t xml:space="preserve">Abel Gongora, Fûga Yamashiro</t>
  </si>
  <si>
    <t xml:space="preserve">tt30217403</t>
  </si>
  <si>
    <t xml:space="preserve">Hunters</t>
  </si>
  <si>
    <t xml:space="preserve">Phil Abraham, Nelson McCormick</t>
  </si>
  <si>
    <t xml:space="preserve">tt7456722</t>
  </si>
  <si>
    <t xml:space="preserve">The Knick</t>
  </si>
  <si>
    <t xml:space="preserve">tt2937900</t>
  </si>
  <si>
    <t xml:space="preserve">Jury Duty Presents</t>
  </si>
  <si>
    <t xml:space="preserve">Jake Szymanski, Christian Hoffman</t>
  </si>
  <si>
    <t xml:space="preserve">tt22074164</t>
  </si>
  <si>
    <t xml:space="preserve">Las reglas del juego</t>
  </si>
  <si>
    <t xml:space="preserve">Marc Roskin, Dean Devlin</t>
  </si>
  <si>
    <t xml:space="preserve">tt1103987</t>
  </si>
  <si>
    <t xml:space="preserve">Sahsiyet</t>
  </si>
  <si>
    <t xml:space="preserve">Onur Saylak</t>
  </si>
  <si>
    <t xml:space="preserve">tt7920978</t>
  </si>
  <si>
    <t xml:space="preserve">Pokémon: Master Quest</t>
  </si>
  <si>
    <t xml:space="preserve">Kunihiko Yuyama, Norihiko Sutō</t>
  </si>
  <si>
    <t xml:space="preserve">Netflix, Tivify, 3Cat, atresplayer</t>
  </si>
  <si>
    <t xml:space="preserve">tt0168366</t>
  </si>
  <si>
    <t xml:space="preserve">Cazadores de mitos</t>
  </si>
  <si>
    <t xml:space="preserve">Alice Dallow, Lauren Gray Williams</t>
  </si>
  <si>
    <t xml:space="preserve">tt0383126</t>
  </si>
  <si>
    <t xml:space="preserve">Los Borgia</t>
  </si>
  <si>
    <t xml:space="preserve">Neil Jordan, Kari Skogland</t>
  </si>
  <si>
    <t xml:space="preserve">tt1582457</t>
  </si>
  <si>
    <t xml:space="preserve">tt15477488</t>
  </si>
  <si>
    <t xml:space="preserve">Te encontraré</t>
  </si>
  <si>
    <t xml:space="preserve">Brad Anderson, Adam Davidson</t>
  </si>
  <si>
    <t xml:space="preserve">tt34771210</t>
  </si>
  <si>
    <t xml:space="preserve">Tokyo Vice</t>
  </si>
  <si>
    <t xml:space="preserve">Josef Kubota Wladyka, Alan Poul</t>
  </si>
  <si>
    <t xml:space="preserve">tt2887954</t>
  </si>
  <si>
    <t xml:space="preserve">La leyenda de Vox Machina</t>
  </si>
  <si>
    <t xml:space="preserve">Young Heller, Sung Jin Ahn</t>
  </si>
  <si>
    <t xml:space="preserve">tt11247158</t>
  </si>
  <si>
    <t xml:space="preserve">Nikita</t>
  </si>
  <si>
    <t xml:space="preserve">Eagle Egilsson, Nick Copus</t>
  </si>
  <si>
    <t xml:space="preserve">tt1592154</t>
  </si>
  <si>
    <t xml:space="preserve">Utopía</t>
  </si>
  <si>
    <t xml:space="preserve">Marc Munden, Alex Garcia Lopez</t>
  </si>
  <si>
    <t xml:space="preserve">tt2384811</t>
  </si>
  <si>
    <t xml:space="preserve">New Amsterdam</t>
  </si>
  <si>
    <t xml:space="preserve">Michael Slovis, Darnell Martin</t>
  </si>
  <si>
    <t xml:space="preserve">tt7817340</t>
  </si>
  <si>
    <t xml:space="preserve">SGU Stargate Universe</t>
  </si>
  <si>
    <t xml:space="preserve">Andy Mikita, William Waring</t>
  </si>
  <si>
    <t xml:space="preserve">tt1286039</t>
  </si>
  <si>
    <t xml:space="preserve">Cocina con química</t>
  </si>
  <si>
    <t xml:space="preserve">Bertie Ellwood, Tara Miele</t>
  </si>
  <si>
    <t xml:space="preserve">tt13911628</t>
  </si>
  <si>
    <t xml:space="preserve">Haikyu!! Los ases del vóley</t>
  </si>
  <si>
    <t xml:space="preserve">Susumu Mitsunaka, Masako Satô</t>
  </si>
  <si>
    <t xml:space="preserve">tt3398540</t>
  </si>
  <si>
    <t xml:space="preserve">La niñera</t>
  </si>
  <si>
    <t xml:space="preserve">Dorothy Lyman, Lee Shallat Chemel</t>
  </si>
  <si>
    <t xml:space="preserve">tt0106080</t>
  </si>
  <si>
    <t xml:space="preserve">El asombroso mundo de Gumball</t>
  </si>
  <si>
    <t xml:space="preserve">Mic Graves, Antoine Perez</t>
  </si>
  <si>
    <t xml:space="preserve">tt1942683</t>
  </si>
  <si>
    <t xml:space="preserve">Four More Shots Please!</t>
  </si>
  <si>
    <t xml:space="preserve">Anu Menon, Nupur Asthana</t>
  </si>
  <si>
    <t xml:space="preserve">tt8242548</t>
  </si>
  <si>
    <t xml:space="preserve">Chamak</t>
  </si>
  <si>
    <t xml:space="preserve">Rohit Jugraj</t>
  </si>
  <si>
    <t xml:space="preserve">tt28184392</t>
  </si>
  <si>
    <t xml:space="preserve">Hermanas hasta la muerte</t>
  </si>
  <si>
    <t xml:space="preserve">Dearbhla Walsh, Rebecca Gatward</t>
  </si>
  <si>
    <t xml:space="preserve">tt15469618</t>
  </si>
  <si>
    <t xml:space="preserve">La serpiente</t>
  </si>
  <si>
    <t xml:space="preserve">Hans Herbots, Tom Shankland</t>
  </si>
  <si>
    <t xml:space="preserve">tt7985576</t>
  </si>
  <si>
    <t xml:space="preserve">Mr. &amp; Mrs. Smith</t>
  </si>
  <si>
    <t xml:space="preserve">Karena Evans, Hiro Murai</t>
  </si>
  <si>
    <t xml:space="preserve">tt14044212</t>
  </si>
  <si>
    <t xml:space="preserve">GLOW</t>
  </si>
  <si>
    <t xml:space="preserve">Jesse Peretz, Lynn Shelton</t>
  </si>
  <si>
    <t xml:space="preserve">tt5770786</t>
  </si>
  <si>
    <t xml:space="preserve">Love &amp; Death</t>
  </si>
  <si>
    <t xml:space="preserve">Lesli Linka Glatter, Clark Johnson</t>
  </si>
  <si>
    <t xml:space="preserve">tt14586350</t>
  </si>
  <si>
    <t xml:space="preserve">Ragnarok</t>
  </si>
  <si>
    <t xml:space="preserve">Mogens Hagedorn, Jannik Johansen</t>
  </si>
  <si>
    <t xml:space="preserve">tt9251798</t>
  </si>
  <si>
    <t xml:space="preserve">Larry Houston, Fred Miller</t>
  </si>
  <si>
    <t xml:space="preserve">tt0103584</t>
  </si>
  <si>
    <t xml:space="preserve">La liga fantástica</t>
  </si>
  <si>
    <t xml:space="preserve">Jeff Schaffer, Jackie Marcus Schaffer</t>
  </si>
  <si>
    <t xml:space="preserve">tt1480684</t>
  </si>
  <si>
    <t xml:space="preserve">Familia de policías</t>
  </si>
  <si>
    <t xml:space="preserve">David Barrett, Ralph Hemecker</t>
  </si>
  <si>
    <t xml:space="preserve">tt1595859</t>
  </si>
  <si>
    <t xml:space="preserve">Colegio Abbott</t>
  </si>
  <si>
    <t xml:space="preserve">Randall Einhorn, Jennifer Celotta</t>
  </si>
  <si>
    <t xml:space="preserve">tt14218830</t>
  </si>
  <si>
    <t xml:space="preserve">Mandie Fletcher</t>
  </si>
  <si>
    <t xml:space="preserve">David Grossman, Terry Matalas</t>
  </si>
  <si>
    <t xml:space="preserve">tt3148266</t>
  </si>
  <si>
    <t xml:space="preserve">Loni Peristere, David Petrarca</t>
  </si>
  <si>
    <t xml:space="preserve">tt5743796</t>
  </si>
  <si>
    <t xml:space="preserve">Boston Legal</t>
  </si>
  <si>
    <t xml:space="preserve">Mike Listo, Bill D'Elia</t>
  </si>
  <si>
    <t xml:space="preserve">tt0402711</t>
  </si>
  <si>
    <t xml:space="preserve">La edad dorada</t>
  </si>
  <si>
    <t xml:space="preserve">Michael Engler, Salli Richardson-Whitfield</t>
  </si>
  <si>
    <t xml:space="preserve">tt4406178</t>
  </si>
  <si>
    <t xml:space="preserve">Almost Human</t>
  </si>
  <si>
    <t xml:space="preserve">Sam Hill, Brad Anderson</t>
  </si>
  <si>
    <t xml:space="preserve">tt2654580</t>
  </si>
  <si>
    <t xml:space="preserve">La luz que no puedes ver</t>
  </si>
  <si>
    <t xml:space="preserve">tt15320362</t>
  </si>
  <si>
    <t xml:space="preserve">Dollhouse</t>
  </si>
  <si>
    <t xml:space="preserve">David Solomon, Joss Whedon</t>
  </si>
  <si>
    <t xml:space="preserve">tt1135300</t>
  </si>
  <si>
    <t xml:space="preserve">Gangs of London</t>
  </si>
  <si>
    <t xml:space="preserve">Corin Hardy, Gareth Evans</t>
  </si>
  <si>
    <t xml:space="preserve">tt7661390</t>
  </si>
  <si>
    <t xml:space="preserve">Un chapuzas en casa</t>
  </si>
  <si>
    <t xml:space="preserve">Andy Cadiff, John Pasquin</t>
  </si>
  <si>
    <t xml:space="preserve">tt0101120</t>
  </si>
  <si>
    <t xml:space="preserve">Servant</t>
  </si>
  <si>
    <t xml:space="preserve">Ishana Shyamalan, Nimród Antal</t>
  </si>
  <si>
    <t xml:space="preserve">tt8068860</t>
  </si>
  <si>
    <t xml:space="preserve">Cosmos</t>
  </si>
  <si>
    <t xml:space="preserve">Adrian Malone, David F. Oyster</t>
  </si>
  <si>
    <t xml:space="preserve">tt0081846</t>
  </si>
  <si>
    <t xml:space="preserve">Percy Jackson y los dioses del Olimpo</t>
  </si>
  <si>
    <t xml:space="preserve">James Bobin, Jet Wilkinson</t>
  </si>
  <si>
    <t xml:space="preserve">tt12324366</t>
  </si>
  <si>
    <t xml:space="preserve">Las chicas de oro</t>
  </si>
  <si>
    <t xml:space="preserve">Terry Hughes, Lex Passaris</t>
  </si>
  <si>
    <t xml:space="preserve">tt0088526</t>
  </si>
  <si>
    <t xml:space="preserve">Mr. Inbetween</t>
  </si>
  <si>
    <t xml:space="preserve">Nash Edgerton</t>
  </si>
  <si>
    <t xml:space="preserve">tt7472896</t>
  </si>
  <si>
    <t xml:space="preserve">High Potential</t>
  </si>
  <si>
    <t xml:space="preserve">James Roday Rodriguez, Nancy Hower</t>
  </si>
  <si>
    <t xml:space="preserve">tt22091076</t>
  </si>
  <si>
    <t xml:space="preserve">Evil</t>
  </si>
  <si>
    <t xml:space="preserve">John Dahl, Robert King</t>
  </si>
  <si>
    <t xml:space="preserve">tt9055008</t>
  </si>
  <si>
    <t xml:space="preserve">Into the Badlands</t>
  </si>
  <si>
    <t xml:space="preserve">Paco Cabezas, Toa Fraser</t>
  </si>
  <si>
    <t xml:space="preserve">tt3865236</t>
  </si>
  <si>
    <t xml:space="preserve">Entre fantasmas</t>
  </si>
  <si>
    <t xml:space="preserve">Ian Sander, Eric Laneuville</t>
  </si>
  <si>
    <t xml:space="preserve">tt0460644</t>
  </si>
  <si>
    <t xml:space="preserve">La teva mentida a l'abril</t>
  </si>
  <si>
    <t xml:space="preserve">Kyôhei Ishiguro, Kazuya Iwata</t>
  </si>
  <si>
    <t xml:space="preserve">tt3895150</t>
  </si>
  <si>
    <t xml:space="preserve">Las supernenas</t>
  </si>
  <si>
    <t xml:space="preserve">Craig McCracken, John McIntyre</t>
  </si>
  <si>
    <t xml:space="preserve">tt0175058</t>
  </si>
  <si>
    <t xml:space="preserve">Los padrinos mágicos</t>
  </si>
  <si>
    <t xml:space="preserve">Gary Conrad, Ken Bruce</t>
  </si>
  <si>
    <t xml:space="preserve">Movistar Plus+ Ficción Total , SkyShowtime, Runtime</t>
  </si>
  <si>
    <t xml:space="preserve">tt0235918</t>
  </si>
  <si>
    <t xml:space="preserve">Chicago P.D.</t>
  </si>
  <si>
    <t xml:space="preserve">Chad Saxton, Mark Tinker</t>
  </si>
  <si>
    <t xml:space="preserve">Netflix, Prime, Tivify, atresplayer</t>
  </si>
  <si>
    <t xml:space="preserve">tt2805096</t>
  </si>
  <si>
    <t xml:space="preserve">Jóvenes altezas</t>
  </si>
  <si>
    <t xml:space="preserve">Rojda Sekersöz, Erika Calmeyer</t>
  </si>
  <si>
    <t xml:space="preserve">tt14664414</t>
  </si>
  <si>
    <t xml:space="preserve">Xena</t>
  </si>
  <si>
    <t xml:space="preserve">Garth Maxwell, Rick Jacobson</t>
  </si>
  <si>
    <t xml:space="preserve">tt0112230</t>
  </si>
  <si>
    <t xml:space="preserve">Agárralos como puedas</t>
  </si>
  <si>
    <t xml:space="preserve">Andrew Hood, Dave Scarborough</t>
  </si>
  <si>
    <t xml:space="preserve">El affaire</t>
  </si>
  <si>
    <t xml:space="preserve">Jeffrey Reiner, John Dahl</t>
  </si>
  <si>
    <t xml:space="preserve">The Young Pope</t>
  </si>
  <si>
    <t xml:space="preserve">tt3655448</t>
  </si>
  <si>
    <t xml:space="preserve">CSI: Nueva York</t>
  </si>
  <si>
    <t xml:space="preserve">Rob Bailey, Alex Zakrzewski</t>
  </si>
  <si>
    <t xml:space="preserve">tt0395843</t>
  </si>
  <si>
    <t xml:space="preserve">Ley y orden</t>
  </si>
  <si>
    <t xml:space="preserve">Constantine Makris, Edwin Sherin</t>
  </si>
  <si>
    <t xml:space="preserve">tt0098844</t>
  </si>
  <si>
    <t xml:space="preserve">Final Space</t>
  </si>
  <si>
    <t xml:space="preserve">Ben Bjelajac, Mike Roberts</t>
  </si>
  <si>
    <t xml:space="preserve">tt6317068</t>
  </si>
  <si>
    <t xml:space="preserve">La joven Liga de la Justicia</t>
  </si>
  <si>
    <t xml:space="preserve">Christopher Berkeley, Vinton Heuck</t>
  </si>
  <si>
    <t xml:space="preserve">tt1641384</t>
  </si>
  <si>
    <t xml:space="preserve">La oferta</t>
  </si>
  <si>
    <t xml:space="preserve">Adam Arkin, Colin Bucksey</t>
  </si>
  <si>
    <t xml:space="preserve">tt13111040</t>
  </si>
  <si>
    <t xml:space="preserve">Timeless</t>
  </si>
  <si>
    <t xml:space="preserve">Greg Beeman, John F. Showalter</t>
  </si>
  <si>
    <t xml:space="preserve">tt5511582</t>
  </si>
  <si>
    <t xml:space="preserve">Scream Queens</t>
  </si>
  <si>
    <t xml:space="preserve">Barbara Brown, Brad Falchuk</t>
  </si>
  <si>
    <t xml:space="preserve">tt4145384</t>
  </si>
  <si>
    <t xml:space="preserve">Territorio Lovecraft</t>
  </si>
  <si>
    <t xml:space="preserve">Daniel Sackheim, Yann Demange</t>
  </si>
  <si>
    <t xml:space="preserve">tt6905686</t>
  </si>
  <si>
    <t xml:space="preserve">Planeta azul</t>
  </si>
  <si>
    <t xml:space="preserve">Alastair Fothergill</t>
  </si>
  <si>
    <t xml:space="preserve">tt13521602</t>
  </si>
  <si>
    <t xml:space="preserve">Black Clover</t>
  </si>
  <si>
    <t xml:space="preserve">Tatsuya Yoshihara, Ayataka Tanemura</t>
  </si>
  <si>
    <t xml:space="preserve">tt7441658</t>
  </si>
  <si>
    <t xml:space="preserve">Betty</t>
  </si>
  <si>
    <t xml:space="preserve">Victor Nelli Jr., James Hayman</t>
  </si>
  <si>
    <t xml:space="preserve">tt0805669</t>
  </si>
  <si>
    <t xml:space="preserve">Superman &amp; Lois</t>
  </si>
  <si>
    <t xml:space="preserve">Gregory Smith, Sudz Sutherland</t>
  </si>
  <si>
    <t xml:space="preserve">tt11192306</t>
  </si>
  <si>
    <t xml:space="preserve">Ghosts</t>
  </si>
  <si>
    <t xml:space="preserve">Trent O'Donnell, Richie Keen</t>
  </si>
  <si>
    <t xml:space="preserve">tt11379026</t>
  </si>
  <si>
    <t xml:space="preserve">Las 4 estaciones de las chicas Gilmore</t>
  </si>
  <si>
    <t xml:space="preserve">Daniel Palladino, Amy Sherman-Palladino</t>
  </si>
  <si>
    <t xml:space="preserve">tt5435008</t>
  </si>
  <si>
    <t xml:space="preserve">iCarly</t>
  </si>
  <si>
    <t xml:space="preserve">Steve Hoefer, Adam Weissman</t>
  </si>
  <si>
    <t xml:space="preserve">tt0972534</t>
  </si>
  <si>
    <t xml:space="preserve">Snowfall</t>
  </si>
  <si>
    <t xml:space="preserve">Alonso Alvarez, Ben Younger</t>
  </si>
  <si>
    <t xml:space="preserve">tt6439752</t>
  </si>
  <si>
    <t xml:space="preserve">Black Rabbit</t>
  </si>
  <si>
    <t xml:space="preserve">Jason Bateman, Justin Kurzel</t>
  </si>
  <si>
    <t xml:space="preserve">tt23055142</t>
  </si>
  <si>
    <t xml:space="preserve">Life</t>
  </si>
  <si>
    <t xml:space="preserve">Martha Holmes, Mick Connaire</t>
  </si>
  <si>
    <t xml:space="preserve">tt1533395</t>
  </si>
  <si>
    <t xml:space="preserve">Nathan al rescate</t>
  </si>
  <si>
    <t xml:space="preserve">Nathan Fielder, Jason Woliner</t>
  </si>
  <si>
    <t xml:space="preserve">tt2297757</t>
  </si>
  <si>
    <t xml:space="preserve">Coupling</t>
  </si>
  <si>
    <t xml:space="preserve">Martin Dennis</t>
  </si>
  <si>
    <t xml:space="preserve">tt0237123</t>
  </si>
  <si>
    <t xml:space="preserve">Gomorra</t>
  </si>
  <si>
    <t xml:space="preserve">Claudio Cupellini, Francesca Comencini</t>
  </si>
  <si>
    <t xml:space="preserve">tt2049116</t>
  </si>
  <si>
    <t xml:space="preserve">The Walking Dead: The Ones Who Live</t>
  </si>
  <si>
    <t xml:space="preserve">Bertie Ellwood, Michael E. Satrazemis</t>
  </si>
  <si>
    <t xml:space="preserve">tt9859436</t>
  </si>
  <si>
    <t xml:space="preserve">Echo</t>
  </si>
  <si>
    <t xml:space="preserve">Sydney Freeland, Catriona McKenzie</t>
  </si>
  <si>
    <t xml:space="preserve">tt13966962</t>
  </si>
  <si>
    <t xml:space="preserve">Me and the World</t>
  </si>
  <si>
    <t xml:space="preserve">Jeff McCracken, David Trainer</t>
  </si>
  <si>
    <t xml:space="preserve">El círculo secreto</t>
  </si>
  <si>
    <t xml:space="preserve">Liz Friedlander, David Barrett</t>
  </si>
  <si>
    <t xml:space="preserve">tt1837654</t>
  </si>
  <si>
    <t xml:space="preserve">Griselda</t>
  </si>
  <si>
    <t xml:space="preserve">Andrés Baiz</t>
  </si>
  <si>
    <t xml:space="preserve">tt15837600</t>
  </si>
  <si>
    <t xml:space="preserve">Rachel Goldberg, Bronwen Hughes</t>
  </si>
  <si>
    <t xml:space="preserve">tt9660182</t>
  </si>
  <si>
    <t xml:space="preserve">Oriol Paulo</t>
  </si>
  <si>
    <t xml:space="preserve">tt10147644</t>
  </si>
  <si>
    <t xml:space="preserve">La banda del patio</t>
  </si>
  <si>
    <t xml:space="preserve">Chuck Sheetz, Howy Parkins</t>
  </si>
  <si>
    <t xml:space="preserve">tt0126170</t>
  </si>
  <si>
    <t xml:space="preserve">Los hermanos Donnelly</t>
  </si>
  <si>
    <t xml:space="preserve">Paul Haggis, Kevin Bray</t>
  </si>
  <si>
    <t xml:space="preserve">tt0805661</t>
  </si>
  <si>
    <t xml:space="preserve">30 Monedas</t>
  </si>
  <si>
    <t xml:space="preserve">tt9764386</t>
  </si>
  <si>
    <t xml:space="preserve">Valeria</t>
  </si>
  <si>
    <t xml:space="preserve">Inma Torrente, Laura M. Campos</t>
  </si>
  <si>
    <t xml:space="preserve">tt9731288</t>
  </si>
  <si>
    <t xml:space="preserve">Aquí no hay quien viva</t>
  </si>
  <si>
    <t xml:space="preserve">Laura Caballero, David Fernández</t>
  </si>
  <si>
    <t xml:space="preserve">Netflix, Prime, Disney+, Movistar, Movistar Plus+ Ficción Total , atresplayer, HBO Max, Tivify, HBO Max Amazon Channel</t>
  </si>
  <si>
    <t xml:space="preserve">tt0381733</t>
  </si>
  <si>
    <t xml:space="preserve">La que se avecina</t>
  </si>
  <si>
    <t xml:space="preserve">Laura Caballero, Mario Montero</t>
  </si>
  <si>
    <t xml:space="preserve">tt0922037</t>
  </si>
  <si>
    <t xml:space="preserve">Choi Jeong-yeol</t>
  </si>
  <si>
    <t xml:space="preserve">Robert Lieberman</t>
  </si>
  <si>
    <t xml:space="preserve">tt0115392</t>
  </si>
  <si>
    <t xml:space="preserve">Rafa</t>
  </si>
  <si>
    <t xml:space="preserve">Zach Heinzerling</t>
  </si>
  <si>
    <t xml:space="preserve">tt35052852</t>
  </si>
  <si>
    <t xml:space="preserve">Los Serrano</t>
  </si>
  <si>
    <t xml:space="preserve">Begoña Álvarez Rojas, Arantxa Écija</t>
  </si>
  <si>
    <t xml:space="preserve">tt0362372</t>
  </si>
  <si>
    <t xml:space="preserve">El capo de Corleone</t>
  </si>
  <si>
    <t xml:space="preserve">Alexis Cahill, Enzo Monteleone</t>
  </si>
  <si>
    <t xml:space="preserve">tt1047931</t>
  </si>
  <si>
    <t xml:space="preserve">Dave, el bárbaro</t>
  </si>
  <si>
    <t xml:space="preserve">Howy Parkins</t>
  </si>
  <si>
    <t xml:space="preserve">tt0386176</t>
  </si>
  <si>
    <t xml:space="preserve">Spartacus: Dioses de la arena</t>
  </si>
  <si>
    <t xml:space="preserve">Rick Jacobson, John Fawcett</t>
  </si>
  <si>
    <t xml:space="preserve">tt39020004</t>
  </si>
  <si>
    <t xml:space="preserve">Bob Hathcock, Andy Thom</t>
  </si>
  <si>
    <t xml:space="preserve">tt0115228</t>
  </si>
  <si>
    <t xml:space="preserve">Rafa Montesinos, Javier Pulido</t>
  </si>
  <si>
    <t xml:space="preserve">Netflix, Prime, Movistar, Movistar Plus+ Ficción Total , rtve</t>
  </si>
  <si>
    <t xml:space="preserve">tt8787372</t>
  </si>
  <si>
    <t xml:space="preserve">Un paso adelante</t>
  </si>
  <si>
    <t xml:space="preserve">Jesús del Cerro, Juanma R. Pachón</t>
  </si>
  <si>
    <t xml:space="preserve">tt0338639</t>
  </si>
  <si>
    <t xml:space="preserve">Glenn Baretto, Ankush Mohla</t>
  </si>
  <si>
    <t xml:space="preserve">tt4059976</t>
  </si>
  <si>
    <t xml:space="preserve">Rec</t>
  </si>
  <si>
    <t xml:space="preserve">Ryûtarô Nakamura</t>
  </si>
  <si>
    <t xml:space="preserve">tt0807834</t>
  </si>
  <si>
    <t xml:space="preserve">P. Frank Williams</t>
  </si>
  <si>
    <t xml:space="preserve">tt0960157</t>
  </si>
  <si>
    <t xml:space="preserve">La historia de Europa</t>
  </si>
  <si>
    <t xml:space="preserve">Christel Fomm, Sabine Klauser</t>
  </si>
  <si>
    <t xml:space="preserve">tt7555714</t>
  </si>
  <si>
    <t xml:space="preserve">Eduardo Ripari</t>
  </si>
  <si>
    <t xml:space="preserve">tt0497008</t>
  </si>
  <si>
    <t xml:space="preserve">Mama</t>
  </si>
  <si>
    <t xml:space="preserve">Sang-hyub Kim</t>
  </si>
  <si>
    <t xml:space="preserve">tt4209056</t>
  </si>
  <si>
    <t xml:space="preserve">Informe Robinson</t>
  </si>
  <si>
    <t xml:space="preserve">Román Escoda</t>
  </si>
  <si>
    <t xml:space="preserve">tt24328672</t>
  </si>
  <si>
    <t xml:space="preserve">Pau!l</t>
  </si>
  <si>
    <t xml:space="preserve">Guus Verstraete Jr.</t>
  </si>
  <si>
    <t xml:space="preserve">tt2121576</t>
  </si>
  <si>
    <t xml:space="preserve">Servet Dean Sari</t>
  </si>
  <si>
    <t xml:space="preserve">tt3301842</t>
  </si>
  <si>
    <t xml:space="preserve">tt0887829</t>
  </si>
  <si>
    <t xml:space="preserve">Bang Yuan Chan, Diana Salim</t>
  </si>
  <si>
    <t xml:space="preserve">tt12422990</t>
  </si>
  <si>
    <t xml:space="preserve">The Last of Us</t>
  </si>
  <si>
    <t xml:space="preserve">Neil Druckmann, Craig Mazin</t>
  </si>
  <si>
    <t xml:space="preserve">Año 2023, veinte años después del comienzo de una plaga mundial que infectó a población con un hongo mutado transformando a las personas en unas criaturas…</t>
  </si>
  <si>
    <t xml:space="preserve">tt3581920</t>
  </si>
  <si>
    <t xml:space="preserve">RESUMEN</t>
  </si>
  <si>
    <t xml:space="preserve">Películas en la lista</t>
  </si>
  <si>
    <t xml:space="preserve">Vistas (con tu nota)</t>
  </si>
  <si>
    <t xml:space="preserve">Tu nota media</t>
  </si>
  <si>
    <t xml:space="preserve">Nota media IMDb (vistas)</t>
  </si>
  <si>
    <t xml:space="preserve">Horas vistas (aprox.)</t>
  </si>
  <si>
    <t xml:space="preserve">Duración media (min)</t>
  </si>
  <si>
    <t xml:space="preserve">POR GÉNERO</t>
  </si>
  <si>
    <t xml:space="preserve">POR DÉCADA</t>
  </si>
  <si>
    <t xml:space="preserve">TUS NOTAS</t>
  </si>
  <si>
    <t xml:space="preserve">En lista</t>
  </si>
  <si>
    <t xml:space="preserve">Vistas</t>
  </si>
  <si>
    <t xml:space="preserve">Tu media</t>
  </si>
  <si>
    <t xml:space="preserve">Nota</t>
  </si>
  <si>
    <t xml:space="preserve">Nº pelis</t>
  </si>
  <si>
    <t xml:space="preserve">PAÍSES MÁS VISTOS</t>
  </si>
  <si>
    <t xml:space="preserve">CANON PENDIENTE</t>
  </si>
  <si>
    <t xml:space="preserve">Sight &amp; Sound: en lista</t>
  </si>
  <si>
    <t xml:space="preserve">Sight &amp; Sound: vistas</t>
  </si>
  <si>
    <t xml:space="preserve">Ranking J.Wild: en lista</t>
  </si>
  <si>
    <t xml:space="preserve">Ranking J.Wild: vistas</t>
  </si>
  <si>
    <t xml:space="preserve">Top 150 XXI: vistas</t>
  </si>
  <si>
    <t xml:space="preserve">CÓMO LEER LOS COLORES</t>
  </si>
  <si>
    <t xml:space="preserve">Mi nota / IMDb</t>
  </si>
  <si>
    <t xml:space="preserve">Escala de color: rojo = bajo, amarillo = medio, verde = alto</t>
  </si>
  <si>
    <t xml:space="preserve">Votos / Puntos premios / Emmys</t>
  </si>
  <si>
    <t xml:space="preserve">Barra proporcional: cuanto más llena, mayor el valor</t>
  </si>
  <si>
    <t xml:space="preserve">Título en dorado</t>
  </si>
  <si>
    <t xml:space="preserve">Pendiente de ver y con muchos premios: prioridad alta</t>
  </si>
  <si>
    <t xml:space="preserve">Título en verde</t>
  </si>
  <si>
    <t xml:space="preserve">Está en el top 100 de Sight &amp; Sound (canon crítico)</t>
  </si>
  <si>
    <t xml:space="preserve">Duración en rojo</t>
  </si>
  <si>
    <t xml:space="preserve">Dura 180 minutos o más</t>
  </si>
  <si>
    <t xml:space="preserve">Tipo en azul (Series)</t>
  </si>
  <si>
    <t xml:space="preserve">Es una miniserie, no una serie de temporadas</t>
  </si>
  <si>
    <t xml:space="preserve">Texto gris y cursiva</t>
  </si>
  <si>
    <t xml:space="preserve">Ya la has visto (tiene tu nota): puedes saltártela al buscar algo nuevo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</si>
</sst>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General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30549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1"/>
      <color rgb="FF2F5597"/>
      <name val="Calibri"/>
      <family val="0"/>
      <charset val="1"/>
    </font>
    <font>
      <b val="true"/>
      <i val="true"/>
      <sz val="11"/>
      <color rgb="FFA6A6A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05496"/>
        <bgColor rgb="FF2F5597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FFEB84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name val="Calibri"/>
        <charset val="1"/>
        <family val="0"/>
        <i val="1"/>
        <color rgb="FFA6A6A6"/>
        <sz val="11"/>
      </font>
    </dxf>
    <dxf>
      <font>
        <name val="Calibri"/>
        <charset val="1"/>
        <family val="0"/>
        <b val="1"/>
        <color rgb="FFC00000"/>
        <sz val="11"/>
      </font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CD4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D07F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ont>
        <name val="Calibri"/>
        <charset val="1"/>
        <family val="0"/>
        <b val="1"/>
        <color rgb="FF2F5597"/>
        <sz val="1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3B3B3"/>
      <rgbColor rgb="FF808080"/>
      <rgbColor rgb="FF9999FF"/>
      <rgbColor rgb="FF7030A0"/>
      <rgbColor rgb="FFFFF2CC"/>
      <rgbColor rgb="FFCCFFFF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8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4F81BD"/>
      <rgbColor rgb="FFA6A6A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Vistas por género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Análisis!C11</c:f>
              <c:strCache>
                <c:ptCount val="1"/>
                <c:pt idx="0">
                  <c:v>Vistas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Análisis!$A$12:$A$25</c:f>
              <c:strCache>
                <c:ptCount val="14"/>
                <c:pt idx="0">
                  <c:v>Drama</c:v>
                </c:pt>
                <c:pt idx="1">
                  <c:v>Thriller</c:v>
                </c:pt>
                <c:pt idx="2">
                  <c:v>Romance</c:v>
                </c:pt>
                <c:pt idx="3">
                  <c:v>Acción</c:v>
                </c:pt>
                <c:pt idx="4">
                  <c:v>Terror</c:v>
                </c:pt>
                <c:pt idx="5">
                  <c:v>Comedia</c:v>
                </c:pt>
                <c:pt idx="6">
                  <c:v>Animación</c:v>
                </c:pt>
                <c:pt idx="7">
                  <c:v>Ciencia ficción</c:v>
                </c:pt>
                <c:pt idx="8">
                  <c:v>Fantasía</c:v>
                </c:pt>
                <c:pt idx="9">
                  <c:v>Bélico</c:v>
                </c:pt>
                <c:pt idx="10">
                  <c:v>Musical</c:v>
                </c:pt>
                <c:pt idx="11">
                  <c:v>Aventura</c:v>
                </c:pt>
                <c:pt idx="12">
                  <c:v>Documental</c:v>
                </c:pt>
                <c:pt idx="13">
                  <c:v>Western</c:v>
                </c:pt>
              </c:strCache>
            </c:strRef>
          </c:cat>
          <c:val>
            <c:numRef>
              <c:f>Análisis!$C$12:$C$25</c:f>
              <c:numCache>
                <c:formatCode>General</c:formatCode>
                <c:ptCount val="14"/>
                <c:pt idx="0">
                  <c:v>117</c:v>
                </c:pt>
                <c:pt idx="1">
                  <c:v>194</c:v>
                </c:pt>
                <c:pt idx="2">
                  <c:v>68</c:v>
                </c:pt>
                <c:pt idx="3">
                  <c:v>182</c:v>
                </c:pt>
                <c:pt idx="4">
                  <c:v>176</c:v>
                </c:pt>
                <c:pt idx="5">
                  <c:v>101</c:v>
                </c:pt>
                <c:pt idx="6">
                  <c:v>92</c:v>
                </c:pt>
                <c:pt idx="7">
                  <c:v>144</c:v>
                </c:pt>
                <c:pt idx="8">
                  <c:v>100</c:v>
                </c:pt>
                <c:pt idx="9">
                  <c:v>22</c:v>
                </c:pt>
                <c:pt idx="10">
                  <c:v>26</c:v>
                </c:pt>
                <c:pt idx="11">
                  <c:v>29</c:v>
                </c:pt>
                <c:pt idx="12">
                  <c:v>14</c:v>
                </c:pt>
                <c:pt idx="13">
                  <c:v>6</c:v>
                </c:pt>
              </c:numCache>
            </c:numRef>
          </c:val>
        </c:ser>
        <c:gapWidth val="150"/>
        <c:overlap val="0"/>
        <c:axId val="35441755"/>
        <c:axId val="59015088"/>
      </c:barChart>
      <c:catAx>
        <c:axId val="354417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015088"/>
        <c:crosses val="autoZero"/>
        <c:auto val="1"/>
        <c:lblAlgn val="ctr"/>
        <c:lblOffset val="100"/>
        <c:noMultiLvlLbl val="0"/>
      </c:catAx>
      <c:valAx>
        <c:axId val="590150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441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Vistas por década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Análisis!H11</c:f>
              <c:strCache>
                <c:ptCount val="1"/>
                <c:pt idx="0">
                  <c:v>Vistas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Análisis!$F$12:$F$22</c:f>
              <c:strCache>
                <c:ptCount val="11"/>
                <c:pt idx="0">
                  <c:v>1920s</c:v>
                </c:pt>
                <c:pt idx="1">
                  <c:v>1930s</c:v>
                </c:pt>
                <c:pt idx="2">
                  <c:v>1940s</c:v>
                </c:pt>
                <c:pt idx="3">
                  <c:v>1950s</c:v>
                </c:pt>
                <c:pt idx="4">
                  <c:v>1960s</c:v>
                </c:pt>
                <c:pt idx="5">
                  <c:v>1970s</c:v>
                </c:pt>
                <c:pt idx="6">
                  <c:v>1980s</c:v>
                </c:pt>
                <c:pt idx="7">
                  <c:v>1990s</c:v>
                </c:pt>
                <c:pt idx="8">
                  <c:v>2000s</c:v>
                </c:pt>
                <c:pt idx="9">
                  <c:v>2010s</c:v>
                </c:pt>
                <c:pt idx="10">
                  <c:v>2020s</c:v>
                </c:pt>
              </c:strCache>
            </c:strRef>
          </c:cat>
          <c:val>
            <c:numRef>
              <c:f>Análisis!$H$12:$H$22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21</c:v>
                </c:pt>
                <c:pt idx="6">
                  <c:v>40</c:v>
                </c:pt>
                <c:pt idx="7">
                  <c:v>134</c:v>
                </c:pt>
                <c:pt idx="8">
                  <c:v>434</c:v>
                </c:pt>
                <c:pt idx="9">
                  <c:v>522</c:v>
                </c:pt>
                <c:pt idx="10">
                  <c:v>123</c:v>
                </c:pt>
              </c:numCache>
            </c:numRef>
          </c:val>
        </c:ser>
        <c:gapWidth val="150"/>
        <c:overlap val="0"/>
        <c:axId val="35793279"/>
        <c:axId val="80046660"/>
      </c:barChart>
      <c:catAx>
        <c:axId val="357932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0046660"/>
        <c:crosses val="autoZero"/>
        <c:auto val="1"/>
        <c:lblAlgn val="ctr"/>
        <c:lblOffset val="100"/>
        <c:noMultiLvlLbl val="0"/>
      </c:catAx>
      <c:valAx>
        <c:axId val="800466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7932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47</xdr:row>
      <xdr:rowOff>0</xdr:rowOff>
    </xdr:from>
    <xdr:to>
      <xdr:col>5</xdr:col>
      <xdr:colOff>1476360</xdr:colOff>
      <xdr:row>62</xdr:row>
      <xdr:rowOff>15840</xdr:rowOff>
    </xdr:to>
    <xdr:graphicFrame>
      <xdr:nvGraphicFramePr>
        <xdr:cNvPr id="0" name="Chart 1"/>
        <xdr:cNvGraphicFramePr/>
      </xdr:nvGraphicFramePr>
      <xdr:xfrm>
        <a:off x="0" y="8953560"/>
        <a:ext cx="6870600" cy="28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47</xdr:row>
      <xdr:rowOff>0</xdr:rowOff>
    </xdr:from>
    <xdr:to>
      <xdr:col>19</xdr:col>
      <xdr:colOff>203760</xdr:colOff>
      <xdr:row>62</xdr:row>
      <xdr:rowOff>15840</xdr:rowOff>
    </xdr:to>
    <xdr:graphicFrame>
      <xdr:nvGraphicFramePr>
        <xdr:cNvPr id="1" name="Chart 2"/>
        <xdr:cNvGraphicFramePr/>
      </xdr:nvGraphicFramePr>
      <xdr:xfrm>
        <a:off x="10966320" y="8953560"/>
        <a:ext cx="7204680" cy="28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3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6"/>
    <col collapsed="false" customWidth="true" hidden="false" outlineLevel="0" max="4" min="3" style="1" width="8.5"/>
    <col collapsed="false" customWidth="true" hidden="false" outlineLevel="0" max="5" min="5" style="1" width="22"/>
    <col collapsed="false" customWidth="true" hidden="false" outlineLevel="0" max="6" min="6" style="1" width="7"/>
    <col collapsed="false" customWidth="true" hidden="false" outlineLevel="0" max="7" min="7" style="1" width="8"/>
    <col collapsed="false" customWidth="true" hidden="false" outlineLevel="0" max="8" min="8" style="1" width="11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9"/>
    <col collapsed="false" customWidth="true" hidden="false" outlineLevel="0" max="13" min="13" style="1" width="62"/>
    <col collapsed="false" customWidth="true" hidden="false" outlineLevel="0" max="14" min="14" style="1" width="7"/>
    <col collapsed="false" customWidth="true" hidden="false" outlineLevel="0" max="16" min="15" style="1" width="7.5"/>
    <col collapsed="false" customWidth="true" hidden="false" outlineLevel="0" max="17" min="17" style="1" width="8"/>
    <col collapsed="false" customWidth="true" hidden="false" outlineLevel="0" max="18" min="18" style="1" width="9"/>
    <col collapsed="false" customWidth="true" hidden="false" outlineLevel="0" max="19" min="19" style="1" width="8"/>
    <col collapsed="false" customWidth="true" hidden="false" outlineLevel="0" max="20" min="20" style="1" width="6"/>
    <col collapsed="false" customWidth="true" hidden="false" outlineLevel="0" max="21" min="21" style="1" width="8"/>
    <col collapsed="false" customWidth="true" hidden="false" outlineLevel="0" max="22" min="22" style="1" width="56"/>
    <col collapsed="false" customWidth="true" hidden="false" outlineLevel="0" max="23" min="23" style="1" width="11"/>
    <col collapsed="false" customWidth="true" hidden="false" outlineLevel="0" max="24" min="24" style="1" width="9"/>
    <col collapsed="false" customWidth="true" hidden="false" outlineLevel="0" max="25" min="25" style="1" width="11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2" t="s">
        <v>21</v>
      </c>
      <c r="W1" s="5" t="s">
        <v>22</v>
      </c>
      <c r="X1" s="6" t="s">
        <v>23</v>
      </c>
      <c r="Y1" s="6" t="s">
        <v>24</v>
      </c>
    </row>
    <row r="2" customFormat="false" ht="15.75" hidden="false" customHeight="true" outlineLevel="0" collapsed="false">
      <c r="A2" s="7" t="s">
        <v>25</v>
      </c>
      <c r="B2" s="8" t="n">
        <v>1997</v>
      </c>
      <c r="C2" s="8" t="s">
        <v>26</v>
      </c>
      <c r="D2" s="8" t="n">
        <v>116</v>
      </c>
      <c r="E2" s="7" t="s">
        <v>27</v>
      </c>
      <c r="F2" s="8" t="n">
        <v>8.6</v>
      </c>
      <c r="G2" s="8" t="n">
        <v>9</v>
      </c>
      <c r="H2" s="9" t="n">
        <v>819784</v>
      </c>
      <c r="I2" s="7" t="s">
        <v>28</v>
      </c>
      <c r="J2" s="7" t="s">
        <v>29</v>
      </c>
      <c r="K2" s="7" t="s">
        <v>30</v>
      </c>
      <c r="L2" s="10"/>
      <c r="M2" s="7" t="s">
        <v>31</v>
      </c>
      <c r="N2" s="8" t="n">
        <v>3</v>
      </c>
      <c r="O2" s="8" t="n">
        <v>0</v>
      </c>
      <c r="P2" s="8" t="n">
        <v>0</v>
      </c>
      <c r="Q2" s="8" t="n">
        <v>7</v>
      </c>
      <c r="R2" s="8" t="n">
        <v>0</v>
      </c>
      <c r="S2" s="8" t="n">
        <v>0</v>
      </c>
      <c r="T2" s="8"/>
      <c r="U2" s="11" t="n">
        <f aca="false">O2*4 + P2*2 + MAX(0,N2-O2-P2)*1 + Q2*0.2 + R2*2 + S2*1 + IF(T2="",0,IF(T2&lt;=10,8,IF(T2&lt;=50,6,IF(T2&lt;=100,4,2))))</f>
        <v>4.4</v>
      </c>
      <c r="V2" s="7" t="s">
        <v>32</v>
      </c>
      <c r="W2" s="12"/>
      <c r="X2" s="13"/>
      <c r="Y2" s="13" t="s">
        <v>33</v>
      </c>
    </row>
    <row r="3" customFormat="false" ht="15.75" hidden="false" customHeight="true" outlineLevel="0" collapsed="false">
      <c r="A3" s="7" t="s">
        <v>34</v>
      </c>
      <c r="B3" s="8" t="n">
        <v>2003</v>
      </c>
      <c r="C3" s="8" t="s">
        <v>35</v>
      </c>
      <c r="D3" s="8" t="n">
        <v>201</v>
      </c>
      <c r="E3" s="7" t="s">
        <v>36</v>
      </c>
      <c r="F3" s="8" t="n">
        <v>9</v>
      </c>
      <c r="G3" s="8" t="n">
        <v>10</v>
      </c>
      <c r="H3" s="9" t="n">
        <v>2184685</v>
      </c>
      <c r="I3" s="7" t="s">
        <v>37</v>
      </c>
      <c r="J3" s="7" t="s">
        <v>38</v>
      </c>
      <c r="K3" s="7" t="s">
        <v>39</v>
      </c>
      <c r="L3" s="10" t="s">
        <v>40</v>
      </c>
      <c r="M3" s="7" t="s">
        <v>41</v>
      </c>
      <c r="N3" s="8" t="n">
        <v>11</v>
      </c>
      <c r="O3" s="8" t="n">
        <v>1</v>
      </c>
      <c r="P3" s="8" t="n">
        <v>1</v>
      </c>
      <c r="Q3" s="8" t="n">
        <v>11</v>
      </c>
      <c r="R3" s="8" t="n">
        <v>0</v>
      </c>
      <c r="S3" s="8" t="n">
        <v>1</v>
      </c>
      <c r="T3" s="8"/>
      <c r="U3" s="11" t="n">
        <f aca="false">O3*4 + P3*2 + MAX(0,N3-O3-P3)*1 + Q3*0.2 + R3*2 + S3*1 + IF(T3="",0,IF(T3&lt;=10,8,IF(T3&lt;=50,6,IF(T3&lt;=100,4,2))))</f>
        <v>18.2</v>
      </c>
      <c r="V3" s="7" t="s">
        <v>42</v>
      </c>
      <c r="W3" s="12"/>
      <c r="X3" s="13"/>
      <c r="Y3" s="13" t="s">
        <v>43</v>
      </c>
    </row>
    <row r="4" customFormat="false" ht="15.75" hidden="false" customHeight="true" outlineLevel="0" collapsed="false">
      <c r="A4" s="7" t="s">
        <v>44</v>
      </c>
      <c r="B4" s="8" t="n">
        <v>1993</v>
      </c>
      <c r="C4" s="8" t="s">
        <v>26</v>
      </c>
      <c r="D4" s="8" t="n">
        <v>196</v>
      </c>
      <c r="E4" s="7" t="s">
        <v>45</v>
      </c>
      <c r="F4" s="8" t="n">
        <v>9</v>
      </c>
      <c r="G4" s="8"/>
      <c r="H4" s="9" t="n">
        <v>1597609</v>
      </c>
      <c r="I4" s="7" t="s">
        <v>46</v>
      </c>
      <c r="J4" s="7" t="s">
        <v>47</v>
      </c>
      <c r="K4" s="7" t="s">
        <v>48</v>
      </c>
      <c r="L4" s="10"/>
      <c r="M4" s="7" t="s">
        <v>49</v>
      </c>
      <c r="N4" s="8" t="n">
        <v>7</v>
      </c>
      <c r="O4" s="8" t="n">
        <v>1</v>
      </c>
      <c r="P4" s="8" t="n">
        <v>1</v>
      </c>
      <c r="Q4" s="8" t="n">
        <v>12</v>
      </c>
      <c r="R4" s="8" t="n">
        <v>0</v>
      </c>
      <c r="S4" s="8" t="n">
        <v>1</v>
      </c>
      <c r="T4" s="8"/>
      <c r="U4" s="11" t="n">
        <f aca="false">O4*4 + P4*2 + MAX(0,N4-O4-P4)*1 + Q4*0.2 + R4*2 + S4*1 + IF(T4="",0,IF(T4&lt;=10,8,IF(T4&lt;=50,6,IF(T4&lt;=100,4,2))))</f>
        <v>14.4</v>
      </c>
      <c r="V4" s="7" t="s">
        <v>50</v>
      </c>
      <c r="W4" s="12"/>
      <c r="X4" s="13"/>
      <c r="Y4" s="13" t="s">
        <v>51</v>
      </c>
    </row>
    <row r="5" customFormat="false" ht="15.75" hidden="false" customHeight="true" outlineLevel="0" collapsed="false">
      <c r="A5" s="7" t="s">
        <v>52</v>
      </c>
      <c r="B5" s="8" t="n">
        <v>1994</v>
      </c>
      <c r="C5" s="8" t="s">
        <v>26</v>
      </c>
      <c r="D5" s="8" t="n">
        <v>154</v>
      </c>
      <c r="E5" s="7" t="s">
        <v>53</v>
      </c>
      <c r="F5" s="8" t="n">
        <v>8.8</v>
      </c>
      <c r="G5" s="8" t="n">
        <v>9</v>
      </c>
      <c r="H5" s="9" t="n">
        <v>2458225</v>
      </c>
      <c r="I5" s="7" t="s">
        <v>46</v>
      </c>
      <c r="J5" s="7" t="s">
        <v>47</v>
      </c>
      <c r="K5" s="7" t="s">
        <v>54</v>
      </c>
      <c r="L5" s="10" t="s">
        <v>55</v>
      </c>
      <c r="M5" s="7" t="s">
        <v>56</v>
      </c>
      <c r="N5" s="8" t="n">
        <v>1</v>
      </c>
      <c r="O5" s="8" t="n">
        <v>0</v>
      </c>
      <c r="P5" s="8" t="n">
        <v>0</v>
      </c>
      <c r="Q5" s="8" t="n">
        <v>7</v>
      </c>
      <c r="R5" s="8" t="n">
        <v>1</v>
      </c>
      <c r="S5" s="8" t="n">
        <v>0</v>
      </c>
      <c r="T5" s="8" t="n">
        <v>129</v>
      </c>
      <c r="U5" s="11" t="n">
        <f aca="false">O5*4 + P5*2 + MAX(0,N5-O5-P5)*1 + Q5*0.2 + R5*2 + S5*1 + IF(T5="",0,IF(T5&lt;=10,8,IF(T5&lt;=50,6,IF(T5&lt;=100,4,2))))</f>
        <v>6.4</v>
      </c>
      <c r="V5" s="7" t="s">
        <v>57</v>
      </c>
      <c r="W5" s="12" t="s">
        <v>58</v>
      </c>
      <c r="X5" s="13"/>
      <c r="Y5" s="13" t="s">
        <v>59</v>
      </c>
    </row>
    <row r="6" customFormat="false" ht="15.75" hidden="false" customHeight="true" outlineLevel="0" collapsed="false">
      <c r="A6" s="7" t="s">
        <v>60</v>
      </c>
      <c r="B6" s="8" t="n">
        <v>1972</v>
      </c>
      <c r="C6" s="8" t="s">
        <v>61</v>
      </c>
      <c r="D6" s="8" t="n">
        <v>175</v>
      </c>
      <c r="E6" s="7" t="s">
        <v>62</v>
      </c>
      <c r="F6" s="8" t="n">
        <v>9.2</v>
      </c>
      <c r="G6" s="8" t="n">
        <v>9</v>
      </c>
      <c r="H6" s="9" t="n">
        <v>2247164</v>
      </c>
      <c r="I6" s="7" t="s">
        <v>46</v>
      </c>
      <c r="J6" s="7" t="s">
        <v>47</v>
      </c>
      <c r="K6" s="7" t="s">
        <v>54</v>
      </c>
      <c r="L6" s="10" t="s">
        <v>63</v>
      </c>
      <c r="M6" s="7" t="s">
        <v>64</v>
      </c>
      <c r="N6" s="8" t="n">
        <v>3</v>
      </c>
      <c r="O6" s="8" t="n">
        <v>1</v>
      </c>
      <c r="P6" s="8" t="n">
        <v>0</v>
      </c>
      <c r="Q6" s="8" t="n">
        <v>11</v>
      </c>
      <c r="R6" s="8" t="n">
        <v>0</v>
      </c>
      <c r="S6" s="8" t="n">
        <v>1</v>
      </c>
      <c r="T6" s="8" t="n">
        <v>12</v>
      </c>
      <c r="U6" s="11" t="n">
        <f aca="false">O6*4 + P6*2 + MAX(0,N6-O6-P6)*1 + Q6*0.2 + R6*2 + S6*1 + IF(T6="",0,IF(T6&lt;=10,8,IF(T6&lt;=50,6,IF(T6&lt;=100,4,2))))</f>
        <v>15.2</v>
      </c>
      <c r="V6" s="7" t="s">
        <v>65</v>
      </c>
      <c r="W6" s="12" t="s">
        <v>58</v>
      </c>
      <c r="X6" s="13"/>
      <c r="Y6" s="13" t="s">
        <v>66</v>
      </c>
    </row>
    <row r="7" customFormat="false" ht="15.75" hidden="false" customHeight="true" outlineLevel="0" collapsed="false">
      <c r="A7" s="7" t="s">
        <v>67</v>
      </c>
      <c r="B7" s="8" t="n">
        <v>1994</v>
      </c>
      <c r="C7" s="8" t="s">
        <v>26</v>
      </c>
      <c r="D7" s="8" t="n">
        <v>142</v>
      </c>
      <c r="E7" s="7" t="s">
        <v>68</v>
      </c>
      <c r="F7" s="8" t="n">
        <v>9.3</v>
      </c>
      <c r="G7" s="8" t="n">
        <v>9</v>
      </c>
      <c r="H7" s="9" t="n">
        <v>3223946</v>
      </c>
      <c r="I7" s="7" t="s">
        <v>46</v>
      </c>
      <c r="J7" s="7" t="s">
        <v>47</v>
      </c>
      <c r="K7" s="7"/>
      <c r="L7" s="10" t="s">
        <v>69</v>
      </c>
      <c r="M7" s="7" t="s">
        <v>70</v>
      </c>
      <c r="N7" s="8" t="n">
        <v>0</v>
      </c>
      <c r="O7" s="8" t="n">
        <v>0</v>
      </c>
      <c r="P7" s="8" t="n">
        <v>0</v>
      </c>
      <c r="Q7" s="8" t="n">
        <v>7</v>
      </c>
      <c r="R7" s="8" t="n">
        <v>0</v>
      </c>
      <c r="S7" s="8" t="n">
        <v>0</v>
      </c>
      <c r="T7" s="8"/>
      <c r="U7" s="11" t="n">
        <f aca="false">O7*4 + P7*2 + MAX(0,N7-O7-P7)*1 + Q7*0.2 + R7*2 + S7*1 + IF(T7="",0,IF(T7&lt;=10,8,IF(T7&lt;=50,6,IF(T7&lt;=100,4,2))))</f>
        <v>1.4</v>
      </c>
      <c r="V7" s="7" t="s">
        <v>71</v>
      </c>
      <c r="W7" s="12"/>
      <c r="X7" s="13"/>
      <c r="Y7" s="13" t="s">
        <v>72</v>
      </c>
    </row>
    <row r="8" customFormat="false" ht="15.75" hidden="false" customHeight="true" outlineLevel="0" collapsed="false">
      <c r="A8" s="7" t="s">
        <v>73</v>
      </c>
      <c r="B8" s="8" t="n">
        <v>2004</v>
      </c>
      <c r="C8" s="8" t="s">
        <v>35</v>
      </c>
      <c r="D8" s="8" t="n">
        <v>132</v>
      </c>
      <c r="E8" s="7" t="s">
        <v>74</v>
      </c>
      <c r="F8" s="8" t="n">
        <v>8.1</v>
      </c>
      <c r="G8" s="8"/>
      <c r="H8" s="9" t="n">
        <v>771297</v>
      </c>
      <c r="I8" s="7" t="s">
        <v>46</v>
      </c>
      <c r="J8" s="7" t="s">
        <v>47</v>
      </c>
      <c r="K8" s="7" t="s">
        <v>75</v>
      </c>
      <c r="L8" s="10" t="s">
        <v>76</v>
      </c>
      <c r="M8" s="7" t="s">
        <v>77</v>
      </c>
      <c r="N8" s="8" t="n">
        <v>4</v>
      </c>
      <c r="O8" s="8" t="n">
        <v>1</v>
      </c>
      <c r="P8" s="8" t="n">
        <v>1</v>
      </c>
      <c r="Q8" s="8" t="n">
        <v>7</v>
      </c>
      <c r="R8" s="8" t="n">
        <v>0</v>
      </c>
      <c r="S8" s="8" t="n">
        <v>0</v>
      </c>
      <c r="T8" s="8"/>
      <c r="U8" s="11" t="n">
        <f aca="false">O8*4 + P8*2 + MAX(0,N8-O8-P8)*1 + Q8*0.2 + R8*2 + S8*1 + IF(T8="",0,IF(T8&lt;=10,8,IF(T8&lt;=50,6,IF(T8&lt;=100,4,2))))</f>
        <v>9.4</v>
      </c>
      <c r="V8" s="10" t="s">
        <v>78</v>
      </c>
      <c r="W8" s="12"/>
      <c r="X8" s="8" t="n">
        <v>66</v>
      </c>
      <c r="Y8" s="8" t="s">
        <v>79</v>
      </c>
    </row>
    <row r="9" customFormat="false" ht="15.75" hidden="false" customHeight="true" outlineLevel="0" collapsed="false">
      <c r="A9" s="7" t="s">
        <v>80</v>
      </c>
      <c r="B9" s="8" t="n">
        <v>1998</v>
      </c>
      <c r="C9" s="8" t="s">
        <v>26</v>
      </c>
      <c r="D9" s="8" t="n">
        <v>119</v>
      </c>
      <c r="E9" s="7" t="s">
        <v>81</v>
      </c>
      <c r="F9" s="8" t="n">
        <v>8.5</v>
      </c>
      <c r="G9" s="8" t="n">
        <v>8</v>
      </c>
      <c r="H9" s="9" t="n">
        <v>1282562</v>
      </c>
      <c r="I9" s="7" t="s">
        <v>46</v>
      </c>
      <c r="J9" s="7" t="s">
        <v>47</v>
      </c>
      <c r="K9" s="7" t="s">
        <v>82</v>
      </c>
      <c r="L9" s="10" t="s">
        <v>83</v>
      </c>
      <c r="M9" s="7" t="s">
        <v>84</v>
      </c>
      <c r="N9" s="8" t="n">
        <v>0</v>
      </c>
      <c r="O9" s="8" t="n">
        <v>0</v>
      </c>
      <c r="P9" s="8" t="n">
        <v>0</v>
      </c>
      <c r="Q9" s="8" t="n">
        <v>1</v>
      </c>
      <c r="R9" s="8" t="n">
        <v>0</v>
      </c>
      <c r="S9" s="8" t="n">
        <v>0</v>
      </c>
      <c r="T9" s="8"/>
      <c r="U9" s="11" t="n">
        <f aca="false">O9*4 + P9*2 + MAX(0,N9-O9-P9)*1 + Q9*0.2 + R9*2 + S9*1 + IF(T9="",0,IF(T9&lt;=10,8,IF(T9&lt;=50,6,IF(T9&lt;=100,4,2))))</f>
        <v>0.2</v>
      </c>
      <c r="V9" s="7" t="s">
        <v>85</v>
      </c>
      <c r="W9" s="12"/>
      <c r="X9" s="13"/>
      <c r="Y9" s="13" t="s">
        <v>86</v>
      </c>
    </row>
    <row r="10" customFormat="false" ht="15.75" hidden="false" customHeight="true" outlineLevel="0" collapsed="false">
      <c r="A10" s="7" t="s">
        <v>87</v>
      </c>
      <c r="B10" s="8" t="n">
        <v>2002</v>
      </c>
      <c r="C10" s="8" t="s">
        <v>35</v>
      </c>
      <c r="D10" s="8" t="n">
        <v>150</v>
      </c>
      <c r="E10" s="7" t="s">
        <v>88</v>
      </c>
      <c r="F10" s="8" t="n">
        <v>8.5</v>
      </c>
      <c r="G10" s="8" t="n">
        <v>8</v>
      </c>
      <c r="H10" s="9" t="n">
        <v>1020984</v>
      </c>
      <c r="I10" s="7" t="s">
        <v>89</v>
      </c>
      <c r="J10" s="7" t="s">
        <v>90</v>
      </c>
      <c r="K10" s="7" t="s">
        <v>48</v>
      </c>
      <c r="L10" s="10" t="s">
        <v>91</v>
      </c>
      <c r="M10" s="7" t="s">
        <v>92</v>
      </c>
      <c r="N10" s="8" t="n">
        <v>3</v>
      </c>
      <c r="O10" s="8" t="n">
        <v>0</v>
      </c>
      <c r="P10" s="8" t="n">
        <v>1</v>
      </c>
      <c r="Q10" s="8" t="n">
        <v>7</v>
      </c>
      <c r="R10" s="8" t="n">
        <v>1</v>
      </c>
      <c r="S10" s="8" t="n">
        <v>0</v>
      </c>
      <c r="T10" s="8"/>
      <c r="U10" s="11" t="n">
        <f aca="false">O10*4 + P10*2 + MAX(0,N10-O10-P10)*1 + Q10*0.2 + R10*2 + S10*1 + IF(T10="",0,IF(T10&lt;=10,8,IF(T10&lt;=50,6,IF(T10&lt;=100,4,2))))</f>
        <v>7.4</v>
      </c>
      <c r="V10" s="7" t="s">
        <v>93</v>
      </c>
      <c r="W10" s="12"/>
      <c r="X10" s="13"/>
      <c r="Y10" s="13" t="s">
        <v>94</v>
      </c>
    </row>
    <row r="11" customFormat="false" ht="15.75" hidden="false" customHeight="true" outlineLevel="0" collapsed="false">
      <c r="A11" s="7" t="s">
        <v>95</v>
      </c>
      <c r="B11" s="8" t="n">
        <v>1931</v>
      </c>
      <c r="C11" s="8" t="s">
        <v>96</v>
      </c>
      <c r="D11" s="8" t="n">
        <v>87</v>
      </c>
      <c r="E11" s="7" t="s">
        <v>97</v>
      </c>
      <c r="F11" s="8" t="n">
        <v>8.5</v>
      </c>
      <c r="G11" s="8"/>
      <c r="H11" s="9" t="n">
        <v>217749</v>
      </c>
      <c r="I11" s="7" t="s">
        <v>46</v>
      </c>
      <c r="J11" s="7" t="s">
        <v>29</v>
      </c>
      <c r="K11" s="7" t="s">
        <v>30</v>
      </c>
      <c r="L11" s="10" t="s">
        <v>98</v>
      </c>
      <c r="M11" s="7" t="s">
        <v>99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13" t="n">
        <v>0</v>
      </c>
      <c r="T11" s="8" t="n">
        <v>36</v>
      </c>
      <c r="U11" s="11" t="n">
        <f aca="false">O11*4 + P11*2 + MAX(0,N11-O11-P11)*1 + Q11*0.2 + R11*2 + S11*1 + IF(T11="",0,IF(T11&lt;=10,8,IF(T11&lt;=50,6,IF(T11&lt;=100,4,2))))</f>
        <v>6</v>
      </c>
      <c r="V11" s="7" t="s">
        <v>100</v>
      </c>
      <c r="W11" s="12"/>
      <c r="X11" s="13"/>
      <c r="Y11" s="13" t="s">
        <v>101</v>
      </c>
    </row>
    <row r="12" customFormat="false" ht="15.75" hidden="false" customHeight="true" outlineLevel="0" collapsed="false">
      <c r="A12" s="7" t="s">
        <v>102</v>
      </c>
      <c r="B12" s="8" t="n">
        <v>2008</v>
      </c>
      <c r="C12" s="8" t="s">
        <v>35</v>
      </c>
      <c r="D12" s="8" t="n">
        <v>116</v>
      </c>
      <c r="E12" s="7" t="s">
        <v>74</v>
      </c>
      <c r="F12" s="8" t="n">
        <v>8.1</v>
      </c>
      <c r="G12" s="8" t="n">
        <v>8</v>
      </c>
      <c r="H12" s="9" t="n">
        <v>867929</v>
      </c>
      <c r="I12" s="7" t="s">
        <v>46</v>
      </c>
      <c r="J12" s="7" t="s">
        <v>47</v>
      </c>
      <c r="K12" s="7" t="s">
        <v>103</v>
      </c>
      <c r="L12" s="10" t="s">
        <v>104</v>
      </c>
      <c r="M12" s="7" t="s">
        <v>105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13" t="n">
        <v>0</v>
      </c>
      <c r="T12" s="8"/>
      <c r="U12" s="11" t="n">
        <f aca="false">O12*4 + P12*2 + MAX(0,N12-O12-P12)*1 + Q12*0.2 + R12*2 + S12*1 + IF(T12="",0,IF(T12&lt;=10,8,IF(T12&lt;=50,6,IF(T12&lt;=100,4,2))))</f>
        <v>0</v>
      </c>
      <c r="V12" s="7" t="s">
        <v>106</v>
      </c>
      <c r="W12" s="12"/>
      <c r="X12" s="13"/>
      <c r="Y12" s="13" t="s">
        <v>107</v>
      </c>
    </row>
    <row r="13" customFormat="false" ht="15.75" hidden="false" customHeight="true" outlineLevel="0" collapsed="false">
      <c r="A13" s="7" t="s">
        <v>108</v>
      </c>
      <c r="B13" s="8" t="n">
        <v>1984</v>
      </c>
      <c r="C13" s="8" t="s">
        <v>109</v>
      </c>
      <c r="D13" s="8" t="n">
        <v>107</v>
      </c>
      <c r="E13" s="7" t="s">
        <v>110</v>
      </c>
      <c r="F13" s="8" t="n">
        <v>8.1</v>
      </c>
      <c r="G13" s="8" t="n">
        <v>7</v>
      </c>
      <c r="H13" s="9" t="n">
        <v>1013987</v>
      </c>
      <c r="I13" s="7" t="s">
        <v>46</v>
      </c>
      <c r="J13" s="7" t="s">
        <v>111</v>
      </c>
      <c r="K13" s="7" t="s">
        <v>112</v>
      </c>
      <c r="L13" s="10" t="s">
        <v>113</v>
      </c>
      <c r="M13" s="7" t="s">
        <v>114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13" t="n">
        <v>0</v>
      </c>
      <c r="T13" s="8"/>
      <c r="U13" s="11" t="n">
        <f aca="false">O13*4 + P13*2 + MAX(0,N13-O13-P13)*1 + Q13*0.2 + R13*2 + S13*1 + IF(T13="",0,IF(T13&lt;=10,8,IF(T13&lt;=50,6,IF(T13&lt;=100,4,2))))</f>
        <v>0</v>
      </c>
      <c r="V13" s="7"/>
      <c r="W13" s="12"/>
      <c r="X13" s="13"/>
      <c r="Y13" s="13" t="s">
        <v>115</v>
      </c>
    </row>
    <row r="14" customFormat="false" ht="15.75" hidden="false" customHeight="true" outlineLevel="0" collapsed="false">
      <c r="A14" s="7" t="s">
        <v>116</v>
      </c>
      <c r="B14" s="8" t="n">
        <v>1974</v>
      </c>
      <c r="C14" s="8" t="s">
        <v>61</v>
      </c>
      <c r="D14" s="8" t="n">
        <v>202</v>
      </c>
      <c r="E14" s="7" t="s">
        <v>62</v>
      </c>
      <c r="F14" s="8" t="n">
        <v>9</v>
      </c>
      <c r="G14" s="8" t="n">
        <v>10</v>
      </c>
      <c r="H14" s="9" t="n">
        <v>1507335</v>
      </c>
      <c r="I14" s="7" t="s">
        <v>46</v>
      </c>
      <c r="J14" s="7" t="s">
        <v>47</v>
      </c>
      <c r="K14" s="7" t="s">
        <v>54</v>
      </c>
      <c r="L14" s="10" t="s">
        <v>63</v>
      </c>
      <c r="M14" s="7" t="s">
        <v>117</v>
      </c>
      <c r="N14" s="8" t="n">
        <v>6</v>
      </c>
      <c r="O14" s="8" t="n">
        <v>1</v>
      </c>
      <c r="P14" s="8" t="n">
        <v>1</v>
      </c>
      <c r="Q14" s="8" t="n">
        <v>11</v>
      </c>
      <c r="R14" s="8" t="n">
        <v>0</v>
      </c>
      <c r="S14" s="8" t="n">
        <v>0</v>
      </c>
      <c r="T14" s="8" t="n">
        <v>104</v>
      </c>
      <c r="U14" s="11" t="n">
        <f aca="false">O14*4 + P14*2 + MAX(0,N14-O14-P14)*1 + Q14*0.2 + R14*2 + S14*1 + IF(T14="",0,IF(T14&lt;=10,8,IF(T14&lt;=50,6,IF(T14&lt;=100,4,2))))</f>
        <v>14.2</v>
      </c>
      <c r="V14" s="7" t="s">
        <v>118</v>
      </c>
      <c r="W14" s="12" t="s">
        <v>119</v>
      </c>
      <c r="X14" s="13"/>
      <c r="Y14" s="13" t="s">
        <v>120</v>
      </c>
    </row>
    <row r="15" customFormat="false" ht="15.75" hidden="false" customHeight="true" outlineLevel="0" collapsed="false">
      <c r="A15" s="7" t="s">
        <v>121</v>
      </c>
      <c r="B15" s="8" t="n">
        <v>1962</v>
      </c>
      <c r="C15" s="8" t="s">
        <v>122</v>
      </c>
      <c r="D15" s="8" t="n">
        <v>133</v>
      </c>
      <c r="E15" s="7" t="s">
        <v>123</v>
      </c>
      <c r="F15" s="8" t="n">
        <v>8.6</v>
      </c>
      <c r="G15" s="8"/>
      <c r="H15" s="9" t="n">
        <v>93309</v>
      </c>
      <c r="I15" s="7" t="s">
        <v>124</v>
      </c>
      <c r="J15" s="7" t="s">
        <v>47</v>
      </c>
      <c r="K15" s="7" t="s">
        <v>125</v>
      </c>
      <c r="L15" s="10" t="s">
        <v>126</v>
      </c>
      <c r="M15" s="7" t="s">
        <v>127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13" t="n">
        <v>0</v>
      </c>
      <c r="T15" s="8"/>
      <c r="U15" s="11" t="n">
        <f aca="false">O15*4 + P15*2 + MAX(0,N15-O15-P15)*1 + Q15*0.2 + R15*2 + S15*1 + IF(T15="",0,IF(T15&lt;=10,8,IF(T15&lt;=50,6,IF(T15&lt;=100,4,2))))</f>
        <v>0</v>
      </c>
      <c r="V15" s="7" t="s">
        <v>128</v>
      </c>
      <c r="W15" s="12" t="s">
        <v>58</v>
      </c>
      <c r="X15" s="13"/>
      <c r="Y15" s="13" t="s">
        <v>129</v>
      </c>
    </row>
    <row r="16" customFormat="false" ht="15.75" hidden="false" customHeight="true" outlineLevel="0" collapsed="false">
      <c r="A16" s="7" t="s">
        <v>130</v>
      </c>
      <c r="B16" s="8" t="n">
        <v>1992</v>
      </c>
      <c r="C16" s="8" t="s">
        <v>26</v>
      </c>
      <c r="D16" s="8" t="n">
        <v>99</v>
      </c>
      <c r="E16" s="7" t="s">
        <v>53</v>
      </c>
      <c r="F16" s="8" t="n">
        <v>8.2</v>
      </c>
      <c r="G16" s="8" t="n">
        <v>8</v>
      </c>
      <c r="H16" s="9" t="n">
        <v>1178280</v>
      </c>
      <c r="I16" s="7" t="s">
        <v>46</v>
      </c>
      <c r="J16" s="7" t="s">
        <v>131</v>
      </c>
      <c r="K16" s="7" t="s">
        <v>132</v>
      </c>
      <c r="L16" s="10" t="s">
        <v>133</v>
      </c>
      <c r="M16" s="7" t="s">
        <v>134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13" t="n">
        <v>0</v>
      </c>
      <c r="T16" s="8"/>
      <c r="U16" s="11" t="n">
        <f aca="false">O16*4 + P16*2 + MAX(0,N16-O16-P16)*1 + Q16*0.2 + R16*2 + S16*1 + IF(T16="",0,IF(T16&lt;=10,8,IF(T16&lt;=50,6,IF(T16&lt;=100,4,2))))</f>
        <v>0</v>
      </c>
      <c r="V16" s="7" t="s">
        <v>135</v>
      </c>
      <c r="W16" s="12"/>
      <c r="X16" s="13"/>
      <c r="Y16" s="13" t="s">
        <v>136</v>
      </c>
    </row>
    <row r="17" customFormat="false" ht="15.75" hidden="false" customHeight="true" outlineLevel="0" collapsed="false">
      <c r="A17" s="7" t="s">
        <v>137</v>
      </c>
      <c r="B17" s="8" t="n">
        <v>2002</v>
      </c>
      <c r="C17" s="8" t="s">
        <v>35</v>
      </c>
      <c r="D17" s="8" t="n">
        <v>130</v>
      </c>
      <c r="E17" s="7" t="s">
        <v>138</v>
      </c>
      <c r="F17" s="8" t="n">
        <v>8.6</v>
      </c>
      <c r="G17" s="8" t="n">
        <v>10</v>
      </c>
      <c r="H17" s="9" t="n">
        <v>878822</v>
      </c>
      <c r="I17" s="7" t="s">
        <v>139</v>
      </c>
      <c r="J17" s="7" t="s">
        <v>47</v>
      </c>
      <c r="K17" s="7" t="s">
        <v>54</v>
      </c>
      <c r="L17" s="10" t="s">
        <v>140</v>
      </c>
      <c r="M17" s="7" t="s">
        <v>141</v>
      </c>
      <c r="N17" s="8" t="n">
        <v>0</v>
      </c>
      <c r="O17" s="8" t="n">
        <v>0</v>
      </c>
      <c r="P17" s="8" t="n">
        <v>0</v>
      </c>
      <c r="Q17" s="8" t="n">
        <v>4</v>
      </c>
      <c r="R17" s="8" t="n">
        <v>0</v>
      </c>
      <c r="S17" s="8" t="n">
        <v>0</v>
      </c>
      <c r="T17" s="8"/>
      <c r="U17" s="11" t="n">
        <f aca="false">O17*4 + P17*2 + MAX(0,N17-O17-P17)*1 + Q17*0.2 + R17*2 + S17*1 + IF(T17="",0,IF(T17&lt;=10,8,IF(T17&lt;=50,6,IF(T17&lt;=100,4,2))))</f>
        <v>0.8</v>
      </c>
      <c r="V17" s="7" t="s">
        <v>142</v>
      </c>
      <c r="W17" s="12" t="s">
        <v>143</v>
      </c>
      <c r="X17" s="13"/>
      <c r="Y17" s="13" t="s">
        <v>144</v>
      </c>
    </row>
    <row r="18" customFormat="false" ht="15.75" hidden="false" customHeight="true" outlineLevel="0" collapsed="false">
      <c r="A18" s="7" t="s">
        <v>145</v>
      </c>
      <c r="B18" s="8" t="n">
        <v>1960</v>
      </c>
      <c r="C18" s="8" t="s">
        <v>122</v>
      </c>
      <c r="D18" s="8" t="n">
        <v>109</v>
      </c>
      <c r="E18" s="7" t="s">
        <v>146</v>
      </c>
      <c r="F18" s="8" t="n">
        <v>8.5</v>
      </c>
      <c r="G18" s="8" t="n">
        <v>8</v>
      </c>
      <c r="H18" s="9" t="n">
        <v>791672</v>
      </c>
      <c r="I18" s="7" t="s">
        <v>46</v>
      </c>
      <c r="J18" s="7" t="s">
        <v>147</v>
      </c>
      <c r="K18" s="7" t="s">
        <v>125</v>
      </c>
      <c r="L18" s="10"/>
      <c r="M18" s="7" t="s">
        <v>148</v>
      </c>
      <c r="N18" s="8" t="n">
        <v>0</v>
      </c>
      <c r="O18" s="8" t="n">
        <v>0</v>
      </c>
      <c r="P18" s="8" t="n">
        <v>0</v>
      </c>
      <c r="Q18" s="8" t="n">
        <v>4</v>
      </c>
      <c r="R18" s="8" t="n">
        <v>0</v>
      </c>
      <c r="S18" s="8" t="n">
        <v>0</v>
      </c>
      <c r="T18" s="8" t="n">
        <v>31</v>
      </c>
      <c r="U18" s="11" t="n">
        <f aca="false">O18*4 + P18*2 + MAX(0,N18-O18-P18)*1 + Q18*0.2 + R18*2 + S18*1 + IF(T18="",0,IF(T18&lt;=10,8,IF(T18&lt;=50,6,IF(T18&lt;=100,4,2))))</f>
        <v>6.8</v>
      </c>
      <c r="V18" s="7" t="s">
        <v>149</v>
      </c>
      <c r="W18" s="12"/>
      <c r="X18" s="13"/>
      <c r="Y18" s="13" t="s">
        <v>150</v>
      </c>
    </row>
    <row r="19" customFormat="false" ht="15.75" hidden="false" customHeight="true" outlineLevel="0" collapsed="false">
      <c r="A19" s="7" t="s">
        <v>151</v>
      </c>
      <c r="B19" s="8" t="n">
        <v>1987</v>
      </c>
      <c r="C19" s="8" t="s">
        <v>109</v>
      </c>
      <c r="D19" s="8" t="n">
        <v>116</v>
      </c>
      <c r="E19" s="7" t="s">
        <v>152</v>
      </c>
      <c r="F19" s="8" t="n">
        <v>8.2</v>
      </c>
      <c r="G19" s="8"/>
      <c r="H19" s="9" t="n">
        <v>856754</v>
      </c>
      <c r="I19" s="7" t="s">
        <v>153</v>
      </c>
      <c r="J19" s="7" t="s">
        <v>154</v>
      </c>
      <c r="K19" s="7" t="s">
        <v>47</v>
      </c>
      <c r="L19" s="10" t="s">
        <v>155</v>
      </c>
      <c r="M19" s="7" t="s">
        <v>156</v>
      </c>
      <c r="N19" s="8" t="n">
        <v>0</v>
      </c>
      <c r="O19" s="8" t="n">
        <v>0</v>
      </c>
      <c r="P19" s="8" t="n">
        <v>0</v>
      </c>
      <c r="Q19" s="8" t="n">
        <v>1</v>
      </c>
      <c r="R19" s="8" t="n">
        <v>0</v>
      </c>
      <c r="S19" s="8" t="n">
        <v>0</v>
      </c>
      <c r="T19" s="8"/>
      <c r="U19" s="11" t="n">
        <f aca="false">O19*4 + P19*2 + MAX(0,N19-O19-P19)*1 + Q19*0.2 + R19*2 + S19*1 + IF(T19="",0,IF(T19&lt;=10,8,IF(T19&lt;=50,6,IF(T19&lt;=100,4,2))))</f>
        <v>0.2</v>
      </c>
      <c r="V19" s="7" t="s">
        <v>157</v>
      </c>
      <c r="W19" s="12"/>
      <c r="X19" s="13"/>
      <c r="Y19" s="13" t="s">
        <v>158</v>
      </c>
    </row>
    <row r="20" customFormat="false" ht="15.75" hidden="false" customHeight="true" outlineLevel="0" collapsed="false">
      <c r="A20" s="7" t="s">
        <v>159</v>
      </c>
      <c r="B20" s="8" t="n">
        <v>2000</v>
      </c>
      <c r="C20" s="8" t="s">
        <v>35</v>
      </c>
      <c r="D20" s="8" t="n">
        <v>102</v>
      </c>
      <c r="E20" s="7" t="s">
        <v>160</v>
      </c>
      <c r="F20" s="8" t="n">
        <v>8.3</v>
      </c>
      <c r="G20" s="8"/>
      <c r="H20" s="9" t="n">
        <v>981736</v>
      </c>
      <c r="I20" s="7" t="s">
        <v>46</v>
      </c>
      <c r="J20" s="7" t="s">
        <v>47</v>
      </c>
      <c r="K20" s="7"/>
      <c r="L20" s="10" t="s">
        <v>161</v>
      </c>
      <c r="M20" s="7" t="s">
        <v>162</v>
      </c>
      <c r="N20" s="8" t="n">
        <v>0</v>
      </c>
      <c r="O20" s="8" t="n">
        <v>0</v>
      </c>
      <c r="P20" s="8" t="n">
        <v>0</v>
      </c>
      <c r="Q20" s="8" t="n">
        <v>1</v>
      </c>
      <c r="R20" s="8" t="n">
        <v>0</v>
      </c>
      <c r="S20" s="8" t="n">
        <v>0</v>
      </c>
      <c r="T20" s="8"/>
      <c r="U20" s="11" t="n">
        <f aca="false">O20*4 + P20*2 + MAX(0,N20-O20-P20)*1 + Q20*0.2 + R20*2 + S20*1 + IF(T20="",0,IF(T20&lt;=10,8,IF(T20&lt;=50,6,IF(T20&lt;=100,4,2))))</f>
        <v>0.2</v>
      </c>
      <c r="V20" s="7"/>
      <c r="W20" s="12"/>
      <c r="X20" s="13"/>
      <c r="Y20" s="13" t="s">
        <v>163</v>
      </c>
    </row>
    <row r="21" customFormat="false" ht="15.75" hidden="false" customHeight="true" outlineLevel="0" collapsed="false">
      <c r="A21" s="7" t="s">
        <v>164</v>
      </c>
      <c r="B21" s="8" t="n">
        <v>1976</v>
      </c>
      <c r="C21" s="8" t="s">
        <v>61</v>
      </c>
      <c r="D21" s="8" t="n">
        <v>114</v>
      </c>
      <c r="E21" s="7" t="s">
        <v>165</v>
      </c>
      <c r="F21" s="8" t="n">
        <v>8.2</v>
      </c>
      <c r="G21" s="8" t="n">
        <v>8</v>
      </c>
      <c r="H21" s="9" t="n">
        <v>1037580</v>
      </c>
      <c r="I21" s="7" t="s">
        <v>46</v>
      </c>
      <c r="J21" s="7" t="s">
        <v>47</v>
      </c>
      <c r="K21" s="7" t="s">
        <v>54</v>
      </c>
      <c r="L21" s="10" t="s">
        <v>166</v>
      </c>
      <c r="M21" s="7" t="s">
        <v>167</v>
      </c>
      <c r="N21" s="8" t="n">
        <v>0</v>
      </c>
      <c r="O21" s="8" t="n">
        <v>0</v>
      </c>
      <c r="P21" s="8" t="n">
        <v>0</v>
      </c>
      <c r="Q21" s="8" t="n">
        <v>4</v>
      </c>
      <c r="R21" s="8" t="n">
        <v>1</v>
      </c>
      <c r="S21" s="8" t="n">
        <v>0</v>
      </c>
      <c r="T21" s="8" t="n">
        <v>29</v>
      </c>
      <c r="U21" s="11" t="n">
        <f aca="false">O21*4 + P21*2 + MAX(0,N21-O21-P21)*1 + Q21*0.2 + R21*2 + S21*1 + IF(T21="",0,IF(T21&lt;=10,8,IF(T21&lt;=50,6,IF(T21&lt;=100,4,2))))</f>
        <v>8.8</v>
      </c>
      <c r="V21" s="7" t="s">
        <v>168</v>
      </c>
      <c r="W21" s="12" t="s">
        <v>169</v>
      </c>
      <c r="X21" s="13"/>
      <c r="Y21" s="13" t="s">
        <v>170</v>
      </c>
    </row>
    <row r="22" customFormat="false" ht="15.75" hidden="false" customHeight="true" outlineLevel="0" collapsed="false">
      <c r="A22" s="7" t="s">
        <v>171</v>
      </c>
      <c r="B22" s="8" t="n">
        <v>2001</v>
      </c>
      <c r="C22" s="8" t="s">
        <v>35</v>
      </c>
      <c r="D22" s="8" t="n">
        <v>135</v>
      </c>
      <c r="E22" s="7" t="s">
        <v>172</v>
      </c>
      <c r="F22" s="8" t="n">
        <v>8.2</v>
      </c>
      <c r="G22" s="8"/>
      <c r="H22" s="9" t="n">
        <v>1060822</v>
      </c>
      <c r="I22" s="7" t="s">
        <v>46</v>
      </c>
      <c r="J22" s="7" t="s">
        <v>47</v>
      </c>
      <c r="K22" s="7" t="s">
        <v>125</v>
      </c>
      <c r="L22" s="10"/>
      <c r="M22" s="7" t="s">
        <v>173</v>
      </c>
      <c r="N22" s="8" t="n">
        <v>4</v>
      </c>
      <c r="O22" s="8" t="n">
        <v>1</v>
      </c>
      <c r="P22" s="8" t="n">
        <v>1</v>
      </c>
      <c r="Q22" s="8" t="n">
        <v>8</v>
      </c>
      <c r="R22" s="8" t="n">
        <v>0</v>
      </c>
      <c r="S22" s="8" t="n">
        <v>1</v>
      </c>
      <c r="T22" s="8"/>
      <c r="U22" s="11" t="n">
        <f aca="false">O22*4 + P22*2 + MAX(0,N22-O22-P22)*1 + Q22*0.2 + R22*2 + S22*1 + IF(T22="",0,IF(T22&lt;=10,8,IF(T22&lt;=50,6,IF(T22&lt;=100,4,2))))</f>
        <v>10.6</v>
      </c>
      <c r="V22" s="7"/>
      <c r="W22" s="12"/>
      <c r="X22" s="13"/>
      <c r="Y22" s="13" t="s">
        <v>174</v>
      </c>
    </row>
    <row r="23" customFormat="false" ht="15.75" hidden="false" customHeight="true" outlineLevel="0" collapsed="false">
      <c r="A23" s="7" t="s">
        <v>175</v>
      </c>
      <c r="B23" s="8" t="n">
        <v>2010</v>
      </c>
      <c r="C23" s="8" t="s">
        <v>176</v>
      </c>
      <c r="D23" s="8" t="n">
        <v>108</v>
      </c>
      <c r="E23" s="7" t="s">
        <v>160</v>
      </c>
      <c r="F23" s="8" t="n">
        <v>8</v>
      </c>
      <c r="G23" s="8"/>
      <c r="H23" s="9" t="n">
        <v>895252</v>
      </c>
      <c r="I23" s="7" t="s">
        <v>46</v>
      </c>
      <c r="J23" s="7" t="s">
        <v>131</v>
      </c>
      <c r="K23" s="7" t="s">
        <v>47</v>
      </c>
      <c r="L23" s="10" t="s">
        <v>177</v>
      </c>
      <c r="M23" s="7" t="s">
        <v>178</v>
      </c>
      <c r="N23" s="8" t="n">
        <v>1</v>
      </c>
      <c r="O23" s="8" t="n">
        <v>0</v>
      </c>
      <c r="P23" s="8" t="n">
        <v>0</v>
      </c>
      <c r="Q23" s="8" t="n">
        <v>5</v>
      </c>
      <c r="R23" s="8" t="n">
        <v>0</v>
      </c>
      <c r="S23" s="8" t="n">
        <v>0</v>
      </c>
      <c r="T23" s="8"/>
      <c r="U23" s="11" t="n">
        <f aca="false">O23*4 + P23*2 + MAX(0,N23-O23-P23)*1 + Q23*0.2 + R23*2 + S23*1 + IF(T23="",0,IF(T23&lt;=10,8,IF(T23&lt;=50,6,IF(T23&lt;=100,4,2))))</f>
        <v>2</v>
      </c>
      <c r="V23" s="7"/>
      <c r="W23" s="12"/>
      <c r="X23" s="13"/>
      <c r="Y23" s="13" t="s">
        <v>179</v>
      </c>
    </row>
    <row r="24" customFormat="false" ht="15.75" hidden="false" customHeight="true" outlineLevel="0" collapsed="false">
      <c r="A24" s="7" t="s">
        <v>180</v>
      </c>
      <c r="B24" s="8" t="n">
        <v>1990</v>
      </c>
      <c r="C24" s="8" t="s">
        <v>26</v>
      </c>
      <c r="D24" s="8" t="n">
        <v>145</v>
      </c>
      <c r="E24" s="7" t="s">
        <v>165</v>
      </c>
      <c r="F24" s="8" t="n">
        <v>8.7</v>
      </c>
      <c r="G24" s="8" t="n">
        <v>8</v>
      </c>
      <c r="H24" s="9" t="n">
        <v>1406721</v>
      </c>
      <c r="I24" s="7" t="s">
        <v>46</v>
      </c>
      <c r="J24" s="7" t="s">
        <v>47</v>
      </c>
      <c r="K24" s="7" t="s">
        <v>54</v>
      </c>
      <c r="L24" s="10" t="s">
        <v>155</v>
      </c>
      <c r="M24" s="7" t="s">
        <v>181</v>
      </c>
      <c r="N24" s="8" t="n">
        <v>1</v>
      </c>
      <c r="O24" s="8" t="n">
        <v>0</v>
      </c>
      <c r="P24" s="8" t="n">
        <v>0</v>
      </c>
      <c r="Q24" s="8" t="n">
        <v>6</v>
      </c>
      <c r="R24" s="8" t="n">
        <v>0</v>
      </c>
      <c r="S24" s="8" t="n">
        <v>0</v>
      </c>
      <c r="T24" s="8" t="n">
        <v>63</v>
      </c>
      <c r="U24" s="11" t="n">
        <f aca="false">O24*4 + P24*2 + MAX(0,N24-O24-P24)*1 + Q24*0.2 + R24*2 + S24*1 + IF(T24="",0,IF(T24&lt;=10,8,IF(T24&lt;=50,6,IF(T24&lt;=100,4,2))))</f>
        <v>6.2</v>
      </c>
      <c r="V24" s="7" t="s">
        <v>182</v>
      </c>
      <c r="W24" s="12" t="s">
        <v>183</v>
      </c>
      <c r="X24" s="13"/>
      <c r="Y24" s="13" t="s">
        <v>184</v>
      </c>
    </row>
    <row r="25" customFormat="false" ht="15.75" hidden="false" customHeight="true" outlineLevel="0" collapsed="false">
      <c r="A25" s="7" t="s">
        <v>185</v>
      </c>
      <c r="B25" s="8" t="n">
        <v>1960</v>
      </c>
      <c r="C25" s="8" t="s">
        <v>122</v>
      </c>
      <c r="D25" s="8" t="n">
        <v>125</v>
      </c>
      <c r="E25" s="7" t="s">
        <v>186</v>
      </c>
      <c r="F25" s="8" t="n">
        <v>8.3</v>
      </c>
      <c r="G25" s="8"/>
      <c r="H25" s="9" t="n">
        <v>222306</v>
      </c>
      <c r="I25" s="7" t="s">
        <v>46</v>
      </c>
      <c r="J25" s="7" t="s">
        <v>29</v>
      </c>
      <c r="K25" s="7" t="s">
        <v>30</v>
      </c>
      <c r="L25" s="10" t="s">
        <v>187</v>
      </c>
      <c r="M25" s="7" t="s">
        <v>188</v>
      </c>
      <c r="N25" s="8" t="n">
        <v>5</v>
      </c>
      <c r="O25" s="8" t="n">
        <v>1</v>
      </c>
      <c r="P25" s="8" t="n">
        <v>1</v>
      </c>
      <c r="Q25" s="8" t="n">
        <v>10</v>
      </c>
      <c r="R25" s="8" t="n">
        <v>0</v>
      </c>
      <c r="S25" s="8" t="n">
        <v>1</v>
      </c>
      <c r="T25" s="8" t="n">
        <v>54</v>
      </c>
      <c r="U25" s="11" t="n">
        <f aca="false">O25*4 + P25*2 + MAX(0,N25-O25-P25)*1 + Q25*0.2 + R25*2 + S25*1 + IF(T25="",0,IF(T25&lt;=10,8,IF(T25&lt;=50,6,IF(T25&lt;=100,4,2))))</f>
        <v>16</v>
      </c>
      <c r="V25" s="7" t="s">
        <v>189</v>
      </c>
      <c r="W25" s="12" t="s">
        <v>58</v>
      </c>
      <c r="X25" s="13"/>
      <c r="Y25" s="13" t="s">
        <v>190</v>
      </c>
    </row>
    <row r="26" customFormat="false" ht="15.75" hidden="false" customHeight="true" outlineLevel="0" collapsed="false">
      <c r="A26" s="7" t="s">
        <v>191</v>
      </c>
      <c r="B26" s="8" t="n">
        <v>1984</v>
      </c>
      <c r="C26" s="8" t="s">
        <v>109</v>
      </c>
      <c r="D26" s="8" t="n">
        <v>118</v>
      </c>
      <c r="E26" s="7" t="s">
        <v>45</v>
      </c>
      <c r="F26" s="8" t="n">
        <v>7.5</v>
      </c>
      <c r="G26" s="8"/>
      <c r="H26" s="9" t="n">
        <v>572243</v>
      </c>
      <c r="I26" s="7" t="s">
        <v>46</v>
      </c>
      <c r="J26" s="7" t="s">
        <v>112</v>
      </c>
      <c r="K26" s="7" t="s">
        <v>39</v>
      </c>
      <c r="L26" s="10" t="s">
        <v>192</v>
      </c>
      <c r="M26" s="7" t="s">
        <v>193</v>
      </c>
      <c r="N26" s="8" t="n">
        <v>1</v>
      </c>
      <c r="O26" s="8" t="n">
        <v>0</v>
      </c>
      <c r="P26" s="8" t="n">
        <v>0</v>
      </c>
      <c r="Q26" s="8" t="n">
        <v>2</v>
      </c>
      <c r="R26" s="8" t="n">
        <v>0</v>
      </c>
      <c r="S26" s="8" t="n">
        <v>0</v>
      </c>
      <c r="T26" s="13"/>
      <c r="U26" s="11" t="n">
        <f aca="false">O26*4 + P26*2 + MAX(0,N26-O26-P26)*1 + Q26*0.2 + R26*2 + S26*1 + IF(T26="",0,IF(T26&lt;=10,8,IF(T26&lt;=50,6,IF(T26&lt;=100,4,2))))</f>
        <v>1.4</v>
      </c>
      <c r="V26" s="7"/>
      <c r="W26" s="12"/>
      <c r="X26" s="13"/>
      <c r="Y26" s="13" t="s">
        <v>194</v>
      </c>
    </row>
    <row r="27" customFormat="false" ht="15.75" hidden="false" customHeight="true" outlineLevel="0" collapsed="false">
      <c r="A27" s="7" t="s">
        <v>195</v>
      </c>
      <c r="B27" s="8" t="n">
        <v>1954</v>
      </c>
      <c r="C27" s="8" t="s">
        <v>196</v>
      </c>
      <c r="D27" s="8" t="n">
        <v>207</v>
      </c>
      <c r="E27" s="7" t="s">
        <v>197</v>
      </c>
      <c r="F27" s="8" t="n">
        <v>8.6</v>
      </c>
      <c r="G27" s="8" t="n">
        <v>8</v>
      </c>
      <c r="H27" s="9" t="n">
        <v>406042</v>
      </c>
      <c r="I27" s="7" t="s">
        <v>124</v>
      </c>
      <c r="J27" s="7" t="s">
        <v>112</v>
      </c>
      <c r="K27" s="7" t="s">
        <v>47</v>
      </c>
      <c r="L27" s="10" t="s">
        <v>198</v>
      </c>
      <c r="M27" s="7" t="s">
        <v>199</v>
      </c>
      <c r="N27" s="8" t="n">
        <v>0</v>
      </c>
      <c r="O27" s="8" t="n">
        <v>0</v>
      </c>
      <c r="P27" s="8" t="n">
        <v>0</v>
      </c>
      <c r="Q27" s="8" t="n">
        <v>2</v>
      </c>
      <c r="R27" s="8" t="n">
        <v>0</v>
      </c>
      <c r="S27" s="8" t="n">
        <v>0</v>
      </c>
      <c r="T27" s="8" t="n">
        <v>20</v>
      </c>
      <c r="U27" s="11" t="n">
        <f aca="false">O27*4 + P27*2 + MAX(0,N27-O27-P27)*1 + Q27*0.2 + R27*2 + S27*1 + IF(T27="",0,IF(T27&lt;=10,8,IF(T27&lt;=50,6,IF(T27&lt;=100,4,2))))</f>
        <v>6.4</v>
      </c>
      <c r="V27" s="7" t="s">
        <v>200</v>
      </c>
      <c r="W27" s="12" t="s">
        <v>201</v>
      </c>
      <c r="X27" s="13"/>
      <c r="Y27" s="13" t="s">
        <v>202</v>
      </c>
    </row>
    <row r="28" customFormat="false" ht="15.75" hidden="false" customHeight="true" outlineLevel="0" collapsed="false">
      <c r="A28" s="7" t="s">
        <v>203</v>
      </c>
      <c r="B28" s="8" t="n">
        <v>1975</v>
      </c>
      <c r="C28" s="8" t="s">
        <v>61</v>
      </c>
      <c r="D28" s="8" t="n">
        <v>133</v>
      </c>
      <c r="E28" s="7" t="s">
        <v>204</v>
      </c>
      <c r="F28" s="8" t="n">
        <v>8.6</v>
      </c>
      <c r="G28" s="8" t="n">
        <v>7</v>
      </c>
      <c r="H28" s="9" t="n">
        <v>1163711</v>
      </c>
      <c r="I28" s="7" t="s">
        <v>46</v>
      </c>
      <c r="J28" s="7" t="s">
        <v>47</v>
      </c>
      <c r="K28" s="7"/>
      <c r="L28" s="10" t="s">
        <v>205</v>
      </c>
      <c r="M28" s="7" t="s">
        <v>206</v>
      </c>
      <c r="N28" s="8" t="n">
        <v>5</v>
      </c>
      <c r="O28" s="8" t="n">
        <v>1</v>
      </c>
      <c r="P28" s="8" t="n">
        <v>1</v>
      </c>
      <c r="Q28" s="8" t="n">
        <v>9</v>
      </c>
      <c r="R28" s="8" t="n">
        <v>0</v>
      </c>
      <c r="S28" s="8" t="n">
        <v>1</v>
      </c>
      <c r="T28" s="8"/>
      <c r="U28" s="11" t="n">
        <f aca="false">O28*4 + P28*2 + MAX(0,N28-O28-P28)*1 + Q28*0.2 + R28*2 + S28*1 + IF(T28="",0,IF(T28&lt;=10,8,IF(T28&lt;=50,6,IF(T28&lt;=100,4,2))))</f>
        <v>11.8</v>
      </c>
      <c r="V28" s="7" t="s">
        <v>207</v>
      </c>
      <c r="W28" s="12"/>
      <c r="X28" s="13"/>
      <c r="Y28" s="13" t="s">
        <v>208</v>
      </c>
    </row>
    <row r="29" customFormat="false" ht="15.75" hidden="false" customHeight="true" outlineLevel="0" collapsed="false">
      <c r="A29" s="7" t="s">
        <v>209</v>
      </c>
      <c r="B29" s="8" t="n">
        <v>1999</v>
      </c>
      <c r="C29" s="8" t="s">
        <v>26</v>
      </c>
      <c r="D29" s="8" t="n">
        <v>189</v>
      </c>
      <c r="E29" s="7" t="s">
        <v>68</v>
      </c>
      <c r="F29" s="8" t="n">
        <v>8.6</v>
      </c>
      <c r="G29" s="8"/>
      <c r="H29" s="9" t="n">
        <v>1578084</v>
      </c>
      <c r="I29" s="7" t="s">
        <v>46</v>
      </c>
      <c r="J29" s="7" t="s">
        <v>38</v>
      </c>
      <c r="K29" s="7" t="s">
        <v>54</v>
      </c>
      <c r="L29" s="10" t="s">
        <v>210</v>
      </c>
      <c r="M29" s="7" t="s">
        <v>211</v>
      </c>
      <c r="N29" s="8" t="n">
        <v>0</v>
      </c>
      <c r="O29" s="8" t="n">
        <v>0</v>
      </c>
      <c r="P29" s="8" t="n">
        <v>0</v>
      </c>
      <c r="Q29" s="8" t="n">
        <v>4</v>
      </c>
      <c r="R29" s="8" t="n">
        <v>0</v>
      </c>
      <c r="S29" s="8" t="n">
        <v>0</v>
      </c>
      <c r="T29" s="8"/>
      <c r="U29" s="11" t="n">
        <f aca="false">O29*4 + P29*2 + MAX(0,N29-O29-P29)*1 + Q29*0.2 + R29*2 + S29*1 + IF(T29="",0,IF(T29&lt;=10,8,IF(T29&lt;=50,6,IF(T29&lt;=100,4,2))))</f>
        <v>0.8</v>
      </c>
      <c r="V29" s="7"/>
      <c r="W29" s="12"/>
      <c r="X29" s="13"/>
      <c r="Y29" s="13" t="s">
        <v>212</v>
      </c>
    </row>
    <row r="30" customFormat="false" ht="15.75" hidden="false" customHeight="true" outlineLevel="0" collapsed="false">
      <c r="A30" s="7" t="s">
        <v>213</v>
      </c>
      <c r="B30" s="8" t="n">
        <v>1979</v>
      </c>
      <c r="C30" s="8" t="s">
        <v>61</v>
      </c>
      <c r="D30" s="8" t="n">
        <v>147</v>
      </c>
      <c r="E30" s="7" t="s">
        <v>62</v>
      </c>
      <c r="F30" s="8" t="n">
        <v>8.4</v>
      </c>
      <c r="G30" s="8"/>
      <c r="H30" s="9" t="n">
        <v>775671</v>
      </c>
      <c r="I30" s="7" t="s">
        <v>46</v>
      </c>
      <c r="J30" s="7" t="s">
        <v>154</v>
      </c>
      <c r="K30" s="7" t="s">
        <v>125</v>
      </c>
      <c r="L30" s="10" t="s">
        <v>205</v>
      </c>
      <c r="M30" s="7" t="s">
        <v>214</v>
      </c>
      <c r="N30" s="8" t="n">
        <v>2</v>
      </c>
      <c r="O30" s="8" t="n">
        <v>0</v>
      </c>
      <c r="P30" s="8" t="n">
        <v>0</v>
      </c>
      <c r="Q30" s="8" t="n">
        <v>8</v>
      </c>
      <c r="R30" s="8" t="n">
        <v>1</v>
      </c>
      <c r="S30" s="8" t="n">
        <v>0</v>
      </c>
      <c r="T30" s="8" t="n">
        <v>19</v>
      </c>
      <c r="U30" s="11" t="n">
        <f aca="false">O30*4 + P30*2 + MAX(0,N30-O30-P30)*1 + Q30*0.2 + R30*2 + S30*1 + IF(T30="",0,IF(T30&lt;=10,8,IF(T30&lt;=50,6,IF(T30&lt;=100,4,2))))</f>
        <v>11.6</v>
      </c>
      <c r="V30" s="7" t="s">
        <v>215</v>
      </c>
      <c r="W30" s="12" t="s">
        <v>201</v>
      </c>
      <c r="X30" s="13"/>
      <c r="Y30" s="13" t="s">
        <v>216</v>
      </c>
    </row>
    <row r="31" customFormat="false" ht="15.75" hidden="false" customHeight="true" outlineLevel="0" collapsed="false">
      <c r="A31" s="7" t="s">
        <v>217</v>
      </c>
      <c r="B31" s="8" t="n">
        <v>1960</v>
      </c>
      <c r="C31" s="8" t="s">
        <v>122</v>
      </c>
      <c r="D31" s="8" t="n">
        <v>131</v>
      </c>
      <c r="E31" s="7" t="s">
        <v>218</v>
      </c>
      <c r="F31" s="8" t="n">
        <v>8.5</v>
      </c>
      <c r="G31" s="8"/>
      <c r="H31" s="9" t="n">
        <v>24017</v>
      </c>
      <c r="I31" s="7" t="s">
        <v>219</v>
      </c>
      <c r="J31" s="7" t="s">
        <v>131</v>
      </c>
      <c r="K31" s="7" t="s">
        <v>54</v>
      </c>
      <c r="L31" s="10" t="s">
        <v>220</v>
      </c>
      <c r="M31" s="7" t="s">
        <v>221</v>
      </c>
      <c r="N31" s="8" t="n">
        <v>0</v>
      </c>
      <c r="O31" s="8" t="n">
        <v>0</v>
      </c>
      <c r="P31" s="8" t="n">
        <v>0</v>
      </c>
      <c r="Q31" s="8" t="n">
        <v>0</v>
      </c>
      <c r="R31" s="13" t="n">
        <v>0</v>
      </c>
      <c r="S31" s="13" t="n">
        <v>0</v>
      </c>
      <c r="T31" s="13"/>
      <c r="U31" s="11" t="n">
        <f aca="false">O31*4 + P31*2 + MAX(0,N31-O31-P31)*1 + Q31*0.2 + R31*2 + S31*1 + IF(T31="",0,IF(T31&lt;=10,8,IF(T31&lt;=50,6,IF(T31&lt;=100,4,2))))</f>
        <v>0</v>
      </c>
      <c r="V31" s="7" t="s">
        <v>222</v>
      </c>
      <c r="W31" s="12"/>
      <c r="X31" s="13"/>
      <c r="Y31" s="13" t="s">
        <v>223</v>
      </c>
    </row>
    <row r="32" customFormat="false" ht="15.75" hidden="false" customHeight="true" outlineLevel="0" collapsed="false">
      <c r="A32" s="7" t="s">
        <v>224</v>
      </c>
      <c r="B32" s="8" t="n">
        <v>1995</v>
      </c>
      <c r="C32" s="8" t="s">
        <v>26</v>
      </c>
      <c r="D32" s="8" t="n">
        <v>127</v>
      </c>
      <c r="E32" s="7" t="s">
        <v>225</v>
      </c>
      <c r="F32" s="8" t="n">
        <v>8.6</v>
      </c>
      <c r="G32" s="8" t="n">
        <v>9</v>
      </c>
      <c r="H32" s="9" t="n">
        <v>2048370</v>
      </c>
      <c r="I32" s="7" t="s">
        <v>46</v>
      </c>
      <c r="J32" s="7" t="s">
        <v>47</v>
      </c>
      <c r="K32" s="7" t="s">
        <v>54</v>
      </c>
      <c r="L32" s="10" t="s">
        <v>226</v>
      </c>
      <c r="M32" s="7" t="s">
        <v>227</v>
      </c>
      <c r="N32" s="8" t="n">
        <v>0</v>
      </c>
      <c r="O32" s="8" t="n">
        <v>0</v>
      </c>
      <c r="P32" s="8" t="n">
        <v>0</v>
      </c>
      <c r="Q32" s="8" t="n">
        <v>1</v>
      </c>
      <c r="R32" s="8" t="n">
        <v>0</v>
      </c>
      <c r="S32" s="8" t="n">
        <v>0</v>
      </c>
      <c r="T32" s="8"/>
      <c r="U32" s="11" t="n">
        <f aca="false">O32*4 + P32*2 + MAX(0,N32-O32-P32)*1 + Q32*0.2 + R32*2 + S32*1 + IF(T32="",0,IF(T32&lt;=10,8,IF(T32&lt;=50,6,IF(T32&lt;=100,4,2))))</f>
        <v>0.2</v>
      </c>
      <c r="V32" s="7" t="s">
        <v>228</v>
      </c>
      <c r="W32" s="12"/>
      <c r="X32" s="13"/>
      <c r="Y32" s="13" t="s">
        <v>229</v>
      </c>
    </row>
    <row r="33" customFormat="false" ht="15.75" hidden="false" customHeight="true" outlineLevel="0" collapsed="false">
      <c r="A33" s="7" t="s">
        <v>230</v>
      </c>
      <c r="B33" s="8" t="n">
        <v>2004</v>
      </c>
      <c r="C33" s="8" t="s">
        <v>35</v>
      </c>
      <c r="D33" s="8" t="n">
        <v>126</v>
      </c>
      <c r="E33" s="7" t="s">
        <v>231</v>
      </c>
      <c r="F33" s="8" t="n">
        <v>7.9</v>
      </c>
      <c r="G33" s="8"/>
      <c r="H33" s="9" t="n">
        <v>89284</v>
      </c>
      <c r="I33" s="7" t="s">
        <v>232</v>
      </c>
      <c r="J33" s="7" t="s">
        <v>47</v>
      </c>
      <c r="K33" s="7" t="s">
        <v>48</v>
      </c>
      <c r="L33" s="10" t="s">
        <v>233</v>
      </c>
      <c r="M33" s="7" t="s">
        <v>234</v>
      </c>
      <c r="N33" s="8" t="n">
        <v>1</v>
      </c>
      <c r="O33" s="8" t="n">
        <v>0</v>
      </c>
      <c r="P33" s="8" t="n">
        <v>0</v>
      </c>
      <c r="Q33" s="8" t="n">
        <v>2</v>
      </c>
      <c r="R33" s="8" t="n">
        <v>0</v>
      </c>
      <c r="S33" s="8" t="n">
        <v>0</v>
      </c>
      <c r="T33" s="8"/>
      <c r="U33" s="11" t="n">
        <f aca="false">O33*4 + P33*2 + MAX(0,N33-O33-P33)*1 + Q33*0.2 + R33*2 + S33*1 + IF(T33="",0,IF(T33&lt;=10,8,IF(T33&lt;=50,6,IF(T33&lt;=100,4,2))))</f>
        <v>1.4</v>
      </c>
      <c r="V33" s="7"/>
      <c r="W33" s="12"/>
      <c r="X33" s="13"/>
      <c r="Y33" s="13" t="s">
        <v>235</v>
      </c>
    </row>
    <row r="34" customFormat="false" ht="15.75" hidden="false" customHeight="true" outlineLevel="0" collapsed="false">
      <c r="A34" s="7" t="s">
        <v>236</v>
      </c>
      <c r="B34" s="8" t="n">
        <v>1973</v>
      </c>
      <c r="C34" s="8" t="s">
        <v>61</v>
      </c>
      <c r="D34" s="8" t="n">
        <v>129</v>
      </c>
      <c r="E34" s="7" t="s">
        <v>237</v>
      </c>
      <c r="F34" s="8" t="n">
        <v>8.2</v>
      </c>
      <c r="G34" s="8"/>
      <c r="H34" s="9" t="n">
        <v>304623</v>
      </c>
      <c r="I34" s="7" t="s">
        <v>46</v>
      </c>
      <c r="J34" s="7" t="s">
        <v>30</v>
      </c>
      <c r="K34" s="7" t="s">
        <v>54</v>
      </c>
      <c r="L34" s="10" t="s">
        <v>238</v>
      </c>
      <c r="M34" s="7" t="s">
        <v>239</v>
      </c>
      <c r="N34" s="8" t="n">
        <v>7</v>
      </c>
      <c r="O34" s="8" t="n">
        <v>1</v>
      </c>
      <c r="P34" s="8" t="n">
        <v>1</v>
      </c>
      <c r="Q34" s="8" t="n">
        <v>10</v>
      </c>
      <c r="R34" s="8" t="n">
        <v>0</v>
      </c>
      <c r="S34" s="8" t="n">
        <v>0</v>
      </c>
      <c r="T34" s="8"/>
      <c r="U34" s="11" t="n">
        <f aca="false">O34*4 + P34*2 + MAX(0,N34-O34-P34)*1 + Q34*0.2 + R34*2 + S34*1 + IF(T34="",0,IF(T34&lt;=10,8,IF(T34&lt;=50,6,IF(T34&lt;=100,4,2))))</f>
        <v>13</v>
      </c>
      <c r="V34" s="7" t="s">
        <v>240</v>
      </c>
      <c r="W34" s="12"/>
      <c r="X34" s="13"/>
      <c r="Y34" s="13" t="s">
        <v>241</v>
      </c>
    </row>
    <row r="35" customFormat="false" ht="15.75" hidden="false" customHeight="true" outlineLevel="0" collapsed="false">
      <c r="A35" s="7" t="s">
        <v>242</v>
      </c>
      <c r="B35" s="8" t="n">
        <v>1942</v>
      </c>
      <c r="C35" s="8" t="s">
        <v>243</v>
      </c>
      <c r="D35" s="8" t="n">
        <v>102</v>
      </c>
      <c r="E35" s="7" t="s">
        <v>244</v>
      </c>
      <c r="F35" s="8" t="n">
        <v>8.5</v>
      </c>
      <c r="G35" s="8"/>
      <c r="H35" s="9" t="n">
        <v>659159</v>
      </c>
      <c r="I35" s="7" t="s">
        <v>46</v>
      </c>
      <c r="J35" s="7" t="s">
        <v>154</v>
      </c>
      <c r="K35" s="7" t="s">
        <v>245</v>
      </c>
      <c r="L35" s="10"/>
      <c r="M35" s="7" t="s">
        <v>246</v>
      </c>
      <c r="N35" s="8" t="n">
        <v>3</v>
      </c>
      <c r="O35" s="8" t="n">
        <v>1</v>
      </c>
      <c r="P35" s="8" t="n">
        <v>1</v>
      </c>
      <c r="Q35" s="8" t="n">
        <v>8</v>
      </c>
      <c r="R35" s="8" t="n">
        <v>0</v>
      </c>
      <c r="S35" s="8" t="n">
        <v>0</v>
      </c>
      <c r="T35" s="8" t="n">
        <v>63</v>
      </c>
      <c r="U35" s="11" t="n">
        <f aca="false">O35*4 + P35*2 + MAX(0,N35-O35-P35)*1 + Q35*0.2 + R35*2 + S35*1 + IF(T35="",0,IF(T35&lt;=10,8,IF(T35&lt;=50,6,IF(T35&lt;=100,4,2))))</f>
        <v>12.6</v>
      </c>
      <c r="V35" s="7" t="s">
        <v>247</v>
      </c>
      <c r="W35" s="12"/>
      <c r="X35" s="13"/>
      <c r="Y35" s="13" t="s">
        <v>248</v>
      </c>
    </row>
    <row r="36" customFormat="false" ht="15.75" hidden="false" customHeight="true" outlineLevel="0" collapsed="false">
      <c r="A36" s="7" t="s">
        <v>249</v>
      </c>
      <c r="B36" s="8" t="n">
        <v>1988</v>
      </c>
      <c r="C36" s="8" t="s">
        <v>109</v>
      </c>
      <c r="D36" s="8" t="n">
        <v>174</v>
      </c>
      <c r="E36" s="7" t="s">
        <v>250</v>
      </c>
      <c r="F36" s="8" t="n">
        <v>8.5</v>
      </c>
      <c r="G36" s="8"/>
      <c r="H36" s="9" t="n">
        <v>319465</v>
      </c>
      <c r="I36" s="7" t="s">
        <v>28</v>
      </c>
      <c r="J36" s="7" t="s">
        <v>29</v>
      </c>
      <c r="K36" s="7" t="s">
        <v>251</v>
      </c>
      <c r="L36" s="10" t="s">
        <v>252</v>
      </c>
      <c r="M36" s="7" t="s">
        <v>253</v>
      </c>
      <c r="N36" s="8" t="n">
        <v>1</v>
      </c>
      <c r="O36" s="8" t="n">
        <v>0</v>
      </c>
      <c r="P36" s="8" t="n">
        <v>0</v>
      </c>
      <c r="Q36" s="8" t="n">
        <v>1</v>
      </c>
      <c r="R36" s="8" t="n">
        <v>0</v>
      </c>
      <c r="S36" s="8" t="n">
        <v>0</v>
      </c>
      <c r="T36" s="8"/>
      <c r="U36" s="11" t="n">
        <f aca="false">O36*4 + P36*2 + MAX(0,N36-O36-P36)*1 + Q36*0.2 + R36*2 + S36*1 + IF(T36="",0,IF(T36&lt;=10,8,IF(T36&lt;=50,6,IF(T36&lt;=100,4,2))))</f>
        <v>1.2</v>
      </c>
      <c r="V36" s="7" t="s">
        <v>254</v>
      </c>
      <c r="W36" s="12"/>
      <c r="X36" s="13"/>
      <c r="Y36" s="13" t="s">
        <v>255</v>
      </c>
    </row>
    <row r="37" customFormat="false" ht="15.75" hidden="false" customHeight="true" outlineLevel="0" collapsed="false">
      <c r="A37" s="7" t="s">
        <v>256</v>
      </c>
      <c r="B37" s="8" t="n">
        <v>1984</v>
      </c>
      <c r="C37" s="8" t="s">
        <v>109</v>
      </c>
      <c r="D37" s="8" t="n">
        <v>102</v>
      </c>
      <c r="E37" s="7" t="s">
        <v>257</v>
      </c>
      <c r="F37" s="8" t="n">
        <v>7.3</v>
      </c>
      <c r="G37" s="8"/>
      <c r="H37" s="9" t="n">
        <v>171979</v>
      </c>
      <c r="I37" s="7" t="s">
        <v>258</v>
      </c>
      <c r="J37" s="7" t="s">
        <v>39</v>
      </c>
      <c r="K37" s="7" t="s">
        <v>259</v>
      </c>
      <c r="L37" s="10" t="s">
        <v>260</v>
      </c>
      <c r="M37" s="7" t="s">
        <v>261</v>
      </c>
      <c r="N37" s="8" t="n">
        <v>0</v>
      </c>
      <c r="O37" s="8" t="n">
        <v>0</v>
      </c>
      <c r="P37" s="8" t="n">
        <v>0</v>
      </c>
      <c r="Q37" s="8" t="n">
        <v>0</v>
      </c>
      <c r="R37" s="13" t="n">
        <v>0</v>
      </c>
      <c r="S37" s="13" t="n">
        <v>0</v>
      </c>
      <c r="T37" s="13"/>
      <c r="U37" s="11" t="n">
        <f aca="false">O37*4 + P37*2 + MAX(0,N37-O37-P37)*1 + Q37*0.2 + R37*2 + S37*1 + IF(T37="",0,IF(T37&lt;=10,8,IF(T37&lt;=50,6,IF(T37&lt;=100,4,2))))</f>
        <v>0</v>
      </c>
      <c r="V37" s="7"/>
      <c r="W37" s="12"/>
      <c r="X37" s="13"/>
      <c r="Y37" s="13" t="s">
        <v>262</v>
      </c>
    </row>
    <row r="38" customFormat="false" ht="15.75" hidden="false" customHeight="true" outlineLevel="0" collapsed="false">
      <c r="A38" s="7" t="s">
        <v>263</v>
      </c>
      <c r="B38" s="8" t="n">
        <v>1959</v>
      </c>
      <c r="C38" s="8" t="s">
        <v>196</v>
      </c>
      <c r="D38" s="8" t="n">
        <v>121</v>
      </c>
      <c r="E38" s="7" t="s">
        <v>186</v>
      </c>
      <c r="F38" s="8" t="n">
        <v>8.2</v>
      </c>
      <c r="G38" s="8"/>
      <c r="H38" s="9" t="n">
        <v>306558</v>
      </c>
      <c r="I38" s="7" t="s">
        <v>46</v>
      </c>
      <c r="J38" s="7" t="s">
        <v>90</v>
      </c>
      <c r="K38" s="7" t="s">
        <v>29</v>
      </c>
      <c r="L38" s="10" t="s">
        <v>187</v>
      </c>
      <c r="M38" s="7" t="s">
        <v>264</v>
      </c>
      <c r="N38" s="8" t="n">
        <v>1</v>
      </c>
      <c r="O38" s="8" t="n">
        <v>0</v>
      </c>
      <c r="P38" s="8" t="n">
        <v>0</v>
      </c>
      <c r="Q38" s="8" t="n">
        <v>6</v>
      </c>
      <c r="R38" s="8" t="n">
        <v>0</v>
      </c>
      <c r="S38" s="8" t="n">
        <v>1</v>
      </c>
      <c r="T38" s="8" t="n">
        <v>38</v>
      </c>
      <c r="U38" s="11" t="n">
        <f aca="false">O38*4 + P38*2 + MAX(0,N38-O38-P38)*1 + Q38*0.2 + R38*2 + S38*1 + IF(T38="",0,IF(T38&lt;=10,8,IF(T38&lt;=50,6,IF(T38&lt;=100,4,2))))</f>
        <v>9.2</v>
      </c>
      <c r="V38" s="7" t="s">
        <v>265</v>
      </c>
      <c r="W38" s="12"/>
      <c r="X38" s="13"/>
      <c r="Y38" s="13" t="s">
        <v>266</v>
      </c>
    </row>
    <row r="39" customFormat="false" ht="15.75" hidden="false" customHeight="true" outlineLevel="0" collapsed="false">
      <c r="A39" s="7" t="s">
        <v>267</v>
      </c>
      <c r="B39" s="8" t="n">
        <v>1992</v>
      </c>
      <c r="C39" s="8" t="s">
        <v>26</v>
      </c>
      <c r="D39" s="8" t="n">
        <v>130</v>
      </c>
      <c r="E39" s="7" t="s">
        <v>74</v>
      </c>
      <c r="F39" s="8" t="n">
        <v>8.2</v>
      </c>
      <c r="G39" s="8" t="n">
        <v>8</v>
      </c>
      <c r="H39" s="9" t="n">
        <v>471361</v>
      </c>
      <c r="I39" s="7" t="s">
        <v>46</v>
      </c>
      <c r="J39" s="7" t="s">
        <v>268</v>
      </c>
      <c r="K39" s="7" t="s">
        <v>47</v>
      </c>
      <c r="L39" s="10" t="s">
        <v>210</v>
      </c>
      <c r="M39" s="7" t="s">
        <v>269</v>
      </c>
      <c r="N39" s="8" t="n">
        <v>4</v>
      </c>
      <c r="O39" s="8" t="n">
        <v>1</v>
      </c>
      <c r="P39" s="8" t="n">
        <v>1</v>
      </c>
      <c r="Q39" s="8" t="n">
        <v>9</v>
      </c>
      <c r="R39" s="8" t="n">
        <v>0</v>
      </c>
      <c r="S39" s="8" t="n">
        <v>0</v>
      </c>
      <c r="T39" s="8"/>
      <c r="U39" s="11" t="n">
        <f aca="false">O39*4 + P39*2 + MAX(0,N39-O39-P39)*1 + Q39*0.2 + R39*2 + S39*1 + IF(T39="",0,IF(T39&lt;=10,8,IF(T39&lt;=50,6,IF(T39&lt;=100,4,2))))</f>
        <v>9.8</v>
      </c>
      <c r="V39" s="7" t="s">
        <v>270</v>
      </c>
      <c r="W39" s="12" t="s">
        <v>58</v>
      </c>
      <c r="X39" s="13"/>
      <c r="Y39" s="13" t="s">
        <v>271</v>
      </c>
    </row>
    <row r="40" customFormat="false" ht="15.75" hidden="false" customHeight="true" outlineLevel="0" collapsed="false">
      <c r="A40" s="7" t="s">
        <v>272</v>
      </c>
      <c r="B40" s="8" t="n">
        <v>1983</v>
      </c>
      <c r="C40" s="8" t="s">
        <v>109</v>
      </c>
      <c r="D40" s="8" t="n">
        <v>170</v>
      </c>
      <c r="E40" s="7" t="s">
        <v>273</v>
      </c>
      <c r="F40" s="8" t="n">
        <v>8.3</v>
      </c>
      <c r="G40" s="8" t="n">
        <v>9</v>
      </c>
      <c r="H40" s="9" t="n">
        <v>1029271</v>
      </c>
      <c r="I40" s="7" t="s">
        <v>46</v>
      </c>
      <c r="J40" s="7" t="s">
        <v>47</v>
      </c>
      <c r="K40" s="7" t="s">
        <v>54</v>
      </c>
      <c r="L40" s="10" t="s">
        <v>274</v>
      </c>
      <c r="M40" s="7" t="s">
        <v>275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13" t="n">
        <v>0</v>
      </c>
      <c r="T40" s="8"/>
      <c r="U40" s="11" t="n">
        <f aca="false">O40*4 + P40*2 + MAX(0,N40-O40-P40)*1 + Q40*0.2 + R40*2 + S40*1 + IF(T40="",0,IF(T40&lt;=10,8,IF(T40&lt;=50,6,IF(T40&lt;=100,4,2))))</f>
        <v>0</v>
      </c>
      <c r="V40" s="7" t="s">
        <v>276</v>
      </c>
      <c r="W40" s="12"/>
      <c r="X40" s="13"/>
      <c r="Y40" s="13" t="s">
        <v>277</v>
      </c>
    </row>
    <row r="41" customFormat="false" ht="15.75" hidden="false" customHeight="true" outlineLevel="0" collapsed="false">
      <c r="A41" s="7" t="s">
        <v>278</v>
      </c>
      <c r="B41" s="8" t="n">
        <v>2010</v>
      </c>
      <c r="C41" s="8" t="s">
        <v>176</v>
      </c>
      <c r="D41" s="8" t="n">
        <v>118</v>
      </c>
      <c r="E41" s="7" t="s">
        <v>279</v>
      </c>
      <c r="F41" s="8" t="n">
        <v>8</v>
      </c>
      <c r="G41" s="8"/>
      <c r="H41" s="9" t="n">
        <v>735659</v>
      </c>
      <c r="I41" s="7" t="s">
        <v>280</v>
      </c>
      <c r="J41" s="7" t="s">
        <v>47</v>
      </c>
      <c r="K41" s="7" t="s">
        <v>48</v>
      </c>
      <c r="L41" s="10" t="s">
        <v>281</v>
      </c>
      <c r="M41" s="7" t="s">
        <v>282</v>
      </c>
      <c r="N41" s="8" t="n">
        <v>4</v>
      </c>
      <c r="O41" s="8" t="n">
        <v>1</v>
      </c>
      <c r="P41" s="8" t="n">
        <v>1</v>
      </c>
      <c r="Q41" s="8" t="n">
        <v>12</v>
      </c>
      <c r="R41" s="8" t="n">
        <v>0</v>
      </c>
      <c r="S41" s="8" t="n">
        <v>0</v>
      </c>
      <c r="T41" s="13"/>
      <c r="U41" s="11" t="n">
        <f aca="false">O41*4 + P41*2 + MAX(0,N41-O41-P41)*1 + Q41*0.2 + R41*2 + S41*1 + IF(T41="",0,IF(T41&lt;=10,8,IF(T41&lt;=50,6,IF(T41&lt;=100,4,2))))</f>
        <v>10.4</v>
      </c>
      <c r="V41" s="7"/>
      <c r="W41" s="12"/>
      <c r="X41" s="13"/>
      <c r="Y41" s="13" t="s">
        <v>283</v>
      </c>
    </row>
    <row r="42" customFormat="false" ht="15.75" hidden="false" customHeight="true" outlineLevel="0" collapsed="false">
      <c r="A42" s="7" t="s">
        <v>284</v>
      </c>
      <c r="B42" s="8" t="n">
        <v>1962</v>
      </c>
      <c r="C42" s="8" t="s">
        <v>122</v>
      </c>
      <c r="D42" s="8" t="n">
        <v>123</v>
      </c>
      <c r="E42" s="7" t="s">
        <v>285</v>
      </c>
      <c r="F42" s="8" t="n">
        <v>8.1</v>
      </c>
      <c r="G42" s="8"/>
      <c r="H42" s="9" t="n">
        <v>89465</v>
      </c>
      <c r="I42" s="7" t="s">
        <v>46</v>
      </c>
      <c r="J42" s="7" t="s">
        <v>268</v>
      </c>
      <c r="K42" s="7" t="s">
        <v>47</v>
      </c>
      <c r="L42" s="10"/>
      <c r="M42" s="7" t="s">
        <v>286</v>
      </c>
      <c r="N42" s="8" t="n">
        <v>0</v>
      </c>
      <c r="O42" s="8" t="n">
        <v>0</v>
      </c>
      <c r="P42" s="8" t="n">
        <v>0</v>
      </c>
      <c r="Q42" s="8" t="n">
        <v>1</v>
      </c>
      <c r="R42" s="8" t="n">
        <v>0</v>
      </c>
      <c r="S42" s="8" t="n">
        <v>0</v>
      </c>
      <c r="T42" s="8" t="n">
        <v>108</v>
      </c>
      <c r="U42" s="11" t="n">
        <f aca="false">O42*4 + P42*2 + MAX(0,N42-O42-P42)*1 + Q42*0.2 + R42*2 + S42*1 + IF(T42="",0,IF(T42&lt;=10,8,IF(T42&lt;=50,6,IF(T42&lt;=100,4,2))))</f>
        <v>2.2</v>
      </c>
      <c r="V42" s="7" t="s">
        <v>287</v>
      </c>
      <c r="W42" s="12" t="s">
        <v>288</v>
      </c>
      <c r="X42" s="13"/>
      <c r="Y42" s="13" t="s">
        <v>289</v>
      </c>
    </row>
    <row r="43" customFormat="false" ht="15.75" hidden="false" customHeight="true" outlineLevel="0" collapsed="false">
      <c r="A43" s="7" t="s">
        <v>290</v>
      </c>
      <c r="B43" s="8" t="n">
        <v>2009</v>
      </c>
      <c r="C43" s="8" t="s">
        <v>35</v>
      </c>
      <c r="D43" s="8" t="n">
        <v>129</v>
      </c>
      <c r="E43" s="7" t="s">
        <v>291</v>
      </c>
      <c r="F43" s="8" t="n">
        <v>8.2</v>
      </c>
      <c r="G43" s="8"/>
      <c r="H43" s="9" t="n">
        <v>244491</v>
      </c>
      <c r="I43" s="7" t="s">
        <v>292</v>
      </c>
      <c r="J43" s="7" t="s">
        <v>29</v>
      </c>
      <c r="K43" s="7" t="s">
        <v>125</v>
      </c>
      <c r="L43" s="10" t="s">
        <v>293</v>
      </c>
      <c r="M43" s="7" t="s">
        <v>294</v>
      </c>
      <c r="N43" s="8" t="n">
        <v>1</v>
      </c>
      <c r="O43" s="8" t="n">
        <v>0</v>
      </c>
      <c r="P43" s="8" t="n">
        <v>0</v>
      </c>
      <c r="Q43" s="8" t="n">
        <v>1</v>
      </c>
      <c r="R43" s="8" t="n">
        <v>0</v>
      </c>
      <c r="S43" s="8" t="n">
        <v>0</v>
      </c>
      <c r="T43" s="8"/>
      <c r="U43" s="11" t="n">
        <f aca="false">O43*4 + P43*2 + MAX(0,N43-O43-P43)*1 + Q43*0.2 + R43*2 + S43*1 + IF(T43="",0,IF(T43&lt;=10,8,IF(T43&lt;=50,6,IF(T43&lt;=100,4,2))))</f>
        <v>1.2</v>
      </c>
      <c r="V43" s="7"/>
      <c r="W43" s="12"/>
      <c r="X43" s="13"/>
      <c r="Y43" s="13" t="s">
        <v>295</v>
      </c>
    </row>
    <row r="44" customFormat="false" ht="15.75" hidden="false" customHeight="true" outlineLevel="0" collapsed="false">
      <c r="A44" s="7" t="s">
        <v>296</v>
      </c>
      <c r="B44" s="8" t="n">
        <v>1990</v>
      </c>
      <c r="C44" s="8" t="s">
        <v>26</v>
      </c>
      <c r="D44" s="8" t="n">
        <v>181</v>
      </c>
      <c r="E44" s="7" t="s">
        <v>297</v>
      </c>
      <c r="F44" s="8" t="n">
        <v>8</v>
      </c>
      <c r="G44" s="8"/>
      <c r="H44" s="9" t="n">
        <v>312300</v>
      </c>
      <c r="I44" s="7" t="s">
        <v>46</v>
      </c>
      <c r="J44" s="7" t="s">
        <v>268</v>
      </c>
      <c r="K44" s="7" t="s">
        <v>39</v>
      </c>
      <c r="L44" s="10" t="s">
        <v>113</v>
      </c>
      <c r="M44" s="7" t="s">
        <v>298</v>
      </c>
      <c r="N44" s="8" t="n">
        <v>7</v>
      </c>
      <c r="O44" s="8" t="n">
        <v>1</v>
      </c>
      <c r="P44" s="8" t="n">
        <v>1</v>
      </c>
      <c r="Q44" s="8" t="n">
        <v>12</v>
      </c>
      <c r="R44" s="8" t="n">
        <v>0</v>
      </c>
      <c r="S44" s="8" t="n">
        <v>1</v>
      </c>
      <c r="T44" s="13"/>
      <c r="U44" s="11" t="n">
        <f aca="false">O44*4 + P44*2 + MAX(0,N44-O44-P44)*1 + Q44*0.2 + R44*2 + S44*1 + IF(T44="",0,IF(T44&lt;=10,8,IF(T44&lt;=50,6,IF(T44&lt;=100,4,2))))</f>
        <v>14.4</v>
      </c>
      <c r="V44" s="7"/>
      <c r="W44" s="12"/>
      <c r="X44" s="13"/>
      <c r="Y44" s="13" t="s">
        <v>299</v>
      </c>
    </row>
    <row r="45" customFormat="false" ht="15.75" hidden="false" customHeight="true" outlineLevel="0" collapsed="false">
      <c r="A45" s="7" t="s">
        <v>300</v>
      </c>
      <c r="B45" s="8" t="n">
        <v>2006</v>
      </c>
      <c r="C45" s="8" t="s">
        <v>35</v>
      </c>
      <c r="D45" s="8" t="n">
        <v>143</v>
      </c>
      <c r="E45" s="7" t="s">
        <v>301</v>
      </c>
      <c r="F45" s="8" t="n">
        <v>7.4</v>
      </c>
      <c r="G45" s="8"/>
      <c r="H45" s="9" t="n">
        <v>330446</v>
      </c>
      <c r="I45" s="7" t="s">
        <v>46</v>
      </c>
      <c r="J45" s="7" t="s">
        <v>47</v>
      </c>
      <c r="K45" s="7"/>
      <c r="L45" s="10"/>
      <c r="M45" s="7" t="s">
        <v>302</v>
      </c>
      <c r="N45" s="8" t="n">
        <v>1</v>
      </c>
      <c r="O45" s="8" t="n">
        <v>0</v>
      </c>
      <c r="P45" s="8" t="n">
        <v>0</v>
      </c>
      <c r="Q45" s="8" t="n">
        <v>7</v>
      </c>
      <c r="R45" s="8" t="n">
        <v>0</v>
      </c>
      <c r="S45" s="8" t="n">
        <v>1</v>
      </c>
      <c r="T45" s="8"/>
      <c r="U45" s="11" t="n">
        <f aca="false">O45*4 + P45*2 + MAX(0,N45-O45-P45)*1 + Q45*0.2 + R45*2 + S45*1 + IF(T45="",0,IF(T45&lt;=10,8,IF(T45&lt;=50,6,IF(T45&lt;=100,4,2))))</f>
        <v>3.4</v>
      </c>
      <c r="V45" s="7"/>
      <c r="W45" s="12"/>
      <c r="X45" s="13"/>
      <c r="Y45" s="13" t="s">
        <v>303</v>
      </c>
    </row>
    <row r="46" customFormat="false" ht="15.75" hidden="false" customHeight="true" outlineLevel="0" collapsed="false">
      <c r="A46" s="7" t="s">
        <v>304</v>
      </c>
      <c r="B46" s="8" t="n">
        <v>1940</v>
      </c>
      <c r="C46" s="8" t="s">
        <v>243</v>
      </c>
      <c r="D46" s="8" t="n">
        <v>125</v>
      </c>
      <c r="E46" s="7" t="s">
        <v>97</v>
      </c>
      <c r="F46" s="8" t="n">
        <v>8.4</v>
      </c>
      <c r="G46" s="8"/>
      <c r="H46" s="9" t="n">
        <v>259744</v>
      </c>
      <c r="I46" s="7" t="s">
        <v>46</v>
      </c>
      <c r="J46" s="7" t="s">
        <v>154</v>
      </c>
      <c r="K46" s="7" t="s">
        <v>30</v>
      </c>
      <c r="L46" s="10" t="s">
        <v>305</v>
      </c>
      <c r="M46" s="7" t="s">
        <v>306</v>
      </c>
      <c r="N46" s="8" t="n">
        <v>0</v>
      </c>
      <c r="O46" s="8" t="n">
        <v>0</v>
      </c>
      <c r="P46" s="8" t="n">
        <v>0</v>
      </c>
      <c r="Q46" s="8" t="n">
        <v>5</v>
      </c>
      <c r="R46" s="8" t="n">
        <v>0</v>
      </c>
      <c r="S46" s="8" t="n">
        <v>0</v>
      </c>
      <c r="T46" s="13"/>
      <c r="U46" s="11" t="n">
        <f aca="false">O46*4 + P46*2 + MAX(0,N46-O46-P46)*1 + Q46*0.2 + R46*2 + S46*1 + IF(T46="",0,IF(T46&lt;=10,8,IF(T46&lt;=50,6,IF(T46&lt;=100,4,2))))</f>
        <v>1</v>
      </c>
      <c r="V46" s="7" t="s">
        <v>307</v>
      </c>
      <c r="W46" s="12"/>
      <c r="X46" s="13"/>
      <c r="Y46" s="13" t="s">
        <v>308</v>
      </c>
    </row>
    <row r="47" customFormat="false" ht="15.75" hidden="false" customHeight="true" outlineLevel="0" collapsed="false">
      <c r="A47" s="7" t="s">
        <v>309</v>
      </c>
      <c r="B47" s="8" t="n">
        <v>2004</v>
      </c>
      <c r="C47" s="8" t="s">
        <v>35</v>
      </c>
      <c r="D47" s="8" t="n">
        <v>97</v>
      </c>
      <c r="E47" s="7" t="s">
        <v>310</v>
      </c>
      <c r="F47" s="8" t="n">
        <v>7.9</v>
      </c>
      <c r="G47" s="8"/>
      <c r="H47" s="9" t="n">
        <v>72607</v>
      </c>
      <c r="I47" s="7" t="s">
        <v>219</v>
      </c>
      <c r="J47" s="7" t="s">
        <v>90</v>
      </c>
      <c r="K47" s="7" t="s">
        <v>47</v>
      </c>
      <c r="L47" s="10" t="s">
        <v>311</v>
      </c>
      <c r="M47" s="7" t="s">
        <v>312</v>
      </c>
      <c r="N47" s="8" t="n">
        <v>0</v>
      </c>
      <c r="O47" s="8" t="n">
        <v>0</v>
      </c>
      <c r="P47" s="8" t="n">
        <v>0</v>
      </c>
      <c r="Q47" s="8" t="n">
        <v>2</v>
      </c>
      <c r="R47" s="8" t="n">
        <v>0</v>
      </c>
      <c r="S47" s="8" t="n">
        <v>0</v>
      </c>
      <c r="T47" s="13"/>
      <c r="U47" s="11" t="n">
        <f aca="false">O47*4 + P47*2 + MAX(0,N47-O47-P47)*1 + Q47*0.2 + R47*2 + S47*1 + IF(T47="",0,IF(T47&lt;=10,8,IF(T47&lt;=50,6,IF(T47&lt;=100,4,2))))</f>
        <v>0.4</v>
      </c>
      <c r="V47" s="7"/>
      <c r="W47" s="12"/>
      <c r="X47" s="13"/>
      <c r="Y47" s="13" t="s">
        <v>313</v>
      </c>
    </row>
    <row r="48" customFormat="false" ht="15.75" hidden="false" customHeight="true" outlineLevel="0" collapsed="false">
      <c r="A48" s="7" t="s">
        <v>314</v>
      </c>
      <c r="B48" s="8" t="n">
        <v>1931</v>
      </c>
      <c r="C48" s="8" t="s">
        <v>96</v>
      </c>
      <c r="D48" s="8" t="n">
        <v>99</v>
      </c>
      <c r="E48" s="7" t="s">
        <v>315</v>
      </c>
      <c r="F48" s="8" t="n">
        <v>8.3</v>
      </c>
      <c r="G48" s="8"/>
      <c r="H48" s="9" t="n">
        <v>183925</v>
      </c>
      <c r="I48" s="7" t="s">
        <v>258</v>
      </c>
      <c r="J48" s="7" t="s">
        <v>131</v>
      </c>
      <c r="K48" s="7" t="s">
        <v>54</v>
      </c>
      <c r="L48" s="10" t="s">
        <v>316</v>
      </c>
      <c r="M48" s="7" t="s">
        <v>317</v>
      </c>
      <c r="N48" s="8" t="n">
        <v>0</v>
      </c>
      <c r="O48" s="8" t="n">
        <v>0</v>
      </c>
      <c r="P48" s="8" t="n">
        <v>0</v>
      </c>
      <c r="Q48" s="8" t="n">
        <v>0</v>
      </c>
      <c r="R48" s="13" t="n">
        <v>0</v>
      </c>
      <c r="S48" s="13" t="n">
        <v>0</v>
      </c>
      <c r="T48" s="8" t="n">
        <v>36</v>
      </c>
      <c r="U48" s="11" t="n">
        <f aca="false">O48*4 + P48*2 + MAX(0,N48-O48-P48)*1 + Q48*0.2 + R48*2 + S48*1 + IF(T48="",0,IF(T48&lt;=10,8,IF(T48&lt;=50,6,IF(T48&lt;=100,4,2))))</f>
        <v>6</v>
      </c>
      <c r="V48" s="7" t="s">
        <v>318</v>
      </c>
      <c r="W48" s="12"/>
      <c r="X48" s="13"/>
      <c r="Y48" s="13" t="s">
        <v>319</v>
      </c>
    </row>
    <row r="49" customFormat="false" ht="15.75" hidden="false" customHeight="true" outlineLevel="0" collapsed="false">
      <c r="A49" s="7" t="s">
        <v>320</v>
      </c>
      <c r="B49" s="8" t="n">
        <v>1993</v>
      </c>
      <c r="C49" s="8" t="s">
        <v>26</v>
      </c>
      <c r="D49" s="8" t="n">
        <v>133</v>
      </c>
      <c r="E49" s="7" t="s">
        <v>321</v>
      </c>
      <c r="F49" s="8" t="n">
        <v>8.1</v>
      </c>
      <c r="G49" s="8" t="n">
        <v>8</v>
      </c>
      <c r="H49" s="9" t="n">
        <v>204157</v>
      </c>
      <c r="I49" s="7" t="s">
        <v>322</v>
      </c>
      <c r="J49" s="7" t="s">
        <v>47</v>
      </c>
      <c r="K49" s="7" t="s">
        <v>54</v>
      </c>
      <c r="L49" s="10"/>
      <c r="M49" s="7" t="s">
        <v>323</v>
      </c>
      <c r="N49" s="8" t="n">
        <v>0</v>
      </c>
      <c r="O49" s="8" t="n">
        <v>0</v>
      </c>
      <c r="P49" s="8" t="n">
        <v>0</v>
      </c>
      <c r="Q49" s="8" t="n">
        <v>7</v>
      </c>
      <c r="R49" s="8" t="n">
        <v>1</v>
      </c>
      <c r="S49" s="8" t="n">
        <v>0</v>
      </c>
      <c r="T49" s="13"/>
      <c r="U49" s="11" t="n">
        <f aca="false">O49*4 + P49*2 + MAX(0,N49-O49-P49)*1 + Q49*0.2 + R49*2 + S49*1 + IF(T49="",0,IF(T49&lt;=10,8,IF(T49&lt;=50,6,IF(T49&lt;=100,4,2))))</f>
        <v>3.4</v>
      </c>
      <c r="V49" s="7" t="s">
        <v>324</v>
      </c>
      <c r="W49" s="12"/>
      <c r="X49" s="13"/>
      <c r="Y49" s="13" t="s">
        <v>325</v>
      </c>
    </row>
    <row r="50" customFormat="false" ht="15.75" hidden="false" customHeight="true" outlineLevel="0" collapsed="false">
      <c r="A50" s="7" t="s">
        <v>326</v>
      </c>
      <c r="B50" s="8" t="n">
        <v>1994</v>
      </c>
      <c r="C50" s="8" t="s">
        <v>26</v>
      </c>
      <c r="D50" s="8" t="n">
        <v>142</v>
      </c>
      <c r="E50" s="7" t="s">
        <v>327</v>
      </c>
      <c r="F50" s="8" t="n">
        <v>8.8</v>
      </c>
      <c r="G50" s="8" t="n">
        <v>9</v>
      </c>
      <c r="H50" s="9" t="n">
        <v>2523836</v>
      </c>
      <c r="I50" s="7" t="s">
        <v>46</v>
      </c>
      <c r="J50" s="7" t="s">
        <v>29</v>
      </c>
      <c r="K50" s="7" t="s">
        <v>328</v>
      </c>
      <c r="L50" s="10"/>
      <c r="M50" s="7" t="s">
        <v>329</v>
      </c>
      <c r="N50" s="8" t="n">
        <v>6</v>
      </c>
      <c r="O50" s="8" t="n">
        <v>1</v>
      </c>
      <c r="P50" s="8" t="n">
        <v>1</v>
      </c>
      <c r="Q50" s="8" t="n">
        <v>13</v>
      </c>
      <c r="R50" s="8" t="n">
        <v>0</v>
      </c>
      <c r="S50" s="8" t="n">
        <v>1</v>
      </c>
      <c r="T50" s="8"/>
      <c r="U50" s="11" t="n">
        <f aca="false">O50*4 + P50*2 + MAX(0,N50-O50-P50)*1 + Q50*0.2 + R50*2 + S50*1 + IF(T50="",0,IF(T50&lt;=10,8,IF(T50&lt;=50,6,IF(T50&lt;=100,4,2))))</f>
        <v>13.6</v>
      </c>
      <c r="V50" s="7" t="s">
        <v>330</v>
      </c>
      <c r="W50" s="12"/>
      <c r="X50" s="13"/>
      <c r="Y50" s="13" t="s">
        <v>331</v>
      </c>
    </row>
    <row r="51" customFormat="false" ht="15.75" hidden="false" customHeight="true" outlineLevel="0" collapsed="false">
      <c r="A51" s="7" t="s">
        <v>332</v>
      </c>
      <c r="B51" s="8" t="n">
        <v>1941</v>
      </c>
      <c r="C51" s="8" t="s">
        <v>243</v>
      </c>
      <c r="D51" s="8" t="n">
        <v>119</v>
      </c>
      <c r="E51" s="7" t="s">
        <v>333</v>
      </c>
      <c r="F51" s="8" t="n">
        <v>8.2</v>
      </c>
      <c r="G51" s="8"/>
      <c r="H51" s="9" t="n">
        <v>495533</v>
      </c>
      <c r="I51" s="7" t="s">
        <v>46</v>
      </c>
      <c r="J51" s="7" t="s">
        <v>47</v>
      </c>
      <c r="K51" s="7" t="s">
        <v>125</v>
      </c>
      <c r="L51" s="10" t="s">
        <v>334</v>
      </c>
      <c r="M51" s="7" t="s">
        <v>335</v>
      </c>
      <c r="N51" s="8" t="n">
        <v>1</v>
      </c>
      <c r="O51" s="8" t="n">
        <v>0</v>
      </c>
      <c r="P51" s="8" t="n">
        <v>0</v>
      </c>
      <c r="Q51" s="8" t="n">
        <v>9</v>
      </c>
      <c r="R51" s="8" t="n">
        <v>0</v>
      </c>
      <c r="S51" s="8" t="n">
        <v>1</v>
      </c>
      <c r="T51" s="8" t="n">
        <v>3</v>
      </c>
      <c r="U51" s="11" t="n">
        <f aca="false">O51*4 + P51*2 + MAX(0,N51-O51-P51)*1 + Q51*0.2 + R51*2 + S51*1 + IF(T51="",0,IF(T51&lt;=10,8,IF(T51&lt;=50,6,IF(T51&lt;=100,4,2))))</f>
        <v>11.8</v>
      </c>
      <c r="V51" s="7" t="s">
        <v>336</v>
      </c>
      <c r="W51" s="12" t="s">
        <v>337</v>
      </c>
      <c r="X51" s="13"/>
      <c r="Y51" s="13" t="s">
        <v>338</v>
      </c>
    </row>
    <row r="52" customFormat="false" ht="15.75" hidden="false" customHeight="true" outlineLevel="0" collapsed="false">
      <c r="A52" s="7" t="s">
        <v>339</v>
      </c>
      <c r="B52" s="8" t="n">
        <v>1991</v>
      </c>
      <c r="C52" s="8" t="s">
        <v>26</v>
      </c>
      <c r="D52" s="8" t="n">
        <v>118</v>
      </c>
      <c r="E52" s="7" t="s">
        <v>340</v>
      </c>
      <c r="F52" s="8" t="n">
        <v>8.6</v>
      </c>
      <c r="G52" s="8" t="n">
        <v>8</v>
      </c>
      <c r="H52" s="9" t="n">
        <v>1741359</v>
      </c>
      <c r="I52" s="7" t="s">
        <v>46</v>
      </c>
      <c r="J52" s="7" t="s">
        <v>147</v>
      </c>
      <c r="K52" s="7" t="s">
        <v>54</v>
      </c>
      <c r="L52" s="10" t="s">
        <v>113</v>
      </c>
      <c r="M52" s="7" t="s">
        <v>341</v>
      </c>
      <c r="N52" s="8" t="n">
        <v>5</v>
      </c>
      <c r="O52" s="8" t="n">
        <v>1</v>
      </c>
      <c r="P52" s="8" t="n">
        <v>1</v>
      </c>
      <c r="Q52" s="8" t="n">
        <v>7</v>
      </c>
      <c r="R52" s="8" t="n">
        <v>0</v>
      </c>
      <c r="S52" s="8" t="n">
        <v>0</v>
      </c>
      <c r="T52" s="8"/>
      <c r="U52" s="11" t="n">
        <f aca="false">O52*4 + P52*2 + MAX(0,N52-O52-P52)*1 + Q52*0.2 + R52*2 + S52*1 + IF(T52="",0,IF(T52&lt;=10,8,IF(T52&lt;=50,6,IF(T52&lt;=100,4,2))))</f>
        <v>10.4</v>
      </c>
      <c r="V52" s="7" t="s">
        <v>342</v>
      </c>
      <c r="W52" s="12"/>
      <c r="X52" s="13"/>
      <c r="Y52" s="13" t="s">
        <v>343</v>
      </c>
    </row>
    <row r="53" customFormat="false" ht="15.75" hidden="false" customHeight="true" outlineLevel="0" collapsed="false">
      <c r="A53" s="7" t="s">
        <v>344</v>
      </c>
      <c r="B53" s="8" t="n">
        <v>1971</v>
      </c>
      <c r="C53" s="8" t="s">
        <v>61</v>
      </c>
      <c r="D53" s="8" t="n">
        <v>136</v>
      </c>
      <c r="E53" s="7" t="s">
        <v>152</v>
      </c>
      <c r="F53" s="8" t="n">
        <v>8.2</v>
      </c>
      <c r="G53" s="8" t="n">
        <v>8</v>
      </c>
      <c r="H53" s="9" t="n">
        <v>942177</v>
      </c>
      <c r="I53" s="7" t="s">
        <v>280</v>
      </c>
      <c r="J53" s="7" t="s">
        <v>111</v>
      </c>
      <c r="K53" s="7" t="s">
        <v>54</v>
      </c>
      <c r="L53" s="10"/>
      <c r="M53" s="7" t="s">
        <v>345</v>
      </c>
      <c r="N53" s="8" t="n">
        <v>0</v>
      </c>
      <c r="O53" s="8" t="n">
        <v>0</v>
      </c>
      <c r="P53" s="8" t="n">
        <v>0</v>
      </c>
      <c r="Q53" s="8" t="n">
        <v>4</v>
      </c>
      <c r="R53" s="8" t="n">
        <v>0</v>
      </c>
      <c r="S53" s="8" t="n">
        <v>0</v>
      </c>
      <c r="T53" s="8" t="n">
        <v>243</v>
      </c>
      <c r="U53" s="11" t="n">
        <f aca="false">O53*4 + P53*2 + MAX(0,N53-O53-P53)*1 + Q53*0.2 + R53*2 + S53*1 + IF(T53="",0,IF(T53&lt;=10,8,IF(T53&lt;=50,6,IF(T53&lt;=100,4,2))))</f>
        <v>2.8</v>
      </c>
      <c r="V53" s="7" t="s">
        <v>346</v>
      </c>
      <c r="W53" s="12"/>
      <c r="X53" s="13"/>
      <c r="Y53" s="13" t="s">
        <v>347</v>
      </c>
    </row>
    <row r="54" customFormat="false" ht="15.75" hidden="false" customHeight="true" outlineLevel="0" collapsed="false">
      <c r="A54" s="7" t="s">
        <v>348</v>
      </c>
      <c r="B54" s="8" t="n">
        <v>1999</v>
      </c>
      <c r="C54" s="8" t="s">
        <v>26</v>
      </c>
      <c r="D54" s="8" t="n">
        <v>101</v>
      </c>
      <c r="E54" s="7" t="s">
        <v>349</v>
      </c>
      <c r="F54" s="8" t="n">
        <v>7.8</v>
      </c>
      <c r="G54" s="8"/>
      <c r="H54" s="9" t="n">
        <v>110415</v>
      </c>
      <c r="I54" s="7" t="s">
        <v>232</v>
      </c>
      <c r="J54" s="7" t="s">
        <v>29</v>
      </c>
      <c r="K54" s="7" t="s">
        <v>30</v>
      </c>
      <c r="L54" s="10" t="s">
        <v>350</v>
      </c>
      <c r="M54" s="7" t="s">
        <v>351</v>
      </c>
      <c r="N54" s="8" t="n">
        <v>1</v>
      </c>
      <c r="O54" s="8" t="n">
        <v>0</v>
      </c>
      <c r="P54" s="8" t="n">
        <v>0</v>
      </c>
      <c r="Q54" s="8" t="n">
        <v>1</v>
      </c>
      <c r="R54" s="8" t="n">
        <v>0</v>
      </c>
      <c r="S54" s="8" t="n">
        <v>0</v>
      </c>
      <c r="T54" s="8" t="n">
        <v>157</v>
      </c>
      <c r="U54" s="11" t="n">
        <f aca="false">O54*4 + P54*2 + MAX(0,N54-O54-P54)*1 + Q54*0.2 + R54*2 + S54*1 + IF(T54="",0,IF(T54&lt;=10,8,IF(T54&lt;=50,6,IF(T54&lt;=100,4,2))))</f>
        <v>3.2</v>
      </c>
      <c r="V54" s="10" t="s">
        <v>352</v>
      </c>
      <c r="W54" s="12"/>
      <c r="X54" s="13"/>
      <c r="Y54" s="13" t="s">
        <v>353</v>
      </c>
    </row>
    <row r="55" customFormat="false" ht="15.75" hidden="false" customHeight="true" outlineLevel="0" collapsed="false">
      <c r="A55" s="7" t="s">
        <v>354</v>
      </c>
      <c r="B55" s="8" t="n">
        <v>2003</v>
      </c>
      <c r="C55" s="8" t="s">
        <v>35</v>
      </c>
      <c r="D55" s="8" t="n">
        <v>121</v>
      </c>
      <c r="E55" s="7" t="s">
        <v>355</v>
      </c>
      <c r="F55" s="8" t="n">
        <v>7.7</v>
      </c>
      <c r="G55" s="8"/>
      <c r="H55" s="9" t="n">
        <v>160564</v>
      </c>
      <c r="I55" s="7" t="s">
        <v>258</v>
      </c>
      <c r="J55" s="7" t="s">
        <v>29</v>
      </c>
      <c r="K55" s="7" t="s">
        <v>30</v>
      </c>
      <c r="L55" s="10" t="s">
        <v>252</v>
      </c>
      <c r="M55" s="7" t="s">
        <v>356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13" t="n">
        <v>0</v>
      </c>
      <c r="T55" s="8"/>
      <c r="U55" s="11" t="n">
        <f aca="false">O55*4 + P55*2 + MAX(0,N55-O55-P55)*1 + Q55*0.2 + R55*2 + S55*1 + IF(T55="",0,IF(T55&lt;=10,8,IF(T55&lt;=50,6,IF(T55&lt;=100,4,2))))</f>
        <v>0</v>
      </c>
      <c r="V55" s="7"/>
      <c r="W55" s="12"/>
      <c r="X55" s="13"/>
      <c r="Y55" s="13" t="s">
        <v>357</v>
      </c>
    </row>
    <row r="56" customFormat="false" ht="15.75" hidden="false" customHeight="true" outlineLevel="0" collapsed="false">
      <c r="A56" s="7" t="s">
        <v>358</v>
      </c>
      <c r="B56" s="8" t="n">
        <v>1980</v>
      </c>
      <c r="C56" s="8" t="s">
        <v>109</v>
      </c>
      <c r="D56" s="8" t="n">
        <v>146</v>
      </c>
      <c r="E56" s="7" t="s">
        <v>152</v>
      </c>
      <c r="F56" s="8" t="n">
        <v>8.4</v>
      </c>
      <c r="G56" s="8" t="n">
        <v>8</v>
      </c>
      <c r="H56" s="9" t="n">
        <v>1238405</v>
      </c>
      <c r="I56" s="7" t="s">
        <v>359</v>
      </c>
      <c r="J56" s="7" t="s">
        <v>147</v>
      </c>
      <c r="K56" s="7" t="s">
        <v>47</v>
      </c>
      <c r="L56" s="10" t="s">
        <v>155</v>
      </c>
      <c r="M56" s="7" t="s">
        <v>360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13" t="n">
        <v>0</v>
      </c>
      <c r="T56" s="8" t="n">
        <v>88</v>
      </c>
      <c r="U56" s="11" t="n">
        <f aca="false">O56*4 + P56*2 + MAX(0,N56-O56-P56)*1 + Q56*0.2 + R56*2 + S56*1 + IF(T56="",0,IF(T56&lt;=10,8,IF(T56&lt;=50,6,IF(T56&lt;=100,4,2))))</f>
        <v>4</v>
      </c>
      <c r="V56" s="7" t="s">
        <v>361</v>
      </c>
      <c r="W56" s="12"/>
      <c r="X56" s="13"/>
      <c r="Y56" s="13" t="s">
        <v>362</v>
      </c>
    </row>
    <row r="57" customFormat="false" ht="15.75" hidden="false" customHeight="true" outlineLevel="0" collapsed="false">
      <c r="A57" s="7" t="s">
        <v>363</v>
      </c>
      <c r="B57" s="8" t="n">
        <v>2006</v>
      </c>
      <c r="C57" s="8" t="s">
        <v>35</v>
      </c>
      <c r="D57" s="8" t="n">
        <v>137</v>
      </c>
      <c r="E57" s="7" t="s">
        <v>364</v>
      </c>
      <c r="F57" s="8" t="n">
        <v>8.4</v>
      </c>
      <c r="G57" s="8"/>
      <c r="H57" s="9" t="n">
        <v>445924</v>
      </c>
      <c r="I57" s="7" t="s">
        <v>258</v>
      </c>
      <c r="J57" s="7" t="s">
        <v>131</v>
      </c>
      <c r="K57" s="7" t="s">
        <v>125</v>
      </c>
      <c r="L57" s="10"/>
      <c r="M57" s="7" t="s">
        <v>365</v>
      </c>
      <c r="N57" s="8" t="n">
        <v>1</v>
      </c>
      <c r="O57" s="8" t="n">
        <v>0</v>
      </c>
      <c r="P57" s="8" t="n">
        <v>0</v>
      </c>
      <c r="Q57" s="8" t="n">
        <v>1</v>
      </c>
      <c r="R57" s="8" t="n">
        <v>0</v>
      </c>
      <c r="S57" s="8" t="n">
        <v>0</v>
      </c>
      <c r="T57" s="13"/>
      <c r="U57" s="11" t="n">
        <f aca="false">O57*4 + P57*2 + MAX(0,N57-O57-P57)*1 + Q57*0.2 + R57*2 + S57*1 + IF(T57="",0,IF(T57&lt;=10,8,IF(T57&lt;=50,6,IF(T57&lt;=100,4,2))))</f>
        <v>1.2</v>
      </c>
      <c r="V57" s="7"/>
      <c r="W57" s="12"/>
      <c r="X57" s="13"/>
      <c r="Y57" s="13" t="s">
        <v>366</v>
      </c>
    </row>
    <row r="58" customFormat="false" ht="15.75" hidden="false" customHeight="true" outlineLevel="0" collapsed="false">
      <c r="A58" s="7" t="s">
        <v>367</v>
      </c>
      <c r="B58" s="8" t="n">
        <v>2000</v>
      </c>
      <c r="C58" s="8" t="s">
        <v>35</v>
      </c>
      <c r="D58" s="8" t="n">
        <v>114</v>
      </c>
      <c r="E58" s="7" t="s">
        <v>368</v>
      </c>
      <c r="F58" s="8" t="n">
        <v>7.9</v>
      </c>
      <c r="G58" s="8"/>
      <c r="H58" s="9" t="n">
        <v>63470</v>
      </c>
      <c r="I58" s="7" t="s">
        <v>292</v>
      </c>
      <c r="J58" s="7" t="s">
        <v>131</v>
      </c>
      <c r="K58" s="7" t="s">
        <v>54</v>
      </c>
      <c r="L58" s="10" t="s">
        <v>369</v>
      </c>
      <c r="M58" s="7" t="s">
        <v>370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13" t="n">
        <v>0</v>
      </c>
      <c r="T58" s="8"/>
      <c r="U58" s="11" t="n">
        <f aca="false">O58*4 + P58*2 + MAX(0,N58-O58-P58)*1 + Q58*0.2 + R58*2 + S58*1 + IF(T58="",0,IF(T58&lt;=10,8,IF(T58&lt;=50,6,IF(T58&lt;=100,4,2))))</f>
        <v>0</v>
      </c>
      <c r="V58" s="7"/>
      <c r="W58" s="12"/>
      <c r="X58" s="13"/>
      <c r="Y58" s="13" t="s">
        <v>371</v>
      </c>
    </row>
    <row r="59" customFormat="false" ht="15.75" hidden="false" customHeight="true" outlineLevel="0" collapsed="false">
      <c r="A59" s="7" t="s">
        <v>372</v>
      </c>
      <c r="B59" s="8" t="n">
        <v>2000</v>
      </c>
      <c r="C59" s="8" t="s">
        <v>35</v>
      </c>
      <c r="D59" s="8" t="n">
        <v>154</v>
      </c>
      <c r="E59" s="7" t="s">
        <v>301</v>
      </c>
      <c r="F59" s="8" t="n">
        <v>8</v>
      </c>
      <c r="G59" s="8"/>
      <c r="H59" s="9" t="n">
        <v>272431</v>
      </c>
      <c r="I59" s="7" t="s">
        <v>373</v>
      </c>
      <c r="J59" s="7" t="s">
        <v>131</v>
      </c>
      <c r="K59" s="7" t="s">
        <v>47</v>
      </c>
      <c r="L59" s="10" t="s">
        <v>374</v>
      </c>
      <c r="M59" s="7" t="s">
        <v>375</v>
      </c>
      <c r="N59" s="8" t="n">
        <v>0</v>
      </c>
      <c r="O59" s="8" t="n">
        <v>0</v>
      </c>
      <c r="P59" s="8" t="n">
        <v>0</v>
      </c>
      <c r="Q59" s="8" t="n">
        <v>1</v>
      </c>
      <c r="R59" s="8" t="n">
        <v>0</v>
      </c>
      <c r="S59" s="8" t="n">
        <v>0</v>
      </c>
      <c r="T59" s="8"/>
      <c r="U59" s="11" t="n">
        <f aca="false">O59*4 + P59*2 + MAX(0,N59-O59-P59)*1 + Q59*0.2 + R59*2 + S59*1 + IF(T59="",0,IF(T59&lt;=10,8,IF(T59&lt;=50,6,IF(T59&lt;=100,4,2))))</f>
        <v>0.2</v>
      </c>
      <c r="V59" s="7"/>
      <c r="W59" s="12"/>
      <c r="X59" s="13"/>
      <c r="Y59" s="13" t="s">
        <v>376</v>
      </c>
    </row>
    <row r="60" customFormat="false" ht="15.75" hidden="false" customHeight="true" outlineLevel="0" collapsed="false">
      <c r="A60" s="7" t="s">
        <v>377</v>
      </c>
      <c r="B60" s="8" t="n">
        <v>2022</v>
      </c>
      <c r="C60" s="8" t="s">
        <v>378</v>
      </c>
      <c r="D60" s="8" t="n">
        <v>137</v>
      </c>
      <c r="E60" s="7" t="s">
        <v>379</v>
      </c>
      <c r="F60" s="8" t="n">
        <v>7.5</v>
      </c>
      <c r="G60" s="8" t="n">
        <v>8</v>
      </c>
      <c r="H60" s="9" t="n">
        <v>26251</v>
      </c>
      <c r="I60" s="7" t="s">
        <v>232</v>
      </c>
      <c r="J60" s="7" t="s">
        <v>131</v>
      </c>
      <c r="K60" s="7" t="s">
        <v>47</v>
      </c>
      <c r="L60" s="10" t="s">
        <v>380</v>
      </c>
      <c r="M60" s="7" t="s">
        <v>381</v>
      </c>
      <c r="N60" s="8" t="n">
        <v>0</v>
      </c>
      <c r="O60" s="8" t="n">
        <v>0</v>
      </c>
      <c r="P60" s="8" t="n">
        <v>0</v>
      </c>
      <c r="Q60" s="8" t="n">
        <v>0</v>
      </c>
      <c r="R60" s="13" t="n">
        <v>0</v>
      </c>
      <c r="S60" s="13" t="n">
        <v>0</v>
      </c>
      <c r="T60" s="13"/>
      <c r="U60" s="11" t="n">
        <f aca="false">O60*4 + P60*2 + MAX(0,N60-O60-P60)*1 + Q60*0.2 + R60*2 + S60*1 + IF(T60="",0,IF(T60&lt;=10,8,IF(T60&lt;=50,6,IF(T60&lt;=100,4,2))))</f>
        <v>0</v>
      </c>
      <c r="V60" s="7"/>
      <c r="W60" s="12"/>
      <c r="X60" s="13"/>
      <c r="Y60" s="13" t="s">
        <v>382</v>
      </c>
    </row>
    <row r="61" customFormat="false" ht="15.75" hidden="false" customHeight="true" outlineLevel="0" collapsed="false">
      <c r="A61" s="7" t="s">
        <v>383</v>
      </c>
      <c r="B61" s="8" t="n">
        <v>1985</v>
      </c>
      <c r="C61" s="8" t="s">
        <v>109</v>
      </c>
      <c r="D61" s="8" t="n">
        <v>114</v>
      </c>
      <c r="E61" s="7" t="s">
        <v>384</v>
      </c>
      <c r="F61" s="8" t="n">
        <v>7.7</v>
      </c>
      <c r="G61" s="8"/>
      <c r="H61" s="9" t="n">
        <v>329357</v>
      </c>
      <c r="I61" s="7" t="s">
        <v>46</v>
      </c>
      <c r="J61" s="7" t="s">
        <v>39</v>
      </c>
      <c r="K61" s="7" t="s">
        <v>259</v>
      </c>
      <c r="L61" s="10" t="s">
        <v>210</v>
      </c>
      <c r="M61" s="7" t="s">
        <v>385</v>
      </c>
      <c r="N61" s="8" t="n">
        <v>0</v>
      </c>
      <c r="O61" s="8" t="n">
        <v>0</v>
      </c>
      <c r="P61" s="8" t="n">
        <v>0</v>
      </c>
      <c r="Q61" s="8" t="n">
        <v>0</v>
      </c>
      <c r="R61" s="13" t="n">
        <v>0</v>
      </c>
      <c r="S61" s="13" t="n">
        <v>0</v>
      </c>
      <c r="T61" s="13"/>
      <c r="U61" s="11" t="n">
        <f aca="false">O61*4 + P61*2 + MAX(0,N61-O61-P61)*1 + Q61*0.2 + R61*2 + S61*1 + IF(T61="",0,IF(T61&lt;=10,8,IF(T61&lt;=50,6,IF(T61&lt;=100,4,2))))</f>
        <v>0</v>
      </c>
      <c r="V61" s="7"/>
      <c r="W61" s="12"/>
      <c r="X61" s="13"/>
      <c r="Y61" s="13" t="s">
        <v>386</v>
      </c>
    </row>
    <row r="62" customFormat="false" ht="15.75" hidden="false" customHeight="true" outlineLevel="0" collapsed="false">
      <c r="A62" s="7" t="s">
        <v>387</v>
      </c>
      <c r="B62" s="8" t="n">
        <v>1977</v>
      </c>
      <c r="C62" s="8" t="s">
        <v>61</v>
      </c>
      <c r="D62" s="8" t="n">
        <v>93</v>
      </c>
      <c r="E62" s="7" t="s">
        <v>388</v>
      </c>
      <c r="F62" s="8" t="n">
        <v>7.9</v>
      </c>
      <c r="G62" s="8"/>
      <c r="H62" s="9" t="n">
        <v>292384</v>
      </c>
      <c r="I62" s="7" t="s">
        <v>46</v>
      </c>
      <c r="J62" s="7" t="s">
        <v>29</v>
      </c>
      <c r="K62" s="7" t="s">
        <v>90</v>
      </c>
      <c r="L62" s="10" t="s">
        <v>187</v>
      </c>
      <c r="M62" s="7" t="s">
        <v>389</v>
      </c>
      <c r="N62" s="8" t="n">
        <v>4</v>
      </c>
      <c r="O62" s="8" t="n">
        <v>1</v>
      </c>
      <c r="P62" s="8" t="n">
        <v>1</v>
      </c>
      <c r="Q62" s="8" t="n">
        <v>5</v>
      </c>
      <c r="R62" s="8" t="n">
        <v>0</v>
      </c>
      <c r="S62" s="8" t="n">
        <v>0</v>
      </c>
      <c r="T62" s="8" t="n">
        <v>243</v>
      </c>
      <c r="U62" s="11" t="n">
        <f aca="false">O62*4 + P62*2 + MAX(0,N62-O62-P62)*1 + Q62*0.2 + R62*2 + S62*1 + IF(T62="",0,IF(T62&lt;=10,8,IF(T62&lt;=50,6,IF(T62&lt;=100,4,2))))</f>
        <v>11</v>
      </c>
      <c r="V62" s="10" t="s">
        <v>390</v>
      </c>
      <c r="W62" s="12"/>
      <c r="X62" s="13"/>
      <c r="Y62" s="13" t="s">
        <v>391</v>
      </c>
    </row>
    <row r="63" customFormat="false" ht="15.75" hidden="false" customHeight="true" outlineLevel="0" collapsed="false">
      <c r="A63" s="7" t="s">
        <v>392</v>
      </c>
      <c r="B63" s="8" t="n">
        <v>1954</v>
      </c>
      <c r="C63" s="8" t="s">
        <v>196</v>
      </c>
      <c r="D63" s="8" t="n">
        <v>112</v>
      </c>
      <c r="E63" s="7" t="s">
        <v>146</v>
      </c>
      <c r="F63" s="8" t="n">
        <v>8.4</v>
      </c>
      <c r="G63" s="8"/>
      <c r="H63" s="9" t="n">
        <v>572257</v>
      </c>
      <c r="I63" s="7" t="s">
        <v>46</v>
      </c>
      <c r="J63" s="7" t="s">
        <v>131</v>
      </c>
      <c r="K63" s="7" t="s">
        <v>125</v>
      </c>
      <c r="L63" s="10" t="s">
        <v>192</v>
      </c>
      <c r="M63" s="7" t="s">
        <v>393</v>
      </c>
      <c r="N63" s="8" t="n">
        <v>0</v>
      </c>
      <c r="O63" s="8" t="n">
        <v>0</v>
      </c>
      <c r="P63" s="8" t="n">
        <v>0</v>
      </c>
      <c r="Q63" s="8" t="n">
        <v>4</v>
      </c>
      <c r="R63" s="8" t="n">
        <v>0</v>
      </c>
      <c r="S63" s="8" t="n">
        <v>0</v>
      </c>
      <c r="T63" s="8" t="n">
        <v>38</v>
      </c>
      <c r="U63" s="11" t="n">
        <f aca="false">O63*4 + P63*2 + MAX(0,N63-O63-P63)*1 + Q63*0.2 + R63*2 + S63*1 + IF(T63="",0,IF(T63&lt;=10,8,IF(T63&lt;=50,6,IF(T63&lt;=100,4,2))))</f>
        <v>6.8</v>
      </c>
      <c r="V63" s="7" t="s">
        <v>394</v>
      </c>
      <c r="W63" s="12" t="s">
        <v>183</v>
      </c>
      <c r="X63" s="13"/>
      <c r="Y63" s="13" t="s">
        <v>395</v>
      </c>
    </row>
    <row r="64" customFormat="false" ht="15.75" hidden="false" customHeight="true" outlineLevel="0" collapsed="false">
      <c r="A64" s="7" t="s">
        <v>396</v>
      </c>
      <c r="B64" s="8" t="n">
        <v>1958</v>
      </c>
      <c r="C64" s="8" t="s">
        <v>196</v>
      </c>
      <c r="D64" s="8" t="n">
        <v>128</v>
      </c>
      <c r="E64" s="7" t="s">
        <v>146</v>
      </c>
      <c r="F64" s="8" t="n">
        <v>8.2</v>
      </c>
      <c r="G64" s="8"/>
      <c r="H64" s="9" t="n">
        <v>461459</v>
      </c>
      <c r="I64" s="7" t="s">
        <v>46</v>
      </c>
      <c r="J64" s="7" t="s">
        <v>131</v>
      </c>
      <c r="K64" s="7" t="s">
        <v>125</v>
      </c>
      <c r="L64" s="10"/>
      <c r="M64" s="7" t="s">
        <v>397</v>
      </c>
      <c r="N64" s="8" t="n">
        <v>0</v>
      </c>
      <c r="O64" s="8" t="n">
        <v>0</v>
      </c>
      <c r="P64" s="8" t="n">
        <v>0</v>
      </c>
      <c r="Q64" s="8" t="n">
        <v>2</v>
      </c>
      <c r="R64" s="8" t="n">
        <v>0</v>
      </c>
      <c r="S64" s="8" t="n">
        <v>0</v>
      </c>
      <c r="T64" s="8" t="n">
        <v>2</v>
      </c>
      <c r="U64" s="11" t="n">
        <f aca="false">O64*4 + P64*2 + MAX(0,N64-O64-P64)*1 + Q64*0.2 + R64*2 + S64*1 + IF(T64="",0,IF(T64&lt;=10,8,IF(T64&lt;=50,6,IF(T64&lt;=100,4,2))))</f>
        <v>8.4</v>
      </c>
      <c r="V64" s="7" t="s">
        <v>398</v>
      </c>
      <c r="W64" s="12" t="s">
        <v>399</v>
      </c>
      <c r="X64" s="13"/>
      <c r="Y64" s="13" t="s">
        <v>400</v>
      </c>
    </row>
    <row r="65" customFormat="false" ht="15.75" hidden="false" customHeight="true" outlineLevel="0" collapsed="false">
      <c r="A65" s="7" t="s">
        <v>401</v>
      </c>
      <c r="B65" s="8" t="n">
        <v>1959</v>
      </c>
      <c r="C65" s="8" t="s">
        <v>196</v>
      </c>
      <c r="D65" s="8" t="n">
        <v>136</v>
      </c>
      <c r="E65" s="7" t="s">
        <v>146</v>
      </c>
      <c r="F65" s="8" t="n">
        <v>8.3</v>
      </c>
      <c r="G65" s="8"/>
      <c r="H65" s="9" t="n">
        <v>370753</v>
      </c>
      <c r="I65" s="7" t="s">
        <v>46</v>
      </c>
      <c r="J65" s="7" t="s">
        <v>39</v>
      </c>
      <c r="K65" s="7" t="s">
        <v>125</v>
      </c>
      <c r="L65" s="10"/>
      <c r="M65" s="7" t="s">
        <v>402</v>
      </c>
      <c r="N65" s="8" t="n">
        <v>0</v>
      </c>
      <c r="O65" s="8" t="n">
        <v>0</v>
      </c>
      <c r="P65" s="8" t="n">
        <v>0</v>
      </c>
      <c r="Q65" s="8" t="n">
        <v>3</v>
      </c>
      <c r="R65" s="8" t="n">
        <v>0</v>
      </c>
      <c r="S65" s="8" t="n">
        <v>0</v>
      </c>
      <c r="T65" s="8" t="n">
        <v>45</v>
      </c>
      <c r="U65" s="11" t="n">
        <f aca="false">O65*4 + P65*2 + MAX(0,N65-O65-P65)*1 + Q65*0.2 + R65*2 + S65*1 + IF(T65="",0,IF(T65&lt;=10,8,IF(T65&lt;=50,6,IF(T65&lt;=100,4,2))))</f>
        <v>6.6</v>
      </c>
      <c r="V65" s="7" t="s">
        <v>403</v>
      </c>
      <c r="W65" s="12"/>
      <c r="X65" s="13"/>
      <c r="Y65" s="13" t="s">
        <v>404</v>
      </c>
    </row>
    <row r="66" customFormat="false" ht="15.75" hidden="false" customHeight="true" outlineLevel="0" collapsed="false">
      <c r="A66" s="7" t="s">
        <v>405</v>
      </c>
      <c r="B66" s="8" t="n">
        <v>1997</v>
      </c>
      <c r="C66" s="8" t="s">
        <v>26</v>
      </c>
      <c r="D66" s="8" t="n">
        <v>119</v>
      </c>
      <c r="E66" s="7" t="s">
        <v>231</v>
      </c>
      <c r="F66" s="8" t="n">
        <v>7.7</v>
      </c>
      <c r="G66" s="8"/>
      <c r="H66" s="9" t="n">
        <v>76252</v>
      </c>
      <c r="I66" s="7" t="s">
        <v>232</v>
      </c>
      <c r="J66" s="7" t="s">
        <v>111</v>
      </c>
      <c r="K66" s="7" t="s">
        <v>125</v>
      </c>
      <c r="L66" s="10" t="s">
        <v>406</v>
      </c>
      <c r="M66" s="7" t="s">
        <v>407</v>
      </c>
      <c r="N66" s="8" t="n">
        <v>0</v>
      </c>
      <c r="O66" s="8" t="n">
        <v>0</v>
      </c>
      <c r="P66" s="8" t="n">
        <v>0</v>
      </c>
      <c r="Q66" s="8" t="n">
        <v>0</v>
      </c>
      <c r="R66" s="13" t="n">
        <v>0</v>
      </c>
      <c r="S66" s="13" t="n">
        <v>0</v>
      </c>
      <c r="T66" s="13"/>
      <c r="U66" s="11" t="n">
        <f aca="false">O66*4 + P66*2 + MAX(0,N66-O66-P66)*1 + Q66*0.2 + R66*2 + S66*1 + IF(T66="",0,IF(T66&lt;=10,8,IF(T66&lt;=50,6,IF(T66&lt;=100,4,2))))</f>
        <v>0</v>
      </c>
      <c r="V66" s="7"/>
      <c r="W66" s="12"/>
      <c r="X66" s="13"/>
      <c r="Y66" s="13" t="s">
        <v>408</v>
      </c>
    </row>
    <row r="67" customFormat="false" ht="15.75" hidden="false" customHeight="true" outlineLevel="0" collapsed="false">
      <c r="A67" s="7" t="s">
        <v>409</v>
      </c>
      <c r="B67" s="8" t="n">
        <v>1957</v>
      </c>
      <c r="C67" s="8" t="s">
        <v>196</v>
      </c>
      <c r="D67" s="8" t="n">
        <v>96</v>
      </c>
      <c r="E67" s="7" t="s">
        <v>410</v>
      </c>
      <c r="F67" s="8" t="n">
        <v>9</v>
      </c>
      <c r="G67" s="8"/>
      <c r="H67" s="9" t="n">
        <v>997731</v>
      </c>
      <c r="I67" s="7" t="s">
        <v>46</v>
      </c>
      <c r="J67" s="7" t="s">
        <v>47</v>
      </c>
      <c r="K67" s="7" t="s">
        <v>54</v>
      </c>
      <c r="L67" s="10" t="s">
        <v>187</v>
      </c>
      <c r="M67" s="7" t="s">
        <v>411</v>
      </c>
      <c r="N67" s="8" t="n">
        <v>0</v>
      </c>
      <c r="O67" s="8" t="n">
        <v>0</v>
      </c>
      <c r="P67" s="8" t="n">
        <v>0</v>
      </c>
      <c r="Q67" s="8" t="n">
        <v>3</v>
      </c>
      <c r="R67" s="8" t="n">
        <v>1</v>
      </c>
      <c r="S67" s="8" t="n">
        <v>0</v>
      </c>
      <c r="T67" s="8"/>
      <c r="U67" s="11" t="n">
        <f aca="false">O67*4 + P67*2 + MAX(0,N67-O67-P67)*1 + Q67*0.2 + R67*2 + S67*1 + IF(T67="",0,IF(T67&lt;=10,8,IF(T67&lt;=50,6,IF(T67&lt;=100,4,2))))</f>
        <v>2.6</v>
      </c>
      <c r="V67" s="7" t="s">
        <v>412</v>
      </c>
      <c r="W67" s="12"/>
      <c r="X67" s="13"/>
      <c r="Y67" s="13" t="s">
        <v>413</v>
      </c>
    </row>
    <row r="68" customFormat="false" ht="15.75" hidden="false" customHeight="true" outlineLevel="0" collapsed="false">
      <c r="A68" s="7" t="s">
        <v>414</v>
      </c>
      <c r="B68" s="8" t="n">
        <v>1990</v>
      </c>
      <c r="C68" s="8" t="s">
        <v>26</v>
      </c>
      <c r="D68" s="8" t="n">
        <v>113</v>
      </c>
      <c r="E68" s="7" t="s">
        <v>415</v>
      </c>
      <c r="F68" s="8" t="n">
        <v>7.5</v>
      </c>
      <c r="G68" s="8"/>
      <c r="H68" s="9" t="n">
        <v>383900</v>
      </c>
      <c r="I68" s="7" t="s">
        <v>46</v>
      </c>
      <c r="J68" s="7" t="s">
        <v>111</v>
      </c>
      <c r="K68" s="7" t="s">
        <v>112</v>
      </c>
      <c r="L68" s="10" t="s">
        <v>416</v>
      </c>
      <c r="M68" s="7" t="s">
        <v>417</v>
      </c>
      <c r="N68" s="8" t="n">
        <v>1</v>
      </c>
      <c r="O68" s="8" t="n">
        <v>0</v>
      </c>
      <c r="P68" s="8" t="n">
        <v>0</v>
      </c>
      <c r="Q68" s="8" t="n">
        <v>3</v>
      </c>
      <c r="R68" s="8" t="n">
        <v>0</v>
      </c>
      <c r="S68" s="8" t="n">
        <v>0</v>
      </c>
      <c r="T68" s="13"/>
      <c r="U68" s="11" t="n">
        <f aca="false">O68*4 + P68*2 + MAX(0,N68-O68-P68)*1 + Q68*0.2 + R68*2 + S68*1 + IF(T68="",0,IF(T68&lt;=10,8,IF(T68&lt;=50,6,IF(T68&lt;=100,4,2))))</f>
        <v>1.6</v>
      </c>
      <c r="V68" s="7"/>
      <c r="W68" s="12"/>
      <c r="X68" s="13"/>
      <c r="Y68" s="13" t="s">
        <v>418</v>
      </c>
    </row>
    <row r="69" customFormat="false" ht="15.75" hidden="false" customHeight="true" outlineLevel="0" collapsed="false">
      <c r="A69" s="7" t="s">
        <v>419</v>
      </c>
      <c r="B69" s="8" t="n">
        <v>2000</v>
      </c>
      <c r="C69" s="8" t="s">
        <v>35</v>
      </c>
      <c r="D69" s="8" t="n">
        <v>110</v>
      </c>
      <c r="E69" s="7" t="s">
        <v>420</v>
      </c>
      <c r="F69" s="8" t="n">
        <v>7.7</v>
      </c>
      <c r="G69" s="8"/>
      <c r="H69" s="9" t="n">
        <v>153278</v>
      </c>
      <c r="I69" s="7" t="s">
        <v>280</v>
      </c>
      <c r="J69" s="7" t="s">
        <v>90</v>
      </c>
      <c r="K69" s="7" t="s">
        <v>47</v>
      </c>
      <c r="L69" s="10" t="s">
        <v>421</v>
      </c>
      <c r="M69" s="7" t="s">
        <v>422</v>
      </c>
      <c r="N69" s="8" t="n">
        <v>0</v>
      </c>
      <c r="O69" s="8" t="n">
        <v>0</v>
      </c>
      <c r="P69" s="8" t="n">
        <v>0</v>
      </c>
      <c r="Q69" s="8" t="n">
        <v>3</v>
      </c>
      <c r="R69" s="8" t="n">
        <v>0</v>
      </c>
      <c r="S69" s="8" t="n">
        <v>0</v>
      </c>
      <c r="T69" s="13"/>
      <c r="U69" s="11" t="n">
        <f aca="false">O69*4 + P69*2 + MAX(0,N69-O69-P69)*1 + Q69*0.2 + R69*2 + S69*1 + IF(T69="",0,IF(T69&lt;=10,8,IF(T69&lt;=50,6,IF(T69&lt;=100,4,2))))</f>
        <v>0.6</v>
      </c>
      <c r="V69" s="7"/>
      <c r="W69" s="12"/>
      <c r="X69" s="13"/>
      <c r="Y69" s="13" t="s">
        <v>423</v>
      </c>
    </row>
    <row r="70" customFormat="false" ht="15.75" hidden="false" customHeight="true" outlineLevel="0" collapsed="false">
      <c r="A70" s="7" t="s">
        <v>424</v>
      </c>
      <c r="B70" s="8" t="n">
        <v>1996</v>
      </c>
      <c r="C70" s="8" t="s">
        <v>26</v>
      </c>
      <c r="D70" s="8" t="n">
        <v>162</v>
      </c>
      <c r="E70" s="7" t="s">
        <v>425</v>
      </c>
      <c r="F70" s="8" t="n">
        <v>7.4</v>
      </c>
      <c r="G70" s="8"/>
      <c r="H70" s="9" t="n">
        <v>214795</v>
      </c>
      <c r="I70" s="7" t="s">
        <v>280</v>
      </c>
      <c r="J70" s="7" t="s">
        <v>154</v>
      </c>
      <c r="K70" s="7" t="s">
        <v>29</v>
      </c>
      <c r="L70" s="10" t="s">
        <v>238</v>
      </c>
      <c r="M70" s="7" t="s">
        <v>426</v>
      </c>
      <c r="N70" s="8" t="n">
        <v>9</v>
      </c>
      <c r="O70" s="8" t="n">
        <v>1</v>
      </c>
      <c r="P70" s="8" t="n">
        <v>1</v>
      </c>
      <c r="Q70" s="8" t="n">
        <v>12</v>
      </c>
      <c r="R70" s="8" t="n">
        <v>0</v>
      </c>
      <c r="S70" s="8" t="n">
        <v>1</v>
      </c>
      <c r="T70" s="13"/>
      <c r="U70" s="11" t="n">
        <f aca="false">O70*4 + P70*2 + MAX(0,N70-O70-P70)*1 + Q70*0.2 + R70*2 + S70*1 + IF(T70="",0,IF(T70&lt;=10,8,IF(T70&lt;=50,6,IF(T70&lt;=100,4,2))))</f>
        <v>16.4</v>
      </c>
      <c r="V70" s="7"/>
      <c r="W70" s="12"/>
      <c r="X70" s="13"/>
      <c r="Y70" s="13" t="s">
        <v>427</v>
      </c>
    </row>
    <row r="71" customFormat="false" ht="15.75" hidden="false" customHeight="true" outlineLevel="0" collapsed="false">
      <c r="A71" s="7" t="s">
        <v>428</v>
      </c>
      <c r="B71" s="8" t="n">
        <v>2003</v>
      </c>
      <c r="C71" s="8" t="s">
        <v>35</v>
      </c>
      <c r="D71" s="8" t="n">
        <v>131</v>
      </c>
      <c r="E71" s="7" t="s">
        <v>429</v>
      </c>
      <c r="F71" s="8" t="n">
        <v>8.1</v>
      </c>
      <c r="G71" s="8" t="n">
        <v>6</v>
      </c>
      <c r="H71" s="9" t="n">
        <v>272827</v>
      </c>
      <c r="I71" s="7" t="s">
        <v>430</v>
      </c>
      <c r="J71" s="7" t="s">
        <v>47</v>
      </c>
      <c r="K71" s="7" t="s">
        <v>54</v>
      </c>
      <c r="L71" s="10" t="s">
        <v>431</v>
      </c>
      <c r="M71" s="7" t="s">
        <v>432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13" t="n">
        <v>0</v>
      </c>
      <c r="T71" s="8"/>
      <c r="U71" s="11" t="n">
        <f aca="false">O71*4 + P71*2 + MAX(0,N71-O71-P71)*1 + Q71*0.2 + R71*2 + S71*1 + IF(T71="",0,IF(T71&lt;=10,8,IF(T71&lt;=50,6,IF(T71&lt;=100,4,2))))</f>
        <v>0</v>
      </c>
      <c r="V71" s="10" t="s">
        <v>433</v>
      </c>
      <c r="W71" s="12"/>
      <c r="X71" s="8" t="n">
        <v>106</v>
      </c>
      <c r="Y71" s="8" t="s">
        <v>434</v>
      </c>
    </row>
    <row r="72" customFormat="false" ht="15.75" hidden="false" customHeight="true" outlineLevel="0" collapsed="false">
      <c r="A72" s="7" t="s">
        <v>435</v>
      </c>
      <c r="B72" s="8" t="n">
        <v>2003</v>
      </c>
      <c r="C72" s="8" t="s">
        <v>35</v>
      </c>
      <c r="D72" s="8" t="n">
        <v>171</v>
      </c>
      <c r="E72" s="7" t="s">
        <v>436</v>
      </c>
      <c r="F72" s="8" t="n">
        <v>8</v>
      </c>
      <c r="G72" s="8"/>
      <c r="H72" s="9" t="n">
        <v>168513</v>
      </c>
      <c r="I72" s="7" t="s">
        <v>437</v>
      </c>
      <c r="J72" s="7" t="s">
        <v>47</v>
      </c>
      <c r="K72" s="7" t="s">
        <v>54</v>
      </c>
      <c r="L72" s="10"/>
      <c r="M72" s="7" t="s">
        <v>438</v>
      </c>
      <c r="N72" s="8" t="n">
        <v>0</v>
      </c>
      <c r="O72" s="8" t="n">
        <v>0</v>
      </c>
      <c r="P72" s="8" t="n">
        <v>0</v>
      </c>
      <c r="Q72" s="8" t="n">
        <v>0</v>
      </c>
      <c r="R72" s="13" t="n">
        <v>0</v>
      </c>
      <c r="S72" s="13" t="n">
        <v>0</v>
      </c>
      <c r="T72" s="13"/>
      <c r="U72" s="11" t="n">
        <f aca="false">O72*4 + P72*2 + MAX(0,N72-O72-P72)*1 + Q72*0.2 + R72*2 + S72*1 + IF(T72="",0,IF(T72&lt;=10,8,IF(T72&lt;=50,6,IF(T72&lt;=100,4,2))))</f>
        <v>0</v>
      </c>
      <c r="V72" s="7"/>
      <c r="W72" s="12"/>
      <c r="X72" s="13"/>
      <c r="Y72" s="13" t="s">
        <v>439</v>
      </c>
    </row>
    <row r="73" customFormat="false" ht="15.75" hidden="false" customHeight="true" outlineLevel="0" collapsed="false">
      <c r="A73" s="7" t="s">
        <v>440</v>
      </c>
      <c r="B73" s="8" t="n">
        <v>1954</v>
      </c>
      <c r="C73" s="8" t="s">
        <v>196</v>
      </c>
      <c r="D73" s="8" t="n">
        <v>105</v>
      </c>
      <c r="E73" s="7" t="s">
        <v>146</v>
      </c>
      <c r="F73" s="8" t="n">
        <v>8.1</v>
      </c>
      <c r="G73" s="8"/>
      <c r="H73" s="9" t="n">
        <v>206369</v>
      </c>
      <c r="I73" s="7" t="s">
        <v>359</v>
      </c>
      <c r="J73" s="7" t="s">
        <v>47</v>
      </c>
      <c r="K73" s="7" t="s">
        <v>54</v>
      </c>
      <c r="L73" s="10"/>
      <c r="M73" s="7" t="s">
        <v>441</v>
      </c>
      <c r="N73" s="8" t="n">
        <v>0</v>
      </c>
      <c r="O73" s="8" t="n">
        <v>0</v>
      </c>
      <c r="P73" s="8" t="n">
        <v>0</v>
      </c>
      <c r="Q73" s="8" t="n">
        <v>0</v>
      </c>
      <c r="R73" s="13" t="n">
        <v>0</v>
      </c>
      <c r="S73" s="13" t="n">
        <v>0</v>
      </c>
      <c r="T73" s="13"/>
      <c r="U73" s="11" t="n">
        <f aca="false">O73*4 + P73*2 + MAX(0,N73-O73-P73)*1 + Q73*0.2 + R73*2 + S73*1 + IF(T73="",0,IF(T73&lt;=10,8,IF(T73&lt;=50,6,IF(T73&lt;=100,4,2))))</f>
        <v>0</v>
      </c>
      <c r="V73" s="7" t="s">
        <v>442</v>
      </c>
      <c r="W73" s="12"/>
      <c r="X73" s="13"/>
      <c r="Y73" s="13" t="s">
        <v>443</v>
      </c>
    </row>
    <row r="74" customFormat="false" ht="15.75" hidden="false" customHeight="true" outlineLevel="0" collapsed="false">
      <c r="A74" s="7" t="s">
        <v>444</v>
      </c>
      <c r="B74" s="8" t="n">
        <v>1966</v>
      </c>
      <c r="C74" s="8" t="s">
        <v>122</v>
      </c>
      <c r="D74" s="8" t="n">
        <v>178</v>
      </c>
      <c r="E74" s="7" t="s">
        <v>445</v>
      </c>
      <c r="F74" s="8" t="n">
        <v>8.8</v>
      </c>
      <c r="G74" s="8" t="n">
        <v>7</v>
      </c>
      <c r="H74" s="9" t="n">
        <v>897462</v>
      </c>
      <c r="I74" s="7" t="s">
        <v>446</v>
      </c>
      <c r="J74" s="7" t="s">
        <v>268</v>
      </c>
      <c r="K74" s="7" t="s">
        <v>39</v>
      </c>
      <c r="L74" s="10" t="s">
        <v>447</v>
      </c>
      <c r="M74" s="7" t="s">
        <v>448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13" t="n">
        <v>0</v>
      </c>
      <c r="T74" s="8" t="n">
        <v>169</v>
      </c>
      <c r="U74" s="11" t="n">
        <f aca="false">O74*4 + P74*2 + MAX(0,N74-O74-P74)*1 + Q74*0.2 + R74*2 + S74*1 + IF(T74="",0,IF(T74&lt;=10,8,IF(T74&lt;=50,6,IF(T74&lt;=100,4,2))))</f>
        <v>2</v>
      </c>
      <c r="V74" s="7" t="s">
        <v>449</v>
      </c>
      <c r="W74" s="12" t="s">
        <v>201</v>
      </c>
      <c r="X74" s="13"/>
      <c r="Y74" s="13" t="s">
        <v>450</v>
      </c>
    </row>
    <row r="75" customFormat="false" ht="15.75" hidden="false" customHeight="true" outlineLevel="0" collapsed="false">
      <c r="A75" s="7" t="s">
        <v>451</v>
      </c>
      <c r="B75" s="8" t="n">
        <v>1998</v>
      </c>
      <c r="C75" s="8" t="s">
        <v>26</v>
      </c>
      <c r="D75" s="8" t="n">
        <v>170</v>
      </c>
      <c r="E75" s="7" t="s">
        <v>452</v>
      </c>
      <c r="F75" s="8" t="n">
        <v>7.6</v>
      </c>
      <c r="G75" s="8"/>
      <c r="H75" s="9" t="n">
        <v>213327</v>
      </c>
      <c r="I75" s="7" t="s">
        <v>46</v>
      </c>
      <c r="J75" s="7" t="s">
        <v>154</v>
      </c>
      <c r="K75" s="7" t="s">
        <v>453</v>
      </c>
      <c r="L75" s="10" t="s">
        <v>177</v>
      </c>
      <c r="M75" s="7" t="s">
        <v>454</v>
      </c>
      <c r="N75" s="8" t="n">
        <v>0</v>
      </c>
      <c r="O75" s="8" t="n">
        <v>0</v>
      </c>
      <c r="P75" s="8" t="n">
        <v>0</v>
      </c>
      <c r="Q75" s="8" t="n">
        <v>7</v>
      </c>
      <c r="R75" s="8" t="n">
        <v>1</v>
      </c>
      <c r="S75" s="8" t="n">
        <v>0</v>
      </c>
      <c r="T75" s="8"/>
      <c r="U75" s="11" t="n">
        <f aca="false">O75*4 + P75*2 + MAX(0,N75-O75-P75)*1 + Q75*0.2 + R75*2 + S75*1 + IF(T75="",0,IF(T75&lt;=10,8,IF(T75&lt;=50,6,IF(T75&lt;=100,4,2))))</f>
        <v>3.4</v>
      </c>
      <c r="V75" s="7"/>
      <c r="W75" s="12"/>
      <c r="X75" s="13"/>
      <c r="Y75" s="13" t="s">
        <v>455</v>
      </c>
    </row>
    <row r="76" customFormat="false" ht="15.75" hidden="false" customHeight="true" outlineLevel="0" collapsed="false">
      <c r="A76" s="7" t="s">
        <v>456</v>
      </c>
      <c r="B76" s="8" t="n">
        <v>1963</v>
      </c>
      <c r="C76" s="8" t="s">
        <v>122</v>
      </c>
      <c r="D76" s="8" t="n">
        <v>172</v>
      </c>
      <c r="E76" s="7" t="s">
        <v>457</v>
      </c>
      <c r="F76" s="8" t="n">
        <v>8.2</v>
      </c>
      <c r="G76" s="8"/>
      <c r="H76" s="9" t="n">
        <v>279289</v>
      </c>
      <c r="I76" s="7" t="s">
        <v>46</v>
      </c>
      <c r="J76" s="7" t="s">
        <v>131</v>
      </c>
      <c r="K76" s="7" t="s">
        <v>39</v>
      </c>
      <c r="L76" s="10" t="s">
        <v>113</v>
      </c>
      <c r="M76" s="7" t="s">
        <v>458</v>
      </c>
      <c r="N76" s="8" t="n">
        <v>0</v>
      </c>
      <c r="O76" s="8" t="n">
        <v>0</v>
      </c>
      <c r="P76" s="8" t="n">
        <v>0</v>
      </c>
      <c r="Q76" s="8" t="n">
        <v>1</v>
      </c>
      <c r="R76" s="8" t="n">
        <v>0</v>
      </c>
      <c r="S76" s="8" t="n">
        <v>0</v>
      </c>
      <c r="T76" s="13"/>
      <c r="U76" s="11" t="n">
        <f aca="false">O76*4 + P76*2 + MAX(0,N76-O76-P76)*1 + Q76*0.2 + R76*2 + S76*1 + IF(T76="",0,IF(T76&lt;=10,8,IF(T76&lt;=50,6,IF(T76&lt;=100,4,2))))</f>
        <v>0.2</v>
      </c>
      <c r="V76" s="7" t="s">
        <v>459</v>
      </c>
      <c r="W76" s="12"/>
      <c r="X76" s="13"/>
      <c r="Y76" s="13" t="s">
        <v>460</v>
      </c>
    </row>
    <row r="77" customFormat="false" ht="15.75" hidden="false" customHeight="true" outlineLevel="0" collapsed="false">
      <c r="A77" s="7" t="s">
        <v>461</v>
      </c>
      <c r="B77" s="8" t="n">
        <v>1997</v>
      </c>
      <c r="C77" s="8" t="s">
        <v>26</v>
      </c>
      <c r="D77" s="8" t="n">
        <v>108</v>
      </c>
      <c r="E77" s="7" t="s">
        <v>462</v>
      </c>
      <c r="F77" s="8" t="n">
        <v>7.5</v>
      </c>
      <c r="G77" s="8" t="n">
        <v>6</v>
      </c>
      <c r="H77" s="9" t="n">
        <v>98812</v>
      </c>
      <c r="I77" s="7" t="s">
        <v>463</v>
      </c>
      <c r="J77" s="7" t="s">
        <v>147</v>
      </c>
      <c r="K77" s="7" t="s">
        <v>464</v>
      </c>
      <c r="L77" s="10" t="s">
        <v>465</v>
      </c>
      <c r="M77" s="7" t="s">
        <v>466</v>
      </c>
      <c r="N77" s="8" t="n">
        <v>0</v>
      </c>
      <c r="O77" s="8" t="n">
        <v>0</v>
      </c>
      <c r="P77" s="8" t="n">
        <v>0</v>
      </c>
      <c r="Q77" s="8" t="n">
        <v>0</v>
      </c>
      <c r="R77" s="13" t="n">
        <v>0</v>
      </c>
      <c r="S77" s="13" t="n">
        <v>0</v>
      </c>
      <c r="T77" s="13"/>
      <c r="U77" s="11" t="n">
        <f aca="false">O77*4 + P77*2 + MAX(0,N77-O77-P77)*1 + Q77*0.2 + R77*2 + S77*1 + IF(T77="",0,IF(T77&lt;=10,8,IF(T77&lt;=50,6,IF(T77&lt;=100,4,2))))</f>
        <v>0</v>
      </c>
      <c r="V77" s="7"/>
      <c r="W77" s="12"/>
      <c r="X77" s="13"/>
      <c r="Y77" s="13" t="s">
        <v>467</v>
      </c>
    </row>
    <row r="78" customFormat="false" ht="15.75" hidden="false" customHeight="true" outlineLevel="0" collapsed="false">
      <c r="A78" s="7" t="s">
        <v>468</v>
      </c>
      <c r="B78" s="8" t="n">
        <v>1987</v>
      </c>
      <c r="C78" s="8" t="s">
        <v>109</v>
      </c>
      <c r="D78" s="8" t="n">
        <v>98</v>
      </c>
      <c r="E78" s="7" t="s">
        <v>469</v>
      </c>
      <c r="F78" s="8" t="n">
        <v>8</v>
      </c>
      <c r="G78" s="8"/>
      <c r="H78" s="9" t="n">
        <v>489538</v>
      </c>
      <c r="I78" s="7" t="s">
        <v>46</v>
      </c>
      <c r="J78" s="7" t="s">
        <v>39</v>
      </c>
      <c r="K78" s="7" t="s">
        <v>259</v>
      </c>
      <c r="L78" s="10" t="s">
        <v>470</v>
      </c>
      <c r="M78" s="7" t="s">
        <v>471</v>
      </c>
      <c r="N78" s="8" t="n">
        <v>0</v>
      </c>
      <c r="O78" s="8" t="n">
        <v>0</v>
      </c>
      <c r="P78" s="8" t="n">
        <v>0</v>
      </c>
      <c r="Q78" s="8" t="n">
        <v>1</v>
      </c>
      <c r="R78" s="8" t="n">
        <v>0</v>
      </c>
      <c r="S78" s="8" t="n">
        <v>0</v>
      </c>
      <c r="T78" s="13"/>
      <c r="U78" s="11" t="n">
        <f aca="false">O78*4 + P78*2 + MAX(0,N78-O78-P78)*1 + Q78*0.2 + R78*2 + S78*1 + IF(T78="",0,IF(T78&lt;=10,8,IF(T78&lt;=50,6,IF(T78&lt;=100,4,2))))</f>
        <v>0.2</v>
      </c>
      <c r="V78" s="7"/>
      <c r="W78" s="12"/>
      <c r="X78" s="13"/>
      <c r="Y78" s="13" t="s">
        <v>472</v>
      </c>
    </row>
    <row r="79" customFormat="false" ht="15.75" hidden="false" customHeight="true" outlineLevel="0" collapsed="false">
      <c r="A79" s="7" t="s">
        <v>473</v>
      </c>
      <c r="B79" s="8" t="n">
        <v>1962</v>
      </c>
      <c r="C79" s="8" t="s">
        <v>122</v>
      </c>
      <c r="D79" s="8" t="n">
        <v>134</v>
      </c>
      <c r="E79" s="7" t="s">
        <v>474</v>
      </c>
      <c r="F79" s="8" t="n">
        <v>8</v>
      </c>
      <c r="G79" s="8"/>
      <c r="H79" s="9" t="n">
        <v>68178</v>
      </c>
      <c r="I79" s="7" t="s">
        <v>46</v>
      </c>
      <c r="J79" s="7" t="s">
        <v>147</v>
      </c>
      <c r="K79" s="7" t="s">
        <v>131</v>
      </c>
      <c r="L79" s="10"/>
      <c r="M79" s="7" t="s">
        <v>475</v>
      </c>
      <c r="N79" s="8" t="n">
        <v>1</v>
      </c>
      <c r="O79" s="8" t="n">
        <v>0</v>
      </c>
      <c r="P79" s="8" t="n">
        <v>0</v>
      </c>
      <c r="Q79" s="8" t="n">
        <v>5</v>
      </c>
      <c r="R79" s="8" t="n">
        <v>0</v>
      </c>
      <c r="S79" s="8" t="n">
        <v>0</v>
      </c>
      <c r="T79" s="13"/>
      <c r="U79" s="11" t="n">
        <f aca="false">O79*4 + P79*2 + MAX(0,N79-O79-P79)*1 + Q79*0.2 + R79*2 + S79*1 + IF(T79="",0,IF(T79&lt;=10,8,IF(T79&lt;=50,6,IF(T79&lt;=100,4,2))))</f>
        <v>2</v>
      </c>
      <c r="V79" s="7" t="s">
        <v>473</v>
      </c>
      <c r="W79" s="12"/>
      <c r="X79" s="13"/>
      <c r="Y79" s="13" t="s">
        <v>476</v>
      </c>
    </row>
    <row r="80" customFormat="false" ht="15.75" hidden="false" customHeight="true" outlineLevel="0" collapsed="false">
      <c r="A80" s="7" t="s">
        <v>477</v>
      </c>
      <c r="B80" s="8" t="n">
        <v>1936</v>
      </c>
      <c r="C80" s="8" t="s">
        <v>96</v>
      </c>
      <c r="D80" s="8" t="n">
        <v>87</v>
      </c>
      <c r="E80" s="7" t="s">
        <v>97</v>
      </c>
      <c r="F80" s="8" t="n">
        <v>8.5</v>
      </c>
      <c r="G80" s="8"/>
      <c r="H80" s="9" t="n">
        <v>287076</v>
      </c>
      <c r="I80" s="7" t="s">
        <v>46</v>
      </c>
      <c r="J80" s="7" t="s">
        <v>29</v>
      </c>
      <c r="K80" s="7" t="s">
        <v>30</v>
      </c>
      <c r="L80" s="10" t="s">
        <v>478</v>
      </c>
      <c r="M80" s="7" t="s">
        <v>479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13" t="n">
        <v>0</v>
      </c>
      <c r="T80" s="8" t="n">
        <v>78</v>
      </c>
      <c r="U80" s="11" t="n">
        <f aca="false">O80*4 + P80*2 + MAX(0,N80-O80-P80)*1 + Q80*0.2 + R80*2 + S80*1 + IF(T80="",0,IF(T80&lt;=10,8,IF(T80&lt;=50,6,IF(T80&lt;=100,4,2))))</f>
        <v>4</v>
      </c>
      <c r="V80" s="7" t="s">
        <v>480</v>
      </c>
      <c r="W80" s="12"/>
      <c r="X80" s="13"/>
      <c r="Y80" s="13" t="s">
        <v>481</v>
      </c>
    </row>
    <row r="81" customFormat="false" ht="15.75" hidden="false" customHeight="true" outlineLevel="0" collapsed="false">
      <c r="A81" s="7" t="s">
        <v>482</v>
      </c>
      <c r="B81" s="8" t="n">
        <v>1945</v>
      </c>
      <c r="C81" s="8" t="s">
        <v>243</v>
      </c>
      <c r="D81" s="8" t="n">
        <v>102</v>
      </c>
      <c r="E81" s="7" t="s">
        <v>315</v>
      </c>
      <c r="F81" s="8" t="n">
        <v>7.7</v>
      </c>
      <c r="G81" s="8"/>
      <c r="H81" s="9" t="n">
        <v>21549</v>
      </c>
      <c r="I81" s="7" t="s">
        <v>46</v>
      </c>
      <c r="J81" s="7" t="s">
        <v>47</v>
      </c>
      <c r="K81" s="7" t="s">
        <v>483</v>
      </c>
      <c r="L81" s="10" t="s">
        <v>484</v>
      </c>
      <c r="M81" s="7" t="s">
        <v>485</v>
      </c>
      <c r="N81" s="8" t="n">
        <v>0</v>
      </c>
      <c r="O81" s="8" t="n">
        <v>0</v>
      </c>
      <c r="P81" s="8" t="n">
        <v>0</v>
      </c>
      <c r="Q81" s="8" t="n">
        <v>0</v>
      </c>
      <c r="R81" s="13" t="n">
        <v>0</v>
      </c>
      <c r="S81" s="13" t="n">
        <v>0</v>
      </c>
      <c r="T81" s="13"/>
      <c r="U81" s="11" t="n">
        <f aca="false">O81*4 + P81*2 + MAX(0,N81-O81-P81)*1 + Q81*0.2 + R81*2 + S81*1 + IF(T81="",0,IF(T81&lt;=10,8,IF(T81&lt;=50,6,IF(T81&lt;=100,4,2))))</f>
        <v>0</v>
      </c>
      <c r="V81" s="7" t="s">
        <v>486</v>
      </c>
      <c r="W81" s="12"/>
      <c r="X81" s="13"/>
      <c r="Y81" s="13" t="s">
        <v>487</v>
      </c>
    </row>
    <row r="82" customFormat="false" ht="15.75" hidden="false" customHeight="true" outlineLevel="0" collapsed="false">
      <c r="A82" s="7" t="s">
        <v>488</v>
      </c>
      <c r="B82" s="8" t="n">
        <v>2000</v>
      </c>
      <c r="C82" s="8" t="s">
        <v>35</v>
      </c>
      <c r="D82" s="8" t="n">
        <v>147</v>
      </c>
      <c r="E82" s="7" t="s">
        <v>489</v>
      </c>
      <c r="F82" s="8" t="n">
        <v>7.5</v>
      </c>
      <c r="G82" s="8" t="n">
        <v>7</v>
      </c>
      <c r="H82" s="9" t="n">
        <v>231618</v>
      </c>
      <c r="I82" s="7" t="s">
        <v>46</v>
      </c>
      <c r="J82" s="7" t="s">
        <v>131</v>
      </c>
      <c r="K82" s="7" t="s">
        <v>54</v>
      </c>
      <c r="L82" s="10" t="s">
        <v>161</v>
      </c>
      <c r="M82" s="7" t="s">
        <v>490</v>
      </c>
      <c r="N82" s="8" t="n">
        <v>4</v>
      </c>
      <c r="O82" s="8" t="n">
        <v>0</v>
      </c>
      <c r="P82" s="8" t="n">
        <v>1</v>
      </c>
      <c r="Q82" s="8" t="n">
        <v>5</v>
      </c>
      <c r="R82" s="8" t="n">
        <v>0</v>
      </c>
      <c r="S82" s="8" t="n">
        <v>0</v>
      </c>
      <c r="T82" s="13"/>
      <c r="U82" s="11" t="n">
        <f aca="false">O82*4 + P82*2 + MAX(0,N82-O82-P82)*1 + Q82*0.2 + R82*2 + S82*1 + IF(T82="",0,IF(T82&lt;=10,8,IF(T82&lt;=50,6,IF(T82&lt;=100,4,2))))</f>
        <v>6</v>
      </c>
      <c r="V82" s="7"/>
      <c r="W82" s="12"/>
      <c r="X82" s="13"/>
      <c r="Y82" s="13" t="s">
        <v>491</v>
      </c>
    </row>
    <row r="83" customFormat="false" ht="15.75" hidden="false" customHeight="true" outlineLevel="0" collapsed="false">
      <c r="A83" s="7" t="s">
        <v>492</v>
      </c>
      <c r="B83" s="8" t="n">
        <v>2002</v>
      </c>
      <c r="C83" s="8" t="s">
        <v>35</v>
      </c>
      <c r="D83" s="8" t="n">
        <v>113</v>
      </c>
      <c r="E83" s="7" t="s">
        <v>493</v>
      </c>
      <c r="F83" s="8" t="n">
        <v>7.5</v>
      </c>
      <c r="G83" s="8"/>
      <c r="H83" s="9" t="n">
        <v>16522</v>
      </c>
      <c r="I83" s="7" t="s">
        <v>232</v>
      </c>
      <c r="J83" s="7" t="s">
        <v>30</v>
      </c>
      <c r="K83" s="7" t="s">
        <v>47</v>
      </c>
      <c r="L83" s="10" t="s">
        <v>205</v>
      </c>
      <c r="M83" s="7" t="s">
        <v>494</v>
      </c>
      <c r="N83" s="8" t="n">
        <v>0</v>
      </c>
      <c r="O83" s="8" t="n">
        <v>0</v>
      </c>
      <c r="P83" s="8" t="n">
        <v>0</v>
      </c>
      <c r="Q83" s="8" t="n">
        <v>0</v>
      </c>
      <c r="R83" s="13" t="n">
        <v>0</v>
      </c>
      <c r="S83" s="13" t="n">
        <v>0</v>
      </c>
      <c r="T83" s="13"/>
      <c r="U83" s="11" t="n">
        <f aca="false">O83*4 + P83*2 + MAX(0,N83-O83-P83)*1 + Q83*0.2 + R83*2 + S83*1 + IF(T83="",0,IF(T83&lt;=10,8,IF(T83&lt;=50,6,IF(T83&lt;=100,4,2))))</f>
        <v>0</v>
      </c>
      <c r="V83" s="7"/>
      <c r="W83" s="12"/>
      <c r="X83" s="13"/>
      <c r="Y83" s="13" t="s">
        <v>495</v>
      </c>
    </row>
    <row r="84" customFormat="false" ht="15.75" hidden="false" customHeight="true" outlineLevel="0" collapsed="false">
      <c r="A84" s="7" t="s">
        <v>496</v>
      </c>
      <c r="B84" s="8" t="n">
        <v>2000</v>
      </c>
      <c r="C84" s="8" t="s">
        <v>35</v>
      </c>
      <c r="D84" s="8" t="n">
        <v>120</v>
      </c>
      <c r="E84" s="7" t="s">
        <v>497</v>
      </c>
      <c r="F84" s="8" t="n">
        <v>7.8</v>
      </c>
      <c r="G84" s="8"/>
      <c r="H84" s="9" t="n">
        <v>296648</v>
      </c>
      <c r="I84" s="7" t="s">
        <v>498</v>
      </c>
      <c r="J84" s="7" t="s">
        <v>112</v>
      </c>
      <c r="K84" s="7" t="s">
        <v>39</v>
      </c>
      <c r="L84" s="10" t="s">
        <v>499</v>
      </c>
      <c r="M84" s="7" t="s">
        <v>500</v>
      </c>
      <c r="N84" s="8" t="n">
        <v>4</v>
      </c>
      <c r="O84" s="8" t="n">
        <v>0</v>
      </c>
      <c r="P84" s="8" t="n">
        <v>0</v>
      </c>
      <c r="Q84" s="8" t="n">
        <v>10</v>
      </c>
      <c r="R84" s="8" t="n">
        <v>0</v>
      </c>
      <c r="S84" s="8" t="n">
        <v>0</v>
      </c>
      <c r="T84" s="13"/>
      <c r="U84" s="11" t="n">
        <f aca="false">O84*4 + P84*2 + MAX(0,N84-O84-P84)*1 + Q84*0.2 + R84*2 + S84*1 + IF(T84="",0,IF(T84&lt;=10,8,IF(T84&lt;=50,6,IF(T84&lt;=100,4,2))))</f>
        <v>6</v>
      </c>
      <c r="V84" s="7"/>
      <c r="W84" s="12"/>
      <c r="X84" s="13"/>
      <c r="Y84" s="13" t="s">
        <v>501</v>
      </c>
    </row>
    <row r="85" customFormat="false" ht="15.75" hidden="false" customHeight="true" outlineLevel="0" collapsed="false">
      <c r="A85" s="7" t="s">
        <v>502</v>
      </c>
      <c r="B85" s="8" t="n">
        <v>2003</v>
      </c>
      <c r="C85" s="8" t="s">
        <v>35</v>
      </c>
      <c r="D85" s="8" t="n">
        <v>138</v>
      </c>
      <c r="E85" s="7" t="s">
        <v>503</v>
      </c>
      <c r="F85" s="8" t="n">
        <v>7.5</v>
      </c>
      <c r="G85" s="8"/>
      <c r="H85" s="9" t="n">
        <v>258421</v>
      </c>
      <c r="I85" s="7" t="s">
        <v>46</v>
      </c>
      <c r="J85" s="7" t="s">
        <v>112</v>
      </c>
      <c r="K85" s="7" t="s">
        <v>39</v>
      </c>
      <c r="L85" s="10" t="s">
        <v>177</v>
      </c>
      <c r="M85" s="7" t="s">
        <v>504</v>
      </c>
      <c r="N85" s="8" t="n">
        <v>2</v>
      </c>
      <c r="O85" s="8" t="n">
        <v>0</v>
      </c>
      <c r="P85" s="8" t="n">
        <v>0</v>
      </c>
      <c r="Q85" s="8" t="n">
        <v>10</v>
      </c>
      <c r="R85" s="8" t="n">
        <v>0</v>
      </c>
      <c r="S85" s="8" t="n">
        <v>0</v>
      </c>
      <c r="T85" s="13"/>
      <c r="U85" s="11" t="n">
        <f aca="false">O85*4 + P85*2 + MAX(0,N85-O85-P85)*1 + Q85*0.2 + R85*2 + S85*1 + IF(T85="",0,IF(T85&lt;=10,8,IF(T85&lt;=50,6,IF(T85&lt;=100,4,2))))</f>
        <v>4</v>
      </c>
      <c r="V85" s="7"/>
      <c r="W85" s="12"/>
      <c r="X85" s="13"/>
      <c r="Y85" s="13" t="s">
        <v>505</v>
      </c>
    </row>
    <row r="86" customFormat="false" ht="15.75" hidden="false" customHeight="true" outlineLevel="0" collapsed="false">
      <c r="A86" s="7" t="s">
        <v>506</v>
      </c>
      <c r="B86" s="8" t="n">
        <v>1980</v>
      </c>
      <c r="C86" s="8" t="s">
        <v>109</v>
      </c>
      <c r="D86" s="8" t="n">
        <v>129</v>
      </c>
      <c r="E86" s="7" t="s">
        <v>165</v>
      </c>
      <c r="F86" s="8" t="n">
        <v>8.1</v>
      </c>
      <c r="G86" s="8"/>
      <c r="H86" s="9" t="n">
        <v>412816</v>
      </c>
      <c r="I86" s="7" t="s">
        <v>46</v>
      </c>
      <c r="J86" s="7" t="s">
        <v>47</v>
      </c>
      <c r="K86" s="7" t="s">
        <v>48</v>
      </c>
      <c r="L86" s="10" t="s">
        <v>507</v>
      </c>
      <c r="M86" s="7" t="s">
        <v>508</v>
      </c>
      <c r="N86" s="8" t="n">
        <v>2</v>
      </c>
      <c r="O86" s="8" t="n">
        <v>0</v>
      </c>
      <c r="P86" s="8" t="n">
        <v>0</v>
      </c>
      <c r="Q86" s="8" t="n">
        <v>8</v>
      </c>
      <c r="R86" s="8" t="n">
        <v>0</v>
      </c>
      <c r="S86" s="8" t="n">
        <v>0</v>
      </c>
      <c r="T86" s="8" t="n">
        <v>129</v>
      </c>
      <c r="U86" s="11" t="n">
        <f aca="false">O86*4 + P86*2 + MAX(0,N86-O86-P86)*1 + Q86*0.2 + R86*2 + S86*1 + IF(T86="",0,IF(T86&lt;=10,8,IF(T86&lt;=50,6,IF(T86&lt;=100,4,2))))</f>
        <v>5.6</v>
      </c>
      <c r="V86" s="10" t="s">
        <v>509</v>
      </c>
      <c r="W86" s="12"/>
      <c r="X86" s="13"/>
      <c r="Y86" s="13" t="s">
        <v>510</v>
      </c>
    </row>
    <row r="87" customFormat="false" ht="15.75" hidden="false" customHeight="true" outlineLevel="0" collapsed="false">
      <c r="A87" s="7" t="s">
        <v>511</v>
      </c>
      <c r="B87" s="8" t="n">
        <v>1975</v>
      </c>
      <c r="C87" s="8" t="s">
        <v>61</v>
      </c>
      <c r="D87" s="8" t="n">
        <v>125</v>
      </c>
      <c r="E87" s="7" t="s">
        <v>410</v>
      </c>
      <c r="F87" s="8" t="n">
        <v>8</v>
      </c>
      <c r="G87" s="8" t="n">
        <v>6</v>
      </c>
      <c r="H87" s="9" t="n">
        <v>293577</v>
      </c>
      <c r="I87" s="7" t="s">
        <v>46</v>
      </c>
      <c r="J87" s="7" t="s">
        <v>47</v>
      </c>
      <c r="K87" s="7" t="s">
        <v>54</v>
      </c>
      <c r="L87" s="10" t="s">
        <v>210</v>
      </c>
      <c r="M87" s="7" t="s">
        <v>512</v>
      </c>
      <c r="N87" s="8" t="n">
        <v>1</v>
      </c>
      <c r="O87" s="8" t="n">
        <v>0</v>
      </c>
      <c r="P87" s="8" t="n">
        <v>0</v>
      </c>
      <c r="Q87" s="8" t="n">
        <v>6</v>
      </c>
      <c r="R87" s="8" t="n">
        <v>0</v>
      </c>
      <c r="S87" s="8" t="n">
        <v>0</v>
      </c>
      <c r="T87" s="13"/>
      <c r="U87" s="11" t="n">
        <f aca="false">O87*4 + P87*2 + MAX(0,N87-O87-P87)*1 + Q87*0.2 + R87*2 + S87*1 + IF(T87="",0,IF(T87&lt;=10,8,IF(T87&lt;=50,6,IF(T87&lt;=100,4,2))))</f>
        <v>2.2</v>
      </c>
      <c r="V87" s="7"/>
      <c r="W87" s="12"/>
      <c r="X87" s="13"/>
      <c r="Y87" s="13" t="s">
        <v>513</v>
      </c>
    </row>
    <row r="88" customFormat="false" ht="15.75" hidden="false" customHeight="true" outlineLevel="0" collapsed="false">
      <c r="A88" s="7" t="s">
        <v>514</v>
      </c>
      <c r="B88" s="8" t="n">
        <v>2011</v>
      </c>
      <c r="C88" s="8" t="s">
        <v>176</v>
      </c>
      <c r="D88" s="8" t="n">
        <v>100</v>
      </c>
      <c r="E88" s="7" t="s">
        <v>515</v>
      </c>
      <c r="F88" s="8" t="n">
        <v>7.8</v>
      </c>
      <c r="G88" s="8"/>
      <c r="H88" s="9" t="n">
        <v>256131</v>
      </c>
      <c r="I88" s="7" t="s">
        <v>219</v>
      </c>
      <c r="J88" s="7" t="s">
        <v>29</v>
      </c>
      <c r="K88" s="7" t="s">
        <v>516</v>
      </c>
      <c r="L88" s="10" t="s">
        <v>517</v>
      </c>
      <c r="M88" s="7" t="s">
        <v>518</v>
      </c>
      <c r="N88" s="8" t="n">
        <v>5</v>
      </c>
      <c r="O88" s="8" t="n">
        <v>1</v>
      </c>
      <c r="P88" s="8" t="n">
        <v>1</v>
      </c>
      <c r="Q88" s="8" t="n">
        <v>10</v>
      </c>
      <c r="R88" s="8" t="n">
        <v>0</v>
      </c>
      <c r="S88" s="8" t="n">
        <v>1</v>
      </c>
      <c r="T88" s="13"/>
      <c r="U88" s="11" t="n">
        <f aca="false">O88*4 + P88*2 + MAX(0,N88-O88-P88)*1 + Q88*0.2 + R88*2 + S88*1 + IF(T88="",0,IF(T88&lt;=10,8,IF(T88&lt;=50,6,IF(T88&lt;=100,4,2))))</f>
        <v>12</v>
      </c>
      <c r="V88" s="7"/>
      <c r="W88" s="12"/>
      <c r="X88" s="13"/>
      <c r="Y88" s="13" t="s">
        <v>519</v>
      </c>
    </row>
    <row r="89" customFormat="false" ht="15.75" hidden="false" customHeight="true" outlineLevel="0" collapsed="false">
      <c r="A89" s="7" t="s">
        <v>520</v>
      </c>
      <c r="B89" s="8" t="n">
        <v>1980</v>
      </c>
      <c r="C89" s="8" t="s">
        <v>109</v>
      </c>
      <c r="D89" s="8" t="n">
        <v>124</v>
      </c>
      <c r="E89" s="7" t="s">
        <v>521</v>
      </c>
      <c r="F89" s="8" t="n">
        <v>8.2</v>
      </c>
      <c r="G89" s="8"/>
      <c r="H89" s="9" t="n">
        <v>283471</v>
      </c>
      <c r="I89" s="7" t="s">
        <v>280</v>
      </c>
      <c r="J89" s="7" t="s">
        <v>47</v>
      </c>
      <c r="K89" s="7" t="s">
        <v>48</v>
      </c>
      <c r="L89" s="10" t="s">
        <v>522</v>
      </c>
      <c r="M89" s="7" t="s">
        <v>523</v>
      </c>
      <c r="N89" s="8" t="n">
        <v>0</v>
      </c>
      <c r="O89" s="8" t="n">
        <v>0</v>
      </c>
      <c r="P89" s="8" t="n">
        <v>0</v>
      </c>
      <c r="Q89" s="8" t="n">
        <v>8</v>
      </c>
      <c r="R89" s="8" t="n">
        <v>0</v>
      </c>
      <c r="S89" s="8" t="n">
        <v>0</v>
      </c>
      <c r="T89" s="13"/>
      <c r="U89" s="11" t="n">
        <f aca="false">O89*4 + P89*2 + MAX(0,N89-O89-P89)*1 + Q89*0.2 + R89*2 + S89*1 + IF(T89="",0,IF(T89&lt;=10,8,IF(T89&lt;=50,6,IF(T89&lt;=100,4,2))))</f>
        <v>1.6</v>
      </c>
      <c r="V89" s="7"/>
      <c r="W89" s="12"/>
      <c r="X89" s="13"/>
      <c r="Y89" s="13" t="s">
        <v>524</v>
      </c>
    </row>
    <row r="90" customFormat="false" ht="15.75" hidden="false" customHeight="true" outlineLevel="0" collapsed="false">
      <c r="A90" s="7" t="s">
        <v>525</v>
      </c>
      <c r="B90" s="8" t="n">
        <v>1958</v>
      </c>
      <c r="C90" s="8" t="s">
        <v>196</v>
      </c>
      <c r="D90" s="8" t="n">
        <v>95</v>
      </c>
      <c r="E90" s="7" t="s">
        <v>333</v>
      </c>
      <c r="F90" s="8" t="n">
        <v>7.9</v>
      </c>
      <c r="G90" s="8"/>
      <c r="H90" s="9" t="n">
        <v>115384</v>
      </c>
      <c r="I90" s="7" t="s">
        <v>46</v>
      </c>
      <c r="J90" s="7" t="s">
        <v>47</v>
      </c>
      <c r="K90" s="7" t="s">
        <v>483</v>
      </c>
      <c r="L90" s="10" t="s">
        <v>526</v>
      </c>
      <c r="M90" s="7" t="s">
        <v>527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13" t="n">
        <v>0</v>
      </c>
      <c r="T90" s="8" t="n">
        <v>108</v>
      </c>
      <c r="U90" s="11" t="n">
        <f aca="false">O90*4 + P90*2 + MAX(0,N90-O90-P90)*1 + Q90*0.2 + R90*2 + S90*1 + IF(T90="",0,IF(T90&lt;=10,8,IF(T90&lt;=50,6,IF(T90&lt;=100,4,2))))</f>
        <v>2</v>
      </c>
      <c r="V90" s="7" t="s">
        <v>528</v>
      </c>
      <c r="W90" s="12"/>
      <c r="X90" s="13"/>
      <c r="Y90" s="13" t="s">
        <v>529</v>
      </c>
    </row>
    <row r="91" customFormat="false" ht="15.75" hidden="false" customHeight="true" outlineLevel="0" collapsed="false">
      <c r="A91" s="7" t="s">
        <v>530</v>
      </c>
      <c r="B91" s="8" t="n">
        <v>1977</v>
      </c>
      <c r="C91" s="8" t="s">
        <v>61</v>
      </c>
      <c r="D91" s="8" t="n">
        <v>138</v>
      </c>
      <c r="E91" s="7" t="s">
        <v>45</v>
      </c>
      <c r="F91" s="8" t="n">
        <v>7.6</v>
      </c>
      <c r="G91" s="8"/>
      <c r="H91" s="9" t="n">
        <v>237881</v>
      </c>
      <c r="I91" s="7" t="s">
        <v>46</v>
      </c>
      <c r="J91" s="7" t="s">
        <v>111</v>
      </c>
      <c r="K91" s="7" t="s">
        <v>47</v>
      </c>
      <c r="L91" s="10" t="s">
        <v>531</v>
      </c>
      <c r="M91" s="7" t="s">
        <v>532</v>
      </c>
      <c r="N91" s="8" t="n">
        <v>2</v>
      </c>
      <c r="O91" s="8" t="n">
        <v>0</v>
      </c>
      <c r="P91" s="8" t="n">
        <v>0</v>
      </c>
      <c r="Q91" s="8" t="n">
        <v>9</v>
      </c>
      <c r="R91" s="8" t="n">
        <v>0</v>
      </c>
      <c r="S91" s="8" t="n">
        <v>0</v>
      </c>
      <c r="T91" s="13"/>
      <c r="U91" s="11" t="n">
        <f aca="false">O91*4 + P91*2 + MAX(0,N91-O91-P91)*1 + Q91*0.2 + R91*2 + S91*1 + IF(T91="",0,IF(T91&lt;=10,8,IF(T91&lt;=50,6,IF(T91&lt;=100,4,2))))</f>
        <v>3.8</v>
      </c>
      <c r="V91" s="7"/>
      <c r="W91" s="12"/>
      <c r="X91" s="13"/>
      <c r="Y91" s="13" t="s">
        <v>533</v>
      </c>
    </row>
    <row r="92" customFormat="false" ht="15.75" hidden="false" customHeight="true" outlineLevel="0" collapsed="false">
      <c r="A92" s="7" t="s">
        <v>534</v>
      </c>
      <c r="B92" s="8" t="n">
        <v>1945</v>
      </c>
      <c r="C92" s="8" t="s">
        <v>243</v>
      </c>
      <c r="D92" s="8" t="n">
        <v>103</v>
      </c>
      <c r="E92" s="7" t="s">
        <v>535</v>
      </c>
      <c r="F92" s="8" t="n">
        <v>8</v>
      </c>
      <c r="G92" s="8"/>
      <c r="H92" s="9" t="n">
        <v>34329</v>
      </c>
      <c r="I92" s="7" t="s">
        <v>28</v>
      </c>
      <c r="J92" s="7" t="s">
        <v>154</v>
      </c>
      <c r="K92" s="7" t="s">
        <v>131</v>
      </c>
      <c r="L92" s="10" t="s">
        <v>536</v>
      </c>
      <c r="M92" s="7" t="s">
        <v>537</v>
      </c>
      <c r="N92" s="8" t="n">
        <v>0</v>
      </c>
      <c r="O92" s="8" t="n">
        <v>0</v>
      </c>
      <c r="P92" s="8" t="n">
        <v>0</v>
      </c>
      <c r="Q92" s="8" t="n">
        <v>1</v>
      </c>
      <c r="R92" s="8" t="n">
        <v>0</v>
      </c>
      <c r="S92" s="8" t="n">
        <v>0</v>
      </c>
      <c r="T92" s="8"/>
      <c r="U92" s="11" t="n">
        <f aca="false">O92*4 + P92*2 + MAX(0,N92-O92-P92)*1 + Q92*0.2 + R92*2 + S92*1 + IF(T92="",0,IF(T92&lt;=10,8,IF(T92&lt;=50,6,IF(T92&lt;=100,4,2))))</f>
        <v>0.2</v>
      </c>
      <c r="V92" s="7" t="s">
        <v>538</v>
      </c>
      <c r="W92" s="12" t="s">
        <v>143</v>
      </c>
      <c r="X92" s="13"/>
      <c r="Y92" s="13" t="s">
        <v>539</v>
      </c>
    </row>
    <row r="93" customFormat="false" ht="15.75" hidden="false" customHeight="true" outlineLevel="0" collapsed="false">
      <c r="A93" s="7" t="s">
        <v>540</v>
      </c>
      <c r="B93" s="8" t="n">
        <v>1954</v>
      </c>
      <c r="C93" s="8" t="s">
        <v>196</v>
      </c>
      <c r="D93" s="8" t="n">
        <v>108</v>
      </c>
      <c r="E93" s="7" t="s">
        <v>541</v>
      </c>
      <c r="F93" s="8" t="n">
        <v>8</v>
      </c>
      <c r="G93" s="8"/>
      <c r="H93" s="9" t="n">
        <v>70277</v>
      </c>
      <c r="I93" s="7" t="s">
        <v>28</v>
      </c>
      <c r="J93" s="7" t="s">
        <v>47</v>
      </c>
      <c r="K93" s="7" t="s">
        <v>82</v>
      </c>
      <c r="L93" s="10" t="s">
        <v>205</v>
      </c>
      <c r="M93" s="7" t="s">
        <v>542</v>
      </c>
      <c r="N93" s="8" t="n">
        <v>1</v>
      </c>
      <c r="O93" s="8" t="n">
        <v>0</v>
      </c>
      <c r="P93" s="8" t="n">
        <v>0</v>
      </c>
      <c r="Q93" s="8" t="n">
        <v>2</v>
      </c>
      <c r="R93" s="8" t="n">
        <v>0</v>
      </c>
      <c r="S93" s="8" t="n">
        <v>0</v>
      </c>
      <c r="T93" s="13"/>
      <c r="U93" s="11" t="n">
        <f aca="false">O93*4 + P93*2 + MAX(0,N93-O93-P93)*1 + Q93*0.2 + R93*2 + S93*1 + IF(T93="",0,IF(T93&lt;=10,8,IF(T93&lt;=50,6,IF(T93&lt;=100,4,2))))</f>
        <v>1.4</v>
      </c>
      <c r="V93" s="7" t="s">
        <v>543</v>
      </c>
      <c r="W93" s="12"/>
      <c r="X93" s="13"/>
      <c r="Y93" s="13" t="s">
        <v>544</v>
      </c>
    </row>
    <row r="94" customFormat="false" ht="15.75" hidden="false" customHeight="true" outlineLevel="0" collapsed="false">
      <c r="A94" s="7" t="s">
        <v>545</v>
      </c>
      <c r="B94" s="8" t="n">
        <v>1986</v>
      </c>
      <c r="C94" s="8" t="s">
        <v>109</v>
      </c>
      <c r="D94" s="8" t="n">
        <v>110</v>
      </c>
      <c r="E94" s="7" t="s">
        <v>546</v>
      </c>
      <c r="F94" s="8" t="n">
        <v>7</v>
      </c>
      <c r="G94" s="8"/>
      <c r="H94" s="9" t="n">
        <v>160307</v>
      </c>
      <c r="I94" s="7" t="s">
        <v>280</v>
      </c>
      <c r="J94" s="7" t="s">
        <v>38</v>
      </c>
      <c r="K94" s="7" t="s">
        <v>112</v>
      </c>
      <c r="L94" s="10" t="s">
        <v>547</v>
      </c>
      <c r="M94" s="7" t="s">
        <v>548</v>
      </c>
      <c r="N94" s="8" t="n">
        <v>0</v>
      </c>
      <c r="O94" s="8" t="n">
        <v>0</v>
      </c>
      <c r="P94" s="8" t="n">
        <v>0</v>
      </c>
      <c r="Q94" s="8" t="n">
        <v>0</v>
      </c>
      <c r="R94" s="13" t="n">
        <v>0</v>
      </c>
      <c r="S94" s="13" t="n">
        <v>0</v>
      </c>
      <c r="T94" s="13"/>
      <c r="U94" s="11" t="n">
        <f aca="false">O94*4 + P94*2 + MAX(0,N94-O94-P94)*1 + Q94*0.2 + R94*2 + S94*1 + IF(T94="",0,IF(T94&lt;=10,8,IF(T94&lt;=50,6,IF(T94&lt;=100,4,2))))</f>
        <v>0</v>
      </c>
      <c r="V94" s="7"/>
      <c r="W94" s="12"/>
      <c r="X94" s="13"/>
      <c r="Y94" s="13" t="s">
        <v>549</v>
      </c>
    </row>
    <row r="95" customFormat="false" ht="15.75" hidden="false" customHeight="true" outlineLevel="0" collapsed="false">
      <c r="A95" s="7" t="s">
        <v>550</v>
      </c>
      <c r="B95" s="8" t="n">
        <v>1984</v>
      </c>
      <c r="C95" s="8" t="s">
        <v>109</v>
      </c>
      <c r="D95" s="8" t="n">
        <v>229</v>
      </c>
      <c r="E95" s="7" t="s">
        <v>445</v>
      </c>
      <c r="F95" s="8" t="n">
        <v>8.3</v>
      </c>
      <c r="G95" s="8" t="n">
        <v>7</v>
      </c>
      <c r="H95" s="9" t="n">
        <v>410905</v>
      </c>
      <c r="I95" s="7" t="s">
        <v>551</v>
      </c>
      <c r="J95" s="7" t="s">
        <v>47</v>
      </c>
      <c r="K95" s="7" t="s">
        <v>54</v>
      </c>
      <c r="L95" s="10" t="s">
        <v>552</v>
      </c>
      <c r="M95" s="7" t="s">
        <v>553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13" t="n">
        <v>0</v>
      </c>
      <c r="T95" s="8" t="n">
        <v>157</v>
      </c>
      <c r="U95" s="11" t="n">
        <f aca="false">O95*4 + P95*2 + MAX(0,N95-O95-P95)*1 + Q95*0.2 + R95*2 + S95*1 + IF(T95="",0,IF(T95&lt;=10,8,IF(T95&lt;=50,6,IF(T95&lt;=100,4,2))))</f>
        <v>2</v>
      </c>
      <c r="V95" s="7" t="s">
        <v>554</v>
      </c>
      <c r="W95" s="12"/>
      <c r="X95" s="13"/>
      <c r="Y95" s="13" t="s">
        <v>555</v>
      </c>
    </row>
    <row r="96" customFormat="false" ht="15.75" hidden="false" customHeight="true" outlineLevel="0" collapsed="false">
      <c r="A96" s="7" t="s">
        <v>556</v>
      </c>
      <c r="B96" s="8" t="n">
        <v>2003</v>
      </c>
      <c r="C96" s="8" t="s">
        <v>35</v>
      </c>
      <c r="D96" s="8" t="n">
        <v>106</v>
      </c>
      <c r="E96" s="7" t="s">
        <v>557</v>
      </c>
      <c r="F96" s="8" t="n">
        <v>7.4</v>
      </c>
      <c r="G96" s="8"/>
      <c r="H96" s="9" t="n">
        <v>26708</v>
      </c>
      <c r="I96" s="7" t="s">
        <v>232</v>
      </c>
      <c r="J96" s="7" t="s">
        <v>29</v>
      </c>
      <c r="K96" s="7" t="s">
        <v>47</v>
      </c>
      <c r="L96" s="10" t="s">
        <v>205</v>
      </c>
      <c r="M96" s="7" t="s">
        <v>558</v>
      </c>
      <c r="N96" s="8" t="n">
        <v>0</v>
      </c>
      <c r="O96" s="8" t="n">
        <v>0</v>
      </c>
      <c r="P96" s="8" t="n">
        <v>0</v>
      </c>
      <c r="Q96" s="8" t="n">
        <v>0</v>
      </c>
      <c r="R96" s="13" t="n">
        <v>0</v>
      </c>
      <c r="S96" s="13" t="n">
        <v>0</v>
      </c>
      <c r="T96" s="13"/>
      <c r="U96" s="11" t="n">
        <f aca="false">O96*4 + P96*2 + MAX(0,N96-O96-P96)*1 + Q96*0.2 + R96*2 + S96*1 + IF(T96="",0,IF(T96&lt;=10,8,IF(T96&lt;=50,6,IF(T96&lt;=100,4,2))))</f>
        <v>0</v>
      </c>
      <c r="V96" s="7"/>
      <c r="W96" s="12"/>
      <c r="X96" s="13"/>
      <c r="Y96" s="13" t="s">
        <v>559</v>
      </c>
    </row>
    <row r="97" customFormat="false" ht="15.75" hidden="false" customHeight="true" outlineLevel="0" collapsed="false">
      <c r="A97" s="7" t="s">
        <v>560</v>
      </c>
      <c r="B97" s="8" t="n">
        <v>1988</v>
      </c>
      <c r="C97" s="8" t="s">
        <v>109</v>
      </c>
      <c r="D97" s="8" t="n">
        <v>92</v>
      </c>
      <c r="E97" s="7" t="s">
        <v>561</v>
      </c>
      <c r="F97" s="8" t="n">
        <v>7.4</v>
      </c>
      <c r="G97" s="8"/>
      <c r="H97" s="9" t="n">
        <v>421171</v>
      </c>
      <c r="I97" s="7" t="s">
        <v>46</v>
      </c>
      <c r="J97" s="7" t="s">
        <v>38</v>
      </c>
      <c r="K97" s="7" t="s">
        <v>30</v>
      </c>
      <c r="L97" s="10" t="s">
        <v>562</v>
      </c>
      <c r="M97" s="7" t="s">
        <v>563</v>
      </c>
      <c r="N97" s="8" t="n">
        <v>1</v>
      </c>
      <c r="O97" s="8" t="n">
        <v>0</v>
      </c>
      <c r="P97" s="8" t="n">
        <v>0</v>
      </c>
      <c r="Q97" s="8" t="n">
        <v>1</v>
      </c>
      <c r="R97" s="8" t="n">
        <v>0</v>
      </c>
      <c r="S97" s="8" t="n">
        <v>0</v>
      </c>
      <c r="T97" s="13"/>
      <c r="U97" s="11" t="n">
        <f aca="false">O97*4 + P97*2 + MAX(0,N97-O97-P97)*1 + Q97*0.2 + R97*2 + S97*1 + IF(T97="",0,IF(T97&lt;=10,8,IF(T97&lt;=50,6,IF(T97&lt;=100,4,2))))</f>
        <v>1.2</v>
      </c>
      <c r="V97" s="7"/>
      <c r="W97" s="12"/>
      <c r="X97" s="13"/>
      <c r="Y97" s="13" t="s">
        <v>564</v>
      </c>
    </row>
    <row r="98" customFormat="false" ht="15.75" hidden="false" customHeight="true" outlineLevel="0" collapsed="false">
      <c r="A98" s="7" t="s">
        <v>565</v>
      </c>
      <c r="B98" s="8" t="n">
        <v>2014</v>
      </c>
      <c r="C98" s="8" t="s">
        <v>176</v>
      </c>
      <c r="D98" s="8" t="n">
        <v>149</v>
      </c>
      <c r="E98" s="7" t="s">
        <v>225</v>
      </c>
      <c r="F98" s="8" t="n">
        <v>8.1</v>
      </c>
      <c r="G98" s="8" t="n">
        <v>7</v>
      </c>
      <c r="H98" s="9" t="n">
        <v>1182358</v>
      </c>
      <c r="I98" s="7" t="s">
        <v>46</v>
      </c>
      <c r="J98" s="7" t="s">
        <v>131</v>
      </c>
      <c r="K98" s="7" t="s">
        <v>125</v>
      </c>
      <c r="L98" s="10" t="s">
        <v>177</v>
      </c>
      <c r="M98" s="7" t="s">
        <v>566</v>
      </c>
      <c r="N98" s="8" t="n">
        <v>0</v>
      </c>
      <c r="O98" s="8" t="n">
        <v>0</v>
      </c>
      <c r="P98" s="8" t="n">
        <v>0</v>
      </c>
      <c r="Q98" s="8" t="n">
        <v>1</v>
      </c>
      <c r="R98" s="8" t="n">
        <v>0</v>
      </c>
      <c r="S98" s="8" t="n">
        <v>0</v>
      </c>
      <c r="T98" s="8"/>
      <c r="U98" s="11" t="n">
        <f aca="false">O98*4 + P98*2 + MAX(0,N98-O98-P98)*1 + Q98*0.2 + R98*2 + S98*1 + IF(T98="",0,IF(T98&lt;=10,8,IF(T98&lt;=50,6,IF(T98&lt;=100,4,2))))</f>
        <v>0.2</v>
      </c>
      <c r="V98" s="7"/>
      <c r="W98" s="12"/>
      <c r="X98" s="13"/>
      <c r="Y98" s="13" t="s">
        <v>567</v>
      </c>
    </row>
    <row r="99" customFormat="false" ht="15.75" hidden="false" customHeight="true" outlineLevel="0" collapsed="false">
      <c r="A99" s="7" t="s">
        <v>568</v>
      </c>
      <c r="B99" s="8" t="n">
        <v>1994</v>
      </c>
      <c r="C99" s="8" t="s">
        <v>26</v>
      </c>
      <c r="D99" s="8" t="n">
        <v>92</v>
      </c>
      <c r="E99" s="7" t="s">
        <v>569</v>
      </c>
      <c r="F99" s="8" t="n">
        <v>7.7</v>
      </c>
      <c r="G99" s="8"/>
      <c r="H99" s="9" t="n">
        <v>241424</v>
      </c>
      <c r="I99" s="7" t="s">
        <v>46</v>
      </c>
      <c r="J99" s="7" t="s">
        <v>30</v>
      </c>
      <c r="K99" s="7"/>
      <c r="L99" s="10"/>
      <c r="M99" s="7" t="s">
        <v>570</v>
      </c>
      <c r="N99" s="8" t="n">
        <v>0</v>
      </c>
      <c r="O99" s="8" t="n">
        <v>0</v>
      </c>
      <c r="P99" s="8" t="n">
        <v>0</v>
      </c>
      <c r="Q99" s="8" t="n">
        <v>0</v>
      </c>
      <c r="R99" s="13" t="n">
        <v>0</v>
      </c>
      <c r="S99" s="13" t="n">
        <v>0</v>
      </c>
      <c r="T99" s="13"/>
      <c r="U99" s="11" t="n">
        <f aca="false">O99*4 + P99*2 + MAX(0,N99-O99-P99)*1 + Q99*0.2 + R99*2 + S99*1 + IF(T99="",0,IF(T99&lt;=10,8,IF(T99&lt;=50,6,IF(T99&lt;=100,4,2))))</f>
        <v>0</v>
      </c>
      <c r="V99" s="7"/>
      <c r="W99" s="12"/>
      <c r="X99" s="13"/>
      <c r="Y99" s="13" t="s">
        <v>571</v>
      </c>
    </row>
    <row r="100" customFormat="false" ht="15.75" hidden="false" customHeight="true" outlineLevel="0" collapsed="false">
      <c r="A100" s="7" t="s">
        <v>572</v>
      </c>
      <c r="B100" s="8" t="n">
        <v>1957</v>
      </c>
      <c r="C100" s="8" t="s">
        <v>196</v>
      </c>
      <c r="D100" s="8" t="n">
        <v>88</v>
      </c>
      <c r="E100" s="7" t="s">
        <v>152</v>
      </c>
      <c r="F100" s="8" t="n">
        <v>8.4</v>
      </c>
      <c r="G100" s="8" t="n">
        <v>7</v>
      </c>
      <c r="H100" s="9" t="n">
        <v>241836</v>
      </c>
      <c r="I100" s="7" t="s">
        <v>46</v>
      </c>
      <c r="J100" s="7" t="s">
        <v>154</v>
      </c>
      <c r="K100" s="7" t="s">
        <v>47</v>
      </c>
      <c r="L100" s="10" t="s">
        <v>573</v>
      </c>
      <c r="M100" s="7" t="s">
        <v>574</v>
      </c>
      <c r="N100" s="8" t="n">
        <v>0</v>
      </c>
      <c r="O100" s="8" t="n">
        <v>0</v>
      </c>
      <c r="P100" s="8" t="n">
        <v>0</v>
      </c>
      <c r="Q100" s="8" t="n">
        <v>0</v>
      </c>
      <c r="R100" s="13" t="n">
        <v>0</v>
      </c>
      <c r="S100" s="13" t="n">
        <v>0</v>
      </c>
      <c r="T100" s="13"/>
      <c r="U100" s="11" t="n">
        <f aca="false">O100*4 + P100*2 + MAX(0,N100-O100-P100)*1 + Q100*0.2 + R100*2 + S100*1 + IF(T100="",0,IF(T100&lt;=10,8,IF(T100&lt;=50,6,IF(T100&lt;=100,4,2))))</f>
        <v>0</v>
      </c>
      <c r="V100" s="7" t="s">
        <v>575</v>
      </c>
      <c r="W100" s="12"/>
      <c r="X100" s="13"/>
      <c r="Y100" s="13" t="s">
        <v>576</v>
      </c>
    </row>
    <row r="101" customFormat="false" ht="15.75" hidden="false" customHeight="true" outlineLevel="0" collapsed="false">
      <c r="A101" s="7" t="s">
        <v>577</v>
      </c>
      <c r="B101" s="8" t="n">
        <v>2017</v>
      </c>
      <c r="C101" s="8" t="s">
        <v>176</v>
      </c>
      <c r="D101" s="8" t="n">
        <v>105</v>
      </c>
      <c r="E101" s="7" t="s">
        <v>578</v>
      </c>
      <c r="F101" s="8" t="n">
        <v>8.4</v>
      </c>
      <c r="G101" s="8"/>
      <c r="H101" s="9" t="n">
        <v>721833</v>
      </c>
      <c r="I101" s="7" t="s">
        <v>46</v>
      </c>
      <c r="J101" s="7" t="s">
        <v>579</v>
      </c>
      <c r="K101" s="7" t="s">
        <v>39</v>
      </c>
      <c r="L101" s="10" t="s">
        <v>177</v>
      </c>
      <c r="M101" s="7" t="s">
        <v>580</v>
      </c>
      <c r="N101" s="8" t="n">
        <v>2</v>
      </c>
      <c r="O101" s="8" t="n">
        <v>0</v>
      </c>
      <c r="P101" s="8" t="n">
        <v>0</v>
      </c>
      <c r="Q101" s="8" t="n">
        <v>2</v>
      </c>
      <c r="R101" s="8" t="n">
        <v>0</v>
      </c>
      <c r="S101" s="8" t="n">
        <v>0</v>
      </c>
      <c r="T101" s="13"/>
      <c r="U101" s="11" t="n">
        <f aca="false">O101*4 + P101*2 + MAX(0,N101-O101-P101)*1 + Q101*0.2 + R101*2 + S101*1 + IF(T101="",0,IF(T101&lt;=10,8,IF(T101&lt;=50,6,IF(T101&lt;=100,4,2))))</f>
        <v>2.4</v>
      </c>
      <c r="V101" s="7"/>
      <c r="W101" s="12"/>
      <c r="X101" s="13"/>
      <c r="Y101" s="13" t="s">
        <v>581</v>
      </c>
    </row>
    <row r="102" customFormat="false" ht="15.75" hidden="false" customHeight="true" outlineLevel="0" collapsed="false">
      <c r="A102" s="7" t="s">
        <v>582</v>
      </c>
      <c r="B102" s="8" t="n">
        <v>1986</v>
      </c>
      <c r="C102" s="8" t="s">
        <v>109</v>
      </c>
      <c r="D102" s="8" t="n">
        <v>120</v>
      </c>
      <c r="E102" s="7" t="s">
        <v>521</v>
      </c>
      <c r="F102" s="8" t="n">
        <v>7.7</v>
      </c>
      <c r="G102" s="8"/>
      <c r="H102" s="9" t="n">
        <v>247851</v>
      </c>
      <c r="I102" s="7" t="s">
        <v>46</v>
      </c>
      <c r="J102" s="7" t="s">
        <v>47</v>
      </c>
      <c r="K102" s="7" t="s">
        <v>54</v>
      </c>
      <c r="L102" s="10"/>
      <c r="M102" s="7" t="s">
        <v>583</v>
      </c>
      <c r="N102" s="8" t="n">
        <v>0</v>
      </c>
      <c r="O102" s="8" t="n">
        <v>0</v>
      </c>
      <c r="P102" s="8" t="n">
        <v>0</v>
      </c>
      <c r="Q102" s="8" t="n">
        <v>1</v>
      </c>
      <c r="R102" s="8" t="n">
        <v>0</v>
      </c>
      <c r="S102" s="8" t="n">
        <v>0</v>
      </c>
      <c r="T102" s="8" t="n">
        <v>85</v>
      </c>
      <c r="U102" s="11" t="n">
        <f aca="false">O102*4 + P102*2 + MAX(0,N102-O102-P102)*1 + Q102*0.2 + R102*2 + S102*1 + IF(T102="",0,IF(T102&lt;=10,8,IF(T102&lt;=50,6,IF(T102&lt;=100,4,2))))</f>
        <v>4.2</v>
      </c>
      <c r="V102" s="10" t="s">
        <v>584</v>
      </c>
      <c r="W102" s="12"/>
      <c r="X102" s="13"/>
      <c r="Y102" s="13" t="s">
        <v>585</v>
      </c>
    </row>
    <row r="103" customFormat="false" ht="15.75" hidden="false" customHeight="true" outlineLevel="0" collapsed="false">
      <c r="A103" s="7" t="s">
        <v>586</v>
      </c>
      <c r="B103" s="8" t="n">
        <v>2002</v>
      </c>
      <c r="C103" s="8" t="s">
        <v>35</v>
      </c>
      <c r="D103" s="8" t="n">
        <v>112</v>
      </c>
      <c r="E103" s="7" t="s">
        <v>349</v>
      </c>
      <c r="F103" s="8" t="n">
        <v>7.9</v>
      </c>
      <c r="G103" s="8"/>
      <c r="H103" s="9" t="n">
        <v>121002</v>
      </c>
      <c r="I103" s="7" t="s">
        <v>232</v>
      </c>
      <c r="J103" s="7" t="s">
        <v>29</v>
      </c>
      <c r="K103" s="7" t="s">
        <v>125</v>
      </c>
      <c r="L103" s="10" t="s">
        <v>587</v>
      </c>
      <c r="M103" s="7" t="s">
        <v>588</v>
      </c>
      <c r="N103" s="8" t="n">
        <v>1</v>
      </c>
      <c r="O103" s="8" t="n">
        <v>0</v>
      </c>
      <c r="P103" s="8" t="n">
        <v>0</v>
      </c>
      <c r="Q103" s="8" t="n">
        <v>2</v>
      </c>
      <c r="R103" s="8" t="n">
        <v>0</v>
      </c>
      <c r="S103" s="8" t="n">
        <v>0</v>
      </c>
      <c r="T103" s="13"/>
      <c r="U103" s="11" t="n">
        <f aca="false">O103*4 + P103*2 + MAX(0,N103-O103-P103)*1 + Q103*0.2 + R103*2 + S103*1 + IF(T103="",0,IF(T103&lt;=10,8,IF(T103&lt;=50,6,IF(T103&lt;=100,4,2))))</f>
        <v>1.4</v>
      </c>
      <c r="V103" s="7"/>
      <c r="W103" s="12"/>
      <c r="X103" s="13"/>
      <c r="Y103" s="13" t="s">
        <v>589</v>
      </c>
    </row>
    <row r="104" customFormat="false" ht="15.75" hidden="false" customHeight="true" outlineLevel="0" collapsed="false">
      <c r="A104" s="7" t="s">
        <v>590</v>
      </c>
      <c r="B104" s="8" t="n">
        <v>1979</v>
      </c>
      <c r="C104" s="8" t="s">
        <v>61</v>
      </c>
      <c r="D104" s="8" t="n">
        <v>96</v>
      </c>
      <c r="E104" s="7" t="s">
        <v>388</v>
      </c>
      <c r="F104" s="8" t="n">
        <v>7.8</v>
      </c>
      <c r="G104" s="8"/>
      <c r="H104" s="9" t="n">
        <v>153326</v>
      </c>
      <c r="I104" s="7" t="s">
        <v>46</v>
      </c>
      <c r="J104" s="7" t="s">
        <v>29</v>
      </c>
      <c r="K104" s="7" t="s">
        <v>591</v>
      </c>
      <c r="L104" s="10" t="s">
        <v>592</v>
      </c>
      <c r="M104" s="7" t="s">
        <v>593</v>
      </c>
      <c r="N104" s="8" t="n">
        <v>0</v>
      </c>
      <c r="O104" s="8" t="n">
        <v>0</v>
      </c>
      <c r="P104" s="8" t="n">
        <v>0</v>
      </c>
      <c r="Q104" s="8" t="n">
        <v>2</v>
      </c>
      <c r="R104" s="8" t="n">
        <v>0</v>
      </c>
      <c r="S104" s="8" t="n">
        <v>0</v>
      </c>
      <c r="T104" s="13"/>
      <c r="U104" s="11" t="n">
        <f aca="false">O104*4 + P104*2 + MAX(0,N104-O104-P104)*1 + Q104*0.2 + R104*2 + S104*1 + IF(T104="",0,IF(T104&lt;=10,8,IF(T104&lt;=50,6,IF(T104&lt;=100,4,2))))</f>
        <v>0.4</v>
      </c>
      <c r="V104" s="7"/>
      <c r="W104" s="12"/>
      <c r="X104" s="13"/>
      <c r="Y104" s="13" t="s">
        <v>594</v>
      </c>
    </row>
    <row r="105" customFormat="false" ht="15.75" hidden="false" customHeight="true" outlineLevel="0" collapsed="false">
      <c r="A105" s="7" t="s">
        <v>595</v>
      </c>
      <c r="B105" s="8" t="n">
        <v>1988</v>
      </c>
      <c r="C105" s="8" t="s">
        <v>109</v>
      </c>
      <c r="D105" s="8" t="n">
        <v>88</v>
      </c>
      <c r="E105" s="7" t="s">
        <v>596</v>
      </c>
      <c r="F105" s="8" t="n">
        <v>8.5</v>
      </c>
      <c r="G105" s="8"/>
      <c r="H105" s="9" t="n">
        <v>393254</v>
      </c>
      <c r="I105" s="7" t="s">
        <v>124</v>
      </c>
      <c r="J105" s="7" t="s">
        <v>579</v>
      </c>
      <c r="K105" s="7" t="s">
        <v>154</v>
      </c>
      <c r="L105" s="10" t="s">
        <v>238</v>
      </c>
      <c r="M105" s="7" t="s">
        <v>597</v>
      </c>
      <c r="N105" s="8" t="n">
        <v>0</v>
      </c>
      <c r="O105" s="8" t="n">
        <v>0</v>
      </c>
      <c r="P105" s="8" t="n">
        <v>0</v>
      </c>
      <c r="Q105" s="8" t="n">
        <v>0</v>
      </c>
      <c r="R105" s="13" t="n">
        <v>0</v>
      </c>
      <c r="S105" s="13" t="n">
        <v>0</v>
      </c>
      <c r="T105" s="8" t="n">
        <v>225</v>
      </c>
      <c r="U105" s="11" t="n">
        <f aca="false">O105*4 + P105*2 + MAX(0,N105-O105-P105)*1 + Q105*0.2 + R105*2 + S105*1 + IF(T105="",0,IF(T105&lt;=10,8,IF(T105&lt;=50,6,IF(T105&lt;=100,4,2))))</f>
        <v>2</v>
      </c>
      <c r="V105" s="10" t="s">
        <v>598</v>
      </c>
      <c r="W105" s="12"/>
      <c r="X105" s="13"/>
      <c r="Y105" s="13" t="s">
        <v>599</v>
      </c>
    </row>
    <row r="106" customFormat="false" ht="15.75" hidden="false" customHeight="true" outlineLevel="0" collapsed="false">
      <c r="A106" s="7" t="s">
        <v>600</v>
      </c>
      <c r="B106" s="8" t="n">
        <v>2001</v>
      </c>
      <c r="C106" s="8" t="s">
        <v>35</v>
      </c>
      <c r="D106" s="8" t="n">
        <v>123</v>
      </c>
      <c r="E106" s="7" t="s">
        <v>291</v>
      </c>
      <c r="F106" s="8" t="n">
        <v>7.8</v>
      </c>
      <c r="G106" s="8"/>
      <c r="H106" s="9" t="n">
        <v>17985</v>
      </c>
      <c r="I106" s="7" t="s">
        <v>292</v>
      </c>
      <c r="J106" s="7" t="s">
        <v>30</v>
      </c>
      <c r="K106" s="7" t="s">
        <v>47</v>
      </c>
      <c r="L106" s="10" t="s">
        <v>601</v>
      </c>
      <c r="M106" s="7" t="s">
        <v>602</v>
      </c>
      <c r="N106" s="8" t="n">
        <v>0</v>
      </c>
      <c r="O106" s="8" t="n">
        <v>0</v>
      </c>
      <c r="P106" s="8" t="n">
        <v>0</v>
      </c>
      <c r="Q106" s="8" t="n">
        <v>1</v>
      </c>
      <c r="R106" s="8" t="n">
        <v>0</v>
      </c>
      <c r="S106" s="8" t="n">
        <v>0</v>
      </c>
      <c r="T106" s="13"/>
      <c r="U106" s="11" t="n">
        <f aca="false">O106*4 + P106*2 + MAX(0,N106-O106-P106)*1 + Q106*0.2 + R106*2 + S106*1 + IF(T106="",0,IF(T106&lt;=10,8,IF(T106&lt;=50,6,IF(T106&lt;=100,4,2))))</f>
        <v>0.2</v>
      </c>
      <c r="V106" s="7"/>
      <c r="W106" s="12"/>
      <c r="X106" s="13"/>
      <c r="Y106" s="13" t="s">
        <v>603</v>
      </c>
    </row>
    <row r="107" customFormat="false" ht="15.75" hidden="false" customHeight="true" outlineLevel="0" collapsed="false">
      <c r="A107" s="7" t="s">
        <v>604</v>
      </c>
      <c r="B107" s="8" t="n">
        <v>1946</v>
      </c>
      <c r="C107" s="8" t="s">
        <v>243</v>
      </c>
      <c r="D107" s="8" t="n">
        <v>130</v>
      </c>
      <c r="E107" s="7" t="s">
        <v>605</v>
      </c>
      <c r="F107" s="8" t="n">
        <v>8.6</v>
      </c>
      <c r="G107" s="8"/>
      <c r="H107" s="9" t="n">
        <v>557639</v>
      </c>
      <c r="I107" s="7" t="s">
        <v>46</v>
      </c>
      <c r="J107" s="7" t="s">
        <v>38</v>
      </c>
      <c r="K107" s="7" t="s">
        <v>259</v>
      </c>
      <c r="L107" s="10" t="s">
        <v>205</v>
      </c>
      <c r="M107" s="7" t="s">
        <v>606</v>
      </c>
      <c r="N107" s="8" t="n">
        <v>0</v>
      </c>
      <c r="O107" s="8" t="n">
        <v>0</v>
      </c>
      <c r="P107" s="8" t="n">
        <v>0</v>
      </c>
      <c r="Q107" s="8" t="n">
        <v>5</v>
      </c>
      <c r="R107" s="8" t="n">
        <v>0</v>
      </c>
      <c r="S107" s="8" t="n">
        <v>0</v>
      </c>
      <c r="T107" s="8" t="n">
        <v>133</v>
      </c>
      <c r="U107" s="11" t="n">
        <f aca="false">O107*4 + P107*2 + MAX(0,N107-O107-P107)*1 + Q107*0.2 + R107*2 + S107*1 + IF(T107="",0,IF(T107&lt;=10,8,IF(T107&lt;=50,6,IF(T107&lt;=100,4,2))))</f>
        <v>3</v>
      </c>
      <c r="V107" s="7" t="s">
        <v>604</v>
      </c>
      <c r="W107" s="12"/>
      <c r="X107" s="13"/>
      <c r="Y107" s="13" t="s">
        <v>607</v>
      </c>
    </row>
    <row r="108" customFormat="false" ht="15.75" hidden="false" customHeight="true" outlineLevel="0" collapsed="false">
      <c r="A108" s="7" t="s">
        <v>608</v>
      </c>
      <c r="B108" s="8" t="n">
        <v>1998</v>
      </c>
      <c r="C108" s="8" t="s">
        <v>26</v>
      </c>
      <c r="D108" s="8" t="n">
        <v>112</v>
      </c>
      <c r="E108" s="7" t="s">
        <v>609</v>
      </c>
      <c r="F108" s="8" t="n">
        <v>7.6</v>
      </c>
      <c r="G108" s="8"/>
      <c r="H108" s="9" t="n">
        <v>20934</v>
      </c>
      <c r="I108" s="7" t="s">
        <v>232</v>
      </c>
      <c r="J108" s="7" t="s">
        <v>29</v>
      </c>
      <c r="K108" s="7" t="s">
        <v>125</v>
      </c>
      <c r="L108" s="10" t="s">
        <v>610</v>
      </c>
      <c r="M108" s="7" t="s">
        <v>611</v>
      </c>
      <c r="N108" s="8" t="n">
        <v>0</v>
      </c>
      <c r="O108" s="8" t="n">
        <v>0</v>
      </c>
      <c r="P108" s="8" t="n">
        <v>0</v>
      </c>
      <c r="Q108" s="8" t="n">
        <v>0</v>
      </c>
      <c r="R108" s="13" t="n">
        <v>0</v>
      </c>
      <c r="S108" s="13" t="n">
        <v>0</v>
      </c>
      <c r="T108" s="13"/>
      <c r="U108" s="11" t="n">
        <f aca="false">O108*4 + P108*2 + MAX(0,N108-O108-P108)*1 + Q108*0.2 + R108*2 + S108*1 + IF(T108="",0,IF(T108&lt;=10,8,IF(T108&lt;=50,6,IF(T108&lt;=100,4,2))))</f>
        <v>0</v>
      </c>
      <c r="V108" s="7"/>
      <c r="W108" s="12"/>
      <c r="X108" s="13"/>
      <c r="Y108" s="13" t="s">
        <v>612</v>
      </c>
    </row>
    <row r="109" customFormat="false" ht="15.75" hidden="false" customHeight="true" outlineLevel="0" collapsed="false">
      <c r="A109" s="7" t="s">
        <v>613</v>
      </c>
      <c r="B109" s="8" t="n">
        <v>2005</v>
      </c>
      <c r="C109" s="8" t="s">
        <v>35</v>
      </c>
      <c r="D109" s="8" t="n">
        <v>129</v>
      </c>
      <c r="E109" s="7" t="s">
        <v>614</v>
      </c>
      <c r="F109" s="8" t="n">
        <v>7.8</v>
      </c>
      <c r="G109" s="8"/>
      <c r="H109" s="9" t="n">
        <v>381415</v>
      </c>
      <c r="I109" s="7" t="s">
        <v>280</v>
      </c>
      <c r="J109" s="7" t="s">
        <v>29</v>
      </c>
      <c r="K109" s="7" t="s">
        <v>47</v>
      </c>
      <c r="L109" s="10" t="s">
        <v>522</v>
      </c>
      <c r="M109" s="7" t="s">
        <v>615</v>
      </c>
      <c r="N109" s="8" t="n">
        <v>0</v>
      </c>
      <c r="O109" s="8" t="n">
        <v>0</v>
      </c>
      <c r="P109" s="8" t="n">
        <v>0</v>
      </c>
      <c r="Q109" s="8" t="n">
        <v>4</v>
      </c>
      <c r="R109" s="8" t="n">
        <v>0</v>
      </c>
      <c r="S109" s="8" t="n">
        <v>0</v>
      </c>
      <c r="T109" s="13"/>
      <c r="U109" s="11" t="n">
        <f aca="false">O109*4 + P109*2 + MAX(0,N109-O109-P109)*1 + Q109*0.2 + R109*2 + S109*1 + IF(T109="",0,IF(T109&lt;=10,8,IF(T109&lt;=50,6,IF(T109&lt;=100,4,2))))</f>
        <v>0.8</v>
      </c>
      <c r="V109" s="7"/>
      <c r="W109" s="12"/>
      <c r="X109" s="13"/>
      <c r="Y109" s="13" t="s">
        <v>616</v>
      </c>
    </row>
    <row r="110" customFormat="false" ht="15.75" hidden="false" customHeight="true" outlineLevel="0" collapsed="false">
      <c r="A110" s="7" t="s">
        <v>617</v>
      </c>
      <c r="B110" s="8" t="n">
        <v>2005</v>
      </c>
      <c r="C110" s="8" t="s">
        <v>35</v>
      </c>
      <c r="D110" s="8" t="n">
        <v>129</v>
      </c>
      <c r="E110" s="7" t="s">
        <v>138</v>
      </c>
      <c r="F110" s="8" t="n">
        <v>7.3</v>
      </c>
      <c r="G110" s="8"/>
      <c r="H110" s="9" t="n">
        <v>156397</v>
      </c>
      <c r="I110" s="7" t="s">
        <v>280</v>
      </c>
      <c r="J110" s="7" t="s">
        <v>29</v>
      </c>
      <c r="K110" s="7" t="s">
        <v>125</v>
      </c>
      <c r="L110" s="10"/>
      <c r="M110" s="7" t="s">
        <v>618</v>
      </c>
      <c r="N110" s="8" t="n">
        <v>1</v>
      </c>
      <c r="O110" s="8" t="n">
        <v>0</v>
      </c>
      <c r="P110" s="8" t="n">
        <v>0</v>
      </c>
      <c r="Q110" s="8" t="n">
        <v>4</v>
      </c>
      <c r="R110" s="8" t="n">
        <v>0</v>
      </c>
      <c r="S110" s="8" t="n">
        <v>0</v>
      </c>
      <c r="T110" s="13"/>
      <c r="U110" s="11" t="n">
        <f aca="false">O110*4 + P110*2 + MAX(0,N110-O110-P110)*1 + Q110*0.2 + R110*2 + S110*1 + IF(T110="",0,IF(T110&lt;=10,8,IF(T110&lt;=50,6,IF(T110&lt;=100,4,2))))</f>
        <v>1.8</v>
      </c>
      <c r="V110" s="7"/>
      <c r="W110" s="12"/>
      <c r="X110" s="13"/>
      <c r="Y110" s="13" t="s">
        <v>619</v>
      </c>
    </row>
    <row r="111" customFormat="false" ht="15.75" hidden="false" customHeight="true" outlineLevel="0" collapsed="false">
      <c r="A111" s="7" t="s">
        <v>620</v>
      </c>
      <c r="B111" s="8" t="n">
        <v>1989</v>
      </c>
      <c r="C111" s="8" t="s">
        <v>109</v>
      </c>
      <c r="D111" s="8" t="n">
        <v>95</v>
      </c>
      <c r="E111" s="7" t="s">
        <v>469</v>
      </c>
      <c r="F111" s="8" t="n">
        <v>7.7</v>
      </c>
      <c r="G111" s="8"/>
      <c r="H111" s="9" t="n">
        <v>274123</v>
      </c>
      <c r="I111" s="7" t="s">
        <v>46</v>
      </c>
      <c r="J111" s="7" t="s">
        <v>29</v>
      </c>
      <c r="K111" s="7" t="s">
        <v>30</v>
      </c>
      <c r="L111" s="10" t="s">
        <v>621</v>
      </c>
      <c r="M111" s="7" t="s">
        <v>622</v>
      </c>
      <c r="N111" s="8" t="n">
        <v>0</v>
      </c>
      <c r="O111" s="8" t="n">
        <v>0</v>
      </c>
      <c r="P111" s="8" t="n">
        <v>0</v>
      </c>
      <c r="Q111" s="8" t="n">
        <v>1</v>
      </c>
      <c r="R111" s="8" t="n">
        <v>0</v>
      </c>
      <c r="S111" s="8" t="n">
        <v>0</v>
      </c>
      <c r="T111" s="13"/>
      <c r="U111" s="11" t="n">
        <f aca="false">O111*4 + P111*2 + MAX(0,N111-O111-P111)*1 + Q111*0.2 + R111*2 + S111*1 + IF(T111="",0,IF(T111&lt;=10,8,IF(T111&lt;=50,6,IF(T111&lt;=100,4,2))))</f>
        <v>0.2</v>
      </c>
      <c r="V111" s="7"/>
      <c r="W111" s="12"/>
      <c r="X111" s="13"/>
      <c r="Y111" s="13" t="s">
        <v>623</v>
      </c>
    </row>
    <row r="112" customFormat="false" ht="15.75" hidden="false" customHeight="true" outlineLevel="0" collapsed="false">
      <c r="A112" s="7" t="s">
        <v>624</v>
      </c>
      <c r="B112" s="8" t="n">
        <v>2011</v>
      </c>
      <c r="C112" s="8" t="s">
        <v>176</v>
      </c>
      <c r="D112" s="8" t="n">
        <v>146</v>
      </c>
      <c r="E112" s="7" t="s">
        <v>625</v>
      </c>
      <c r="F112" s="8" t="n">
        <v>8.1</v>
      </c>
      <c r="G112" s="8"/>
      <c r="H112" s="9" t="n">
        <v>531582</v>
      </c>
      <c r="I112" s="7" t="s">
        <v>46</v>
      </c>
      <c r="J112" s="7" t="s">
        <v>47</v>
      </c>
      <c r="K112" s="7"/>
      <c r="L112" s="10" t="s">
        <v>177</v>
      </c>
      <c r="M112" s="7" t="s">
        <v>626</v>
      </c>
      <c r="N112" s="8" t="n">
        <v>1</v>
      </c>
      <c r="O112" s="8" t="n">
        <v>0</v>
      </c>
      <c r="P112" s="8" t="n">
        <v>0</v>
      </c>
      <c r="Q112" s="8" t="n">
        <v>4</v>
      </c>
      <c r="R112" s="8" t="n">
        <v>0</v>
      </c>
      <c r="S112" s="8" t="n">
        <v>0</v>
      </c>
      <c r="T112" s="13"/>
      <c r="U112" s="11" t="n">
        <f aca="false">O112*4 + P112*2 + MAX(0,N112-O112-P112)*1 + Q112*0.2 + R112*2 + S112*1 + IF(T112="",0,IF(T112&lt;=10,8,IF(T112&lt;=50,6,IF(T112&lt;=100,4,2))))</f>
        <v>1.8</v>
      </c>
      <c r="V112" s="7"/>
      <c r="W112" s="12"/>
      <c r="X112" s="13"/>
      <c r="Y112" s="13" t="s">
        <v>627</v>
      </c>
    </row>
    <row r="113" customFormat="false" ht="15.75" hidden="false" customHeight="true" outlineLevel="0" collapsed="false">
      <c r="A113" s="7" t="s">
        <v>628</v>
      </c>
      <c r="B113" s="8" t="n">
        <v>1982</v>
      </c>
      <c r="C113" s="8" t="s">
        <v>109</v>
      </c>
      <c r="D113" s="8" t="n">
        <v>109</v>
      </c>
      <c r="E113" s="7" t="s">
        <v>629</v>
      </c>
      <c r="F113" s="8" t="n">
        <v>8.2</v>
      </c>
      <c r="G113" s="8" t="n">
        <v>7</v>
      </c>
      <c r="H113" s="9" t="n">
        <v>532415</v>
      </c>
      <c r="I113" s="7" t="s">
        <v>46</v>
      </c>
      <c r="J113" s="7" t="s">
        <v>147</v>
      </c>
      <c r="K113" s="7" t="s">
        <v>125</v>
      </c>
      <c r="L113" s="10" t="s">
        <v>192</v>
      </c>
      <c r="M113" s="7" t="s">
        <v>630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3" t="n">
        <v>0</v>
      </c>
      <c r="T113" s="8" t="n">
        <v>118</v>
      </c>
      <c r="U113" s="11" t="n">
        <f aca="false">O113*4 + P113*2 + MAX(0,N113-O113-P113)*1 + Q113*0.2 + R113*2 + S113*1 + IF(T113="",0,IF(T113&lt;=10,8,IF(T113&lt;=50,6,IF(T113&lt;=100,4,2))))</f>
        <v>2</v>
      </c>
      <c r="V113" s="7" t="s">
        <v>631</v>
      </c>
      <c r="W113" s="12" t="s">
        <v>632</v>
      </c>
      <c r="X113" s="13"/>
      <c r="Y113" s="13" t="s">
        <v>633</v>
      </c>
    </row>
    <row r="114" customFormat="false" ht="15.75" hidden="false" customHeight="true" outlineLevel="0" collapsed="false">
      <c r="A114" s="7" t="s">
        <v>634</v>
      </c>
      <c r="B114" s="8" t="n">
        <v>1996</v>
      </c>
      <c r="C114" s="8" t="s">
        <v>26</v>
      </c>
      <c r="D114" s="8" t="n">
        <v>129</v>
      </c>
      <c r="E114" s="7" t="s">
        <v>635</v>
      </c>
      <c r="F114" s="8" t="n">
        <v>7.7</v>
      </c>
      <c r="G114" s="8" t="n">
        <v>7</v>
      </c>
      <c r="H114" s="9" t="n">
        <v>293601</v>
      </c>
      <c r="I114" s="7" t="s">
        <v>46</v>
      </c>
      <c r="J114" s="7" t="s">
        <v>47</v>
      </c>
      <c r="K114" s="7" t="s">
        <v>54</v>
      </c>
      <c r="L114" s="10" t="s">
        <v>636</v>
      </c>
      <c r="M114" s="7" t="s">
        <v>637</v>
      </c>
      <c r="N114" s="8" t="n">
        <v>0</v>
      </c>
      <c r="O114" s="8" t="n">
        <v>0</v>
      </c>
      <c r="P114" s="8" t="n">
        <v>0</v>
      </c>
      <c r="Q114" s="8" t="n">
        <v>1</v>
      </c>
      <c r="R114" s="8" t="n">
        <v>0</v>
      </c>
      <c r="S114" s="8" t="n">
        <v>0</v>
      </c>
      <c r="T114" s="13"/>
      <c r="U114" s="11" t="n">
        <f aca="false">O114*4 + P114*2 + MAX(0,N114-O114-P114)*1 + Q114*0.2 + R114*2 + S114*1 + IF(T114="",0,IF(T114&lt;=10,8,IF(T114&lt;=50,6,IF(T114&lt;=100,4,2))))</f>
        <v>0.2</v>
      </c>
      <c r="V114" s="7"/>
      <c r="W114" s="12"/>
      <c r="X114" s="13"/>
      <c r="Y114" s="13" t="s">
        <v>638</v>
      </c>
    </row>
    <row r="115" customFormat="false" ht="15.75" hidden="false" customHeight="true" outlineLevel="0" collapsed="false">
      <c r="A115" s="7" t="s">
        <v>639</v>
      </c>
      <c r="B115" s="8" t="n">
        <v>1978</v>
      </c>
      <c r="C115" s="8" t="s">
        <v>61</v>
      </c>
      <c r="D115" s="8" t="n">
        <v>183</v>
      </c>
      <c r="E115" s="7" t="s">
        <v>640</v>
      </c>
      <c r="F115" s="8" t="n">
        <v>8.1</v>
      </c>
      <c r="G115" s="8"/>
      <c r="H115" s="9" t="n">
        <v>388420</v>
      </c>
      <c r="I115" s="7" t="s">
        <v>46</v>
      </c>
      <c r="J115" s="7" t="s">
        <v>154</v>
      </c>
      <c r="K115" s="7" t="s">
        <v>47</v>
      </c>
      <c r="L115" s="10" t="s">
        <v>641</v>
      </c>
      <c r="M115" s="7" t="s">
        <v>642</v>
      </c>
      <c r="N115" s="8" t="n">
        <v>5</v>
      </c>
      <c r="O115" s="8" t="n">
        <v>1</v>
      </c>
      <c r="P115" s="8" t="n">
        <v>1</v>
      </c>
      <c r="Q115" s="8" t="n">
        <v>9</v>
      </c>
      <c r="R115" s="8" t="n">
        <v>0</v>
      </c>
      <c r="S115" s="8" t="n">
        <v>1</v>
      </c>
      <c r="T115" s="8" t="n">
        <v>211</v>
      </c>
      <c r="U115" s="11" t="n">
        <f aca="false">O115*4 + P115*2 + MAX(0,N115-O115-P115)*1 + Q115*0.2 + R115*2 + S115*1 + IF(T115="",0,IF(T115&lt;=10,8,IF(T115&lt;=50,6,IF(T115&lt;=100,4,2))))</f>
        <v>13.8</v>
      </c>
      <c r="V115" s="10" t="s">
        <v>643</v>
      </c>
      <c r="W115" s="12"/>
      <c r="X115" s="13"/>
      <c r="Y115" s="13" t="s">
        <v>644</v>
      </c>
    </row>
    <row r="116" customFormat="false" ht="15.75" hidden="false" customHeight="true" outlineLevel="0" collapsed="false">
      <c r="A116" s="7" t="s">
        <v>645</v>
      </c>
      <c r="B116" s="8" t="n">
        <v>1962</v>
      </c>
      <c r="C116" s="8" t="s">
        <v>122</v>
      </c>
      <c r="D116" s="8" t="n">
        <v>129</v>
      </c>
      <c r="E116" s="7" t="s">
        <v>646</v>
      </c>
      <c r="F116" s="8" t="n">
        <v>8.2</v>
      </c>
      <c r="G116" s="8"/>
      <c r="H116" s="9" t="n">
        <v>352477</v>
      </c>
      <c r="I116" s="7" t="s">
        <v>46</v>
      </c>
      <c r="J116" s="7" t="s">
        <v>47</v>
      </c>
      <c r="K116" s="7" t="s">
        <v>54</v>
      </c>
      <c r="L116" s="10" t="s">
        <v>647</v>
      </c>
      <c r="M116" s="7" t="s">
        <v>648</v>
      </c>
      <c r="N116" s="8" t="n">
        <v>3</v>
      </c>
      <c r="O116" s="8" t="n">
        <v>0</v>
      </c>
      <c r="P116" s="8" t="n">
        <v>0</v>
      </c>
      <c r="Q116" s="8" t="n">
        <v>8</v>
      </c>
      <c r="R116" s="8" t="n">
        <v>0</v>
      </c>
      <c r="S116" s="8" t="n">
        <v>0</v>
      </c>
      <c r="T116" s="13"/>
      <c r="U116" s="11" t="n">
        <f aca="false">O116*4 + P116*2 + MAX(0,N116-O116-P116)*1 + Q116*0.2 + R116*2 + S116*1 + IF(T116="",0,IF(T116&lt;=10,8,IF(T116&lt;=50,6,IF(T116&lt;=100,4,2))))</f>
        <v>4.6</v>
      </c>
      <c r="V116" s="7" t="s">
        <v>649</v>
      </c>
      <c r="W116" s="12"/>
      <c r="X116" s="13"/>
      <c r="Y116" s="13" t="s">
        <v>650</v>
      </c>
    </row>
    <row r="117" customFormat="false" ht="15.75" hidden="false" customHeight="true" outlineLevel="0" collapsed="false">
      <c r="A117" s="7" t="s">
        <v>651</v>
      </c>
      <c r="B117" s="8" t="n">
        <v>1981</v>
      </c>
      <c r="C117" s="8" t="s">
        <v>109</v>
      </c>
      <c r="D117" s="8" t="n">
        <v>131</v>
      </c>
      <c r="E117" s="7" t="s">
        <v>652</v>
      </c>
      <c r="F117" s="8" t="n">
        <v>7.4</v>
      </c>
      <c r="G117" s="8"/>
      <c r="H117" s="9" t="n">
        <v>2177</v>
      </c>
      <c r="I117" s="7" t="s">
        <v>232</v>
      </c>
      <c r="J117" s="7" t="s">
        <v>47</v>
      </c>
      <c r="K117" s="7" t="s">
        <v>483</v>
      </c>
      <c r="L117" s="10" t="s">
        <v>252</v>
      </c>
      <c r="M117" s="7" t="s">
        <v>653</v>
      </c>
      <c r="N117" s="8" t="n">
        <v>0</v>
      </c>
      <c r="O117" s="8" t="n">
        <v>0</v>
      </c>
      <c r="P117" s="8" t="n">
        <v>0</v>
      </c>
      <c r="Q117" s="8" t="n">
        <v>0</v>
      </c>
      <c r="R117" s="13" t="n">
        <v>0</v>
      </c>
      <c r="S117" s="13" t="n">
        <v>0</v>
      </c>
      <c r="T117" s="13"/>
      <c r="U117" s="11" t="n">
        <f aca="false">O117*4 + P117*2 + MAX(0,N117-O117-P117)*1 + Q117*0.2 + R117*2 + S117*1 + IF(T117="",0,IF(T117&lt;=10,8,IF(T117&lt;=50,6,IF(T117&lt;=100,4,2))))</f>
        <v>0</v>
      </c>
      <c r="V117" s="7"/>
      <c r="W117" s="12"/>
      <c r="X117" s="13"/>
      <c r="Y117" s="13" t="s">
        <v>654</v>
      </c>
    </row>
    <row r="118" customFormat="false" ht="15.75" hidden="false" customHeight="true" outlineLevel="0" collapsed="false">
      <c r="A118" s="7" t="s">
        <v>655</v>
      </c>
      <c r="B118" s="8" t="n">
        <v>1987</v>
      </c>
      <c r="C118" s="8" t="s">
        <v>109</v>
      </c>
      <c r="D118" s="8" t="n">
        <v>163</v>
      </c>
      <c r="E118" s="7" t="s">
        <v>656</v>
      </c>
      <c r="F118" s="8" t="n">
        <v>7.7</v>
      </c>
      <c r="G118" s="8"/>
      <c r="H118" s="9" t="n">
        <v>120540</v>
      </c>
      <c r="I118" s="7" t="s">
        <v>280</v>
      </c>
      <c r="J118" s="7" t="s">
        <v>47</v>
      </c>
      <c r="K118" s="7" t="s">
        <v>48</v>
      </c>
      <c r="L118" s="10" t="s">
        <v>657</v>
      </c>
      <c r="M118" s="7" t="s">
        <v>658</v>
      </c>
      <c r="N118" s="8" t="n">
        <v>9</v>
      </c>
      <c r="O118" s="8" t="n">
        <v>1</v>
      </c>
      <c r="P118" s="8" t="n">
        <v>1</v>
      </c>
      <c r="Q118" s="8" t="n">
        <v>9</v>
      </c>
      <c r="R118" s="8" t="n">
        <v>0</v>
      </c>
      <c r="S118" s="8" t="n">
        <v>0</v>
      </c>
      <c r="T118" s="13"/>
      <c r="U118" s="11" t="n">
        <f aca="false">O118*4 + P118*2 + MAX(0,N118-O118-P118)*1 + Q118*0.2 + R118*2 + S118*1 + IF(T118="",0,IF(T118&lt;=10,8,IF(T118&lt;=50,6,IF(T118&lt;=100,4,2))))</f>
        <v>14.8</v>
      </c>
      <c r="V118" s="7"/>
      <c r="W118" s="12"/>
      <c r="X118" s="13"/>
      <c r="Y118" s="13" t="s">
        <v>659</v>
      </c>
    </row>
    <row r="119" customFormat="false" ht="15.75" hidden="false" customHeight="true" outlineLevel="0" collapsed="false">
      <c r="A119" s="7" t="s">
        <v>660</v>
      </c>
      <c r="B119" s="8" t="n">
        <v>2004</v>
      </c>
      <c r="C119" s="8" t="s">
        <v>35</v>
      </c>
      <c r="D119" s="8" t="n">
        <v>106</v>
      </c>
      <c r="E119" s="7" t="s">
        <v>661</v>
      </c>
      <c r="F119" s="8" t="n">
        <v>7.6</v>
      </c>
      <c r="G119" s="8"/>
      <c r="H119" s="9" t="n">
        <v>217897</v>
      </c>
      <c r="I119" s="7" t="s">
        <v>153</v>
      </c>
      <c r="J119" s="7" t="s">
        <v>47</v>
      </c>
      <c r="K119" s="7" t="s">
        <v>48</v>
      </c>
      <c r="L119" s="10"/>
      <c r="M119" s="7" t="s">
        <v>662</v>
      </c>
      <c r="N119" s="8" t="n">
        <v>1</v>
      </c>
      <c r="O119" s="8" t="n">
        <v>0</v>
      </c>
      <c r="P119" s="8" t="n">
        <v>0</v>
      </c>
      <c r="Q119" s="8" t="n">
        <v>7</v>
      </c>
      <c r="R119" s="8" t="n">
        <v>0</v>
      </c>
      <c r="S119" s="8" t="n">
        <v>0</v>
      </c>
      <c r="T119" s="13"/>
      <c r="U119" s="11" t="n">
        <f aca="false">O119*4 + P119*2 + MAX(0,N119-O119-P119)*1 + Q119*0.2 + R119*2 + S119*1 + IF(T119="",0,IF(T119&lt;=10,8,IF(T119&lt;=50,6,IF(T119&lt;=100,4,2))))</f>
        <v>2.4</v>
      </c>
      <c r="V119" s="7"/>
      <c r="W119" s="12"/>
      <c r="X119" s="13"/>
      <c r="Y119" s="13" t="s">
        <v>663</v>
      </c>
    </row>
    <row r="120" customFormat="false" ht="15.75" hidden="false" customHeight="true" outlineLevel="0" collapsed="false">
      <c r="A120" s="7" t="s">
        <v>664</v>
      </c>
      <c r="B120" s="8" t="n">
        <v>2008</v>
      </c>
      <c r="C120" s="8" t="s">
        <v>35</v>
      </c>
      <c r="D120" s="8" t="n">
        <v>124</v>
      </c>
      <c r="E120" s="7" t="s">
        <v>420</v>
      </c>
      <c r="F120" s="8" t="n">
        <v>7.6</v>
      </c>
      <c r="G120" s="8"/>
      <c r="H120" s="9" t="n">
        <v>275084</v>
      </c>
      <c r="I120" s="7" t="s">
        <v>46</v>
      </c>
      <c r="J120" s="7" t="s">
        <v>29</v>
      </c>
      <c r="K120" s="7" t="s">
        <v>125</v>
      </c>
      <c r="L120" s="10" t="s">
        <v>161</v>
      </c>
      <c r="M120" s="7" t="s">
        <v>665</v>
      </c>
      <c r="N120" s="8" t="n">
        <v>1</v>
      </c>
      <c r="O120" s="8" t="n">
        <v>0</v>
      </c>
      <c r="P120" s="8" t="n">
        <v>0</v>
      </c>
      <c r="Q120" s="8" t="n">
        <v>5</v>
      </c>
      <c r="R120" s="8" t="n">
        <v>0</v>
      </c>
      <c r="S120" s="8" t="n">
        <v>0</v>
      </c>
      <c r="T120" s="13"/>
      <c r="U120" s="11" t="n">
        <f aca="false">O120*4 + P120*2 + MAX(0,N120-O120-P120)*1 + Q120*0.2 + R120*2 + S120*1 + IF(T120="",0,IF(T120&lt;=10,8,IF(T120&lt;=50,6,IF(T120&lt;=100,4,2))))</f>
        <v>2</v>
      </c>
      <c r="V120" s="7"/>
      <c r="W120" s="12"/>
      <c r="X120" s="13"/>
      <c r="Y120" s="13" t="s">
        <v>666</v>
      </c>
    </row>
    <row r="121" customFormat="false" ht="15.75" hidden="false" customHeight="true" outlineLevel="0" collapsed="false">
      <c r="A121" s="7" t="s">
        <v>667</v>
      </c>
      <c r="B121" s="8" t="n">
        <v>1993</v>
      </c>
      <c r="C121" s="8" t="s">
        <v>26</v>
      </c>
      <c r="D121" s="8" t="n">
        <v>121</v>
      </c>
      <c r="E121" s="7" t="s">
        <v>668</v>
      </c>
      <c r="F121" s="8" t="n">
        <v>7.5</v>
      </c>
      <c r="G121" s="8"/>
      <c r="H121" s="9" t="n">
        <v>102191</v>
      </c>
      <c r="I121" s="7" t="s">
        <v>669</v>
      </c>
      <c r="J121" s="7" t="s">
        <v>90</v>
      </c>
      <c r="K121" s="7" t="s">
        <v>29</v>
      </c>
      <c r="L121" s="10" t="s">
        <v>670</v>
      </c>
      <c r="M121" s="7" t="s">
        <v>671</v>
      </c>
      <c r="N121" s="8" t="n">
        <v>3</v>
      </c>
      <c r="O121" s="8" t="n">
        <v>0</v>
      </c>
      <c r="P121" s="8" t="n">
        <v>0</v>
      </c>
      <c r="Q121" s="8" t="n">
        <v>8</v>
      </c>
      <c r="R121" s="8" t="n">
        <v>0</v>
      </c>
      <c r="S121" s="8" t="n">
        <v>0</v>
      </c>
      <c r="T121" s="8" t="n">
        <v>50</v>
      </c>
      <c r="U121" s="11" t="n">
        <f aca="false">O121*4 + P121*2 + MAX(0,N121-O121-P121)*1 + Q121*0.2 + R121*2 + S121*1 + IF(T121="",0,IF(T121&lt;=10,8,IF(T121&lt;=50,6,IF(T121&lt;=100,4,2))))</f>
        <v>10.6</v>
      </c>
      <c r="V121" s="10" t="s">
        <v>672</v>
      </c>
      <c r="W121" s="12"/>
      <c r="X121" s="13"/>
      <c r="Y121" s="13" t="s">
        <v>673</v>
      </c>
    </row>
    <row r="122" customFormat="false" ht="15.75" hidden="false" customHeight="true" outlineLevel="0" collapsed="false">
      <c r="A122" s="7" t="s">
        <v>674</v>
      </c>
      <c r="B122" s="8" t="n">
        <v>2014</v>
      </c>
      <c r="C122" s="8" t="s">
        <v>176</v>
      </c>
      <c r="D122" s="8" t="n">
        <v>165</v>
      </c>
      <c r="E122" s="7" t="s">
        <v>675</v>
      </c>
      <c r="F122" s="8" t="n">
        <v>7.9</v>
      </c>
      <c r="G122" s="8"/>
      <c r="H122" s="9" t="n">
        <v>383189</v>
      </c>
      <c r="I122" s="7" t="s">
        <v>46</v>
      </c>
      <c r="J122" s="7" t="s">
        <v>30</v>
      </c>
      <c r="K122" s="7" t="s">
        <v>251</v>
      </c>
      <c r="L122" s="10"/>
      <c r="M122" s="7" t="s">
        <v>676</v>
      </c>
      <c r="N122" s="8" t="n">
        <v>1</v>
      </c>
      <c r="O122" s="8" t="n">
        <v>0</v>
      </c>
      <c r="P122" s="8" t="n">
        <v>0</v>
      </c>
      <c r="Q122" s="8" t="n">
        <v>6</v>
      </c>
      <c r="R122" s="8" t="n">
        <v>0</v>
      </c>
      <c r="S122" s="8" t="n">
        <v>1</v>
      </c>
      <c r="T122" s="13"/>
      <c r="U122" s="11" t="n">
        <f aca="false">O122*4 + P122*2 + MAX(0,N122-O122-P122)*1 + Q122*0.2 + R122*2 + S122*1 + IF(T122="",0,IF(T122&lt;=10,8,IF(T122&lt;=50,6,IF(T122&lt;=100,4,2))))</f>
        <v>3.2</v>
      </c>
      <c r="V122" s="7"/>
      <c r="W122" s="12"/>
      <c r="X122" s="13"/>
      <c r="Y122" s="13" t="s">
        <v>677</v>
      </c>
    </row>
    <row r="123" customFormat="false" ht="15.75" hidden="false" customHeight="true" outlineLevel="0" collapsed="false">
      <c r="A123" s="7" t="s">
        <v>678</v>
      </c>
      <c r="B123" s="8" t="n">
        <v>2019</v>
      </c>
      <c r="C123" s="8" t="s">
        <v>176</v>
      </c>
      <c r="D123" s="8" t="n">
        <v>130</v>
      </c>
      <c r="E123" s="7" t="s">
        <v>679</v>
      </c>
      <c r="F123" s="8" t="n">
        <v>7.9</v>
      </c>
      <c r="G123" s="8" t="n">
        <v>7</v>
      </c>
      <c r="H123" s="9" t="n">
        <v>886820</v>
      </c>
      <c r="I123" s="7" t="s">
        <v>46</v>
      </c>
      <c r="J123" s="7" t="s">
        <v>54</v>
      </c>
      <c r="K123" s="12" t="s">
        <v>125</v>
      </c>
      <c r="L123" s="10" t="s">
        <v>680</v>
      </c>
      <c r="M123" s="7" t="s">
        <v>681</v>
      </c>
      <c r="N123" s="8" t="n">
        <v>0</v>
      </c>
      <c r="O123" s="8" t="n">
        <v>0</v>
      </c>
      <c r="P123" s="8" t="n">
        <v>0</v>
      </c>
      <c r="Q123" s="8" t="n">
        <v>1</v>
      </c>
      <c r="R123" s="8" t="n">
        <v>0</v>
      </c>
      <c r="S123" s="13" t="n">
        <v>0</v>
      </c>
      <c r="T123" s="8"/>
      <c r="U123" s="11" t="n">
        <f aca="false">O123*4 + P123*2 + MAX(0,N123-O123-P123)*1 + Q123*0.2 + R123*2 + S123*1 + IF(T123="",0,IF(T123&lt;=10,8,IF(T123&lt;=50,6,IF(T123&lt;=100,4,2))))</f>
        <v>0.2</v>
      </c>
      <c r="V123" s="7"/>
      <c r="W123" s="12"/>
      <c r="X123" s="13"/>
      <c r="Y123" s="13" t="s">
        <v>682</v>
      </c>
    </row>
    <row r="124" customFormat="false" ht="15.75" hidden="false" customHeight="true" outlineLevel="0" collapsed="false">
      <c r="A124" s="7" t="s">
        <v>683</v>
      </c>
      <c r="B124" s="8" t="n">
        <v>2000</v>
      </c>
      <c r="C124" s="8" t="s">
        <v>35</v>
      </c>
      <c r="D124" s="8" t="n">
        <v>135</v>
      </c>
      <c r="E124" s="7" t="s">
        <v>436</v>
      </c>
      <c r="F124" s="8" t="n">
        <v>7.9</v>
      </c>
      <c r="G124" s="8"/>
      <c r="H124" s="9" t="n">
        <v>124817</v>
      </c>
      <c r="I124" s="7" t="s">
        <v>437</v>
      </c>
      <c r="J124" s="7" t="s">
        <v>90</v>
      </c>
      <c r="K124" s="7" t="s">
        <v>54</v>
      </c>
      <c r="L124" s="10"/>
      <c r="M124" s="7" t="s">
        <v>684</v>
      </c>
      <c r="N124" s="8" t="n">
        <v>0</v>
      </c>
      <c r="O124" s="8" t="n">
        <v>0</v>
      </c>
      <c r="P124" s="8" t="n">
        <v>0</v>
      </c>
      <c r="Q124" s="8" t="n">
        <v>1</v>
      </c>
      <c r="R124" s="8" t="n">
        <v>1</v>
      </c>
      <c r="S124" s="8" t="n">
        <v>0</v>
      </c>
      <c r="T124" s="13"/>
      <c r="U124" s="11" t="n">
        <f aca="false">O124*4 + P124*2 + MAX(0,N124-O124-P124)*1 + Q124*0.2 + R124*2 + S124*1 + IF(T124="",0,IF(T124&lt;=10,8,IF(T124&lt;=50,6,IF(T124&lt;=100,4,2))))</f>
        <v>2.2</v>
      </c>
      <c r="V124" s="7"/>
      <c r="W124" s="12"/>
      <c r="X124" s="13"/>
      <c r="Y124" s="13" t="s">
        <v>685</v>
      </c>
    </row>
    <row r="125" customFormat="false" ht="15.75" hidden="false" customHeight="true" outlineLevel="0" collapsed="false">
      <c r="A125" s="7" t="s">
        <v>686</v>
      </c>
      <c r="B125" s="8" t="n">
        <v>1950</v>
      </c>
      <c r="C125" s="8" t="s">
        <v>196</v>
      </c>
      <c r="D125" s="8" t="n">
        <v>110</v>
      </c>
      <c r="E125" s="7" t="s">
        <v>186</v>
      </c>
      <c r="F125" s="8" t="n">
        <v>8.4</v>
      </c>
      <c r="G125" s="8"/>
      <c r="H125" s="9" t="n">
        <v>263090</v>
      </c>
      <c r="I125" s="7" t="s">
        <v>46</v>
      </c>
      <c r="J125" s="7" t="s">
        <v>47</v>
      </c>
      <c r="K125" s="7" t="s">
        <v>483</v>
      </c>
      <c r="L125" s="10"/>
      <c r="M125" s="7" t="s">
        <v>687</v>
      </c>
      <c r="N125" s="8" t="n">
        <v>3</v>
      </c>
      <c r="O125" s="8" t="n">
        <v>0</v>
      </c>
      <c r="P125" s="8" t="n">
        <v>0</v>
      </c>
      <c r="Q125" s="8" t="n">
        <v>11</v>
      </c>
      <c r="R125" s="8" t="n">
        <v>0</v>
      </c>
      <c r="S125" s="8" t="n">
        <v>1</v>
      </c>
      <c r="T125" s="8" t="n">
        <v>78</v>
      </c>
      <c r="U125" s="11" t="n">
        <f aca="false">O125*4 + P125*2 + MAX(0,N125-O125-P125)*1 + Q125*0.2 + R125*2 + S125*1 + IF(T125="",0,IF(T125&lt;=10,8,IF(T125&lt;=50,6,IF(T125&lt;=100,4,2))))</f>
        <v>10.2</v>
      </c>
      <c r="V125" s="7" t="s">
        <v>688</v>
      </c>
      <c r="W125" s="12"/>
      <c r="X125" s="13"/>
      <c r="Y125" s="13" t="s">
        <v>689</v>
      </c>
    </row>
    <row r="126" customFormat="false" ht="15.75" hidden="false" customHeight="true" outlineLevel="0" collapsed="false">
      <c r="A126" s="7" t="s">
        <v>690</v>
      </c>
      <c r="B126" s="8" t="n">
        <v>1995</v>
      </c>
      <c r="C126" s="8" t="s">
        <v>26</v>
      </c>
      <c r="D126" s="8" t="n">
        <v>101</v>
      </c>
      <c r="E126" s="7" t="s">
        <v>675</v>
      </c>
      <c r="F126" s="8" t="n">
        <v>8.1</v>
      </c>
      <c r="G126" s="8"/>
      <c r="H126" s="9" t="n">
        <v>382362</v>
      </c>
      <c r="I126" s="7" t="s">
        <v>46</v>
      </c>
      <c r="J126" s="7" t="s">
        <v>29</v>
      </c>
      <c r="K126" s="7" t="s">
        <v>30</v>
      </c>
      <c r="L126" s="10"/>
      <c r="M126" s="7" t="s">
        <v>691</v>
      </c>
      <c r="N126" s="8" t="n">
        <v>0</v>
      </c>
      <c r="O126" s="8" t="n">
        <v>0</v>
      </c>
      <c r="P126" s="8" t="n">
        <v>0</v>
      </c>
      <c r="Q126" s="8" t="n">
        <v>0</v>
      </c>
      <c r="R126" s="13" t="n">
        <v>0</v>
      </c>
      <c r="S126" s="13" t="n">
        <v>0</v>
      </c>
      <c r="T126" s="13"/>
      <c r="U126" s="11" t="n">
        <f aca="false">O126*4 + P126*2 + MAX(0,N126-O126-P126)*1 + Q126*0.2 + R126*2 + S126*1 + IF(T126="",0,IF(T126&lt;=10,8,IF(T126&lt;=50,6,IF(T126&lt;=100,4,2))))</f>
        <v>0</v>
      </c>
      <c r="V126" s="7"/>
      <c r="W126" s="12"/>
      <c r="X126" s="13"/>
      <c r="Y126" s="13" t="s">
        <v>692</v>
      </c>
    </row>
    <row r="127" customFormat="false" ht="15.75" hidden="false" customHeight="true" outlineLevel="0" collapsed="false">
      <c r="A127" s="7" t="s">
        <v>693</v>
      </c>
      <c r="B127" s="8" t="n">
        <v>1996</v>
      </c>
      <c r="C127" s="8" t="s">
        <v>26</v>
      </c>
      <c r="D127" s="8" t="n">
        <v>147</v>
      </c>
      <c r="E127" s="7" t="s">
        <v>694</v>
      </c>
      <c r="F127" s="8" t="n">
        <v>7.5</v>
      </c>
      <c r="G127" s="8" t="n">
        <v>7</v>
      </c>
      <c r="H127" s="9" t="n">
        <v>256247</v>
      </c>
      <c r="I127" s="7" t="s">
        <v>46</v>
      </c>
      <c r="J127" s="7" t="s">
        <v>131</v>
      </c>
      <c r="K127" s="7" t="s">
        <v>695</v>
      </c>
      <c r="L127" s="10" t="s">
        <v>238</v>
      </c>
      <c r="M127" s="7" t="s">
        <v>696</v>
      </c>
      <c r="N127" s="8" t="n">
        <v>0</v>
      </c>
      <c r="O127" s="8" t="n">
        <v>0</v>
      </c>
      <c r="P127" s="8" t="n">
        <v>0</v>
      </c>
      <c r="Q127" s="8" t="n">
        <v>1</v>
      </c>
      <c r="R127" s="8" t="n">
        <v>0</v>
      </c>
      <c r="S127" s="8" t="n">
        <v>0</v>
      </c>
      <c r="T127" s="13"/>
      <c r="U127" s="11" t="n">
        <f aca="false">O127*4 + P127*2 + MAX(0,N127-O127-P127)*1 + Q127*0.2 + R127*2 + S127*1 + IF(T127="",0,IF(T127&lt;=10,8,IF(T127&lt;=50,6,IF(T127&lt;=100,4,2))))</f>
        <v>0.2</v>
      </c>
      <c r="V127" s="7"/>
      <c r="W127" s="12"/>
      <c r="X127" s="13"/>
      <c r="Y127" s="13" t="s">
        <v>697</v>
      </c>
    </row>
    <row r="128" customFormat="false" ht="15.75" hidden="false" customHeight="true" outlineLevel="0" collapsed="false">
      <c r="A128" s="7" t="s">
        <v>698</v>
      </c>
      <c r="B128" s="8" t="n">
        <v>2015</v>
      </c>
      <c r="C128" s="8" t="s">
        <v>176</v>
      </c>
      <c r="D128" s="8" t="n">
        <v>118</v>
      </c>
      <c r="E128" s="7" t="s">
        <v>699</v>
      </c>
      <c r="F128" s="8" t="n">
        <v>8.1</v>
      </c>
      <c r="G128" s="8"/>
      <c r="H128" s="9" t="n">
        <v>483479</v>
      </c>
      <c r="I128" s="7" t="s">
        <v>700</v>
      </c>
      <c r="J128" s="7" t="s">
        <v>131</v>
      </c>
      <c r="K128" s="7" t="s">
        <v>47</v>
      </c>
      <c r="L128" s="10"/>
      <c r="M128" s="7" t="s">
        <v>701</v>
      </c>
      <c r="N128" s="8" t="n">
        <v>1</v>
      </c>
      <c r="O128" s="8" t="n">
        <v>0</v>
      </c>
      <c r="P128" s="8" t="n">
        <v>0</v>
      </c>
      <c r="Q128" s="8" t="n">
        <v>4</v>
      </c>
      <c r="R128" s="8" t="n">
        <v>0</v>
      </c>
      <c r="S128" s="8" t="n">
        <v>0</v>
      </c>
      <c r="T128" s="13"/>
      <c r="U128" s="11" t="n">
        <f aca="false">O128*4 + P128*2 + MAX(0,N128-O128-P128)*1 + Q128*0.2 + R128*2 + S128*1 + IF(T128="",0,IF(T128&lt;=10,8,IF(T128&lt;=50,6,IF(T128&lt;=100,4,2))))</f>
        <v>1.8</v>
      </c>
      <c r="V128" s="7"/>
      <c r="W128" s="12"/>
      <c r="X128" s="13"/>
      <c r="Y128" s="13" t="s">
        <v>702</v>
      </c>
    </row>
    <row r="129" customFormat="false" ht="15.75" hidden="false" customHeight="true" outlineLevel="0" collapsed="false">
      <c r="A129" s="7" t="s">
        <v>703</v>
      </c>
      <c r="B129" s="8" t="n">
        <v>2010</v>
      </c>
      <c r="C129" s="8" t="s">
        <v>176</v>
      </c>
      <c r="D129" s="8" t="n">
        <v>116</v>
      </c>
      <c r="E129" s="7" t="s">
        <v>704</v>
      </c>
      <c r="F129" s="8" t="n">
        <v>7.8</v>
      </c>
      <c r="G129" s="8"/>
      <c r="H129" s="9" t="n">
        <v>410308</v>
      </c>
      <c r="I129" s="7" t="s">
        <v>46</v>
      </c>
      <c r="J129" s="7" t="s">
        <v>112</v>
      </c>
      <c r="K129" s="7" t="s">
        <v>48</v>
      </c>
      <c r="L129" s="10" t="s">
        <v>210</v>
      </c>
      <c r="M129" s="7" t="s">
        <v>705</v>
      </c>
      <c r="N129" s="8" t="n">
        <v>2</v>
      </c>
      <c r="O129" s="8" t="n">
        <v>0</v>
      </c>
      <c r="P129" s="8" t="n">
        <v>0</v>
      </c>
      <c r="Q129" s="8" t="n">
        <v>7</v>
      </c>
      <c r="R129" s="8" t="n">
        <v>0</v>
      </c>
      <c r="S129" s="8" t="n">
        <v>0</v>
      </c>
      <c r="T129" s="13"/>
      <c r="U129" s="11" t="n">
        <f aca="false">O129*4 + P129*2 + MAX(0,N129-O129-P129)*1 + Q129*0.2 + R129*2 + S129*1 + IF(T129="",0,IF(T129&lt;=10,8,IF(T129&lt;=50,6,IF(T129&lt;=100,4,2))))</f>
        <v>3.4</v>
      </c>
      <c r="V129" s="7"/>
      <c r="W129" s="12"/>
      <c r="X129" s="13"/>
      <c r="Y129" s="13" t="s">
        <v>706</v>
      </c>
    </row>
    <row r="130" customFormat="false" ht="15.75" hidden="false" customHeight="true" outlineLevel="0" collapsed="false">
      <c r="A130" s="7" t="s">
        <v>707</v>
      </c>
      <c r="B130" s="8" t="n">
        <v>1935</v>
      </c>
      <c r="C130" s="8" t="s">
        <v>96</v>
      </c>
      <c r="D130" s="8" t="n">
        <v>96</v>
      </c>
      <c r="E130" s="7" t="s">
        <v>708</v>
      </c>
      <c r="F130" s="8" t="n">
        <v>7.8</v>
      </c>
      <c r="G130" s="8"/>
      <c r="H130" s="9" t="n">
        <v>36691</v>
      </c>
      <c r="I130" s="7" t="s">
        <v>46</v>
      </c>
      <c r="J130" s="7" t="s">
        <v>90</v>
      </c>
      <c r="K130" s="7" t="s">
        <v>30</v>
      </c>
      <c r="L130" s="10"/>
      <c r="M130" s="7" t="s">
        <v>709</v>
      </c>
      <c r="N130" s="8" t="n">
        <v>0</v>
      </c>
      <c r="O130" s="8" t="n">
        <v>0</v>
      </c>
      <c r="P130" s="8" t="n">
        <v>0</v>
      </c>
      <c r="Q130" s="8" t="n">
        <v>0</v>
      </c>
      <c r="R130" s="13" t="n">
        <v>0</v>
      </c>
      <c r="S130" s="13" t="n">
        <v>0</v>
      </c>
      <c r="T130" s="13"/>
      <c r="U130" s="11" t="n">
        <f aca="false">O130*4 + P130*2 + MAX(0,N130-O130-P130)*1 + Q130*0.2 + R130*2 + S130*1 + IF(T130="",0,IF(T130&lt;=10,8,IF(T130&lt;=50,6,IF(T130&lt;=100,4,2))))</f>
        <v>0</v>
      </c>
      <c r="V130" s="7" t="s">
        <v>710</v>
      </c>
      <c r="W130" s="12"/>
      <c r="X130" s="13"/>
      <c r="Y130" s="13" t="s">
        <v>711</v>
      </c>
    </row>
    <row r="131" customFormat="false" ht="15.75" hidden="false" customHeight="true" outlineLevel="0" collapsed="false">
      <c r="A131" s="7" t="s">
        <v>712</v>
      </c>
      <c r="B131" s="8" t="n">
        <v>1984</v>
      </c>
      <c r="C131" s="8" t="s">
        <v>109</v>
      </c>
      <c r="D131" s="8" t="n">
        <v>107</v>
      </c>
      <c r="E131" s="7" t="s">
        <v>713</v>
      </c>
      <c r="F131" s="8" t="n">
        <v>8.1</v>
      </c>
      <c r="G131" s="8"/>
      <c r="H131" s="9" t="n">
        <v>5365</v>
      </c>
      <c r="I131" s="7" t="s">
        <v>232</v>
      </c>
      <c r="J131" s="7" t="s">
        <v>47</v>
      </c>
      <c r="K131" s="7" t="s">
        <v>591</v>
      </c>
      <c r="L131" s="10" t="s">
        <v>714</v>
      </c>
      <c r="M131" s="7" t="s">
        <v>715</v>
      </c>
      <c r="N131" s="8" t="n">
        <v>0</v>
      </c>
      <c r="O131" s="8" t="n">
        <v>0</v>
      </c>
      <c r="P131" s="8" t="n">
        <v>0</v>
      </c>
      <c r="Q131" s="8" t="n">
        <v>0</v>
      </c>
      <c r="R131" s="13" t="n">
        <v>0</v>
      </c>
      <c r="S131" s="13" t="n">
        <v>0</v>
      </c>
      <c r="T131" s="13"/>
      <c r="U131" s="11" t="n">
        <f aca="false">O131*4 + P131*2 + MAX(0,N131-O131-P131)*1 + Q131*0.2 + R131*2 + S131*1 + IF(T131="",0,IF(T131&lt;=10,8,IF(T131&lt;=50,6,IF(T131&lt;=100,4,2))))</f>
        <v>0</v>
      </c>
      <c r="V131" s="7" t="s">
        <v>716</v>
      </c>
      <c r="W131" s="12"/>
      <c r="X131" s="13"/>
      <c r="Y131" s="13" t="s">
        <v>717</v>
      </c>
    </row>
    <row r="132" customFormat="false" ht="15.75" hidden="false" customHeight="true" outlineLevel="0" collapsed="false">
      <c r="A132" s="7" t="s">
        <v>718</v>
      </c>
      <c r="B132" s="8" t="n">
        <v>1991</v>
      </c>
      <c r="C132" s="8" t="s">
        <v>26</v>
      </c>
      <c r="D132" s="8" t="n">
        <v>99</v>
      </c>
      <c r="E132" s="7" t="s">
        <v>719</v>
      </c>
      <c r="F132" s="8" t="n">
        <v>7.5</v>
      </c>
      <c r="G132" s="8"/>
      <c r="H132" s="9" t="n">
        <v>94723</v>
      </c>
      <c r="I132" s="7" t="s">
        <v>219</v>
      </c>
      <c r="J132" s="7" t="s">
        <v>30</v>
      </c>
      <c r="K132" s="7" t="s">
        <v>54</v>
      </c>
      <c r="L132" s="10" t="s">
        <v>720</v>
      </c>
      <c r="M132" s="7" t="s">
        <v>721</v>
      </c>
      <c r="N132" s="8" t="n">
        <v>0</v>
      </c>
      <c r="O132" s="8" t="n">
        <v>0</v>
      </c>
      <c r="P132" s="8" t="n">
        <v>0</v>
      </c>
      <c r="Q132" s="8" t="n">
        <v>0</v>
      </c>
      <c r="R132" s="13" t="n">
        <v>0</v>
      </c>
      <c r="S132" s="13" t="n">
        <v>0</v>
      </c>
      <c r="T132" s="13"/>
      <c r="U132" s="11" t="n">
        <f aca="false">O132*4 + P132*2 + MAX(0,N132-O132-P132)*1 + Q132*0.2 + R132*2 + S132*1 + IF(T132="",0,IF(T132&lt;=10,8,IF(T132&lt;=50,6,IF(T132&lt;=100,4,2))))</f>
        <v>0</v>
      </c>
      <c r="V132" s="7"/>
      <c r="W132" s="12"/>
      <c r="X132" s="13"/>
      <c r="Y132" s="13" t="s">
        <v>722</v>
      </c>
    </row>
    <row r="133" customFormat="false" ht="15.75" hidden="false" customHeight="true" outlineLevel="0" collapsed="false">
      <c r="A133" s="7" t="s">
        <v>723</v>
      </c>
      <c r="B133" s="8" t="n">
        <v>1957</v>
      </c>
      <c r="C133" s="8" t="s">
        <v>196</v>
      </c>
      <c r="D133" s="8" t="n">
        <v>116</v>
      </c>
      <c r="E133" s="7" t="s">
        <v>186</v>
      </c>
      <c r="F133" s="8" t="n">
        <v>8.4</v>
      </c>
      <c r="G133" s="8"/>
      <c r="H133" s="9" t="n">
        <v>163680</v>
      </c>
      <c r="I133" s="7" t="s">
        <v>46</v>
      </c>
      <c r="J133" s="7" t="s">
        <v>47</v>
      </c>
      <c r="K133" s="7" t="s">
        <v>54</v>
      </c>
      <c r="L133" s="10" t="s">
        <v>113</v>
      </c>
      <c r="M133" s="7" t="s">
        <v>724</v>
      </c>
      <c r="N133" s="8" t="n">
        <v>0</v>
      </c>
      <c r="O133" s="8" t="n">
        <v>0</v>
      </c>
      <c r="P133" s="8" t="n">
        <v>0</v>
      </c>
      <c r="Q133" s="8" t="n">
        <v>6</v>
      </c>
      <c r="R133" s="8" t="n">
        <v>0</v>
      </c>
      <c r="S133" s="8" t="n">
        <v>0</v>
      </c>
      <c r="T133" s="13"/>
      <c r="U133" s="11" t="n">
        <f aca="false">O133*4 + P133*2 + MAX(0,N133-O133-P133)*1 + Q133*0.2 + R133*2 + S133*1 + IF(T133="",0,IF(T133&lt;=10,8,IF(T133&lt;=50,6,IF(T133&lt;=100,4,2))))</f>
        <v>1.2</v>
      </c>
      <c r="V133" s="7" t="s">
        <v>725</v>
      </c>
      <c r="W133" s="12"/>
      <c r="X133" s="13"/>
      <c r="Y133" s="13" t="s">
        <v>726</v>
      </c>
    </row>
    <row r="134" customFormat="false" ht="15.75" hidden="false" customHeight="true" outlineLevel="0" collapsed="false">
      <c r="A134" s="7" t="s">
        <v>727</v>
      </c>
      <c r="B134" s="8" t="n">
        <v>2008</v>
      </c>
      <c r="C134" s="8" t="s">
        <v>35</v>
      </c>
      <c r="D134" s="8" t="n">
        <v>109</v>
      </c>
      <c r="E134" s="7" t="s">
        <v>160</v>
      </c>
      <c r="F134" s="8" t="n">
        <v>7.9</v>
      </c>
      <c r="G134" s="8"/>
      <c r="H134" s="9" t="n">
        <v>332245</v>
      </c>
      <c r="I134" s="7" t="s">
        <v>46</v>
      </c>
      <c r="J134" s="7" t="s">
        <v>47</v>
      </c>
      <c r="K134" s="7" t="s">
        <v>75</v>
      </c>
      <c r="L134" s="10" t="s">
        <v>166</v>
      </c>
      <c r="M134" s="7" t="s">
        <v>728</v>
      </c>
      <c r="N134" s="8" t="n">
        <v>0</v>
      </c>
      <c r="O134" s="8" t="n">
        <v>0</v>
      </c>
      <c r="P134" s="8" t="n">
        <v>0</v>
      </c>
      <c r="Q134" s="8" t="n">
        <v>2</v>
      </c>
      <c r="R134" s="8" t="n">
        <v>1</v>
      </c>
      <c r="S134" s="8" t="n">
        <v>0</v>
      </c>
      <c r="T134" s="13"/>
      <c r="U134" s="11" t="n">
        <f aca="false">O134*4 + P134*2 + MAX(0,N134-O134-P134)*1 + Q134*0.2 + R134*2 + S134*1 + IF(T134="",0,IF(T134&lt;=10,8,IF(T134&lt;=50,6,IF(T134&lt;=100,4,2))))</f>
        <v>2.4</v>
      </c>
      <c r="V134" s="7"/>
      <c r="W134" s="12"/>
      <c r="X134" s="13"/>
      <c r="Y134" s="13" t="s">
        <v>729</v>
      </c>
    </row>
    <row r="135" customFormat="false" ht="15.75" hidden="false" customHeight="true" outlineLevel="0" collapsed="false">
      <c r="A135" s="7" t="s">
        <v>730</v>
      </c>
      <c r="B135" s="8" t="n">
        <v>1949</v>
      </c>
      <c r="C135" s="8" t="s">
        <v>243</v>
      </c>
      <c r="D135" s="8" t="n">
        <v>104</v>
      </c>
      <c r="E135" s="7" t="s">
        <v>731</v>
      </c>
      <c r="F135" s="8" t="n">
        <v>8.1</v>
      </c>
      <c r="G135" s="8"/>
      <c r="H135" s="9" t="n">
        <v>196825</v>
      </c>
      <c r="I135" s="7" t="s">
        <v>280</v>
      </c>
      <c r="J135" s="7" t="s">
        <v>47</v>
      </c>
      <c r="K135" s="7" t="s">
        <v>483</v>
      </c>
      <c r="L135" s="10" t="s">
        <v>732</v>
      </c>
      <c r="M135" s="7" t="s">
        <v>733</v>
      </c>
      <c r="N135" s="8" t="n">
        <v>1</v>
      </c>
      <c r="O135" s="8" t="n">
        <v>0</v>
      </c>
      <c r="P135" s="8" t="n">
        <v>0</v>
      </c>
      <c r="Q135" s="8" t="n">
        <v>3</v>
      </c>
      <c r="R135" s="8" t="n">
        <v>1</v>
      </c>
      <c r="S135" s="8" t="n">
        <v>0</v>
      </c>
      <c r="T135" s="8" t="n">
        <v>63</v>
      </c>
      <c r="U135" s="11" t="n">
        <f aca="false">O135*4 + P135*2 + MAX(0,N135-O135-P135)*1 + Q135*0.2 + R135*2 + S135*1 + IF(T135="",0,IF(T135&lt;=10,8,IF(T135&lt;=50,6,IF(T135&lt;=100,4,2))))</f>
        <v>7.6</v>
      </c>
      <c r="V135" s="7" t="s">
        <v>734</v>
      </c>
      <c r="W135" s="12" t="s">
        <v>735</v>
      </c>
      <c r="X135" s="13"/>
      <c r="Y135" s="13" t="s">
        <v>736</v>
      </c>
    </row>
    <row r="136" customFormat="false" ht="15.75" hidden="false" customHeight="true" outlineLevel="0" collapsed="false">
      <c r="A136" s="7" t="s">
        <v>737</v>
      </c>
      <c r="B136" s="8" t="n">
        <v>2011</v>
      </c>
      <c r="C136" s="8" t="s">
        <v>176</v>
      </c>
      <c r="D136" s="8" t="n">
        <v>80</v>
      </c>
      <c r="E136" s="7" t="s">
        <v>88</v>
      </c>
      <c r="F136" s="8" t="n">
        <v>7.1</v>
      </c>
      <c r="G136" s="8"/>
      <c r="H136" s="9" t="n">
        <v>138961</v>
      </c>
      <c r="I136" s="7" t="s">
        <v>219</v>
      </c>
      <c r="J136" s="7" t="s">
        <v>30</v>
      </c>
      <c r="K136" s="7" t="s">
        <v>47</v>
      </c>
      <c r="L136" s="10" t="s">
        <v>205</v>
      </c>
      <c r="M136" s="7" t="s">
        <v>738</v>
      </c>
      <c r="N136" s="8" t="n">
        <v>0</v>
      </c>
      <c r="O136" s="8" t="n">
        <v>0</v>
      </c>
      <c r="P136" s="8" t="n">
        <v>0</v>
      </c>
      <c r="Q136" s="8" t="n">
        <v>0</v>
      </c>
      <c r="R136" s="13" t="n">
        <v>0</v>
      </c>
      <c r="S136" s="13" t="n">
        <v>0</v>
      </c>
      <c r="T136" s="13"/>
      <c r="U136" s="11" t="n">
        <f aca="false">O136*4 + P136*2 + MAX(0,N136-O136-P136)*1 + Q136*0.2 + R136*2 + S136*1 + IF(T136="",0,IF(T136&lt;=10,8,IF(T136&lt;=50,6,IF(T136&lt;=100,4,2))))</f>
        <v>0</v>
      </c>
      <c r="V136" s="7"/>
      <c r="W136" s="12"/>
      <c r="X136" s="13"/>
      <c r="Y136" s="13" t="s">
        <v>739</v>
      </c>
    </row>
    <row r="137" customFormat="false" ht="15.75" hidden="false" customHeight="true" outlineLevel="0" collapsed="false">
      <c r="A137" s="7" t="s">
        <v>740</v>
      </c>
      <c r="B137" s="8" t="n">
        <v>1976</v>
      </c>
      <c r="C137" s="8" t="s">
        <v>61</v>
      </c>
      <c r="D137" s="8" t="n">
        <v>111</v>
      </c>
      <c r="E137" s="7" t="s">
        <v>384</v>
      </c>
      <c r="F137" s="8" t="n">
        <v>7.5</v>
      </c>
      <c r="G137" s="8"/>
      <c r="H137" s="9" t="n">
        <v>147337</v>
      </c>
      <c r="I137" s="7" t="s">
        <v>46</v>
      </c>
      <c r="J137" s="7" t="s">
        <v>147</v>
      </c>
      <c r="K137" s="7" t="s">
        <v>125</v>
      </c>
      <c r="L137" s="10" t="s">
        <v>177</v>
      </c>
      <c r="M137" s="7" t="s">
        <v>741</v>
      </c>
      <c r="N137" s="8" t="n">
        <v>1</v>
      </c>
      <c r="O137" s="8" t="n">
        <v>0</v>
      </c>
      <c r="P137" s="8" t="n">
        <v>0</v>
      </c>
      <c r="Q137" s="8" t="n">
        <v>2</v>
      </c>
      <c r="R137" s="8" t="n">
        <v>0</v>
      </c>
      <c r="S137" s="8" t="n">
        <v>0</v>
      </c>
      <c r="T137" s="13"/>
      <c r="U137" s="11" t="n">
        <f aca="false">O137*4 + P137*2 + MAX(0,N137-O137-P137)*1 + Q137*0.2 + R137*2 + S137*1 + IF(T137="",0,IF(T137&lt;=10,8,IF(T137&lt;=50,6,IF(T137&lt;=100,4,2))))</f>
        <v>1.4</v>
      </c>
      <c r="V137" s="7"/>
      <c r="W137" s="12"/>
      <c r="X137" s="13"/>
      <c r="Y137" s="13" t="s">
        <v>742</v>
      </c>
    </row>
    <row r="138" customFormat="false" ht="15.75" hidden="false" customHeight="true" outlineLevel="0" collapsed="false">
      <c r="A138" s="7" t="s">
        <v>743</v>
      </c>
      <c r="B138" s="8" t="n">
        <v>2007</v>
      </c>
      <c r="C138" s="8" t="s">
        <v>35</v>
      </c>
      <c r="D138" s="8" t="n">
        <v>96</v>
      </c>
      <c r="E138" s="7" t="s">
        <v>744</v>
      </c>
      <c r="F138" s="8" t="n">
        <v>8</v>
      </c>
      <c r="G138" s="8"/>
      <c r="H138" s="9" t="n">
        <v>106854</v>
      </c>
      <c r="I138" s="7" t="s">
        <v>219</v>
      </c>
      <c r="J138" s="7" t="s">
        <v>579</v>
      </c>
      <c r="K138" s="7" t="s">
        <v>48</v>
      </c>
      <c r="L138" s="10" t="s">
        <v>745</v>
      </c>
      <c r="M138" s="7" t="s">
        <v>746</v>
      </c>
      <c r="N138" s="8" t="n">
        <v>0</v>
      </c>
      <c r="O138" s="8" t="n">
        <v>0</v>
      </c>
      <c r="P138" s="8" t="n">
        <v>0</v>
      </c>
      <c r="Q138" s="8" t="n">
        <v>1</v>
      </c>
      <c r="R138" s="8" t="n">
        <v>0</v>
      </c>
      <c r="S138" s="8" t="n">
        <v>0</v>
      </c>
      <c r="T138" s="13"/>
      <c r="U138" s="11" t="n">
        <f aca="false">O138*4 + P138*2 + MAX(0,N138-O138-P138)*1 + Q138*0.2 + R138*2 + S138*1 + IF(T138="",0,IF(T138&lt;=10,8,IF(T138&lt;=50,6,IF(T138&lt;=100,4,2))))</f>
        <v>0.2</v>
      </c>
      <c r="V138" s="7"/>
      <c r="W138" s="12"/>
      <c r="X138" s="13"/>
      <c r="Y138" s="13" t="s">
        <v>747</v>
      </c>
    </row>
    <row r="139" customFormat="false" ht="15.75" hidden="false" customHeight="true" outlineLevel="0" collapsed="false">
      <c r="A139" s="7" t="s">
        <v>748</v>
      </c>
      <c r="B139" s="8" t="n">
        <v>2012</v>
      </c>
      <c r="C139" s="8" t="s">
        <v>176</v>
      </c>
      <c r="D139" s="8" t="n">
        <v>158</v>
      </c>
      <c r="E139" s="7" t="s">
        <v>279</v>
      </c>
      <c r="F139" s="8" t="n">
        <v>7.5</v>
      </c>
      <c r="G139" s="8"/>
      <c r="H139" s="9" t="n">
        <v>364131</v>
      </c>
      <c r="I139" s="7" t="s">
        <v>280</v>
      </c>
      <c r="J139" s="7" t="s">
        <v>90</v>
      </c>
      <c r="K139" s="7" t="s">
        <v>29</v>
      </c>
      <c r="L139" s="10"/>
      <c r="M139" s="7" t="s">
        <v>749</v>
      </c>
      <c r="N139" s="8" t="n">
        <v>3</v>
      </c>
      <c r="O139" s="8" t="n">
        <v>0</v>
      </c>
      <c r="P139" s="8" t="n">
        <v>0</v>
      </c>
      <c r="Q139" s="8" t="n">
        <v>8</v>
      </c>
      <c r="R139" s="8" t="n">
        <v>0</v>
      </c>
      <c r="S139" s="8" t="n">
        <v>1</v>
      </c>
      <c r="T139" s="13"/>
      <c r="U139" s="11" t="n">
        <f aca="false">O139*4 + P139*2 + MAX(0,N139-O139-P139)*1 + Q139*0.2 + R139*2 + S139*1 + IF(T139="",0,IF(T139&lt;=10,8,IF(T139&lt;=50,6,IF(T139&lt;=100,4,2))))</f>
        <v>5.6</v>
      </c>
      <c r="V139" s="7"/>
      <c r="W139" s="12"/>
      <c r="X139" s="13"/>
      <c r="Y139" s="13" t="s">
        <v>750</v>
      </c>
    </row>
    <row r="140" customFormat="false" ht="15.75" hidden="false" customHeight="true" outlineLevel="0" collapsed="false">
      <c r="A140" s="7" t="s">
        <v>751</v>
      </c>
      <c r="B140" s="8" t="n">
        <v>2003</v>
      </c>
      <c r="C140" s="8" t="s">
        <v>35</v>
      </c>
      <c r="D140" s="8" t="n">
        <v>109</v>
      </c>
      <c r="E140" s="7" t="s">
        <v>752</v>
      </c>
      <c r="F140" s="8" t="n">
        <v>7.4</v>
      </c>
      <c r="G140" s="8"/>
      <c r="H140" s="9" t="n">
        <v>7916</v>
      </c>
      <c r="I140" s="7" t="s">
        <v>232</v>
      </c>
      <c r="J140" s="7" t="s">
        <v>29</v>
      </c>
      <c r="K140" s="7" t="s">
        <v>47</v>
      </c>
      <c r="L140" s="10" t="s">
        <v>465</v>
      </c>
      <c r="M140" s="7" t="s">
        <v>753</v>
      </c>
      <c r="N140" s="8" t="n">
        <v>0</v>
      </c>
      <c r="O140" s="8" t="n">
        <v>0</v>
      </c>
      <c r="P140" s="8" t="n">
        <v>0</v>
      </c>
      <c r="Q140" s="8" t="n">
        <v>0</v>
      </c>
      <c r="R140" s="13" t="n">
        <v>0</v>
      </c>
      <c r="S140" s="13" t="n">
        <v>0</v>
      </c>
      <c r="T140" s="13"/>
      <c r="U140" s="11" t="n">
        <f aca="false">O140*4 + P140*2 + MAX(0,N140-O140-P140)*1 + Q140*0.2 + R140*2 + S140*1 + IF(T140="",0,IF(T140&lt;=10,8,IF(T140&lt;=50,6,IF(T140&lt;=100,4,2))))</f>
        <v>0</v>
      </c>
      <c r="V140" s="7"/>
      <c r="W140" s="12"/>
      <c r="X140" s="13"/>
      <c r="Y140" s="13" t="s">
        <v>754</v>
      </c>
    </row>
    <row r="141" customFormat="false" ht="15.75" hidden="false" customHeight="true" outlineLevel="0" collapsed="false">
      <c r="A141" s="7" t="s">
        <v>755</v>
      </c>
      <c r="B141" s="8" t="n">
        <v>2009</v>
      </c>
      <c r="C141" s="8" t="s">
        <v>35</v>
      </c>
      <c r="D141" s="8" t="n">
        <v>141</v>
      </c>
      <c r="E141" s="7" t="s">
        <v>756</v>
      </c>
      <c r="F141" s="8" t="n">
        <v>7.7</v>
      </c>
      <c r="G141" s="8"/>
      <c r="H141" s="9" t="n">
        <v>258819</v>
      </c>
      <c r="I141" s="7" t="s">
        <v>757</v>
      </c>
      <c r="J141" s="7" t="s">
        <v>38</v>
      </c>
      <c r="K141" s="7" t="s">
        <v>29</v>
      </c>
      <c r="L141" s="10"/>
      <c r="M141" s="7" t="s">
        <v>758</v>
      </c>
      <c r="N141" s="8" t="n">
        <v>0</v>
      </c>
      <c r="O141" s="8" t="n">
        <v>0</v>
      </c>
      <c r="P141" s="8" t="n">
        <v>0</v>
      </c>
      <c r="Q141" s="8" t="n">
        <v>0</v>
      </c>
      <c r="R141" s="13" t="n">
        <v>0</v>
      </c>
      <c r="S141" s="13" t="n">
        <v>0</v>
      </c>
      <c r="T141" s="13"/>
      <c r="U141" s="11" t="n">
        <f aca="false">O141*4 + P141*2 + MAX(0,N141-O141-P141)*1 + Q141*0.2 + R141*2 + S141*1 + IF(T141="",0,IF(T141&lt;=10,8,IF(T141&lt;=50,6,IF(T141&lt;=100,4,2))))</f>
        <v>0</v>
      </c>
      <c r="V141" s="7"/>
      <c r="W141" s="12"/>
      <c r="X141" s="13"/>
      <c r="Y141" s="13" t="s">
        <v>759</v>
      </c>
    </row>
    <row r="142" customFormat="false" ht="15.75" hidden="false" customHeight="true" outlineLevel="0" collapsed="false">
      <c r="A142" s="7" t="s">
        <v>760</v>
      </c>
      <c r="B142" s="8" t="n">
        <v>1995</v>
      </c>
      <c r="C142" s="8" t="s">
        <v>26</v>
      </c>
      <c r="D142" s="8" t="n">
        <v>129</v>
      </c>
      <c r="E142" s="7" t="s">
        <v>761</v>
      </c>
      <c r="F142" s="8" t="n">
        <v>8</v>
      </c>
      <c r="G142" s="8"/>
      <c r="H142" s="9" t="n">
        <v>682856</v>
      </c>
      <c r="I142" s="7" t="s">
        <v>46</v>
      </c>
      <c r="J142" s="7" t="s">
        <v>111</v>
      </c>
      <c r="K142" s="7" t="s">
        <v>125</v>
      </c>
      <c r="L142" s="10"/>
      <c r="M142" s="7" t="s">
        <v>762</v>
      </c>
      <c r="N142" s="8" t="n">
        <v>0</v>
      </c>
      <c r="O142" s="8" t="n">
        <v>0</v>
      </c>
      <c r="P142" s="8" t="n">
        <v>0</v>
      </c>
      <c r="Q142" s="8" t="n">
        <v>2</v>
      </c>
      <c r="R142" s="8" t="n">
        <v>0</v>
      </c>
      <c r="S142" s="8" t="n">
        <v>0</v>
      </c>
      <c r="T142" s="13"/>
      <c r="U142" s="11" t="n">
        <f aca="false">O142*4 + P142*2 + MAX(0,N142-O142-P142)*1 + Q142*0.2 + R142*2 + S142*1 + IF(T142="",0,IF(T142&lt;=10,8,IF(T142&lt;=50,6,IF(T142&lt;=100,4,2))))</f>
        <v>0.4</v>
      </c>
      <c r="V142" s="7"/>
      <c r="W142" s="12"/>
      <c r="X142" s="13"/>
      <c r="Y142" s="13" t="s">
        <v>763</v>
      </c>
    </row>
    <row r="143" customFormat="false" ht="15.75" hidden="false" customHeight="true" outlineLevel="0" collapsed="false">
      <c r="A143" s="7" t="s">
        <v>764</v>
      </c>
      <c r="B143" s="8" t="n">
        <v>1990</v>
      </c>
      <c r="C143" s="8" t="s">
        <v>26</v>
      </c>
      <c r="D143" s="8" t="n">
        <v>137</v>
      </c>
      <c r="E143" s="7" t="s">
        <v>765</v>
      </c>
      <c r="F143" s="8" t="n">
        <v>7.5</v>
      </c>
      <c r="G143" s="8"/>
      <c r="H143" s="9" t="n">
        <v>27724</v>
      </c>
      <c r="I143" s="7" t="s">
        <v>219</v>
      </c>
      <c r="J143" s="7" t="s">
        <v>30</v>
      </c>
      <c r="K143" s="7" t="s">
        <v>453</v>
      </c>
      <c r="L143" s="10" t="s">
        <v>766</v>
      </c>
      <c r="M143" s="7" t="s">
        <v>767</v>
      </c>
      <c r="N143" s="8" t="n">
        <v>1</v>
      </c>
      <c r="O143" s="8" t="n">
        <v>0</v>
      </c>
      <c r="P143" s="8" t="n">
        <v>0</v>
      </c>
      <c r="Q143" s="8" t="n">
        <v>5</v>
      </c>
      <c r="R143" s="8" t="n">
        <v>0</v>
      </c>
      <c r="S143" s="8" t="n">
        <v>0</v>
      </c>
      <c r="T143" s="13"/>
      <c r="U143" s="11" t="n">
        <f aca="false">O143*4 + P143*2 + MAX(0,N143-O143-P143)*1 + Q143*0.2 + R143*2 + S143*1 + IF(T143="",0,IF(T143&lt;=10,8,IF(T143&lt;=50,6,IF(T143&lt;=100,4,2))))</f>
        <v>2</v>
      </c>
      <c r="V143" s="7"/>
      <c r="W143" s="12"/>
      <c r="X143" s="13"/>
      <c r="Y143" s="13" t="s">
        <v>768</v>
      </c>
    </row>
    <row r="144" customFormat="false" ht="15.75" hidden="false" customHeight="true" outlineLevel="0" collapsed="false">
      <c r="A144" s="7" t="s">
        <v>769</v>
      </c>
      <c r="B144" s="8" t="n">
        <v>1999</v>
      </c>
      <c r="C144" s="8" t="s">
        <v>26</v>
      </c>
      <c r="D144" s="8" t="n">
        <v>157</v>
      </c>
      <c r="E144" s="7" t="s">
        <v>770</v>
      </c>
      <c r="F144" s="8" t="n">
        <v>7.8</v>
      </c>
      <c r="G144" s="8"/>
      <c r="H144" s="9" t="n">
        <v>192772</v>
      </c>
      <c r="I144" s="7" t="s">
        <v>46</v>
      </c>
      <c r="J144" s="7" t="s">
        <v>131</v>
      </c>
      <c r="K144" s="12"/>
      <c r="L144" s="10"/>
      <c r="M144" s="7" t="s">
        <v>771</v>
      </c>
      <c r="N144" s="8" t="n">
        <v>0</v>
      </c>
      <c r="O144" s="8" t="n">
        <v>0</v>
      </c>
      <c r="P144" s="8" t="n">
        <v>0</v>
      </c>
      <c r="Q144" s="8" t="n">
        <v>0</v>
      </c>
      <c r="R144" s="13" t="n">
        <v>0</v>
      </c>
      <c r="S144" s="13" t="n">
        <v>0</v>
      </c>
      <c r="T144" s="13"/>
      <c r="U144" s="11" t="n">
        <f aca="false">O144*4 + P144*2 + MAX(0,N144-O144-P144)*1 + Q144*0.2 + R144*2 + S144*1 + IF(T144="",0,IF(T144&lt;=10,8,IF(T144&lt;=50,6,IF(T144&lt;=100,4,2))))</f>
        <v>0</v>
      </c>
      <c r="V144" s="7"/>
      <c r="W144" s="12"/>
      <c r="X144" s="13"/>
      <c r="Y144" s="13" t="s">
        <v>772</v>
      </c>
    </row>
    <row r="145" customFormat="false" ht="15.75" hidden="false" customHeight="true" outlineLevel="0" collapsed="false">
      <c r="A145" s="7" t="s">
        <v>773</v>
      </c>
      <c r="B145" s="8" t="n">
        <v>1993</v>
      </c>
      <c r="C145" s="8" t="s">
        <v>26</v>
      </c>
      <c r="D145" s="8" t="n">
        <v>98</v>
      </c>
      <c r="E145" s="7" t="s">
        <v>774</v>
      </c>
      <c r="F145" s="8" t="n">
        <v>7.8</v>
      </c>
      <c r="G145" s="8"/>
      <c r="H145" s="9" t="n">
        <v>118917</v>
      </c>
      <c r="I145" s="7" t="s">
        <v>219</v>
      </c>
      <c r="J145" s="7" t="s">
        <v>90</v>
      </c>
      <c r="K145" s="7" t="s">
        <v>125</v>
      </c>
      <c r="L145" s="10" t="s">
        <v>205</v>
      </c>
      <c r="M145" s="7" t="s">
        <v>775</v>
      </c>
      <c r="N145" s="8" t="n">
        <v>0</v>
      </c>
      <c r="O145" s="8" t="n">
        <v>0</v>
      </c>
      <c r="P145" s="8" t="n">
        <v>0</v>
      </c>
      <c r="Q145" s="8" t="n">
        <v>0</v>
      </c>
      <c r="R145" s="13" t="n">
        <v>0</v>
      </c>
      <c r="S145" s="13" t="n">
        <v>0</v>
      </c>
      <c r="T145" s="13"/>
      <c r="U145" s="11" t="n">
        <f aca="false">O145*4 + P145*2 + MAX(0,N145-O145-P145)*1 + Q145*0.2 + R145*2 + S145*1 + IF(T145="",0,IF(T145&lt;=10,8,IF(T145&lt;=50,6,IF(T145&lt;=100,4,2))))</f>
        <v>0</v>
      </c>
      <c r="V145" s="7"/>
      <c r="W145" s="12"/>
      <c r="X145" s="13"/>
      <c r="Y145" s="13" t="s">
        <v>776</v>
      </c>
    </row>
    <row r="146" customFormat="false" ht="15.75" hidden="false" customHeight="true" outlineLevel="0" collapsed="false">
      <c r="A146" s="7" t="s">
        <v>777</v>
      </c>
      <c r="B146" s="8" t="n">
        <v>1979</v>
      </c>
      <c r="C146" s="8" t="s">
        <v>61</v>
      </c>
      <c r="D146" s="8" t="n">
        <v>105</v>
      </c>
      <c r="E146" s="7" t="s">
        <v>778</v>
      </c>
      <c r="F146" s="8" t="n">
        <v>7.8</v>
      </c>
      <c r="G146" s="8"/>
      <c r="H146" s="9" t="n">
        <v>167542</v>
      </c>
      <c r="I146" s="7" t="s">
        <v>46</v>
      </c>
      <c r="J146" s="7" t="s">
        <v>47</v>
      </c>
      <c r="K146" s="7"/>
      <c r="L146" s="10" t="s">
        <v>779</v>
      </c>
      <c r="M146" s="7" t="s">
        <v>780</v>
      </c>
      <c r="N146" s="8" t="n">
        <v>5</v>
      </c>
      <c r="O146" s="8" t="n">
        <v>1</v>
      </c>
      <c r="P146" s="8" t="n">
        <v>1</v>
      </c>
      <c r="Q146" s="8" t="n">
        <v>9</v>
      </c>
      <c r="R146" s="8" t="n">
        <v>0</v>
      </c>
      <c r="S146" s="8" t="n">
        <v>1</v>
      </c>
      <c r="T146" s="13"/>
      <c r="U146" s="11" t="n">
        <f aca="false">O146*4 + P146*2 + MAX(0,N146-O146-P146)*1 + Q146*0.2 + R146*2 + S146*1 + IF(T146="",0,IF(T146&lt;=10,8,IF(T146&lt;=50,6,IF(T146&lt;=100,4,2))))</f>
        <v>11.8</v>
      </c>
      <c r="V146" s="7"/>
      <c r="W146" s="12"/>
      <c r="X146" s="13"/>
      <c r="Y146" s="13" t="s">
        <v>781</v>
      </c>
    </row>
    <row r="147" customFormat="false" ht="15.75" hidden="false" customHeight="true" outlineLevel="0" collapsed="false">
      <c r="A147" s="7" t="s">
        <v>782</v>
      </c>
      <c r="B147" s="8" t="n">
        <v>2008</v>
      </c>
      <c r="C147" s="8" t="s">
        <v>35</v>
      </c>
      <c r="D147" s="8" t="n">
        <v>138</v>
      </c>
      <c r="E147" s="7" t="s">
        <v>783</v>
      </c>
      <c r="F147" s="8" t="n">
        <v>7.4</v>
      </c>
      <c r="G147" s="8"/>
      <c r="H147" s="9" t="n">
        <v>5583</v>
      </c>
      <c r="I147" s="7" t="s">
        <v>232</v>
      </c>
      <c r="J147" s="7" t="s">
        <v>47</v>
      </c>
      <c r="K147" s="7"/>
      <c r="L147" s="10" t="s">
        <v>784</v>
      </c>
      <c r="M147" s="7" t="s">
        <v>785</v>
      </c>
      <c r="N147" s="8" t="n">
        <v>0</v>
      </c>
      <c r="O147" s="8" t="n">
        <v>0</v>
      </c>
      <c r="P147" s="8" t="n">
        <v>0</v>
      </c>
      <c r="Q147" s="8" t="n">
        <v>0</v>
      </c>
      <c r="R147" s="13" t="n">
        <v>0</v>
      </c>
      <c r="S147" s="13" t="n">
        <v>0</v>
      </c>
      <c r="T147" s="13"/>
      <c r="U147" s="11" t="n">
        <f aca="false">O147*4 + P147*2 + MAX(0,N147-O147-P147)*1 + Q147*0.2 + R147*2 + S147*1 + IF(T147="",0,IF(T147&lt;=10,8,IF(T147&lt;=50,6,IF(T147&lt;=100,4,2))))</f>
        <v>0</v>
      </c>
      <c r="V147" s="7"/>
      <c r="W147" s="12"/>
      <c r="X147" s="13"/>
      <c r="Y147" s="13" t="s">
        <v>786</v>
      </c>
    </row>
    <row r="148" customFormat="false" ht="15.75" hidden="false" customHeight="true" outlineLevel="0" collapsed="false">
      <c r="A148" s="7" t="s">
        <v>787</v>
      </c>
      <c r="B148" s="8" t="n">
        <v>1963</v>
      </c>
      <c r="C148" s="8" t="s">
        <v>122</v>
      </c>
      <c r="D148" s="8" t="n">
        <v>90</v>
      </c>
      <c r="E148" s="7" t="s">
        <v>788</v>
      </c>
      <c r="F148" s="8" t="n">
        <v>7.9</v>
      </c>
      <c r="G148" s="8"/>
      <c r="H148" s="9" t="n">
        <v>8255</v>
      </c>
      <c r="I148" s="7" t="s">
        <v>232</v>
      </c>
      <c r="J148" s="7" t="s">
        <v>30</v>
      </c>
      <c r="K148" s="7" t="s">
        <v>47</v>
      </c>
      <c r="L148" s="10" t="s">
        <v>447</v>
      </c>
      <c r="M148" s="7" t="s">
        <v>789</v>
      </c>
      <c r="N148" s="8" t="n">
        <v>0</v>
      </c>
      <c r="O148" s="8" t="n">
        <v>0</v>
      </c>
      <c r="P148" s="8" t="n">
        <v>0</v>
      </c>
      <c r="Q148" s="8" t="n">
        <v>0</v>
      </c>
      <c r="R148" s="13" t="n">
        <v>0</v>
      </c>
      <c r="S148" s="13" t="n">
        <v>0</v>
      </c>
      <c r="T148" s="13"/>
      <c r="U148" s="11" t="n">
        <f aca="false">O148*4 + P148*2 + MAX(0,N148-O148-P148)*1 + Q148*0.2 + R148*2 + S148*1 + IF(T148="",0,IF(T148&lt;=10,8,IF(T148&lt;=50,6,IF(T148&lt;=100,4,2))))</f>
        <v>0</v>
      </c>
      <c r="V148" s="7" t="s">
        <v>790</v>
      </c>
      <c r="W148" s="12"/>
      <c r="X148" s="13"/>
      <c r="Y148" s="13" t="s">
        <v>791</v>
      </c>
    </row>
    <row r="149" customFormat="false" ht="15.75" hidden="false" customHeight="true" outlineLevel="0" collapsed="false">
      <c r="A149" s="7" t="s">
        <v>792</v>
      </c>
      <c r="B149" s="8" t="n">
        <v>2007</v>
      </c>
      <c r="C149" s="8" t="s">
        <v>35</v>
      </c>
      <c r="D149" s="8" t="n">
        <v>99</v>
      </c>
      <c r="E149" s="7" t="s">
        <v>793</v>
      </c>
      <c r="F149" s="8" t="n">
        <v>7.5</v>
      </c>
      <c r="G149" s="8"/>
      <c r="H149" s="9" t="n">
        <v>48733</v>
      </c>
      <c r="I149" s="7" t="s">
        <v>794</v>
      </c>
      <c r="J149" s="7" t="s">
        <v>47</v>
      </c>
      <c r="K149" s="7" t="s">
        <v>54</v>
      </c>
      <c r="L149" s="10"/>
      <c r="M149" s="7" t="s">
        <v>795</v>
      </c>
      <c r="N149" s="8" t="n">
        <v>1</v>
      </c>
      <c r="O149" s="8" t="n">
        <v>0</v>
      </c>
      <c r="P149" s="8" t="n">
        <v>0</v>
      </c>
      <c r="Q149" s="8" t="n">
        <v>1</v>
      </c>
      <c r="R149" s="8" t="n">
        <v>0</v>
      </c>
      <c r="S149" s="8" t="n">
        <v>0</v>
      </c>
      <c r="T149" s="13"/>
      <c r="U149" s="11" t="n">
        <f aca="false">O149*4 + P149*2 + MAX(0,N149-O149-P149)*1 + Q149*0.2 + R149*2 + S149*1 + IF(T149="",0,IF(T149&lt;=10,8,IF(T149&lt;=50,6,IF(T149&lt;=100,4,2))))</f>
        <v>1.2</v>
      </c>
      <c r="V149" s="7"/>
      <c r="W149" s="12"/>
      <c r="X149" s="13"/>
      <c r="Y149" s="13" t="s">
        <v>796</v>
      </c>
    </row>
    <row r="150" customFormat="false" ht="15.75" hidden="false" customHeight="true" outlineLevel="0" collapsed="false">
      <c r="A150" s="7" t="s">
        <v>797</v>
      </c>
      <c r="B150" s="8" t="n">
        <v>2004</v>
      </c>
      <c r="C150" s="8" t="s">
        <v>35</v>
      </c>
      <c r="D150" s="8" t="n">
        <v>121</v>
      </c>
      <c r="E150" s="7" t="s">
        <v>798</v>
      </c>
      <c r="F150" s="8" t="n">
        <v>8.1</v>
      </c>
      <c r="G150" s="8"/>
      <c r="H150" s="9" t="n">
        <v>394053</v>
      </c>
      <c r="I150" s="7" t="s">
        <v>280</v>
      </c>
      <c r="J150" s="7" t="s">
        <v>47</v>
      </c>
      <c r="K150" s="7" t="s">
        <v>48</v>
      </c>
      <c r="L150" s="10" t="s">
        <v>161</v>
      </c>
      <c r="M150" s="7" t="s">
        <v>799</v>
      </c>
      <c r="N150" s="8" t="n">
        <v>0</v>
      </c>
      <c r="O150" s="8" t="n">
        <v>0</v>
      </c>
      <c r="P150" s="8" t="n">
        <v>0</v>
      </c>
      <c r="Q150" s="8" t="n">
        <v>3</v>
      </c>
      <c r="R150" s="8" t="n">
        <v>0</v>
      </c>
      <c r="S150" s="8" t="n">
        <v>0</v>
      </c>
      <c r="T150" s="13"/>
      <c r="U150" s="11" t="n">
        <f aca="false">O150*4 + P150*2 + MAX(0,N150-O150-P150)*1 + Q150*0.2 + R150*2 + S150*1 + IF(T150="",0,IF(T150&lt;=10,8,IF(T150&lt;=50,6,IF(T150&lt;=100,4,2))))</f>
        <v>0.6</v>
      </c>
      <c r="V150" s="7"/>
      <c r="W150" s="12"/>
      <c r="X150" s="13"/>
      <c r="Y150" s="13" t="s">
        <v>800</v>
      </c>
    </row>
    <row r="151" customFormat="false" ht="15.75" hidden="false" customHeight="true" outlineLevel="0" collapsed="false">
      <c r="A151" s="7" t="s">
        <v>801</v>
      </c>
      <c r="B151" s="8" t="n">
        <v>2000</v>
      </c>
      <c r="C151" s="8" t="s">
        <v>35</v>
      </c>
      <c r="D151" s="8" t="n">
        <v>98</v>
      </c>
      <c r="E151" s="7" t="s">
        <v>802</v>
      </c>
      <c r="F151" s="8" t="n">
        <v>8</v>
      </c>
      <c r="G151" s="8"/>
      <c r="H151" s="9" t="n">
        <v>190632</v>
      </c>
      <c r="I151" s="7" t="s">
        <v>803</v>
      </c>
      <c r="J151" s="7" t="s">
        <v>29</v>
      </c>
      <c r="K151" s="7" t="s">
        <v>47</v>
      </c>
      <c r="L151" s="10" t="s">
        <v>804</v>
      </c>
      <c r="M151" s="7" t="s">
        <v>805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13" t="n">
        <v>0</v>
      </c>
      <c r="T151" s="8" t="n">
        <v>5</v>
      </c>
      <c r="U151" s="11" t="n">
        <f aca="false">O151*4 + P151*2 + MAX(0,N151-O151-P151)*1 + Q151*0.2 + R151*2 + S151*1 + IF(T151="",0,IF(T151&lt;=10,8,IF(T151&lt;=50,6,IF(T151&lt;=100,4,2))))</f>
        <v>8</v>
      </c>
      <c r="V151" s="7" t="s">
        <v>806</v>
      </c>
      <c r="W151" s="12" t="s">
        <v>183</v>
      </c>
      <c r="X151" s="13"/>
      <c r="Y151" s="13" t="s">
        <v>807</v>
      </c>
    </row>
    <row r="152" customFormat="false" ht="15.75" hidden="false" customHeight="true" outlineLevel="0" collapsed="false">
      <c r="A152" s="7" t="s">
        <v>808</v>
      </c>
      <c r="B152" s="8" t="n">
        <v>2005</v>
      </c>
      <c r="C152" s="8" t="s">
        <v>35</v>
      </c>
      <c r="D152" s="8" t="n">
        <v>144</v>
      </c>
      <c r="E152" s="7" t="s">
        <v>172</v>
      </c>
      <c r="F152" s="8" t="n">
        <v>8</v>
      </c>
      <c r="G152" s="8"/>
      <c r="H152" s="9" t="n">
        <v>210435</v>
      </c>
      <c r="I152" s="7" t="s">
        <v>46</v>
      </c>
      <c r="J152" s="7" t="s">
        <v>29</v>
      </c>
      <c r="K152" s="7" t="s">
        <v>48</v>
      </c>
      <c r="L152" s="10" t="s">
        <v>177</v>
      </c>
      <c r="M152" s="7" t="s">
        <v>809</v>
      </c>
      <c r="N152" s="8" t="n">
        <v>0</v>
      </c>
      <c r="O152" s="8" t="n">
        <v>0</v>
      </c>
      <c r="P152" s="8" t="n">
        <v>0</v>
      </c>
      <c r="Q152" s="8" t="n">
        <v>3</v>
      </c>
      <c r="R152" s="8" t="n">
        <v>0</v>
      </c>
      <c r="S152" s="8" t="n">
        <v>0</v>
      </c>
      <c r="T152" s="13"/>
      <c r="U152" s="11" t="n">
        <f aca="false">O152*4 + P152*2 + MAX(0,N152-O152-P152)*1 + Q152*0.2 + R152*2 + S152*1 + IF(T152="",0,IF(T152&lt;=10,8,IF(T152&lt;=50,6,IF(T152&lt;=100,4,2))))</f>
        <v>0.6</v>
      </c>
      <c r="V152" s="7"/>
      <c r="W152" s="12"/>
      <c r="X152" s="13"/>
      <c r="Y152" s="13" t="s">
        <v>810</v>
      </c>
    </row>
    <row r="153" customFormat="false" ht="15.75" hidden="false" customHeight="true" outlineLevel="0" collapsed="false">
      <c r="A153" s="7" t="s">
        <v>811</v>
      </c>
      <c r="B153" s="8" t="n">
        <v>2004</v>
      </c>
      <c r="C153" s="8" t="s">
        <v>35</v>
      </c>
      <c r="D153" s="8" t="n">
        <v>80</v>
      </c>
      <c r="E153" s="7" t="s">
        <v>675</v>
      </c>
      <c r="F153" s="8" t="n">
        <v>8.1</v>
      </c>
      <c r="G153" s="8"/>
      <c r="H153" s="9" t="n">
        <v>318509</v>
      </c>
      <c r="I153" s="7" t="s">
        <v>46</v>
      </c>
      <c r="J153" s="7" t="s">
        <v>29</v>
      </c>
      <c r="K153" s="7" t="s">
        <v>47</v>
      </c>
      <c r="L153" s="10"/>
      <c r="M153" s="7" t="s">
        <v>812</v>
      </c>
      <c r="N153" s="8" t="n">
        <v>0</v>
      </c>
      <c r="O153" s="8" t="n">
        <v>0</v>
      </c>
      <c r="P153" s="8" t="n">
        <v>0</v>
      </c>
      <c r="Q153" s="8" t="n">
        <v>1</v>
      </c>
      <c r="R153" s="8" t="n">
        <v>0</v>
      </c>
      <c r="S153" s="8" t="n">
        <v>0</v>
      </c>
      <c r="T153" s="8"/>
      <c r="U153" s="11" t="n">
        <f aca="false">O153*4 + P153*2 + MAX(0,N153-O153-P153)*1 + Q153*0.2 + R153*2 + S153*1 + IF(T153="",0,IF(T153&lt;=10,8,IF(T153&lt;=50,6,IF(T153&lt;=100,4,2))))</f>
        <v>0.2</v>
      </c>
      <c r="V153" s="10" t="s">
        <v>813</v>
      </c>
      <c r="W153" s="12"/>
      <c r="X153" s="8" t="n">
        <v>18</v>
      </c>
      <c r="Y153" s="8" t="s">
        <v>814</v>
      </c>
    </row>
    <row r="154" customFormat="false" ht="15.75" hidden="false" customHeight="true" outlineLevel="0" collapsed="false">
      <c r="A154" s="7" t="s">
        <v>815</v>
      </c>
      <c r="B154" s="8" t="n">
        <v>1995</v>
      </c>
      <c r="C154" s="8" t="s">
        <v>26</v>
      </c>
      <c r="D154" s="8" t="n">
        <v>122</v>
      </c>
      <c r="E154" s="7" t="s">
        <v>816</v>
      </c>
      <c r="F154" s="8" t="n">
        <v>7.5</v>
      </c>
      <c r="G154" s="8"/>
      <c r="H154" s="9" t="n">
        <v>109036</v>
      </c>
      <c r="I154" s="7" t="s">
        <v>46</v>
      </c>
      <c r="J154" s="7" t="s">
        <v>47</v>
      </c>
      <c r="K154" s="7" t="s">
        <v>54</v>
      </c>
      <c r="L154" s="10" t="s">
        <v>817</v>
      </c>
      <c r="M154" s="7" t="s">
        <v>818</v>
      </c>
      <c r="N154" s="8" t="n">
        <v>1</v>
      </c>
      <c r="O154" s="8" t="n">
        <v>0</v>
      </c>
      <c r="P154" s="8" t="n">
        <v>0</v>
      </c>
      <c r="Q154" s="8" t="n">
        <v>4</v>
      </c>
      <c r="R154" s="8" t="n">
        <v>0</v>
      </c>
      <c r="S154" s="8" t="n">
        <v>0</v>
      </c>
      <c r="T154" s="13"/>
      <c r="U154" s="11" t="n">
        <f aca="false">O154*4 + P154*2 + MAX(0,N154-O154-P154)*1 + Q154*0.2 + R154*2 + S154*1 + IF(T154="",0,IF(T154&lt;=10,8,IF(T154&lt;=50,6,IF(T154&lt;=100,4,2))))</f>
        <v>1.8</v>
      </c>
      <c r="V154" s="7"/>
      <c r="W154" s="12"/>
      <c r="X154" s="13"/>
      <c r="Y154" s="13" t="s">
        <v>819</v>
      </c>
    </row>
    <row r="155" customFormat="false" ht="15.75" hidden="false" customHeight="true" outlineLevel="0" collapsed="false">
      <c r="A155" s="7" t="s">
        <v>820</v>
      </c>
      <c r="B155" s="8" t="n">
        <v>2013</v>
      </c>
      <c r="C155" s="8" t="s">
        <v>176</v>
      </c>
      <c r="D155" s="8" t="n">
        <v>123</v>
      </c>
      <c r="E155" s="7" t="s">
        <v>821</v>
      </c>
      <c r="F155" s="8" t="n">
        <v>7.8</v>
      </c>
      <c r="G155" s="8"/>
      <c r="H155" s="9" t="n">
        <v>439830</v>
      </c>
      <c r="I155" s="7" t="s">
        <v>280</v>
      </c>
      <c r="J155" s="7" t="s">
        <v>38</v>
      </c>
      <c r="K155" s="7" t="s">
        <v>30</v>
      </c>
      <c r="L155" s="10" t="s">
        <v>192</v>
      </c>
      <c r="M155" s="7" t="s">
        <v>822</v>
      </c>
      <c r="N155" s="8" t="n">
        <v>0</v>
      </c>
      <c r="O155" s="8" t="n">
        <v>0</v>
      </c>
      <c r="P155" s="8" t="n">
        <v>0</v>
      </c>
      <c r="Q155" s="8" t="n">
        <v>0</v>
      </c>
      <c r="R155" s="13" t="n">
        <v>0</v>
      </c>
      <c r="S155" s="13" t="n">
        <v>0</v>
      </c>
      <c r="T155" s="13"/>
      <c r="U155" s="11" t="n">
        <f aca="false">O155*4 + P155*2 + MAX(0,N155-O155-P155)*1 + Q155*0.2 + R155*2 + S155*1 + IF(T155="",0,IF(T155&lt;=10,8,IF(T155&lt;=50,6,IF(T155&lt;=100,4,2))))</f>
        <v>0</v>
      </c>
      <c r="V155" s="7"/>
      <c r="W155" s="12"/>
      <c r="X155" s="13"/>
      <c r="Y155" s="13" t="s">
        <v>823</v>
      </c>
    </row>
    <row r="156" customFormat="false" ht="15.75" hidden="false" customHeight="true" outlineLevel="0" collapsed="false">
      <c r="A156" s="7" t="s">
        <v>824</v>
      </c>
      <c r="B156" s="8" t="n">
        <v>2023</v>
      </c>
      <c r="C156" s="8" t="s">
        <v>378</v>
      </c>
      <c r="D156" s="8" t="n">
        <v>144</v>
      </c>
      <c r="E156" s="7" t="s">
        <v>825</v>
      </c>
      <c r="F156" s="8" t="n">
        <v>7.8</v>
      </c>
      <c r="G156" s="8"/>
      <c r="H156" s="9" t="n">
        <v>176627</v>
      </c>
      <c r="I156" s="7" t="s">
        <v>232</v>
      </c>
      <c r="J156" s="7" t="s">
        <v>39</v>
      </c>
      <c r="K156" s="7" t="s">
        <v>48</v>
      </c>
      <c r="L156" s="10" t="s">
        <v>238</v>
      </c>
      <c r="M156" s="7" t="s">
        <v>826</v>
      </c>
      <c r="N156" s="8" t="n">
        <v>0</v>
      </c>
      <c r="O156" s="8" t="n">
        <v>0</v>
      </c>
      <c r="P156" s="8" t="n">
        <v>0</v>
      </c>
      <c r="Q156" s="8" t="n">
        <v>2</v>
      </c>
      <c r="R156" s="8" t="n">
        <v>0</v>
      </c>
      <c r="S156" s="8" t="n">
        <v>0</v>
      </c>
      <c r="T156" s="13"/>
      <c r="U156" s="11" t="n">
        <f aca="false">O156*4 + P156*2 + MAX(0,N156-O156-P156)*1 + Q156*0.2 + R156*2 + S156*1 + IF(T156="",0,IF(T156&lt;=10,8,IF(T156&lt;=50,6,IF(T156&lt;=100,4,2))))</f>
        <v>0.4</v>
      </c>
      <c r="V156" s="7"/>
      <c r="W156" s="12"/>
      <c r="X156" s="13"/>
      <c r="Y156" s="13" t="s">
        <v>827</v>
      </c>
    </row>
    <row r="157" customFormat="false" ht="15.75" hidden="false" customHeight="true" outlineLevel="0" collapsed="false">
      <c r="A157" s="7" t="s">
        <v>828</v>
      </c>
      <c r="B157" s="8" t="n">
        <v>2006</v>
      </c>
      <c r="C157" s="8" t="s">
        <v>35</v>
      </c>
      <c r="D157" s="8" t="n">
        <v>105</v>
      </c>
      <c r="E157" s="7" t="s">
        <v>829</v>
      </c>
      <c r="F157" s="8" t="n">
        <v>7.1</v>
      </c>
      <c r="G157" s="8"/>
      <c r="H157" s="9" t="n">
        <v>8917</v>
      </c>
      <c r="I157" s="7" t="s">
        <v>232</v>
      </c>
      <c r="J157" s="7" t="s">
        <v>29</v>
      </c>
      <c r="K157" s="7" t="s">
        <v>82</v>
      </c>
      <c r="L157" s="10" t="s">
        <v>447</v>
      </c>
      <c r="M157" s="7" t="s">
        <v>830</v>
      </c>
      <c r="N157" s="8" t="n">
        <v>0</v>
      </c>
      <c r="O157" s="8" t="n">
        <v>0</v>
      </c>
      <c r="P157" s="8" t="n">
        <v>0</v>
      </c>
      <c r="Q157" s="8" t="n">
        <v>0</v>
      </c>
      <c r="R157" s="13" t="n">
        <v>0</v>
      </c>
      <c r="S157" s="13" t="n">
        <v>0</v>
      </c>
      <c r="T157" s="13"/>
      <c r="U157" s="11" t="n">
        <f aca="false">O157*4 + P157*2 + MAX(0,N157-O157-P157)*1 + Q157*0.2 + R157*2 + S157*1 + IF(T157="",0,IF(T157&lt;=10,8,IF(T157&lt;=50,6,IF(T157&lt;=100,4,2))))</f>
        <v>0</v>
      </c>
      <c r="V157" s="7"/>
      <c r="W157" s="12"/>
      <c r="X157" s="13"/>
      <c r="Y157" s="13" t="s">
        <v>831</v>
      </c>
    </row>
    <row r="158" customFormat="false" ht="15.75" hidden="false" customHeight="true" outlineLevel="0" collapsed="false">
      <c r="A158" s="7" t="s">
        <v>832</v>
      </c>
      <c r="B158" s="8" t="n">
        <v>1991</v>
      </c>
      <c r="C158" s="8" t="s">
        <v>26</v>
      </c>
      <c r="D158" s="8" t="n">
        <v>130</v>
      </c>
      <c r="E158" s="7" t="s">
        <v>833</v>
      </c>
      <c r="F158" s="8" t="n">
        <v>7.7</v>
      </c>
      <c r="G158" s="8"/>
      <c r="H158" s="9" t="n">
        <v>93091</v>
      </c>
      <c r="I158" s="7" t="s">
        <v>46</v>
      </c>
      <c r="J158" s="7" t="s">
        <v>47</v>
      </c>
      <c r="K158" s="7"/>
      <c r="L158" s="10" t="s">
        <v>834</v>
      </c>
      <c r="M158" s="7" t="s">
        <v>835</v>
      </c>
      <c r="N158" s="8" t="n">
        <v>0</v>
      </c>
      <c r="O158" s="8" t="n">
        <v>0</v>
      </c>
      <c r="P158" s="8" t="n">
        <v>0</v>
      </c>
      <c r="Q158" s="8" t="n">
        <v>2</v>
      </c>
      <c r="R158" s="8" t="n">
        <v>0</v>
      </c>
      <c r="S158" s="8" t="n">
        <v>0</v>
      </c>
      <c r="T158" s="13"/>
      <c r="U158" s="11" t="n">
        <f aca="false">O158*4 + P158*2 + MAX(0,N158-O158-P158)*1 + Q158*0.2 + R158*2 + S158*1 + IF(T158="",0,IF(T158&lt;=10,8,IF(T158&lt;=50,6,IF(T158&lt;=100,4,2))))</f>
        <v>0.4</v>
      </c>
      <c r="V158" s="7"/>
      <c r="W158" s="12"/>
      <c r="X158" s="13"/>
      <c r="Y158" s="13" t="s">
        <v>836</v>
      </c>
    </row>
    <row r="159" customFormat="false" ht="15.75" hidden="false" customHeight="true" outlineLevel="0" collapsed="false">
      <c r="A159" s="7" t="s">
        <v>837</v>
      </c>
      <c r="B159" s="8" t="n">
        <v>2013</v>
      </c>
      <c r="C159" s="8" t="s">
        <v>176</v>
      </c>
      <c r="D159" s="8" t="n">
        <v>123</v>
      </c>
      <c r="E159" s="7" t="s">
        <v>172</v>
      </c>
      <c r="F159" s="8" t="n">
        <v>8.1</v>
      </c>
      <c r="G159" s="8"/>
      <c r="H159" s="9" t="n">
        <v>564640</v>
      </c>
      <c r="I159" s="7" t="s">
        <v>838</v>
      </c>
      <c r="J159" s="7" t="s">
        <v>47</v>
      </c>
      <c r="K159" s="7" t="s">
        <v>48</v>
      </c>
      <c r="L159" s="10" t="s">
        <v>260</v>
      </c>
      <c r="M159" s="7" t="s">
        <v>839</v>
      </c>
      <c r="N159" s="8" t="n">
        <v>0</v>
      </c>
      <c r="O159" s="8" t="n">
        <v>0</v>
      </c>
      <c r="P159" s="8" t="n">
        <v>0</v>
      </c>
      <c r="Q159" s="8" t="n">
        <v>0</v>
      </c>
      <c r="R159" s="13" t="n">
        <v>0</v>
      </c>
      <c r="S159" s="13" t="n">
        <v>0</v>
      </c>
      <c r="T159" s="13"/>
      <c r="U159" s="11" t="n">
        <f aca="false">O159*4 + P159*2 + MAX(0,N159-O159-P159)*1 + Q159*0.2 + R159*2 + S159*1 + IF(T159="",0,IF(T159&lt;=10,8,IF(T159&lt;=50,6,IF(T159&lt;=100,4,2))))</f>
        <v>0</v>
      </c>
      <c r="V159" s="7"/>
      <c r="W159" s="12"/>
      <c r="X159" s="13"/>
      <c r="Y159" s="13" t="s">
        <v>840</v>
      </c>
    </row>
    <row r="160" customFormat="false" ht="15.75" hidden="false" customHeight="true" outlineLevel="0" collapsed="false">
      <c r="A160" s="7" t="s">
        <v>841</v>
      </c>
      <c r="B160" s="8" t="n">
        <v>1982</v>
      </c>
      <c r="C160" s="8" t="s">
        <v>109</v>
      </c>
      <c r="D160" s="8" t="n">
        <v>191</v>
      </c>
      <c r="E160" s="7" t="s">
        <v>842</v>
      </c>
      <c r="F160" s="8" t="n">
        <v>8</v>
      </c>
      <c r="G160" s="8" t="n">
        <v>7</v>
      </c>
      <c r="H160" s="9" t="n">
        <v>247283</v>
      </c>
      <c r="I160" s="7" t="s">
        <v>280</v>
      </c>
      <c r="J160" s="7" t="s">
        <v>47</v>
      </c>
      <c r="K160" s="7" t="s">
        <v>48</v>
      </c>
      <c r="L160" s="10" t="s">
        <v>210</v>
      </c>
      <c r="M160" s="7" t="s">
        <v>843</v>
      </c>
      <c r="N160" s="8" t="n">
        <v>8</v>
      </c>
      <c r="O160" s="8" t="n">
        <v>1</v>
      </c>
      <c r="P160" s="8" t="n">
        <v>1</v>
      </c>
      <c r="Q160" s="8" t="n">
        <v>11</v>
      </c>
      <c r="R160" s="8" t="n">
        <v>0</v>
      </c>
      <c r="S160" s="8" t="n">
        <v>0</v>
      </c>
      <c r="T160" s="13"/>
      <c r="U160" s="11" t="n">
        <f aca="false">O160*4 + P160*2 + MAX(0,N160-O160-P160)*1 + Q160*0.2 + R160*2 + S160*1 + IF(T160="",0,IF(T160&lt;=10,8,IF(T160&lt;=50,6,IF(T160&lt;=100,4,2))))</f>
        <v>14.2</v>
      </c>
      <c r="V160" s="7"/>
      <c r="W160" s="12"/>
      <c r="X160" s="13"/>
      <c r="Y160" s="13" t="s">
        <v>844</v>
      </c>
    </row>
    <row r="161" customFormat="false" ht="15.75" hidden="false" customHeight="true" outlineLevel="0" collapsed="false">
      <c r="A161" s="7" t="s">
        <v>845</v>
      </c>
      <c r="B161" s="8" t="n">
        <v>2012</v>
      </c>
      <c r="C161" s="8" t="s">
        <v>176</v>
      </c>
      <c r="D161" s="8" t="n">
        <v>103</v>
      </c>
      <c r="E161" s="7" t="s">
        <v>846</v>
      </c>
      <c r="F161" s="8" t="n">
        <v>7.9</v>
      </c>
      <c r="G161" s="8"/>
      <c r="H161" s="9" t="n">
        <v>603313</v>
      </c>
      <c r="I161" s="7" t="s">
        <v>46</v>
      </c>
      <c r="J161" s="7" t="s">
        <v>47</v>
      </c>
      <c r="K161" s="7"/>
      <c r="L161" s="10" t="s">
        <v>847</v>
      </c>
      <c r="M161" s="7" t="s">
        <v>848</v>
      </c>
      <c r="N161" s="8" t="n">
        <v>0</v>
      </c>
      <c r="O161" s="8" t="n">
        <v>0</v>
      </c>
      <c r="P161" s="8" t="n">
        <v>0</v>
      </c>
      <c r="Q161" s="8" t="n">
        <v>0</v>
      </c>
      <c r="R161" s="13" t="n">
        <v>0</v>
      </c>
      <c r="S161" s="13" t="n">
        <v>0</v>
      </c>
      <c r="T161" s="13"/>
      <c r="U161" s="11" t="n">
        <f aca="false">O161*4 + P161*2 + MAX(0,N161-O161-P161)*1 + Q161*0.2 + R161*2 + S161*1 + IF(T161="",0,IF(T161&lt;=10,8,IF(T161&lt;=50,6,IF(T161&lt;=100,4,2))))</f>
        <v>0</v>
      </c>
      <c r="V161" s="7"/>
      <c r="W161" s="12"/>
      <c r="X161" s="13"/>
      <c r="Y161" s="13" t="s">
        <v>849</v>
      </c>
    </row>
    <row r="162" customFormat="false" ht="15.75" hidden="false" customHeight="true" outlineLevel="0" collapsed="false">
      <c r="A162" s="7" t="s">
        <v>850</v>
      </c>
      <c r="B162" s="8" t="n">
        <v>1927</v>
      </c>
      <c r="C162" s="8" t="s">
        <v>851</v>
      </c>
      <c r="D162" s="8" t="n">
        <v>150</v>
      </c>
      <c r="E162" s="7" t="s">
        <v>315</v>
      </c>
      <c r="F162" s="8" t="n">
        <v>8.2</v>
      </c>
      <c r="G162" s="8"/>
      <c r="H162" s="9" t="n">
        <v>202541</v>
      </c>
      <c r="I162" s="7" t="s">
        <v>258</v>
      </c>
      <c r="J162" s="7" t="s">
        <v>111</v>
      </c>
      <c r="K162" s="7" t="s">
        <v>852</v>
      </c>
      <c r="L162" s="10" t="s">
        <v>853</v>
      </c>
      <c r="M162" s="7" t="s">
        <v>854</v>
      </c>
      <c r="N162" s="8" t="n">
        <v>0</v>
      </c>
      <c r="O162" s="8" t="n">
        <v>0</v>
      </c>
      <c r="P162" s="8" t="n">
        <v>0</v>
      </c>
      <c r="Q162" s="8" t="n">
        <v>0</v>
      </c>
      <c r="R162" s="13" t="n">
        <v>0</v>
      </c>
      <c r="S162" s="13" t="n">
        <v>0</v>
      </c>
      <c r="T162" s="8" t="n">
        <v>67</v>
      </c>
      <c r="U162" s="11" t="n">
        <f aca="false">O162*4 + P162*2 + MAX(0,N162-O162-P162)*1 + Q162*0.2 + R162*2 + S162*1 + IF(T162="",0,IF(T162&lt;=10,8,IF(T162&lt;=50,6,IF(T162&lt;=100,4,2))))</f>
        <v>4</v>
      </c>
      <c r="V162" s="7" t="s">
        <v>855</v>
      </c>
      <c r="W162" s="12"/>
      <c r="X162" s="13"/>
      <c r="Y162" s="13" t="s">
        <v>856</v>
      </c>
    </row>
    <row r="163" customFormat="false" ht="15.75" hidden="false" customHeight="true" outlineLevel="0" collapsed="false">
      <c r="A163" s="7" t="s">
        <v>857</v>
      </c>
      <c r="B163" s="8" t="n">
        <v>1995</v>
      </c>
      <c r="C163" s="8" t="s">
        <v>26</v>
      </c>
      <c r="D163" s="8" t="n">
        <v>136</v>
      </c>
      <c r="E163" s="7" t="s">
        <v>497</v>
      </c>
      <c r="F163" s="8" t="n">
        <v>7.7</v>
      </c>
      <c r="G163" s="8"/>
      <c r="H163" s="9" t="n">
        <v>137455</v>
      </c>
      <c r="I163" s="7" t="s">
        <v>280</v>
      </c>
      <c r="J163" s="7" t="s">
        <v>29</v>
      </c>
      <c r="K163" s="7" t="s">
        <v>47</v>
      </c>
      <c r="L163" s="10" t="s">
        <v>238</v>
      </c>
      <c r="M163" s="7" t="s">
        <v>858</v>
      </c>
      <c r="N163" s="8" t="n">
        <v>1</v>
      </c>
      <c r="O163" s="8" t="n">
        <v>0</v>
      </c>
      <c r="P163" s="8" t="n">
        <v>0</v>
      </c>
      <c r="Q163" s="8" t="n">
        <v>7</v>
      </c>
      <c r="R163" s="8" t="n">
        <v>1</v>
      </c>
      <c r="S163" s="8" t="n">
        <v>1</v>
      </c>
      <c r="T163" s="13"/>
      <c r="U163" s="11" t="n">
        <f aca="false">O163*4 + P163*2 + MAX(0,N163-O163-P163)*1 + Q163*0.2 + R163*2 + S163*1 + IF(T163="",0,IF(T163&lt;=10,8,IF(T163&lt;=50,6,IF(T163&lt;=100,4,2))))</f>
        <v>5.4</v>
      </c>
      <c r="V163" s="7"/>
      <c r="W163" s="12"/>
      <c r="X163" s="13"/>
      <c r="Y163" s="13" t="s">
        <v>859</v>
      </c>
    </row>
    <row r="164" customFormat="false" ht="15.75" hidden="false" customHeight="true" outlineLevel="0" collapsed="false">
      <c r="A164" s="7" t="s">
        <v>860</v>
      </c>
      <c r="B164" s="8" t="n">
        <v>1984</v>
      </c>
      <c r="C164" s="8" t="s">
        <v>109</v>
      </c>
      <c r="D164" s="8" t="n">
        <v>99</v>
      </c>
      <c r="E164" s="7" t="s">
        <v>861</v>
      </c>
      <c r="F164" s="8" t="n">
        <v>7.5</v>
      </c>
      <c r="G164" s="8"/>
      <c r="H164" s="9" t="n">
        <v>114784</v>
      </c>
      <c r="I164" s="7" t="s">
        <v>46</v>
      </c>
      <c r="J164" s="7" t="s">
        <v>131</v>
      </c>
      <c r="K164" s="7" t="s">
        <v>54</v>
      </c>
      <c r="L164" s="10" t="s">
        <v>166</v>
      </c>
      <c r="M164" s="7" t="s">
        <v>862</v>
      </c>
      <c r="N164" s="8" t="n">
        <v>0</v>
      </c>
      <c r="O164" s="8" t="n">
        <v>0</v>
      </c>
      <c r="P164" s="8" t="n">
        <v>0</v>
      </c>
      <c r="Q164" s="8" t="n">
        <v>0</v>
      </c>
      <c r="R164" s="13" t="n">
        <v>0</v>
      </c>
      <c r="S164" s="13" t="n">
        <v>0</v>
      </c>
      <c r="T164" s="13"/>
      <c r="U164" s="11" t="n">
        <f aca="false">O164*4 + P164*2 + MAX(0,N164-O164-P164)*1 + Q164*0.2 + R164*2 + S164*1 + IF(T164="",0,IF(T164&lt;=10,8,IF(T164&lt;=50,6,IF(T164&lt;=100,4,2))))</f>
        <v>0</v>
      </c>
      <c r="V164" s="7"/>
      <c r="W164" s="12"/>
      <c r="X164" s="13"/>
      <c r="Y164" s="13" t="s">
        <v>863</v>
      </c>
    </row>
    <row r="165" customFormat="false" ht="15.75" hidden="false" customHeight="true" outlineLevel="0" collapsed="false">
      <c r="A165" s="7" t="s">
        <v>864</v>
      </c>
      <c r="B165" s="8" t="n">
        <v>1994</v>
      </c>
      <c r="C165" s="8" t="s">
        <v>26</v>
      </c>
      <c r="D165" s="8" t="n">
        <v>127</v>
      </c>
      <c r="E165" s="7" t="s">
        <v>561</v>
      </c>
      <c r="F165" s="8" t="n">
        <v>7.8</v>
      </c>
      <c r="G165" s="8"/>
      <c r="H165" s="9" t="n">
        <v>190750</v>
      </c>
      <c r="I165" s="7" t="s">
        <v>46</v>
      </c>
      <c r="J165" s="7" t="s">
        <v>30</v>
      </c>
      <c r="K165" s="7" t="s">
        <v>48</v>
      </c>
      <c r="L165" s="10"/>
      <c r="M165" s="7" t="s">
        <v>865</v>
      </c>
      <c r="N165" s="8" t="n">
        <v>2</v>
      </c>
      <c r="O165" s="8" t="n">
        <v>0</v>
      </c>
      <c r="P165" s="8" t="n">
        <v>0</v>
      </c>
      <c r="Q165" s="8" t="n">
        <v>2</v>
      </c>
      <c r="R165" s="8" t="n">
        <v>0</v>
      </c>
      <c r="S165" s="8" t="n">
        <v>0</v>
      </c>
      <c r="T165" s="13"/>
      <c r="U165" s="11" t="n">
        <f aca="false">O165*4 + P165*2 + MAX(0,N165-O165-P165)*1 + Q165*0.2 + R165*2 + S165*1 + IF(T165="",0,IF(T165&lt;=10,8,IF(T165&lt;=50,6,IF(T165&lt;=100,4,2))))</f>
        <v>2.4</v>
      </c>
      <c r="V165" s="7"/>
      <c r="W165" s="12"/>
      <c r="X165" s="13"/>
      <c r="Y165" s="13" t="s">
        <v>866</v>
      </c>
    </row>
    <row r="166" customFormat="false" ht="15.75" hidden="false" customHeight="true" outlineLevel="0" collapsed="false">
      <c r="A166" s="7" t="s">
        <v>867</v>
      </c>
      <c r="B166" s="8" t="n">
        <v>2009</v>
      </c>
      <c r="C166" s="8" t="s">
        <v>35</v>
      </c>
      <c r="D166" s="8" t="n">
        <v>93</v>
      </c>
      <c r="E166" s="7" t="s">
        <v>388</v>
      </c>
      <c r="F166" s="8" t="n">
        <v>7.1</v>
      </c>
      <c r="G166" s="8"/>
      <c r="H166" s="9" t="n">
        <v>79505</v>
      </c>
      <c r="I166" s="7" t="s">
        <v>46</v>
      </c>
      <c r="J166" s="7" t="s">
        <v>29</v>
      </c>
      <c r="K166" s="7" t="s">
        <v>30</v>
      </c>
      <c r="L166" s="10" t="s">
        <v>210</v>
      </c>
      <c r="M166" s="7" t="s">
        <v>868</v>
      </c>
      <c r="N166" s="8" t="n">
        <v>0</v>
      </c>
      <c r="O166" s="8" t="n">
        <v>0</v>
      </c>
      <c r="P166" s="8" t="n">
        <v>0</v>
      </c>
      <c r="Q166" s="8" t="n">
        <v>0</v>
      </c>
      <c r="R166" s="13" t="n">
        <v>0</v>
      </c>
      <c r="S166" s="13" t="n">
        <v>0</v>
      </c>
      <c r="T166" s="13"/>
      <c r="U166" s="11" t="n">
        <f aca="false">O166*4 + P166*2 + MAX(0,N166-O166-P166)*1 + Q166*0.2 + R166*2 + S166*1 + IF(T166="",0,IF(T166&lt;=10,8,IF(T166&lt;=50,6,IF(T166&lt;=100,4,2))))</f>
        <v>0</v>
      </c>
      <c r="V166" s="7"/>
      <c r="W166" s="12"/>
      <c r="X166" s="13"/>
      <c r="Y166" s="13" t="s">
        <v>869</v>
      </c>
    </row>
    <row r="167" customFormat="false" ht="15.75" hidden="false" customHeight="true" outlineLevel="0" collapsed="false">
      <c r="A167" s="7" t="s">
        <v>870</v>
      </c>
      <c r="B167" s="8" t="n">
        <v>1940</v>
      </c>
      <c r="C167" s="8" t="s">
        <v>243</v>
      </c>
      <c r="D167" s="8" t="n">
        <v>130</v>
      </c>
      <c r="E167" s="7" t="s">
        <v>146</v>
      </c>
      <c r="F167" s="8" t="n">
        <v>8</v>
      </c>
      <c r="G167" s="8"/>
      <c r="H167" s="9" t="n">
        <v>161868</v>
      </c>
      <c r="I167" s="7" t="s">
        <v>46</v>
      </c>
      <c r="J167" s="7" t="s">
        <v>29</v>
      </c>
      <c r="K167" s="7" t="s">
        <v>125</v>
      </c>
      <c r="L167" s="10" t="s">
        <v>871</v>
      </c>
      <c r="M167" s="7" t="s">
        <v>872</v>
      </c>
      <c r="N167" s="8" t="n">
        <v>2</v>
      </c>
      <c r="O167" s="8" t="n">
        <v>1</v>
      </c>
      <c r="P167" s="8" t="n">
        <v>0</v>
      </c>
      <c r="Q167" s="8" t="n">
        <v>11</v>
      </c>
      <c r="R167" s="8" t="n">
        <v>0</v>
      </c>
      <c r="S167" s="8" t="n">
        <v>0</v>
      </c>
      <c r="T167" s="13"/>
      <c r="U167" s="11" t="n">
        <f aca="false">O167*4 + P167*2 + MAX(0,N167-O167-P167)*1 + Q167*0.2 + R167*2 + S167*1 + IF(T167="",0,IF(T167&lt;=10,8,IF(T167&lt;=50,6,IF(T167&lt;=100,4,2))))</f>
        <v>7.2</v>
      </c>
      <c r="V167" s="7" t="s">
        <v>873</v>
      </c>
      <c r="W167" s="12"/>
      <c r="X167" s="13"/>
      <c r="Y167" s="13" t="s">
        <v>874</v>
      </c>
    </row>
    <row r="168" customFormat="false" ht="15.75" hidden="false" customHeight="true" outlineLevel="0" collapsed="false">
      <c r="A168" s="7" t="s">
        <v>875</v>
      </c>
      <c r="B168" s="8" t="n">
        <v>2001</v>
      </c>
      <c r="C168" s="8" t="s">
        <v>35</v>
      </c>
      <c r="D168" s="8" t="n">
        <v>132</v>
      </c>
      <c r="E168" s="7" t="s">
        <v>876</v>
      </c>
      <c r="F168" s="8" t="n">
        <v>7.6</v>
      </c>
      <c r="G168" s="8"/>
      <c r="H168" s="9" t="n">
        <v>163172</v>
      </c>
      <c r="I168" s="7" t="s">
        <v>46</v>
      </c>
      <c r="J168" s="7" t="s">
        <v>47</v>
      </c>
      <c r="K168" s="7"/>
      <c r="L168" s="10"/>
      <c r="M168" s="7" t="s">
        <v>877</v>
      </c>
      <c r="N168" s="8" t="n">
        <v>0</v>
      </c>
      <c r="O168" s="8" t="n">
        <v>0</v>
      </c>
      <c r="P168" s="8" t="n">
        <v>0</v>
      </c>
      <c r="Q168" s="8" t="n">
        <v>1</v>
      </c>
      <c r="R168" s="8" t="n">
        <v>0</v>
      </c>
      <c r="S168" s="8" t="n">
        <v>0</v>
      </c>
      <c r="T168" s="13"/>
      <c r="U168" s="11" t="n">
        <f aca="false">O168*4 + P168*2 + MAX(0,N168-O168-P168)*1 + Q168*0.2 + R168*2 + S168*1 + IF(T168="",0,IF(T168&lt;=10,8,IF(T168&lt;=50,6,IF(T168&lt;=100,4,2))))</f>
        <v>0.2</v>
      </c>
      <c r="V168" s="7"/>
      <c r="W168" s="12"/>
      <c r="X168" s="13"/>
      <c r="Y168" s="13" t="s">
        <v>878</v>
      </c>
    </row>
    <row r="169" customFormat="false" ht="15.75" hidden="false" customHeight="true" outlineLevel="0" collapsed="false">
      <c r="A169" s="7" t="s">
        <v>879</v>
      </c>
      <c r="B169" s="8" t="n">
        <v>1989</v>
      </c>
      <c r="C169" s="8" t="s">
        <v>109</v>
      </c>
      <c r="D169" s="8" t="n">
        <v>99</v>
      </c>
      <c r="E169" s="7" t="s">
        <v>880</v>
      </c>
      <c r="F169" s="8" t="n">
        <v>7.3</v>
      </c>
      <c r="G169" s="8"/>
      <c r="H169" s="9" t="n">
        <v>124257</v>
      </c>
      <c r="I169" s="7" t="s">
        <v>46</v>
      </c>
      <c r="J169" s="7" t="s">
        <v>30</v>
      </c>
      <c r="K169" s="7" t="s">
        <v>47</v>
      </c>
      <c r="L169" s="10" t="s">
        <v>881</v>
      </c>
      <c r="M169" s="7" t="s">
        <v>882</v>
      </c>
      <c r="N169" s="8" t="n">
        <v>4</v>
      </c>
      <c r="O169" s="8" t="n">
        <v>1</v>
      </c>
      <c r="P169" s="8" t="n">
        <v>0</v>
      </c>
      <c r="Q169" s="8" t="n">
        <v>9</v>
      </c>
      <c r="R169" s="8" t="n">
        <v>0</v>
      </c>
      <c r="S169" s="8" t="n">
        <v>1</v>
      </c>
      <c r="T169" s="13"/>
      <c r="U169" s="11" t="n">
        <f aca="false">O169*4 + P169*2 + MAX(0,N169-O169-P169)*1 + Q169*0.2 + R169*2 + S169*1 + IF(T169="",0,IF(T169&lt;=10,8,IF(T169&lt;=50,6,IF(T169&lt;=100,4,2))))</f>
        <v>9.8</v>
      </c>
      <c r="V169" s="7"/>
      <c r="W169" s="12"/>
      <c r="X169" s="13"/>
      <c r="Y169" s="13" t="s">
        <v>883</v>
      </c>
    </row>
    <row r="170" customFormat="false" ht="15.75" hidden="false" customHeight="true" outlineLevel="0" collapsed="false">
      <c r="A170" s="7" t="s">
        <v>884</v>
      </c>
      <c r="B170" s="8" t="n">
        <v>2009</v>
      </c>
      <c r="C170" s="8" t="s">
        <v>35</v>
      </c>
      <c r="D170" s="8" t="n">
        <v>144</v>
      </c>
      <c r="E170" s="7" t="s">
        <v>462</v>
      </c>
      <c r="F170" s="8" t="n">
        <v>7.8</v>
      </c>
      <c r="G170" s="8"/>
      <c r="H170" s="9" t="n">
        <v>81980</v>
      </c>
      <c r="I170" s="7" t="s">
        <v>258</v>
      </c>
      <c r="J170" s="7" t="s">
        <v>131</v>
      </c>
      <c r="K170" s="7" t="s">
        <v>125</v>
      </c>
      <c r="L170" s="10" t="s">
        <v>885</v>
      </c>
      <c r="M170" s="7" t="s">
        <v>886</v>
      </c>
      <c r="N170" s="8" t="n">
        <v>0</v>
      </c>
      <c r="O170" s="8" t="n">
        <v>0</v>
      </c>
      <c r="P170" s="8" t="n">
        <v>0</v>
      </c>
      <c r="Q170" s="8" t="n">
        <v>2</v>
      </c>
      <c r="R170" s="8" t="n">
        <v>1</v>
      </c>
      <c r="S170" s="8" t="n">
        <v>0</v>
      </c>
      <c r="T170" s="8"/>
      <c r="U170" s="11" t="n">
        <f aca="false">O170*4 + P170*2 + MAX(0,N170-O170-P170)*1 + Q170*0.2 + R170*2 + S170*1 + IF(T170="",0,IF(T170&lt;=10,8,IF(T170&lt;=50,6,IF(T170&lt;=100,4,2))))</f>
        <v>2.4</v>
      </c>
      <c r="V170" s="10" t="s">
        <v>887</v>
      </c>
      <c r="W170" s="12"/>
      <c r="X170" s="8" t="n">
        <v>52</v>
      </c>
      <c r="Y170" s="8" t="s">
        <v>888</v>
      </c>
    </row>
    <row r="171" customFormat="false" ht="15.75" hidden="false" customHeight="true" outlineLevel="0" collapsed="false">
      <c r="A171" s="7" t="s">
        <v>889</v>
      </c>
      <c r="B171" s="8" t="n">
        <v>2007</v>
      </c>
      <c r="C171" s="8" t="s">
        <v>35</v>
      </c>
      <c r="D171" s="8" t="n">
        <v>87</v>
      </c>
      <c r="E171" s="7" t="s">
        <v>890</v>
      </c>
      <c r="F171" s="8" t="n">
        <v>7.8</v>
      </c>
      <c r="G171" s="8"/>
      <c r="H171" s="9" t="n">
        <v>220326</v>
      </c>
      <c r="I171" s="7" t="s">
        <v>46</v>
      </c>
      <c r="J171" s="7" t="s">
        <v>38</v>
      </c>
      <c r="K171" s="7" t="s">
        <v>125</v>
      </c>
      <c r="L171" s="10" t="s">
        <v>891</v>
      </c>
      <c r="M171" s="7" t="s">
        <v>892</v>
      </c>
      <c r="N171" s="8" t="n">
        <v>0</v>
      </c>
      <c r="O171" s="8" t="n">
        <v>0</v>
      </c>
      <c r="P171" s="8" t="n">
        <v>0</v>
      </c>
      <c r="Q171" s="8" t="n">
        <v>0</v>
      </c>
      <c r="R171" s="13" t="n">
        <v>0</v>
      </c>
      <c r="S171" s="13" t="n">
        <v>0</v>
      </c>
      <c r="T171" s="13"/>
      <c r="U171" s="11" t="n">
        <f aca="false">O171*4 + P171*2 + MAX(0,N171-O171-P171)*1 + Q171*0.2 + R171*2 + S171*1 + IF(T171="",0,IF(T171&lt;=10,8,IF(T171&lt;=50,6,IF(T171&lt;=100,4,2))))</f>
        <v>0</v>
      </c>
      <c r="V171" s="7"/>
      <c r="W171" s="12"/>
      <c r="X171" s="13"/>
      <c r="Y171" s="13" t="s">
        <v>893</v>
      </c>
    </row>
    <row r="172" customFormat="false" ht="15.75" hidden="false" customHeight="true" outlineLevel="0" collapsed="false">
      <c r="A172" s="7" t="s">
        <v>894</v>
      </c>
      <c r="B172" s="8" t="n">
        <v>2001</v>
      </c>
      <c r="C172" s="8" t="s">
        <v>35</v>
      </c>
      <c r="D172" s="8" t="n">
        <v>103</v>
      </c>
      <c r="E172" s="7" t="s">
        <v>388</v>
      </c>
      <c r="F172" s="8" t="n">
        <v>6.7</v>
      </c>
      <c r="G172" s="8"/>
      <c r="H172" s="9" t="n">
        <v>43122</v>
      </c>
      <c r="I172" s="7" t="s">
        <v>895</v>
      </c>
      <c r="J172" s="7" t="s">
        <v>30</v>
      </c>
      <c r="K172" s="7" t="s">
        <v>54</v>
      </c>
      <c r="L172" s="10" t="s">
        <v>252</v>
      </c>
      <c r="M172" s="7" t="s">
        <v>896</v>
      </c>
      <c r="N172" s="8" t="n">
        <v>0</v>
      </c>
      <c r="O172" s="8" t="n">
        <v>0</v>
      </c>
      <c r="P172" s="8" t="n">
        <v>0</v>
      </c>
      <c r="Q172" s="8" t="n">
        <v>0</v>
      </c>
      <c r="R172" s="13" t="n">
        <v>0</v>
      </c>
      <c r="S172" s="13" t="n">
        <v>0</v>
      </c>
      <c r="T172" s="13"/>
      <c r="U172" s="11" t="n">
        <f aca="false">O172*4 + P172*2 + MAX(0,N172-O172-P172)*1 + Q172*0.2 + R172*2 + S172*1 + IF(T172="",0,IF(T172&lt;=10,8,IF(T172&lt;=50,6,IF(T172&lt;=100,4,2))))</f>
        <v>0</v>
      </c>
      <c r="V172" s="7"/>
      <c r="W172" s="12"/>
      <c r="X172" s="13"/>
      <c r="Y172" s="13" t="s">
        <v>897</v>
      </c>
    </row>
    <row r="173" customFormat="false" ht="15.75" hidden="false" customHeight="true" outlineLevel="0" collapsed="false">
      <c r="A173" s="7" t="s">
        <v>898</v>
      </c>
      <c r="B173" s="8" t="n">
        <v>2000</v>
      </c>
      <c r="C173" s="8" t="s">
        <v>35</v>
      </c>
      <c r="D173" s="8" t="n">
        <v>113</v>
      </c>
      <c r="E173" s="7" t="s">
        <v>899</v>
      </c>
      <c r="F173" s="8" t="n">
        <v>7.4</v>
      </c>
      <c r="G173" s="8"/>
      <c r="H173" s="9" t="n">
        <v>200487</v>
      </c>
      <c r="I173" s="7" t="s">
        <v>359</v>
      </c>
      <c r="J173" s="7" t="s">
        <v>90</v>
      </c>
      <c r="K173" s="7" t="s">
        <v>30</v>
      </c>
      <c r="L173" s="10" t="s">
        <v>177</v>
      </c>
      <c r="M173" s="7" t="s">
        <v>900</v>
      </c>
      <c r="N173" s="8" t="n">
        <v>0</v>
      </c>
      <c r="O173" s="8" t="n">
        <v>0</v>
      </c>
      <c r="P173" s="8" t="n">
        <v>0</v>
      </c>
      <c r="Q173" s="8" t="n">
        <v>0</v>
      </c>
      <c r="R173" s="13" t="n">
        <v>0</v>
      </c>
      <c r="S173" s="13" t="n">
        <v>0</v>
      </c>
      <c r="T173" s="13"/>
      <c r="U173" s="11" t="n">
        <f aca="false">O173*4 + P173*2 + MAX(0,N173-O173-P173)*1 + Q173*0.2 + R173*2 + S173*1 + IF(T173="",0,IF(T173&lt;=10,8,IF(T173&lt;=50,6,IF(T173&lt;=100,4,2))))</f>
        <v>0</v>
      </c>
      <c r="V173" s="7"/>
      <c r="W173" s="12"/>
      <c r="X173" s="13"/>
      <c r="Y173" s="13" t="s">
        <v>901</v>
      </c>
    </row>
    <row r="174" customFormat="false" ht="15.75" hidden="false" customHeight="true" outlineLevel="0" collapsed="false">
      <c r="A174" s="7" t="s">
        <v>902</v>
      </c>
      <c r="B174" s="8" t="n">
        <v>1948</v>
      </c>
      <c r="C174" s="8" t="s">
        <v>243</v>
      </c>
      <c r="D174" s="8" t="n">
        <v>89</v>
      </c>
      <c r="E174" s="7" t="s">
        <v>903</v>
      </c>
      <c r="F174" s="8" t="n">
        <v>8.2</v>
      </c>
      <c r="G174" s="8"/>
      <c r="H174" s="9" t="n">
        <v>192794</v>
      </c>
      <c r="I174" s="7" t="s">
        <v>28</v>
      </c>
      <c r="J174" s="7" t="s">
        <v>47</v>
      </c>
      <c r="K174" s="7"/>
      <c r="L174" s="10" t="s">
        <v>447</v>
      </c>
      <c r="M174" s="7" t="s">
        <v>904</v>
      </c>
      <c r="N174" s="8" t="n">
        <v>1</v>
      </c>
      <c r="O174" s="8" t="n">
        <v>0</v>
      </c>
      <c r="P174" s="8" t="n">
        <v>0</v>
      </c>
      <c r="Q174" s="8" t="n">
        <v>2</v>
      </c>
      <c r="R174" s="8" t="n">
        <v>0</v>
      </c>
      <c r="S174" s="8" t="n">
        <v>0</v>
      </c>
      <c r="T174" s="8" t="n">
        <v>41</v>
      </c>
      <c r="U174" s="11" t="n">
        <f aca="false">O174*4 + P174*2 + MAX(0,N174-O174-P174)*1 + Q174*0.2 + R174*2 + S174*1 + IF(T174="",0,IF(T174&lt;=10,8,IF(T174&lt;=50,6,IF(T174&lt;=100,4,2))))</f>
        <v>7.4</v>
      </c>
      <c r="V174" s="7" t="s">
        <v>905</v>
      </c>
      <c r="W174" s="12"/>
      <c r="X174" s="13"/>
      <c r="Y174" s="13" t="s">
        <v>906</v>
      </c>
    </row>
    <row r="175" customFormat="false" ht="15.75" hidden="false" customHeight="true" outlineLevel="0" collapsed="false">
      <c r="A175" s="7" t="s">
        <v>907</v>
      </c>
      <c r="B175" s="8" t="n">
        <v>2002</v>
      </c>
      <c r="C175" s="8" t="s">
        <v>35</v>
      </c>
      <c r="D175" s="8" t="n">
        <v>114</v>
      </c>
      <c r="E175" s="7" t="s">
        <v>420</v>
      </c>
      <c r="F175" s="8" t="n">
        <v>7.5</v>
      </c>
      <c r="G175" s="8"/>
      <c r="H175" s="9" t="n">
        <v>147776</v>
      </c>
      <c r="I175" s="7" t="s">
        <v>46</v>
      </c>
      <c r="J175" s="7" t="s">
        <v>29</v>
      </c>
      <c r="K175" s="7" t="s">
        <v>47</v>
      </c>
      <c r="L175" s="10" t="s">
        <v>205</v>
      </c>
      <c r="M175" s="7" t="s">
        <v>908</v>
      </c>
      <c r="N175" s="8" t="n">
        <v>1</v>
      </c>
      <c r="O175" s="8" t="n">
        <v>0</v>
      </c>
      <c r="P175" s="8" t="n">
        <v>0</v>
      </c>
      <c r="Q175" s="8" t="n">
        <v>9</v>
      </c>
      <c r="R175" s="8" t="n">
        <v>0</v>
      </c>
      <c r="S175" s="8" t="n">
        <v>1</v>
      </c>
      <c r="T175" s="13"/>
      <c r="U175" s="11" t="n">
        <f aca="false">O175*4 + P175*2 + MAX(0,N175-O175-P175)*1 + Q175*0.2 + R175*2 + S175*1 + IF(T175="",0,IF(T175&lt;=10,8,IF(T175&lt;=50,6,IF(T175&lt;=100,4,2))))</f>
        <v>3.8</v>
      </c>
      <c r="V175" s="7"/>
      <c r="W175" s="12"/>
      <c r="X175" s="13"/>
      <c r="Y175" s="13" t="s">
        <v>909</v>
      </c>
    </row>
    <row r="176" customFormat="false" ht="15.75" hidden="false" customHeight="true" outlineLevel="0" collapsed="false">
      <c r="A176" s="7" t="s">
        <v>910</v>
      </c>
      <c r="B176" s="8" t="n">
        <v>1993</v>
      </c>
      <c r="C176" s="8" t="s">
        <v>26</v>
      </c>
      <c r="D176" s="8" t="n">
        <v>119</v>
      </c>
      <c r="E176" s="7" t="s">
        <v>911</v>
      </c>
      <c r="F176" s="8" t="n">
        <v>7.9</v>
      </c>
      <c r="G176" s="8"/>
      <c r="H176" s="9" t="n">
        <v>262711</v>
      </c>
      <c r="I176" s="7" t="s">
        <v>46</v>
      </c>
      <c r="J176" s="7" t="s">
        <v>29</v>
      </c>
      <c r="K176" s="7" t="s">
        <v>54</v>
      </c>
      <c r="L176" s="10" t="s">
        <v>416</v>
      </c>
      <c r="M176" s="7" t="s">
        <v>912</v>
      </c>
      <c r="N176" s="8" t="n">
        <v>0</v>
      </c>
      <c r="O176" s="8" t="n">
        <v>0</v>
      </c>
      <c r="P176" s="8" t="n">
        <v>0</v>
      </c>
      <c r="Q176" s="8" t="n">
        <v>0</v>
      </c>
      <c r="R176" s="13" t="n">
        <v>0</v>
      </c>
      <c r="S176" s="13" t="n">
        <v>0</v>
      </c>
      <c r="T176" s="13"/>
      <c r="U176" s="11" t="n">
        <f aca="false">O176*4 + P176*2 + MAX(0,N176-O176-P176)*1 + Q176*0.2 + R176*2 + S176*1 + IF(T176="",0,IF(T176&lt;=10,8,IF(T176&lt;=50,6,IF(T176&lt;=100,4,2))))</f>
        <v>0</v>
      </c>
      <c r="V176" s="7"/>
      <c r="W176" s="12"/>
      <c r="X176" s="13"/>
      <c r="Y176" s="13" t="s">
        <v>913</v>
      </c>
    </row>
    <row r="177" customFormat="false" ht="15.75" hidden="false" customHeight="true" outlineLevel="0" collapsed="false">
      <c r="A177" s="7" t="s">
        <v>914</v>
      </c>
      <c r="B177" s="8" t="n">
        <v>1975</v>
      </c>
      <c r="C177" s="8" t="s">
        <v>61</v>
      </c>
      <c r="D177" s="8" t="n">
        <v>185</v>
      </c>
      <c r="E177" s="7" t="s">
        <v>152</v>
      </c>
      <c r="F177" s="8" t="n">
        <v>8.1</v>
      </c>
      <c r="G177" s="8"/>
      <c r="H177" s="9" t="n">
        <v>207327</v>
      </c>
      <c r="I177" s="7" t="s">
        <v>280</v>
      </c>
      <c r="J177" s="7" t="s">
        <v>154</v>
      </c>
      <c r="K177" s="7" t="s">
        <v>39</v>
      </c>
      <c r="L177" s="10" t="s">
        <v>210</v>
      </c>
      <c r="M177" s="7" t="s">
        <v>915</v>
      </c>
      <c r="N177" s="8" t="n">
        <v>4</v>
      </c>
      <c r="O177" s="8" t="n">
        <v>0</v>
      </c>
      <c r="P177" s="8" t="n">
        <v>0</v>
      </c>
      <c r="Q177" s="8" t="n">
        <v>7</v>
      </c>
      <c r="R177" s="8" t="n">
        <v>0</v>
      </c>
      <c r="S177" s="8" t="n">
        <v>0</v>
      </c>
      <c r="T177" s="8" t="n">
        <v>45</v>
      </c>
      <c r="U177" s="11" t="n">
        <f aca="false">O177*4 + P177*2 + MAX(0,N177-O177-P177)*1 + Q177*0.2 + R177*2 + S177*1 + IF(T177="",0,IF(T177&lt;=10,8,IF(T177&lt;=50,6,IF(T177&lt;=100,4,2))))</f>
        <v>11.4</v>
      </c>
      <c r="V177" s="7" t="s">
        <v>916</v>
      </c>
      <c r="W177" s="12" t="s">
        <v>143</v>
      </c>
      <c r="X177" s="13"/>
      <c r="Y177" s="13" t="s">
        <v>917</v>
      </c>
    </row>
    <row r="178" customFormat="false" ht="15.75" hidden="false" customHeight="true" outlineLevel="0" collapsed="false">
      <c r="A178" s="7" t="s">
        <v>918</v>
      </c>
      <c r="B178" s="8" t="n">
        <v>1950</v>
      </c>
      <c r="C178" s="8" t="s">
        <v>196</v>
      </c>
      <c r="D178" s="8" t="n">
        <v>138</v>
      </c>
      <c r="E178" s="7" t="s">
        <v>919</v>
      </c>
      <c r="F178" s="8" t="n">
        <v>8.2</v>
      </c>
      <c r="G178" s="8"/>
      <c r="H178" s="9" t="n">
        <v>150183</v>
      </c>
      <c r="I178" s="7" t="s">
        <v>46</v>
      </c>
      <c r="J178" s="7" t="s">
        <v>47</v>
      </c>
      <c r="K178" s="7"/>
      <c r="L178" s="10" t="s">
        <v>920</v>
      </c>
      <c r="M178" s="7" t="s">
        <v>921</v>
      </c>
      <c r="N178" s="8" t="n">
        <v>6</v>
      </c>
      <c r="O178" s="8" t="n">
        <v>1</v>
      </c>
      <c r="P178" s="8" t="n">
        <v>1</v>
      </c>
      <c r="Q178" s="8" t="n">
        <v>14</v>
      </c>
      <c r="R178" s="8" t="n">
        <v>0</v>
      </c>
      <c r="S178" s="8" t="n">
        <v>0</v>
      </c>
      <c r="T178" s="8" t="n">
        <v>211</v>
      </c>
      <c r="U178" s="11" t="n">
        <f aca="false">O178*4 + P178*2 + MAX(0,N178-O178-P178)*1 + Q178*0.2 + R178*2 + S178*1 + IF(T178="",0,IF(T178&lt;=10,8,IF(T178&lt;=50,6,IF(T178&lt;=100,4,2))))</f>
        <v>14.8</v>
      </c>
      <c r="V178" s="7" t="s">
        <v>922</v>
      </c>
      <c r="W178" s="12"/>
      <c r="X178" s="13"/>
      <c r="Y178" s="13" t="s">
        <v>923</v>
      </c>
    </row>
    <row r="179" customFormat="false" ht="15.75" hidden="false" customHeight="true" outlineLevel="0" collapsed="false">
      <c r="A179" s="7" t="s">
        <v>924</v>
      </c>
      <c r="B179" s="8" t="n">
        <v>1980</v>
      </c>
      <c r="C179" s="8" t="s">
        <v>109</v>
      </c>
      <c r="D179" s="8" t="n">
        <v>133</v>
      </c>
      <c r="E179" s="7" t="s">
        <v>925</v>
      </c>
      <c r="F179" s="8" t="n">
        <v>7.9</v>
      </c>
      <c r="G179" s="8"/>
      <c r="H179" s="9" t="n">
        <v>231097</v>
      </c>
      <c r="I179" s="7" t="s">
        <v>46</v>
      </c>
      <c r="J179" s="7" t="s">
        <v>30</v>
      </c>
      <c r="K179" s="12" t="s">
        <v>90</v>
      </c>
      <c r="L179" s="10"/>
      <c r="M179" s="7" t="s">
        <v>926</v>
      </c>
      <c r="N179" s="8" t="n">
        <v>0</v>
      </c>
      <c r="O179" s="8" t="n">
        <v>0</v>
      </c>
      <c r="P179" s="8" t="n">
        <v>0</v>
      </c>
      <c r="Q179" s="8" t="n">
        <v>0</v>
      </c>
      <c r="R179" s="13" t="n">
        <v>0</v>
      </c>
      <c r="S179" s="13" t="n">
        <v>0</v>
      </c>
      <c r="T179" s="13"/>
      <c r="U179" s="11" t="n">
        <f aca="false">O179*4 + P179*2 + MAX(0,N179-O179-P179)*1 + Q179*0.2 + R179*2 + S179*1 + IF(T179="",0,IF(T179&lt;=10,8,IF(T179&lt;=50,6,IF(T179&lt;=100,4,2))))</f>
        <v>0</v>
      </c>
      <c r="V179" s="7"/>
      <c r="W179" s="12"/>
      <c r="X179" s="13"/>
      <c r="Y179" s="13" t="s">
        <v>927</v>
      </c>
    </row>
    <row r="180" customFormat="false" ht="15.75" hidden="false" customHeight="true" outlineLevel="0" collapsed="false">
      <c r="A180" s="7" t="s">
        <v>928</v>
      </c>
      <c r="B180" s="8" t="n">
        <v>1985</v>
      </c>
      <c r="C180" s="8" t="s">
        <v>109</v>
      </c>
      <c r="D180" s="8" t="n">
        <v>97</v>
      </c>
      <c r="E180" s="7" t="s">
        <v>165</v>
      </c>
      <c r="F180" s="8" t="n">
        <v>7.6</v>
      </c>
      <c r="G180" s="8"/>
      <c r="H180" s="9" t="n">
        <v>99927</v>
      </c>
      <c r="I180" s="7" t="s">
        <v>46</v>
      </c>
      <c r="J180" s="7" t="s">
        <v>30</v>
      </c>
      <c r="K180" s="7" t="s">
        <v>54</v>
      </c>
      <c r="L180" s="10" t="s">
        <v>210</v>
      </c>
      <c r="M180" s="7" t="s">
        <v>929</v>
      </c>
      <c r="N180" s="8" t="n">
        <v>0</v>
      </c>
      <c r="O180" s="8" t="n">
        <v>0</v>
      </c>
      <c r="P180" s="8" t="n">
        <v>0</v>
      </c>
      <c r="Q180" s="8" t="n">
        <v>0</v>
      </c>
      <c r="R180" s="13" t="n">
        <v>0</v>
      </c>
      <c r="S180" s="13" t="n">
        <v>0</v>
      </c>
      <c r="T180" s="13"/>
      <c r="U180" s="11" t="n">
        <f aca="false">O180*4 + P180*2 + MAX(0,N180-O180-P180)*1 + Q180*0.2 + R180*2 + S180*1 + IF(T180="",0,IF(T180&lt;=10,8,IF(T180&lt;=50,6,IF(T180&lt;=100,4,2))))</f>
        <v>0</v>
      </c>
      <c r="V180" s="7"/>
      <c r="W180" s="12"/>
      <c r="X180" s="13"/>
      <c r="Y180" s="13" t="s">
        <v>930</v>
      </c>
    </row>
    <row r="181" customFormat="false" ht="15.75" hidden="false" customHeight="true" outlineLevel="0" collapsed="false">
      <c r="A181" s="7" t="s">
        <v>931</v>
      </c>
      <c r="B181" s="8" t="n">
        <v>1942</v>
      </c>
      <c r="C181" s="8" t="s">
        <v>243</v>
      </c>
      <c r="D181" s="8" t="n">
        <v>99</v>
      </c>
      <c r="E181" s="7" t="s">
        <v>932</v>
      </c>
      <c r="F181" s="8" t="n">
        <v>8.1</v>
      </c>
      <c r="G181" s="8"/>
      <c r="H181" s="9" t="n">
        <v>50217</v>
      </c>
      <c r="I181" s="7" t="s">
        <v>46</v>
      </c>
      <c r="J181" s="7" t="s">
        <v>154</v>
      </c>
      <c r="K181" s="7" t="s">
        <v>29</v>
      </c>
      <c r="L181" s="10" t="s">
        <v>205</v>
      </c>
      <c r="M181" s="7" t="s">
        <v>933</v>
      </c>
      <c r="N181" s="8" t="n">
        <v>0</v>
      </c>
      <c r="O181" s="8" t="n">
        <v>0</v>
      </c>
      <c r="P181" s="8" t="n">
        <v>0</v>
      </c>
      <c r="Q181" s="8" t="n">
        <v>1</v>
      </c>
      <c r="R181" s="8" t="n">
        <v>0</v>
      </c>
      <c r="S181" s="8" t="n">
        <v>0</v>
      </c>
      <c r="T181" s="8" t="n">
        <v>114</v>
      </c>
      <c r="U181" s="11" t="n">
        <f aca="false">O181*4 + P181*2 + MAX(0,N181-O181-P181)*1 + Q181*0.2 + R181*2 + S181*1 + IF(T181="",0,IF(T181&lt;=10,8,IF(T181&lt;=50,6,IF(T181&lt;=100,4,2))))</f>
        <v>2.2</v>
      </c>
      <c r="V181" s="7" t="s">
        <v>934</v>
      </c>
      <c r="W181" s="12"/>
      <c r="X181" s="13"/>
      <c r="Y181" s="13" t="s">
        <v>935</v>
      </c>
    </row>
    <row r="182" customFormat="false" ht="15.75" hidden="false" customHeight="true" outlineLevel="0" collapsed="false">
      <c r="A182" s="7" t="s">
        <v>936</v>
      </c>
      <c r="B182" s="8" t="n">
        <v>2002</v>
      </c>
      <c r="C182" s="8" t="s">
        <v>35</v>
      </c>
      <c r="D182" s="8" t="n">
        <v>135</v>
      </c>
      <c r="E182" s="7" t="s">
        <v>937</v>
      </c>
      <c r="F182" s="8" t="n">
        <v>7.6</v>
      </c>
      <c r="G182" s="8"/>
      <c r="H182" s="9" t="n">
        <v>191136</v>
      </c>
      <c r="I182" s="7" t="s">
        <v>46</v>
      </c>
      <c r="J182" s="7" t="s">
        <v>47</v>
      </c>
      <c r="K182" s="7"/>
      <c r="L182" s="10"/>
      <c r="M182" s="7" t="s">
        <v>938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13" t="n">
        <v>0</v>
      </c>
      <c r="T182" s="8"/>
      <c r="U182" s="11" t="n">
        <f aca="false">O182*4 + P182*2 + MAX(0,N182-O182-P182)*1 + Q182*0.2 + R182*2 + S182*1 + IF(T182="",0,IF(T182&lt;=10,8,IF(T182&lt;=50,6,IF(T182&lt;=100,4,2))))</f>
        <v>0</v>
      </c>
      <c r="V182" s="10" t="s">
        <v>939</v>
      </c>
      <c r="W182" s="12"/>
      <c r="X182" s="8" t="n">
        <v>26</v>
      </c>
      <c r="Y182" s="8" t="s">
        <v>940</v>
      </c>
    </row>
    <row r="183" customFormat="false" ht="15.75" hidden="false" customHeight="true" outlineLevel="0" collapsed="false">
      <c r="A183" s="7" t="s">
        <v>941</v>
      </c>
      <c r="B183" s="8" t="n">
        <v>1994</v>
      </c>
      <c r="C183" s="8" t="s">
        <v>26</v>
      </c>
      <c r="D183" s="8" t="n">
        <v>108</v>
      </c>
      <c r="E183" s="7" t="s">
        <v>942</v>
      </c>
      <c r="F183" s="8" t="n">
        <v>7.8</v>
      </c>
      <c r="G183" s="8"/>
      <c r="H183" s="9" t="n">
        <v>41810</v>
      </c>
      <c r="I183" s="7" t="s">
        <v>28</v>
      </c>
      <c r="J183" s="7" t="s">
        <v>30</v>
      </c>
      <c r="K183" s="7" t="s">
        <v>48</v>
      </c>
      <c r="L183" s="10" t="s">
        <v>885</v>
      </c>
      <c r="M183" s="7" t="s">
        <v>943</v>
      </c>
      <c r="N183" s="8" t="n">
        <v>1</v>
      </c>
      <c r="O183" s="8" t="n">
        <v>0</v>
      </c>
      <c r="P183" s="8" t="n">
        <v>0</v>
      </c>
      <c r="Q183" s="8" t="n">
        <v>5</v>
      </c>
      <c r="R183" s="8" t="n">
        <v>0</v>
      </c>
      <c r="S183" s="8" t="n">
        <v>0</v>
      </c>
      <c r="T183" s="13"/>
      <c r="U183" s="11" t="n">
        <f aca="false">O183*4 + P183*2 + MAX(0,N183-O183-P183)*1 + Q183*0.2 + R183*2 + S183*1 + IF(T183="",0,IF(T183&lt;=10,8,IF(T183&lt;=50,6,IF(T183&lt;=100,4,2))))</f>
        <v>2</v>
      </c>
      <c r="V183" s="7"/>
      <c r="W183" s="12"/>
      <c r="X183" s="13"/>
      <c r="Y183" s="13" t="s">
        <v>944</v>
      </c>
    </row>
    <row r="184" customFormat="false" ht="15.75" hidden="false" customHeight="true" outlineLevel="0" collapsed="false">
      <c r="A184" s="7" t="s">
        <v>945</v>
      </c>
      <c r="B184" s="8" t="n">
        <v>1976</v>
      </c>
      <c r="C184" s="8" t="s">
        <v>61</v>
      </c>
      <c r="D184" s="8" t="n">
        <v>138</v>
      </c>
      <c r="E184" s="7" t="s">
        <v>946</v>
      </c>
      <c r="F184" s="8" t="n">
        <v>7.9</v>
      </c>
      <c r="G184" s="8"/>
      <c r="H184" s="9" t="n">
        <v>138878</v>
      </c>
      <c r="I184" s="7" t="s">
        <v>46</v>
      </c>
      <c r="J184" s="7" t="s">
        <v>131</v>
      </c>
      <c r="K184" s="7" t="s">
        <v>453</v>
      </c>
      <c r="L184" s="10" t="s">
        <v>210</v>
      </c>
      <c r="M184" s="7" t="s">
        <v>947</v>
      </c>
      <c r="N184" s="8" t="n">
        <v>4</v>
      </c>
      <c r="O184" s="8" t="n">
        <v>0</v>
      </c>
      <c r="P184" s="8" t="n">
        <v>0</v>
      </c>
      <c r="Q184" s="8" t="n">
        <v>8</v>
      </c>
      <c r="R184" s="8" t="n">
        <v>0</v>
      </c>
      <c r="S184" s="8" t="n">
        <v>0</v>
      </c>
      <c r="T184" s="13"/>
      <c r="U184" s="11" t="n">
        <f aca="false">O184*4 + P184*2 + MAX(0,N184-O184-P184)*1 + Q184*0.2 + R184*2 + S184*1 + IF(T184="",0,IF(T184&lt;=10,8,IF(T184&lt;=50,6,IF(T184&lt;=100,4,2))))</f>
        <v>5.6</v>
      </c>
      <c r="V184" s="7"/>
      <c r="W184" s="12"/>
      <c r="X184" s="13"/>
      <c r="Y184" s="13" t="s">
        <v>948</v>
      </c>
    </row>
    <row r="185" customFormat="false" ht="15.75" hidden="false" customHeight="true" outlineLevel="0" collapsed="false">
      <c r="A185" s="7" t="s">
        <v>949</v>
      </c>
      <c r="B185" s="8" t="n">
        <v>1993</v>
      </c>
      <c r="C185" s="8" t="s">
        <v>26</v>
      </c>
      <c r="D185" s="8" t="n">
        <v>138</v>
      </c>
      <c r="E185" s="7" t="s">
        <v>74</v>
      </c>
      <c r="F185" s="8" t="n">
        <v>7.5</v>
      </c>
      <c r="G185" s="8"/>
      <c r="H185" s="9" t="n">
        <v>94334</v>
      </c>
      <c r="I185" s="7" t="s">
        <v>46</v>
      </c>
      <c r="J185" s="7" t="s">
        <v>131</v>
      </c>
      <c r="K185" s="7" t="s">
        <v>54</v>
      </c>
      <c r="L185" s="10"/>
      <c r="M185" s="7" t="s">
        <v>950</v>
      </c>
      <c r="N185" s="8" t="n">
        <v>0</v>
      </c>
      <c r="O185" s="8" t="n">
        <v>0</v>
      </c>
      <c r="P185" s="8" t="n">
        <v>0</v>
      </c>
      <c r="Q185" s="8" t="n">
        <v>0</v>
      </c>
      <c r="R185" s="13" t="n">
        <v>0</v>
      </c>
      <c r="S185" s="13" t="n">
        <v>0</v>
      </c>
      <c r="T185" s="13"/>
      <c r="U185" s="11" t="n">
        <f aca="false">O185*4 + P185*2 + MAX(0,N185-O185-P185)*1 + Q185*0.2 + R185*2 + S185*1 + IF(T185="",0,IF(T185&lt;=10,8,IF(T185&lt;=50,6,IF(T185&lt;=100,4,2))))</f>
        <v>0</v>
      </c>
      <c r="V185" s="7"/>
      <c r="W185" s="12"/>
      <c r="X185" s="13"/>
      <c r="Y185" s="13" t="s">
        <v>951</v>
      </c>
    </row>
    <row r="186" customFormat="false" ht="15.75" hidden="false" customHeight="true" outlineLevel="0" collapsed="false">
      <c r="A186" s="7" t="s">
        <v>952</v>
      </c>
      <c r="B186" s="8" t="n">
        <v>1985</v>
      </c>
      <c r="C186" s="8" t="s">
        <v>109</v>
      </c>
      <c r="D186" s="8" t="n">
        <v>132</v>
      </c>
      <c r="E186" s="7" t="s">
        <v>761</v>
      </c>
      <c r="F186" s="8" t="n">
        <v>7.8</v>
      </c>
      <c r="G186" s="8"/>
      <c r="H186" s="9" t="n">
        <v>222687</v>
      </c>
      <c r="I186" s="7" t="s">
        <v>280</v>
      </c>
      <c r="J186" s="7" t="s">
        <v>111</v>
      </c>
      <c r="K186" s="7" t="s">
        <v>953</v>
      </c>
      <c r="L186" s="10" t="s">
        <v>954</v>
      </c>
      <c r="M186" s="7" t="s">
        <v>955</v>
      </c>
      <c r="N186" s="8" t="n">
        <v>0</v>
      </c>
      <c r="O186" s="8" t="n">
        <v>0</v>
      </c>
      <c r="P186" s="8" t="n">
        <v>0</v>
      </c>
      <c r="Q186" s="8" t="n">
        <v>2</v>
      </c>
      <c r="R186" s="8" t="n">
        <v>0</v>
      </c>
      <c r="S186" s="8" t="n">
        <v>0</v>
      </c>
      <c r="T186" s="13"/>
      <c r="U186" s="11" t="n">
        <f aca="false">O186*4 + P186*2 + MAX(0,N186-O186-P186)*1 + Q186*0.2 + R186*2 + S186*1 + IF(T186="",0,IF(T186&lt;=10,8,IF(T186&lt;=50,6,IF(T186&lt;=100,4,2))))</f>
        <v>0.4</v>
      </c>
      <c r="V186" s="7"/>
      <c r="W186" s="12"/>
      <c r="X186" s="13"/>
      <c r="Y186" s="13" t="s">
        <v>956</v>
      </c>
    </row>
    <row r="187" customFormat="false" ht="15.75" hidden="false" customHeight="true" outlineLevel="0" collapsed="false">
      <c r="A187" s="7" t="s">
        <v>957</v>
      </c>
      <c r="B187" s="8" t="n">
        <v>2020</v>
      </c>
      <c r="C187" s="8" t="s">
        <v>378</v>
      </c>
      <c r="D187" s="8" t="n">
        <v>100</v>
      </c>
      <c r="E187" s="7" t="s">
        <v>958</v>
      </c>
      <c r="F187" s="8" t="n">
        <v>8</v>
      </c>
      <c r="G187" s="8" t="n">
        <v>7</v>
      </c>
      <c r="H187" s="9" t="n">
        <v>455590</v>
      </c>
      <c r="I187" s="7" t="s">
        <v>46</v>
      </c>
      <c r="J187" s="7" t="s">
        <v>579</v>
      </c>
      <c r="K187" s="7" t="s">
        <v>39</v>
      </c>
      <c r="L187" s="10" t="s">
        <v>177</v>
      </c>
      <c r="M187" s="7" t="s">
        <v>959</v>
      </c>
      <c r="N187" s="8" t="n">
        <v>2</v>
      </c>
      <c r="O187" s="8" t="n">
        <v>0</v>
      </c>
      <c r="P187" s="8" t="n">
        <v>0</v>
      </c>
      <c r="Q187" s="8" t="n">
        <v>3</v>
      </c>
      <c r="R187" s="8" t="n">
        <v>0</v>
      </c>
      <c r="S187" s="8" t="n">
        <v>0</v>
      </c>
      <c r="T187" s="13"/>
      <c r="U187" s="11" t="n">
        <f aca="false">O187*4 + P187*2 + MAX(0,N187-O187-P187)*1 + Q187*0.2 + R187*2 + S187*1 + IF(T187="",0,IF(T187&lt;=10,8,IF(T187&lt;=50,6,IF(T187&lt;=100,4,2))))</f>
        <v>2.6</v>
      </c>
      <c r="V187" s="7"/>
      <c r="W187" s="12"/>
      <c r="X187" s="13"/>
      <c r="Y187" s="13" t="s">
        <v>960</v>
      </c>
    </row>
    <row r="188" customFormat="false" ht="15.75" hidden="false" customHeight="true" outlineLevel="0" collapsed="false">
      <c r="A188" s="7" t="s">
        <v>961</v>
      </c>
      <c r="B188" s="8" t="n">
        <v>1944</v>
      </c>
      <c r="C188" s="8" t="s">
        <v>243</v>
      </c>
      <c r="D188" s="8" t="n">
        <v>107</v>
      </c>
      <c r="E188" s="7" t="s">
        <v>186</v>
      </c>
      <c r="F188" s="8" t="n">
        <v>8.3</v>
      </c>
      <c r="G188" s="8"/>
      <c r="H188" s="9" t="n">
        <v>182750</v>
      </c>
      <c r="I188" s="7" t="s">
        <v>46</v>
      </c>
      <c r="J188" s="7" t="s">
        <v>47</v>
      </c>
      <c r="K188" s="7" t="s">
        <v>483</v>
      </c>
      <c r="L188" s="10" t="s">
        <v>210</v>
      </c>
      <c r="M188" s="7" t="s">
        <v>962</v>
      </c>
      <c r="N188" s="8" t="n">
        <v>0</v>
      </c>
      <c r="O188" s="8" t="n">
        <v>0</v>
      </c>
      <c r="P188" s="8" t="n">
        <v>0</v>
      </c>
      <c r="Q188" s="8" t="n">
        <v>7</v>
      </c>
      <c r="R188" s="8" t="n">
        <v>0</v>
      </c>
      <c r="S188" s="8" t="n">
        <v>0</v>
      </c>
      <c r="T188" s="8" t="n">
        <v>196</v>
      </c>
      <c r="U188" s="11" t="n">
        <f aca="false">O188*4 + P188*2 + MAX(0,N188-O188-P188)*1 + Q188*0.2 + R188*2 + S188*1 + IF(T188="",0,IF(T188&lt;=10,8,IF(T188&lt;=50,6,IF(T188&lt;=100,4,2))))</f>
        <v>3.4</v>
      </c>
      <c r="V188" s="7" t="s">
        <v>963</v>
      </c>
      <c r="W188" s="12"/>
      <c r="X188" s="13"/>
      <c r="Y188" s="13" t="s">
        <v>964</v>
      </c>
    </row>
    <row r="189" customFormat="false" ht="15.75" hidden="false" customHeight="true" outlineLevel="0" collapsed="false">
      <c r="A189" s="7" t="s">
        <v>965</v>
      </c>
      <c r="B189" s="8" t="n">
        <v>2002</v>
      </c>
      <c r="C189" s="8" t="s">
        <v>35</v>
      </c>
      <c r="D189" s="8" t="n">
        <v>94</v>
      </c>
      <c r="E189" s="7" t="s">
        <v>966</v>
      </c>
      <c r="F189" s="8" t="n">
        <v>7.9</v>
      </c>
      <c r="G189" s="8"/>
      <c r="H189" s="9" t="n">
        <v>195070</v>
      </c>
      <c r="I189" s="7" t="s">
        <v>967</v>
      </c>
      <c r="J189" s="7" t="s">
        <v>112</v>
      </c>
      <c r="K189" s="7" t="s">
        <v>39</v>
      </c>
      <c r="L189" s="10" t="s">
        <v>238</v>
      </c>
      <c r="M189" s="7" t="s">
        <v>968</v>
      </c>
      <c r="N189" s="8" t="n">
        <v>0</v>
      </c>
      <c r="O189" s="8" t="n">
        <v>0</v>
      </c>
      <c r="P189" s="8" t="n">
        <v>0</v>
      </c>
      <c r="Q189" s="8" t="n">
        <v>1</v>
      </c>
      <c r="R189" s="8" t="n">
        <v>0</v>
      </c>
      <c r="S189" s="8" t="n">
        <v>0</v>
      </c>
      <c r="T189" s="13"/>
      <c r="U189" s="11" t="n">
        <f aca="false">O189*4 + P189*2 + MAX(0,N189-O189-P189)*1 + Q189*0.2 + R189*2 + S189*1 + IF(T189="",0,IF(T189&lt;=10,8,IF(T189&lt;=50,6,IF(T189&lt;=100,4,2))))</f>
        <v>0.2</v>
      </c>
      <c r="V189" s="7"/>
      <c r="W189" s="12"/>
      <c r="X189" s="13"/>
      <c r="Y189" s="13" t="s">
        <v>969</v>
      </c>
    </row>
    <row r="190" customFormat="false" ht="15.75" hidden="false" customHeight="true" outlineLevel="0" collapsed="false">
      <c r="A190" s="7" t="s">
        <v>970</v>
      </c>
      <c r="B190" s="8" t="n">
        <v>2016</v>
      </c>
      <c r="C190" s="8" t="s">
        <v>176</v>
      </c>
      <c r="D190" s="8" t="n">
        <v>139</v>
      </c>
      <c r="E190" s="7" t="s">
        <v>971</v>
      </c>
      <c r="F190" s="8" t="n">
        <v>8.1</v>
      </c>
      <c r="G190" s="8"/>
      <c r="H190" s="9" t="n">
        <v>692709</v>
      </c>
      <c r="I190" s="7" t="s">
        <v>46</v>
      </c>
      <c r="J190" s="7" t="s">
        <v>47</v>
      </c>
      <c r="K190" s="7" t="s">
        <v>48</v>
      </c>
      <c r="L190" s="10" t="s">
        <v>972</v>
      </c>
      <c r="M190" s="7" t="s">
        <v>973</v>
      </c>
      <c r="N190" s="8" t="n">
        <v>2</v>
      </c>
      <c r="O190" s="8" t="n">
        <v>0</v>
      </c>
      <c r="P190" s="8" t="n">
        <v>0</v>
      </c>
      <c r="Q190" s="8" t="n">
        <v>6</v>
      </c>
      <c r="R190" s="8" t="n">
        <v>0</v>
      </c>
      <c r="S190" s="8" t="n">
        <v>0</v>
      </c>
      <c r="T190" s="13"/>
      <c r="U190" s="11" t="n">
        <f aca="false">O190*4 + P190*2 + MAX(0,N190-O190-P190)*1 + Q190*0.2 + R190*2 + S190*1 + IF(T190="",0,IF(T190&lt;=10,8,IF(T190&lt;=50,6,IF(T190&lt;=100,4,2))))</f>
        <v>3.2</v>
      </c>
      <c r="V190" s="7"/>
      <c r="W190" s="12"/>
      <c r="X190" s="13"/>
      <c r="Y190" s="13" t="s">
        <v>974</v>
      </c>
    </row>
    <row r="191" customFormat="false" ht="15.75" hidden="false" customHeight="true" outlineLevel="0" collapsed="false">
      <c r="A191" s="7" t="s">
        <v>975</v>
      </c>
      <c r="B191" s="8" t="n">
        <v>1986</v>
      </c>
      <c r="C191" s="8" t="s">
        <v>109</v>
      </c>
      <c r="D191" s="8" t="n">
        <v>130</v>
      </c>
      <c r="E191" s="7" t="s">
        <v>74</v>
      </c>
      <c r="F191" s="8" t="n">
        <v>6.8</v>
      </c>
      <c r="G191" s="8"/>
      <c r="H191" s="9" t="n">
        <v>52826</v>
      </c>
      <c r="I191" s="7" t="s">
        <v>46</v>
      </c>
      <c r="J191" s="7" t="s">
        <v>154</v>
      </c>
      <c r="K191" s="7" t="s">
        <v>47</v>
      </c>
      <c r="L191" s="10" t="s">
        <v>210</v>
      </c>
      <c r="M191" s="7" t="s">
        <v>976</v>
      </c>
      <c r="N191" s="8" t="n">
        <v>0</v>
      </c>
      <c r="O191" s="8" t="n">
        <v>0</v>
      </c>
      <c r="P191" s="8" t="n">
        <v>0</v>
      </c>
      <c r="Q191" s="8" t="n">
        <v>1</v>
      </c>
      <c r="R191" s="8" t="n">
        <v>0</v>
      </c>
      <c r="S191" s="8" t="n">
        <v>0</v>
      </c>
      <c r="T191" s="13"/>
      <c r="U191" s="11" t="n">
        <f aca="false">O191*4 + P191*2 + MAX(0,N191-O191-P191)*1 + Q191*0.2 + R191*2 + S191*1 + IF(T191="",0,IF(T191&lt;=10,8,IF(T191&lt;=50,6,IF(T191&lt;=100,4,2))))</f>
        <v>0.2</v>
      </c>
      <c r="V191" s="7"/>
      <c r="W191" s="12"/>
      <c r="X191" s="13"/>
      <c r="Y191" s="13" t="s">
        <v>977</v>
      </c>
    </row>
    <row r="192" customFormat="false" ht="15.75" hidden="false" customHeight="true" outlineLevel="0" collapsed="false">
      <c r="A192" s="7" t="s">
        <v>978</v>
      </c>
      <c r="B192" s="8" t="n">
        <v>1998</v>
      </c>
      <c r="C192" s="8" t="s">
        <v>26</v>
      </c>
      <c r="D192" s="8" t="n">
        <v>70</v>
      </c>
      <c r="E192" s="7" t="s">
        <v>979</v>
      </c>
      <c r="F192" s="8" t="n">
        <v>7.4</v>
      </c>
      <c r="G192" s="8"/>
      <c r="H192" s="9" t="n">
        <v>113652</v>
      </c>
      <c r="I192" s="7" t="s">
        <v>280</v>
      </c>
      <c r="J192" s="7" t="s">
        <v>131</v>
      </c>
      <c r="K192" s="7" t="s">
        <v>132</v>
      </c>
      <c r="L192" s="10" t="s">
        <v>113</v>
      </c>
      <c r="M192" s="7" t="s">
        <v>980</v>
      </c>
      <c r="N192" s="8" t="n">
        <v>0</v>
      </c>
      <c r="O192" s="8" t="n">
        <v>0</v>
      </c>
      <c r="P192" s="8" t="n">
        <v>0</v>
      </c>
      <c r="Q192" s="8" t="n">
        <v>0</v>
      </c>
      <c r="R192" s="13" t="n">
        <v>0</v>
      </c>
      <c r="S192" s="13" t="n">
        <v>0</v>
      </c>
      <c r="T192" s="13"/>
      <c r="U192" s="11" t="n">
        <f aca="false">O192*4 + P192*2 + MAX(0,N192-O192-P192)*1 + Q192*0.2 + R192*2 + S192*1 + IF(T192="",0,IF(T192&lt;=10,8,IF(T192&lt;=50,6,IF(T192&lt;=100,4,2))))</f>
        <v>0</v>
      </c>
      <c r="V192" s="7"/>
      <c r="W192" s="12"/>
      <c r="X192" s="13"/>
      <c r="Y192" s="13" t="s">
        <v>981</v>
      </c>
    </row>
    <row r="193" customFormat="false" ht="15.75" hidden="false" customHeight="true" outlineLevel="0" collapsed="false">
      <c r="A193" s="7" t="s">
        <v>982</v>
      </c>
      <c r="B193" s="8" t="n">
        <v>1975</v>
      </c>
      <c r="C193" s="8" t="s">
        <v>61</v>
      </c>
      <c r="D193" s="8" t="n">
        <v>142</v>
      </c>
      <c r="E193" s="7" t="s">
        <v>197</v>
      </c>
      <c r="F193" s="8" t="n">
        <v>8.2</v>
      </c>
      <c r="G193" s="8"/>
      <c r="H193" s="9" t="n">
        <v>36730</v>
      </c>
      <c r="I193" s="7" t="s">
        <v>983</v>
      </c>
      <c r="J193" s="7" t="s">
        <v>39</v>
      </c>
      <c r="K193" s="7" t="s">
        <v>48</v>
      </c>
      <c r="L193" s="10" t="s">
        <v>766</v>
      </c>
      <c r="M193" s="7" t="s">
        <v>984</v>
      </c>
      <c r="N193" s="8" t="n">
        <v>1</v>
      </c>
      <c r="O193" s="8" t="n">
        <v>0</v>
      </c>
      <c r="P193" s="8" t="n">
        <v>0</v>
      </c>
      <c r="Q193" s="8" t="n">
        <v>1</v>
      </c>
      <c r="R193" s="8" t="n">
        <v>0</v>
      </c>
      <c r="S193" s="8" t="n">
        <v>0</v>
      </c>
      <c r="T193" s="13"/>
      <c r="U193" s="11" t="n">
        <f aca="false">O193*4 + P193*2 + MAX(0,N193-O193-P193)*1 + Q193*0.2 + R193*2 + S193*1 + IF(T193="",0,IF(T193&lt;=10,8,IF(T193&lt;=50,6,IF(T193&lt;=100,4,2))))</f>
        <v>1.2</v>
      </c>
      <c r="V193" s="7" t="s">
        <v>985</v>
      </c>
      <c r="W193" s="12"/>
      <c r="X193" s="13"/>
      <c r="Y193" s="13" t="s">
        <v>986</v>
      </c>
    </row>
    <row r="194" customFormat="false" ht="15.75" hidden="false" customHeight="true" outlineLevel="0" collapsed="false">
      <c r="A194" s="7" t="s">
        <v>987</v>
      </c>
      <c r="B194" s="8" t="n">
        <v>1986</v>
      </c>
      <c r="C194" s="8" t="s">
        <v>109</v>
      </c>
      <c r="D194" s="8" t="n">
        <v>89</v>
      </c>
      <c r="E194" s="7" t="s">
        <v>469</v>
      </c>
      <c r="F194" s="8" t="n">
        <v>8.1</v>
      </c>
      <c r="G194" s="8"/>
      <c r="H194" s="9" t="n">
        <v>492562</v>
      </c>
      <c r="I194" s="7" t="s">
        <v>46</v>
      </c>
      <c r="J194" s="7" t="s">
        <v>39</v>
      </c>
      <c r="K194" s="7" t="s">
        <v>47</v>
      </c>
      <c r="L194" s="10" t="s">
        <v>210</v>
      </c>
      <c r="M194" s="7" t="s">
        <v>988</v>
      </c>
      <c r="N194" s="8" t="n">
        <v>0</v>
      </c>
      <c r="O194" s="8" t="n">
        <v>0</v>
      </c>
      <c r="P194" s="8" t="n">
        <v>0</v>
      </c>
      <c r="Q194" s="8" t="n">
        <v>1</v>
      </c>
      <c r="R194" s="8" t="n">
        <v>0</v>
      </c>
      <c r="S194" s="8" t="n">
        <v>0</v>
      </c>
      <c r="T194" s="13"/>
      <c r="U194" s="11" t="n">
        <f aca="false">O194*4 + P194*2 + MAX(0,N194-O194-P194)*1 + Q194*0.2 + R194*2 + S194*1 + IF(T194="",0,IF(T194&lt;=10,8,IF(T194&lt;=50,6,IF(T194&lt;=100,4,2))))</f>
        <v>0.2</v>
      </c>
      <c r="V194" s="7"/>
      <c r="W194" s="12"/>
      <c r="X194" s="13"/>
      <c r="Y194" s="13" t="s">
        <v>989</v>
      </c>
    </row>
    <row r="195" customFormat="false" ht="15.75" hidden="false" customHeight="true" outlineLevel="0" collapsed="false">
      <c r="A195" s="7" t="s">
        <v>990</v>
      </c>
      <c r="B195" s="8" t="n">
        <v>2022</v>
      </c>
      <c r="C195" s="8" t="s">
        <v>378</v>
      </c>
      <c r="D195" s="8" t="n">
        <v>147</v>
      </c>
      <c r="E195" s="7" t="s">
        <v>172</v>
      </c>
      <c r="F195" s="8" t="n">
        <v>7.8</v>
      </c>
      <c r="G195" s="8"/>
      <c r="H195" s="9" t="n">
        <v>80733</v>
      </c>
      <c r="I195" s="7" t="s">
        <v>280</v>
      </c>
      <c r="J195" s="7" t="s">
        <v>131</v>
      </c>
      <c r="K195" s="7" t="s">
        <v>48</v>
      </c>
      <c r="L195" s="10" t="s">
        <v>113</v>
      </c>
      <c r="M195" s="7" t="s">
        <v>991</v>
      </c>
      <c r="N195" s="8" t="n">
        <v>0</v>
      </c>
      <c r="O195" s="8" t="n">
        <v>0</v>
      </c>
      <c r="P195" s="8" t="n">
        <v>0</v>
      </c>
      <c r="Q195" s="8" t="n">
        <v>0</v>
      </c>
      <c r="R195" s="13" t="n">
        <v>0</v>
      </c>
      <c r="S195" s="13" t="n">
        <v>0</v>
      </c>
      <c r="T195" s="13"/>
      <c r="U195" s="11" t="n">
        <f aca="false">O195*4 + P195*2 + MAX(0,N195-O195-P195)*1 + Q195*0.2 + R195*2 + S195*1 + IF(T195="",0,IF(T195&lt;=10,8,IF(T195&lt;=50,6,IF(T195&lt;=100,4,2))))</f>
        <v>0</v>
      </c>
      <c r="V195" s="7"/>
      <c r="W195" s="12"/>
      <c r="X195" s="13"/>
      <c r="Y195" s="13" t="s">
        <v>992</v>
      </c>
    </row>
    <row r="196" customFormat="false" ht="15.75" hidden="false" customHeight="true" outlineLevel="0" collapsed="false">
      <c r="A196" s="7" t="s">
        <v>993</v>
      </c>
      <c r="B196" s="8" t="n">
        <v>2001</v>
      </c>
      <c r="C196" s="8" t="s">
        <v>35</v>
      </c>
      <c r="D196" s="8" t="n">
        <v>147</v>
      </c>
      <c r="E196" s="7" t="s">
        <v>521</v>
      </c>
      <c r="F196" s="8" t="n">
        <v>7.9</v>
      </c>
      <c r="G196" s="8"/>
      <c r="H196" s="9" t="n">
        <v>432351</v>
      </c>
      <c r="I196" s="7" t="s">
        <v>994</v>
      </c>
      <c r="J196" s="7" t="s">
        <v>131</v>
      </c>
      <c r="K196" s="7" t="s">
        <v>125</v>
      </c>
      <c r="L196" s="10" t="s">
        <v>522</v>
      </c>
      <c r="M196" s="7" t="s">
        <v>995</v>
      </c>
      <c r="N196" s="8" t="n">
        <v>0</v>
      </c>
      <c r="O196" s="8" t="n">
        <v>0</v>
      </c>
      <c r="P196" s="8" t="n">
        <v>0</v>
      </c>
      <c r="Q196" s="8" t="n">
        <v>1</v>
      </c>
      <c r="R196" s="8" t="n">
        <v>0</v>
      </c>
      <c r="S196" s="8" t="n">
        <v>0</v>
      </c>
      <c r="T196" s="8" t="n">
        <v>8</v>
      </c>
      <c r="U196" s="11" t="n">
        <f aca="false">O196*4 + P196*2 + MAX(0,N196-O196-P196)*1 + Q196*0.2 + R196*2 + S196*1 + IF(T196="",0,IF(T196&lt;=10,8,IF(T196&lt;=50,6,IF(T196&lt;=100,4,2))))</f>
        <v>8.2</v>
      </c>
      <c r="V196" s="7" t="s">
        <v>996</v>
      </c>
      <c r="W196" s="12" t="s">
        <v>201</v>
      </c>
      <c r="X196" s="8" t="n">
        <v>2</v>
      </c>
      <c r="Y196" s="8" t="s">
        <v>997</v>
      </c>
    </row>
    <row r="197" customFormat="false" ht="15.75" hidden="false" customHeight="true" outlineLevel="0" collapsed="false">
      <c r="A197" s="7" t="s">
        <v>998</v>
      </c>
      <c r="B197" s="8" t="n">
        <v>1921</v>
      </c>
      <c r="C197" s="8" t="s">
        <v>851</v>
      </c>
      <c r="D197" s="8" t="n">
        <v>68</v>
      </c>
      <c r="E197" s="7" t="s">
        <v>97</v>
      </c>
      <c r="F197" s="8" t="n">
        <v>8.2</v>
      </c>
      <c r="G197" s="8"/>
      <c r="H197" s="9" t="n">
        <v>146702</v>
      </c>
      <c r="I197" s="7" t="s">
        <v>46</v>
      </c>
      <c r="J197" s="7" t="s">
        <v>30</v>
      </c>
      <c r="K197" s="7" t="s">
        <v>259</v>
      </c>
      <c r="L197" s="10" t="s">
        <v>999</v>
      </c>
      <c r="M197" s="7" t="s">
        <v>1000</v>
      </c>
      <c r="N197" s="8" t="n">
        <v>0</v>
      </c>
      <c r="O197" s="8" t="n">
        <v>0</v>
      </c>
      <c r="P197" s="8" t="n">
        <v>0</v>
      </c>
      <c r="Q197" s="8" t="n">
        <v>0</v>
      </c>
      <c r="R197" s="13" t="n">
        <v>0</v>
      </c>
      <c r="S197" s="13" t="n">
        <v>0</v>
      </c>
      <c r="T197" s="13"/>
      <c r="U197" s="11" t="n">
        <f aca="false">O197*4 + P197*2 + MAX(0,N197-O197-P197)*1 + Q197*0.2 + R197*2 + S197*1 + IF(T197="",0,IF(T197&lt;=10,8,IF(T197&lt;=50,6,IF(T197&lt;=100,4,2))))</f>
        <v>0</v>
      </c>
      <c r="V197" s="7" t="s">
        <v>1001</v>
      </c>
      <c r="W197" s="12"/>
      <c r="X197" s="13"/>
      <c r="Y197" s="13" t="s">
        <v>1002</v>
      </c>
    </row>
    <row r="198" customFormat="false" ht="15.75" hidden="false" customHeight="true" outlineLevel="0" collapsed="false">
      <c r="A198" s="7" t="s">
        <v>1003</v>
      </c>
      <c r="B198" s="8" t="n">
        <v>2006</v>
      </c>
      <c r="C198" s="8" t="s">
        <v>35</v>
      </c>
      <c r="D198" s="8" t="n">
        <v>101</v>
      </c>
      <c r="E198" s="7" t="s">
        <v>1004</v>
      </c>
      <c r="F198" s="8" t="n">
        <v>7.7</v>
      </c>
      <c r="G198" s="8"/>
      <c r="H198" s="9" t="n">
        <v>135867</v>
      </c>
      <c r="I198" s="7" t="s">
        <v>280</v>
      </c>
      <c r="J198" s="7" t="s">
        <v>47</v>
      </c>
      <c r="K198" s="7" t="s">
        <v>1005</v>
      </c>
      <c r="L198" s="10" t="s">
        <v>1006</v>
      </c>
      <c r="M198" s="7" t="s">
        <v>1007</v>
      </c>
      <c r="N198" s="8" t="n">
        <v>0</v>
      </c>
      <c r="O198" s="8" t="n">
        <v>0</v>
      </c>
      <c r="P198" s="8" t="n">
        <v>0</v>
      </c>
      <c r="Q198" s="8" t="n">
        <v>0</v>
      </c>
      <c r="R198" s="13" t="n">
        <v>0</v>
      </c>
      <c r="S198" s="13" t="n">
        <v>0</v>
      </c>
      <c r="T198" s="13"/>
      <c r="U198" s="11" t="n">
        <f aca="false">O198*4 + P198*2 + MAX(0,N198-O198-P198)*1 + Q198*0.2 + R198*2 + S198*1 + IF(T198="",0,IF(T198&lt;=10,8,IF(T198&lt;=50,6,IF(T198&lt;=100,4,2))))</f>
        <v>0</v>
      </c>
      <c r="V198" s="7"/>
      <c r="W198" s="12"/>
      <c r="X198" s="13"/>
      <c r="Y198" s="13" t="s">
        <v>1008</v>
      </c>
    </row>
    <row r="199" customFormat="false" ht="15.75" hidden="false" customHeight="true" outlineLevel="0" collapsed="false">
      <c r="A199" s="7" t="s">
        <v>1009</v>
      </c>
      <c r="B199" s="8" t="n">
        <v>2000</v>
      </c>
      <c r="C199" s="8" t="s">
        <v>35</v>
      </c>
      <c r="D199" s="8" t="n">
        <v>129</v>
      </c>
      <c r="E199" s="7" t="s">
        <v>1010</v>
      </c>
      <c r="F199" s="8" t="n">
        <v>7.2</v>
      </c>
      <c r="G199" s="8"/>
      <c r="H199" s="9" t="n">
        <v>131244</v>
      </c>
      <c r="I199" s="7" t="s">
        <v>46</v>
      </c>
      <c r="J199" s="7" t="s">
        <v>47</v>
      </c>
      <c r="K199" s="7" t="s">
        <v>48</v>
      </c>
      <c r="L199" s="10" t="s">
        <v>552</v>
      </c>
      <c r="M199" s="7" t="s">
        <v>1011</v>
      </c>
      <c r="N199" s="8" t="n">
        <v>0</v>
      </c>
      <c r="O199" s="8" t="n">
        <v>0</v>
      </c>
      <c r="P199" s="8" t="n">
        <v>0</v>
      </c>
      <c r="Q199" s="8" t="n">
        <v>0</v>
      </c>
      <c r="R199" s="13" t="n">
        <v>0</v>
      </c>
      <c r="S199" s="13" t="n">
        <v>0</v>
      </c>
      <c r="T199" s="13"/>
      <c r="U199" s="11" t="n">
        <f aca="false">O199*4 + P199*2 + MAX(0,N199-O199-P199)*1 + Q199*0.2 + R199*2 + S199*1 + IF(T199="",0,IF(T199&lt;=10,8,IF(T199&lt;=50,6,IF(T199&lt;=100,4,2))))</f>
        <v>0</v>
      </c>
      <c r="V199" s="7"/>
      <c r="W199" s="12"/>
      <c r="X199" s="13"/>
      <c r="Y199" s="13" t="s">
        <v>1012</v>
      </c>
    </row>
    <row r="200" customFormat="false" ht="15.75" hidden="false" customHeight="true" outlineLevel="0" collapsed="false">
      <c r="A200" s="7" t="s">
        <v>1013</v>
      </c>
      <c r="B200" s="8" t="n">
        <v>2019</v>
      </c>
      <c r="C200" s="8" t="s">
        <v>176</v>
      </c>
      <c r="D200" s="8" t="n">
        <v>137</v>
      </c>
      <c r="E200" s="7" t="s">
        <v>1014</v>
      </c>
      <c r="F200" s="8" t="n">
        <v>7.9</v>
      </c>
      <c r="G200" s="8"/>
      <c r="H200" s="9" t="n">
        <v>374284</v>
      </c>
      <c r="I200" s="7" t="s">
        <v>46</v>
      </c>
      <c r="J200" s="7" t="s">
        <v>29</v>
      </c>
      <c r="K200" s="7" t="s">
        <v>47</v>
      </c>
      <c r="L200" s="10" t="s">
        <v>238</v>
      </c>
      <c r="M200" s="7" t="s">
        <v>1015</v>
      </c>
      <c r="N200" s="8" t="n">
        <v>1</v>
      </c>
      <c r="O200" s="8" t="n">
        <v>0</v>
      </c>
      <c r="P200" s="8" t="n">
        <v>0</v>
      </c>
      <c r="Q200" s="8" t="n">
        <v>6</v>
      </c>
      <c r="R200" s="8" t="n">
        <v>0</v>
      </c>
      <c r="S200" s="8" t="n">
        <v>0</v>
      </c>
      <c r="T200" s="13"/>
      <c r="U200" s="11" t="n">
        <f aca="false">O200*4 + P200*2 + MAX(0,N200-O200-P200)*1 + Q200*0.2 + R200*2 + S200*1 + IF(T200="",0,IF(T200&lt;=10,8,IF(T200&lt;=50,6,IF(T200&lt;=100,4,2))))</f>
        <v>2.2</v>
      </c>
      <c r="V200" s="7"/>
      <c r="W200" s="12"/>
      <c r="X200" s="13"/>
      <c r="Y200" s="13" t="s">
        <v>1016</v>
      </c>
    </row>
    <row r="201" customFormat="false" ht="15.75" hidden="false" customHeight="true" outlineLevel="0" collapsed="false">
      <c r="A201" s="7" t="s">
        <v>1017</v>
      </c>
      <c r="B201" s="8" t="n">
        <v>1982</v>
      </c>
      <c r="C201" s="8" t="s">
        <v>109</v>
      </c>
      <c r="D201" s="8" t="n">
        <v>114</v>
      </c>
      <c r="E201" s="7" t="s">
        <v>1018</v>
      </c>
      <c r="F201" s="8" t="n">
        <v>7.3</v>
      </c>
      <c r="G201" s="8"/>
      <c r="H201" s="9" t="n">
        <v>196372</v>
      </c>
      <c r="I201" s="7" t="s">
        <v>46</v>
      </c>
      <c r="J201" s="7" t="s">
        <v>147</v>
      </c>
      <c r="K201" s="7" t="s">
        <v>131</v>
      </c>
      <c r="L201" s="10" t="s">
        <v>210</v>
      </c>
      <c r="M201" s="7" t="s">
        <v>1019</v>
      </c>
      <c r="N201" s="8" t="n">
        <v>0</v>
      </c>
      <c r="O201" s="8" t="n">
        <v>0</v>
      </c>
      <c r="P201" s="8" t="n">
        <v>0</v>
      </c>
      <c r="Q201" s="8" t="n">
        <v>3</v>
      </c>
      <c r="R201" s="8" t="n">
        <v>0</v>
      </c>
      <c r="S201" s="8" t="n">
        <v>0</v>
      </c>
      <c r="T201" s="13"/>
      <c r="U201" s="11" t="n">
        <f aca="false">O201*4 + P201*2 + MAX(0,N201-O201-P201)*1 + Q201*0.2 + R201*2 + S201*1 + IF(T201="",0,IF(T201&lt;=10,8,IF(T201&lt;=50,6,IF(T201&lt;=100,4,2))))</f>
        <v>0.6</v>
      </c>
      <c r="V201" s="7"/>
      <c r="W201" s="12"/>
      <c r="X201" s="13"/>
      <c r="Y201" s="13" t="s">
        <v>1020</v>
      </c>
    </row>
    <row r="202" customFormat="false" ht="15.75" hidden="false" customHeight="true" outlineLevel="0" collapsed="false">
      <c r="A202" s="7" t="s">
        <v>1021</v>
      </c>
      <c r="B202" s="8" t="n">
        <v>1993</v>
      </c>
      <c r="C202" s="8" t="s">
        <v>26</v>
      </c>
      <c r="D202" s="8" t="n">
        <v>128</v>
      </c>
      <c r="E202" s="7" t="s">
        <v>1022</v>
      </c>
      <c r="F202" s="8" t="n">
        <v>7.1</v>
      </c>
      <c r="G202" s="8"/>
      <c r="H202" s="9" t="n">
        <v>69150</v>
      </c>
      <c r="I202" s="7" t="s">
        <v>46</v>
      </c>
      <c r="J202" s="7" t="s">
        <v>131</v>
      </c>
      <c r="K202" s="7" t="s">
        <v>48</v>
      </c>
      <c r="L202" s="10" t="s">
        <v>380</v>
      </c>
      <c r="M202" s="7" t="s">
        <v>1023</v>
      </c>
      <c r="N202" s="8" t="n">
        <v>0</v>
      </c>
      <c r="O202" s="8" t="n">
        <v>0</v>
      </c>
      <c r="P202" s="8" t="n">
        <v>0</v>
      </c>
      <c r="Q202" s="8" t="n">
        <v>0</v>
      </c>
      <c r="R202" s="13" t="n">
        <v>0</v>
      </c>
      <c r="S202" s="13" t="n">
        <v>0</v>
      </c>
      <c r="T202" s="13"/>
      <c r="U202" s="11" t="n">
        <f aca="false">O202*4 + P202*2 + MAX(0,N202-O202-P202)*1 + Q202*0.2 + R202*2 + S202*1 + IF(T202="",0,IF(T202&lt;=10,8,IF(T202&lt;=50,6,IF(T202&lt;=100,4,2))))</f>
        <v>0</v>
      </c>
      <c r="V202" s="7"/>
      <c r="W202" s="12"/>
      <c r="X202" s="13"/>
      <c r="Y202" s="13" t="s">
        <v>1024</v>
      </c>
    </row>
    <row r="203" customFormat="false" ht="15.75" hidden="false" customHeight="true" outlineLevel="0" collapsed="false">
      <c r="A203" s="7" t="s">
        <v>1025</v>
      </c>
      <c r="B203" s="8" t="n">
        <v>1988</v>
      </c>
      <c r="C203" s="8" t="s">
        <v>109</v>
      </c>
      <c r="D203" s="8" t="n">
        <v>132</v>
      </c>
      <c r="E203" s="7" t="s">
        <v>1026</v>
      </c>
      <c r="F203" s="8" t="n">
        <v>8.2</v>
      </c>
      <c r="G203" s="8"/>
      <c r="H203" s="9" t="n">
        <v>1036788</v>
      </c>
      <c r="I203" s="7" t="s">
        <v>46</v>
      </c>
      <c r="J203" s="7" t="s">
        <v>131</v>
      </c>
      <c r="K203" s="7" t="s">
        <v>112</v>
      </c>
      <c r="L203" s="10" t="s">
        <v>552</v>
      </c>
      <c r="M203" s="7" t="s">
        <v>1027</v>
      </c>
      <c r="N203" s="8" t="n">
        <v>0</v>
      </c>
      <c r="O203" s="8" t="n">
        <v>0</v>
      </c>
      <c r="P203" s="8" t="n">
        <v>0</v>
      </c>
      <c r="Q203" s="8" t="n">
        <v>4</v>
      </c>
      <c r="R203" s="8" t="n">
        <v>0</v>
      </c>
      <c r="S203" s="8" t="n">
        <v>0</v>
      </c>
      <c r="T203" s="8"/>
      <c r="U203" s="11" t="n">
        <f aca="false">O203*4 + P203*2 + MAX(0,N203-O203-P203)*1 + Q203*0.2 + R203*2 + S203*1 + IF(T203="",0,IF(T203&lt;=10,8,IF(T203&lt;=50,6,IF(T203&lt;=100,4,2))))</f>
        <v>0.8</v>
      </c>
      <c r="V203" s="7"/>
      <c r="W203" s="12"/>
      <c r="X203" s="13"/>
      <c r="Y203" s="13" t="s">
        <v>1028</v>
      </c>
    </row>
    <row r="204" customFormat="false" ht="15.75" hidden="false" customHeight="true" outlineLevel="0" collapsed="false">
      <c r="A204" s="7" t="s">
        <v>1029</v>
      </c>
      <c r="B204" s="8" t="n">
        <v>1994</v>
      </c>
      <c r="C204" s="8" t="s">
        <v>26</v>
      </c>
      <c r="D204" s="8" t="n">
        <v>123</v>
      </c>
      <c r="E204" s="7" t="s">
        <v>1030</v>
      </c>
      <c r="F204" s="8" t="n">
        <v>7.5</v>
      </c>
      <c r="G204" s="8"/>
      <c r="H204" s="9" t="n">
        <v>379616</v>
      </c>
      <c r="I204" s="7" t="s">
        <v>46</v>
      </c>
      <c r="J204" s="7" t="s">
        <v>147</v>
      </c>
      <c r="K204" s="7" t="s">
        <v>38</v>
      </c>
      <c r="L204" s="10" t="s">
        <v>1031</v>
      </c>
      <c r="M204" s="7" t="s">
        <v>1032</v>
      </c>
      <c r="N204" s="8" t="n">
        <v>0</v>
      </c>
      <c r="O204" s="8" t="n">
        <v>0</v>
      </c>
      <c r="P204" s="8" t="n">
        <v>0</v>
      </c>
      <c r="Q204" s="8" t="n">
        <v>2</v>
      </c>
      <c r="R204" s="8" t="n">
        <v>0</v>
      </c>
      <c r="S204" s="8" t="n">
        <v>0</v>
      </c>
      <c r="T204" s="13"/>
      <c r="U204" s="11" t="n">
        <f aca="false">O204*4 + P204*2 + MAX(0,N204-O204-P204)*1 + Q204*0.2 + R204*2 + S204*1 + IF(T204="",0,IF(T204&lt;=10,8,IF(T204&lt;=50,6,IF(T204&lt;=100,4,2))))</f>
        <v>0.4</v>
      </c>
      <c r="V204" s="7"/>
      <c r="W204" s="12"/>
      <c r="X204" s="13"/>
      <c r="Y204" s="13" t="s">
        <v>1033</v>
      </c>
    </row>
    <row r="205" customFormat="false" ht="15.75" hidden="false" customHeight="true" outlineLevel="0" collapsed="false">
      <c r="A205" s="7" t="s">
        <v>1034</v>
      </c>
      <c r="B205" s="8" t="n">
        <v>1986</v>
      </c>
      <c r="C205" s="8" t="s">
        <v>109</v>
      </c>
      <c r="D205" s="8" t="n">
        <v>101</v>
      </c>
      <c r="E205" s="7" t="s">
        <v>1035</v>
      </c>
      <c r="F205" s="8" t="n">
        <v>7.3</v>
      </c>
      <c r="G205" s="8"/>
      <c r="H205" s="9" t="n">
        <v>166278</v>
      </c>
      <c r="I205" s="7" t="s">
        <v>280</v>
      </c>
      <c r="J205" s="7" t="s">
        <v>38</v>
      </c>
      <c r="K205" s="7" t="s">
        <v>259</v>
      </c>
      <c r="L205" s="10" t="s">
        <v>1036</v>
      </c>
      <c r="M205" s="7" t="s">
        <v>1037</v>
      </c>
      <c r="N205" s="8" t="n">
        <v>0</v>
      </c>
      <c r="O205" s="8" t="n">
        <v>0</v>
      </c>
      <c r="P205" s="8" t="n">
        <v>0</v>
      </c>
      <c r="Q205" s="8" t="n">
        <v>0</v>
      </c>
      <c r="R205" s="13" t="n">
        <v>0</v>
      </c>
      <c r="S205" s="13" t="n">
        <v>0</v>
      </c>
      <c r="T205" s="13"/>
      <c r="U205" s="11" t="n">
        <f aca="false">O205*4 + P205*2 + MAX(0,N205-O205-P205)*1 + Q205*0.2 + R205*2 + S205*1 + IF(T205="",0,IF(T205&lt;=10,8,IF(T205&lt;=50,6,IF(T205&lt;=100,4,2))))</f>
        <v>0</v>
      </c>
      <c r="V205" s="7"/>
      <c r="W205" s="12"/>
      <c r="X205" s="13"/>
      <c r="Y205" s="13" t="s">
        <v>1038</v>
      </c>
    </row>
    <row r="206" customFormat="false" ht="15.75" hidden="false" customHeight="true" outlineLevel="0" collapsed="false">
      <c r="A206" s="7" t="s">
        <v>1039</v>
      </c>
      <c r="B206" s="8" t="n">
        <v>1995</v>
      </c>
      <c r="C206" s="8" t="s">
        <v>26</v>
      </c>
      <c r="D206" s="8" t="n">
        <v>111</v>
      </c>
      <c r="E206" s="7" t="s">
        <v>1040</v>
      </c>
      <c r="F206" s="8" t="n">
        <v>7.5</v>
      </c>
      <c r="G206" s="8"/>
      <c r="H206" s="9" t="n">
        <v>146522</v>
      </c>
      <c r="I206" s="7" t="s">
        <v>46</v>
      </c>
      <c r="J206" s="7" t="s">
        <v>29</v>
      </c>
      <c r="K206" s="7" t="s">
        <v>47</v>
      </c>
      <c r="L206" s="10" t="s">
        <v>205</v>
      </c>
      <c r="M206" s="7" t="s">
        <v>1041</v>
      </c>
      <c r="N206" s="8" t="n">
        <v>1</v>
      </c>
      <c r="O206" s="8" t="n">
        <v>0</v>
      </c>
      <c r="P206" s="8" t="n">
        <v>0</v>
      </c>
      <c r="Q206" s="8" t="n">
        <v>4</v>
      </c>
      <c r="R206" s="8" t="n">
        <v>0</v>
      </c>
      <c r="S206" s="8" t="n">
        <v>0</v>
      </c>
      <c r="T206" s="13"/>
      <c r="U206" s="11" t="n">
        <f aca="false">O206*4 + P206*2 + MAX(0,N206-O206-P206)*1 + Q206*0.2 + R206*2 + S206*1 + IF(T206="",0,IF(T206&lt;=10,8,IF(T206&lt;=50,6,IF(T206&lt;=100,4,2))))</f>
        <v>1.8</v>
      </c>
      <c r="V206" s="7"/>
      <c r="W206" s="12"/>
      <c r="X206" s="13"/>
      <c r="Y206" s="13" t="s">
        <v>1042</v>
      </c>
    </row>
    <row r="207" customFormat="false" ht="15.75" hidden="false" customHeight="true" outlineLevel="0" collapsed="false">
      <c r="A207" s="7" t="s">
        <v>1043</v>
      </c>
      <c r="B207" s="8" t="n">
        <v>1997</v>
      </c>
      <c r="C207" s="8" t="s">
        <v>26</v>
      </c>
      <c r="D207" s="8" t="n">
        <v>134</v>
      </c>
      <c r="E207" s="7" t="s">
        <v>521</v>
      </c>
      <c r="F207" s="8" t="n">
        <v>7.6</v>
      </c>
      <c r="G207" s="8"/>
      <c r="H207" s="9" t="n">
        <v>172517</v>
      </c>
      <c r="I207" s="7" t="s">
        <v>46</v>
      </c>
      <c r="J207" s="7" t="s">
        <v>131</v>
      </c>
      <c r="K207" s="7" t="s">
        <v>125</v>
      </c>
      <c r="L207" s="10" t="s">
        <v>1044</v>
      </c>
      <c r="M207" s="7" t="s">
        <v>1045</v>
      </c>
      <c r="N207" s="8" t="n">
        <v>0</v>
      </c>
      <c r="O207" s="8" t="n">
        <v>0</v>
      </c>
      <c r="P207" s="8" t="n">
        <v>0</v>
      </c>
      <c r="Q207" s="8" t="n">
        <v>0</v>
      </c>
      <c r="R207" s="13" t="n">
        <v>0</v>
      </c>
      <c r="S207" s="13" t="n">
        <v>0</v>
      </c>
      <c r="T207" s="13"/>
      <c r="U207" s="11" t="n">
        <f aca="false">O207*4 + P207*2 + MAX(0,N207-O207-P207)*1 + Q207*0.2 + R207*2 + S207*1 + IF(T207="",0,IF(T207&lt;=10,8,IF(T207&lt;=50,6,IF(T207&lt;=100,4,2))))</f>
        <v>0</v>
      </c>
      <c r="V207" s="7"/>
      <c r="W207" s="12"/>
      <c r="X207" s="13"/>
      <c r="Y207" s="13" t="s">
        <v>1046</v>
      </c>
    </row>
    <row r="208" customFormat="false" ht="15.75" hidden="false" customHeight="true" outlineLevel="0" collapsed="false">
      <c r="A208" s="7" t="s">
        <v>1047</v>
      </c>
      <c r="B208" s="8" t="n">
        <v>2012</v>
      </c>
      <c r="C208" s="8" t="s">
        <v>176</v>
      </c>
      <c r="D208" s="8" t="n">
        <v>127</v>
      </c>
      <c r="E208" s="7" t="s">
        <v>462</v>
      </c>
      <c r="F208" s="8" t="n">
        <v>7.9</v>
      </c>
      <c r="G208" s="8"/>
      <c r="H208" s="9" t="n">
        <v>111073</v>
      </c>
      <c r="I208" s="7" t="s">
        <v>463</v>
      </c>
      <c r="J208" s="7" t="s">
        <v>47</v>
      </c>
      <c r="K208" s="7"/>
      <c r="L208" s="10" t="s">
        <v>1048</v>
      </c>
      <c r="M208" s="7" t="s">
        <v>1049</v>
      </c>
      <c r="N208" s="8" t="n">
        <v>1</v>
      </c>
      <c r="O208" s="8" t="n">
        <v>0</v>
      </c>
      <c r="P208" s="8" t="n">
        <v>0</v>
      </c>
      <c r="Q208" s="8" t="n">
        <v>5</v>
      </c>
      <c r="R208" s="8" t="n">
        <v>1</v>
      </c>
      <c r="S208" s="8" t="n">
        <v>0</v>
      </c>
      <c r="T208" s="13"/>
      <c r="U208" s="11" t="n">
        <f aca="false">O208*4 + P208*2 + MAX(0,N208-O208-P208)*1 + Q208*0.2 + R208*2 + S208*1 + IF(T208="",0,IF(T208&lt;=10,8,IF(T208&lt;=50,6,IF(T208&lt;=100,4,2))))</f>
        <v>4</v>
      </c>
      <c r="V208" s="7"/>
      <c r="W208" s="12"/>
      <c r="X208" s="13"/>
      <c r="Y208" s="13" t="s">
        <v>1050</v>
      </c>
    </row>
    <row r="209" customFormat="false" ht="15.75" hidden="false" customHeight="true" outlineLevel="0" collapsed="false">
      <c r="A209" s="7" t="s">
        <v>1051</v>
      </c>
      <c r="B209" s="8" t="n">
        <v>2008</v>
      </c>
      <c r="C209" s="8" t="s">
        <v>35</v>
      </c>
      <c r="D209" s="8" t="n">
        <v>128</v>
      </c>
      <c r="E209" s="7" t="s">
        <v>1052</v>
      </c>
      <c r="F209" s="8" t="n">
        <v>7.5</v>
      </c>
      <c r="G209" s="8"/>
      <c r="H209" s="9" t="n">
        <v>186704</v>
      </c>
      <c r="I209" s="7" t="s">
        <v>46</v>
      </c>
      <c r="J209" s="7" t="s">
        <v>47</v>
      </c>
      <c r="K209" s="7" t="s">
        <v>48</v>
      </c>
      <c r="L209" s="10"/>
      <c r="M209" s="7" t="s">
        <v>1053</v>
      </c>
      <c r="N209" s="8" t="n">
        <v>2</v>
      </c>
      <c r="O209" s="8" t="n">
        <v>0</v>
      </c>
      <c r="P209" s="8" t="n">
        <v>0</v>
      </c>
      <c r="Q209" s="8" t="n">
        <v>8</v>
      </c>
      <c r="R209" s="8" t="n">
        <v>0</v>
      </c>
      <c r="S209" s="8" t="n">
        <v>0</v>
      </c>
      <c r="T209" s="13"/>
      <c r="U209" s="11" t="n">
        <f aca="false">O209*4 + P209*2 + MAX(0,N209-O209-P209)*1 + Q209*0.2 + R209*2 + S209*1 + IF(T209="",0,IF(T209&lt;=10,8,IF(T209&lt;=50,6,IF(T209&lt;=100,4,2))))</f>
        <v>3.6</v>
      </c>
      <c r="V209" s="7"/>
      <c r="W209" s="12"/>
      <c r="X209" s="13"/>
      <c r="Y209" s="13" t="s">
        <v>1054</v>
      </c>
    </row>
    <row r="210" customFormat="false" ht="15.75" hidden="false" customHeight="true" outlineLevel="0" collapsed="false">
      <c r="A210" s="7" t="s">
        <v>1055</v>
      </c>
      <c r="B210" s="8" t="n">
        <v>2003</v>
      </c>
      <c r="C210" s="8" t="s">
        <v>35</v>
      </c>
      <c r="D210" s="8" t="n">
        <v>115</v>
      </c>
      <c r="E210" s="7" t="s">
        <v>656</v>
      </c>
      <c r="F210" s="8" t="n">
        <v>7.1</v>
      </c>
      <c r="G210" s="8"/>
      <c r="H210" s="9" t="n">
        <v>141953</v>
      </c>
      <c r="I210" s="7" t="s">
        <v>1056</v>
      </c>
      <c r="J210" s="7" t="s">
        <v>29</v>
      </c>
      <c r="K210" s="7" t="s">
        <v>47</v>
      </c>
      <c r="L210" s="10" t="s">
        <v>1057</v>
      </c>
      <c r="M210" s="7" t="s">
        <v>1058</v>
      </c>
      <c r="N210" s="8" t="n">
        <v>0</v>
      </c>
      <c r="O210" s="8" t="n">
        <v>0</v>
      </c>
      <c r="P210" s="8" t="n">
        <v>0</v>
      </c>
      <c r="Q210" s="8" t="n">
        <v>0</v>
      </c>
      <c r="R210" s="13" t="n">
        <v>0</v>
      </c>
      <c r="S210" s="13" t="n">
        <v>0</v>
      </c>
      <c r="T210" s="13"/>
      <c r="U210" s="11" t="n">
        <f aca="false">O210*4 + P210*2 + MAX(0,N210-O210-P210)*1 + Q210*0.2 + R210*2 + S210*1 + IF(T210="",0,IF(T210&lt;=10,8,IF(T210&lt;=50,6,IF(T210&lt;=100,4,2))))</f>
        <v>0</v>
      </c>
      <c r="V210" s="7"/>
      <c r="W210" s="12"/>
      <c r="X210" s="13"/>
      <c r="Y210" s="13" t="s">
        <v>1059</v>
      </c>
    </row>
    <row r="211" customFormat="false" ht="15.75" hidden="false" customHeight="true" outlineLevel="0" collapsed="false">
      <c r="A211" s="7" t="s">
        <v>1060</v>
      </c>
      <c r="B211" s="8" t="n">
        <v>2013</v>
      </c>
      <c r="C211" s="8" t="s">
        <v>176</v>
      </c>
      <c r="D211" s="8" t="n">
        <v>115</v>
      </c>
      <c r="E211" s="7" t="s">
        <v>1061</v>
      </c>
      <c r="F211" s="8" t="n">
        <v>7.7</v>
      </c>
      <c r="G211" s="8"/>
      <c r="H211" s="9" t="n">
        <v>129206</v>
      </c>
      <c r="I211" s="7" t="s">
        <v>46</v>
      </c>
      <c r="J211" s="7" t="s">
        <v>47</v>
      </c>
      <c r="K211" s="7" t="s">
        <v>1062</v>
      </c>
      <c r="L211" s="10" t="s">
        <v>205</v>
      </c>
      <c r="M211" s="7" t="s">
        <v>1063</v>
      </c>
      <c r="N211" s="8" t="n">
        <v>0</v>
      </c>
      <c r="O211" s="8" t="n">
        <v>0</v>
      </c>
      <c r="P211" s="8" t="n">
        <v>0</v>
      </c>
      <c r="Q211" s="8" t="n">
        <v>6</v>
      </c>
      <c r="R211" s="8" t="n">
        <v>0</v>
      </c>
      <c r="S211" s="8" t="n">
        <v>0</v>
      </c>
      <c r="T211" s="13"/>
      <c r="U211" s="11" t="n">
        <f aca="false">O211*4 + P211*2 + MAX(0,N211-O211-P211)*1 + Q211*0.2 + R211*2 + S211*1 + IF(T211="",0,IF(T211&lt;=10,8,IF(T211&lt;=50,6,IF(T211&lt;=100,4,2))))</f>
        <v>1.2</v>
      </c>
      <c r="V211" s="7"/>
      <c r="W211" s="12"/>
      <c r="X211" s="13"/>
      <c r="Y211" s="13" t="s">
        <v>1064</v>
      </c>
    </row>
    <row r="212" customFormat="false" ht="15.75" hidden="false" customHeight="true" outlineLevel="0" collapsed="false">
      <c r="A212" s="7" t="s">
        <v>1065</v>
      </c>
      <c r="B212" s="8" t="n">
        <v>1961</v>
      </c>
      <c r="C212" s="8" t="s">
        <v>122</v>
      </c>
      <c r="D212" s="8" t="n">
        <v>134</v>
      </c>
      <c r="E212" s="7" t="s">
        <v>1066</v>
      </c>
      <c r="F212" s="8" t="n">
        <v>7.9</v>
      </c>
      <c r="G212" s="8"/>
      <c r="H212" s="9" t="n">
        <v>90352</v>
      </c>
      <c r="I212" s="7" t="s">
        <v>46</v>
      </c>
      <c r="J212" s="7" t="s">
        <v>47</v>
      </c>
      <c r="K212" s="7" t="s">
        <v>75</v>
      </c>
      <c r="L212" s="10"/>
      <c r="M212" s="7" t="s">
        <v>1067</v>
      </c>
      <c r="N212" s="8" t="n">
        <v>2</v>
      </c>
      <c r="O212" s="8" t="n">
        <v>0</v>
      </c>
      <c r="P212" s="8" t="n">
        <v>0</v>
      </c>
      <c r="Q212" s="8" t="n">
        <v>9</v>
      </c>
      <c r="R212" s="8" t="n">
        <v>0</v>
      </c>
      <c r="S212" s="8" t="n">
        <v>0</v>
      </c>
      <c r="T212" s="13"/>
      <c r="U212" s="11" t="n">
        <f aca="false">O212*4 + P212*2 + MAX(0,N212-O212-P212)*1 + Q212*0.2 + R212*2 + S212*1 + IF(T212="",0,IF(T212&lt;=10,8,IF(T212&lt;=50,6,IF(T212&lt;=100,4,2))))</f>
        <v>3.8</v>
      </c>
      <c r="V212" s="7" t="s">
        <v>1068</v>
      </c>
      <c r="W212" s="12"/>
      <c r="X212" s="13"/>
      <c r="Y212" s="13" t="s">
        <v>1069</v>
      </c>
    </row>
    <row r="213" customFormat="false" ht="15.75" hidden="false" customHeight="true" outlineLevel="0" collapsed="false">
      <c r="A213" s="7" t="s">
        <v>1070</v>
      </c>
      <c r="B213" s="8" t="n">
        <v>2001</v>
      </c>
      <c r="C213" s="8" t="s">
        <v>35</v>
      </c>
      <c r="D213" s="8" t="n">
        <v>116</v>
      </c>
      <c r="E213" s="7" t="s">
        <v>861</v>
      </c>
      <c r="F213" s="8" t="n">
        <v>7.5</v>
      </c>
      <c r="G213" s="8"/>
      <c r="H213" s="9" t="n">
        <v>121031</v>
      </c>
      <c r="I213" s="7" t="s">
        <v>46</v>
      </c>
      <c r="J213" s="7" t="s">
        <v>47</v>
      </c>
      <c r="K213" s="7" t="s">
        <v>54</v>
      </c>
      <c r="L213" s="10"/>
      <c r="M213" s="7" t="s">
        <v>1071</v>
      </c>
      <c r="N213" s="8" t="n">
        <v>0</v>
      </c>
      <c r="O213" s="8" t="n">
        <v>0</v>
      </c>
      <c r="P213" s="8" t="n">
        <v>0</v>
      </c>
      <c r="Q213" s="8" t="n">
        <v>1</v>
      </c>
      <c r="R213" s="8" t="n">
        <v>0</v>
      </c>
      <c r="S213" s="8" t="n">
        <v>0</v>
      </c>
      <c r="T213" s="13"/>
      <c r="U213" s="11" t="n">
        <f aca="false">O213*4 + P213*2 + MAX(0,N213-O213-P213)*1 + Q213*0.2 + R213*2 + S213*1 + IF(T213="",0,IF(T213&lt;=10,8,IF(T213&lt;=50,6,IF(T213&lt;=100,4,2))))</f>
        <v>0.2</v>
      </c>
      <c r="V213" s="7"/>
      <c r="W213" s="12"/>
      <c r="X213" s="13"/>
      <c r="Y213" s="13" t="s">
        <v>1072</v>
      </c>
    </row>
    <row r="214" customFormat="false" ht="15.75" hidden="false" customHeight="true" outlineLevel="0" collapsed="false">
      <c r="A214" s="7" t="s">
        <v>1073</v>
      </c>
      <c r="B214" s="8" t="n">
        <v>1991</v>
      </c>
      <c r="C214" s="8" t="s">
        <v>26</v>
      </c>
      <c r="D214" s="8" t="n">
        <v>130</v>
      </c>
      <c r="E214" s="7" t="s">
        <v>1074</v>
      </c>
      <c r="F214" s="8" t="n">
        <v>7.6</v>
      </c>
      <c r="G214" s="8"/>
      <c r="H214" s="9" t="n">
        <v>195603</v>
      </c>
      <c r="I214" s="7" t="s">
        <v>46</v>
      </c>
      <c r="J214" s="7" t="s">
        <v>39</v>
      </c>
      <c r="K214" s="7" t="s">
        <v>54</v>
      </c>
      <c r="L214" s="10" t="s">
        <v>507</v>
      </c>
      <c r="M214" s="7" t="s">
        <v>1075</v>
      </c>
      <c r="N214" s="8" t="n">
        <v>1</v>
      </c>
      <c r="O214" s="8" t="n">
        <v>0</v>
      </c>
      <c r="P214" s="8" t="n">
        <v>0</v>
      </c>
      <c r="Q214" s="8" t="n">
        <v>6</v>
      </c>
      <c r="R214" s="8" t="n">
        <v>0</v>
      </c>
      <c r="S214" s="8" t="n">
        <v>0</v>
      </c>
      <c r="T214" s="13"/>
      <c r="U214" s="11" t="n">
        <f aca="false">O214*4 + P214*2 + MAX(0,N214-O214-P214)*1 + Q214*0.2 + R214*2 + S214*1 + IF(T214="",0,IF(T214&lt;=10,8,IF(T214&lt;=50,6,IF(T214&lt;=100,4,2))))</f>
        <v>2.2</v>
      </c>
      <c r="V214" s="7"/>
      <c r="W214" s="12"/>
      <c r="X214" s="13"/>
      <c r="Y214" s="13" t="s">
        <v>1076</v>
      </c>
    </row>
    <row r="215" customFormat="false" ht="15.75" hidden="false" customHeight="true" outlineLevel="0" collapsed="false">
      <c r="A215" s="7" t="s">
        <v>1077</v>
      </c>
      <c r="B215" s="8" t="n">
        <v>1998</v>
      </c>
      <c r="C215" s="8" t="s">
        <v>26</v>
      </c>
      <c r="D215" s="8" t="n">
        <v>94</v>
      </c>
      <c r="E215" s="7" t="s">
        <v>493</v>
      </c>
      <c r="F215" s="8" t="n">
        <v>7.1</v>
      </c>
      <c r="G215" s="8"/>
      <c r="H215" s="9" t="n">
        <v>3464</v>
      </c>
      <c r="I215" s="7" t="s">
        <v>232</v>
      </c>
      <c r="J215" s="7" t="s">
        <v>47</v>
      </c>
      <c r="K215" s="7"/>
      <c r="L215" s="10" t="s">
        <v>1078</v>
      </c>
      <c r="M215" s="7" t="s">
        <v>1079</v>
      </c>
      <c r="N215" s="8" t="n">
        <v>0</v>
      </c>
      <c r="O215" s="8" t="n">
        <v>0</v>
      </c>
      <c r="P215" s="8" t="n">
        <v>0</v>
      </c>
      <c r="Q215" s="8" t="n">
        <v>0</v>
      </c>
      <c r="R215" s="13" t="n">
        <v>0</v>
      </c>
      <c r="S215" s="13" t="n">
        <v>0</v>
      </c>
      <c r="T215" s="13"/>
      <c r="U215" s="11" t="n">
        <f aca="false">O215*4 + P215*2 + MAX(0,N215-O215-P215)*1 + Q215*0.2 + R215*2 + S215*1 + IF(T215="",0,IF(T215&lt;=10,8,IF(T215&lt;=50,6,IF(T215&lt;=100,4,2))))</f>
        <v>0</v>
      </c>
      <c r="V215" s="7"/>
      <c r="W215" s="12"/>
      <c r="X215" s="13"/>
      <c r="Y215" s="13" t="s">
        <v>1080</v>
      </c>
    </row>
    <row r="216" customFormat="false" ht="15.75" hidden="false" customHeight="true" outlineLevel="0" collapsed="false">
      <c r="A216" s="7" t="s">
        <v>1081</v>
      </c>
      <c r="B216" s="8" t="n">
        <v>2003</v>
      </c>
      <c r="C216" s="8" t="s">
        <v>35</v>
      </c>
      <c r="D216" s="8" t="n">
        <v>93</v>
      </c>
      <c r="E216" s="7" t="s">
        <v>1082</v>
      </c>
      <c r="F216" s="8" t="n">
        <v>7.5</v>
      </c>
      <c r="G216" s="8"/>
      <c r="H216" s="9" t="n">
        <v>74546</v>
      </c>
      <c r="I216" s="7" t="s">
        <v>219</v>
      </c>
      <c r="J216" s="7" t="s">
        <v>29</v>
      </c>
      <c r="K216" s="7" t="s">
        <v>30</v>
      </c>
      <c r="L216" s="10"/>
      <c r="M216" s="7" t="s">
        <v>1083</v>
      </c>
      <c r="N216" s="8" t="n">
        <v>0</v>
      </c>
      <c r="O216" s="8" t="n">
        <v>0</v>
      </c>
      <c r="P216" s="8" t="n">
        <v>0</v>
      </c>
      <c r="Q216" s="8" t="n">
        <v>0</v>
      </c>
      <c r="R216" s="13" t="n">
        <v>0</v>
      </c>
      <c r="S216" s="13" t="n">
        <v>0</v>
      </c>
      <c r="T216" s="13"/>
      <c r="U216" s="11" t="n">
        <f aca="false">O216*4 + P216*2 + MAX(0,N216-O216-P216)*1 + Q216*0.2 + R216*2 + S216*1 + IF(T216="",0,IF(T216&lt;=10,8,IF(T216&lt;=50,6,IF(T216&lt;=100,4,2))))</f>
        <v>0</v>
      </c>
      <c r="V216" s="7"/>
      <c r="W216" s="12"/>
      <c r="X216" s="13"/>
      <c r="Y216" s="13" t="s">
        <v>1084</v>
      </c>
    </row>
    <row r="217" customFormat="false" ht="15.75" hidden="false" customHeight="true" outlineLevel="0" collapsed="false">
      <c r="A217" s="7" t="s">
        <v>1085</v>
      </c>
      <c r="B217" s="8" t="n">
        <v>2005</v>
      </c>
      <c r="C217" s="8" t="s">
        <v>35</v>
      </c>
      <c r="D217" s="8" t="n">
        <v>96</v>
      </c>
      <c r="E217" s="7" t="s">
        <v>1086</v>
      </c>
      <c r="F217" s="8" t="n">
        <v>7.4</v>
      </c>
      <c r="G217" s="8"/>
      <c r="H217" s="9" t="n">
        <v>276220</v>
      </c>
      <c r="I217" s="7" t="s">
        <v>46</v>
      </c>
      <c r="J217" s="7" t="s">
        <v>112</v>
      </c>
      <c r="K217" s="7" t="s">
        <v>54</v>
      </c>
      <c r="L217" s="10"/>
      <c r="M217" s="7" t="s">
        <v>1087</v>
      </c>
      <c r="N217" s="8" t="n">
        <v>0</v>
      </c>
      <c r="O217" s="8" t="n">
        <v>0</v>
      </c>
      <c r="P217" s="8" t="n">
        <v>0</v>
      </c>
      <c r="Q217" s="8" t="n">
        <v>2</v>
      </c>
      <c r="R217" s="8" t="n">
        <v>0</v>
      </c>
      <c r="S217" s="8" t="n">
        <v>0</v>
      </c>
      <c r="T217" s="8"/>
      <c r="U217" s="11" t="n">
        <f aca="false">O217*4 + P217*2 + MAX(0,N217-O217-P217)*1 + Q217*0.2 + R217*2 + S217*1 + IF(T217="",0,IF(T217&lt;=10,8,IF(T217&lt;=50,6,IF(T217&lt;=100,4,2))))</f>
        <v>0.4</v>
      </c>
      <c r="V217" s="10" t="s">
        <v>1088</v>
      </c>
      <c r="W217" s="12"/>
      <c r="X217" s="8" t="n">
        <v>81</v>
      </c>
      <c r="Y217" s="8" t="s">
        <v>1089</v>
      </c>
    </row>
    <row r="218" customFormat="false" ht="15.75" hidden="false" customHeight="true" outlineLevel="0" collapsed="false">
      <c r="A218" s="7" t="s">
        <v>1090</v>
      </c>
      <c r="B218" s="8" t="n">
        <v>1992</v>
      </c>
      <c r="C218" s="8" t="s">
        <v>26</v>
      </c>
      <c r="D218" s="8" t="n">
        <v>105</v>
      </c>
      <c r="E218" s="7" t="s">
        <v>1091</v>
      </c>
      <c r="F218" s="8" t="n">
        <v>7.1</v>
      </c>
      <c r="G218" s="8"/>
      <c r="H218" s="9" t="n">
        <v>20606</v>
      </c>
      <c r="I218" s="7" t="s">
        <v>373</v>
      </c>
      <c r="J218" s="7" t="s">
        <v>29</v>
      </c>
      <c r="K218" s="7" t="s">
        <v>47</v>
      </c>
      <c r="L218" s="10"/>
      <c r="M218" s="7" t="s">
        <v>1092</v>
      </c>
      <c r="N218" s="8" t="n">
        <v>0</v>
      </c>
      <c r="O218" s="8" t="n">
        <v>0</v>
      </c>
      <c r="P218" s="8" t="n">
        <v>0</v>
      </c>
      <c r="Q218" s="8" t="n">
        <v>0</v>
      </c>
      <c r="R218" s="13" t="n">
        <v>0</v>
      </c>
      <c r="S218" s="13" t="n">
        <v>0</v>
      </c>
      <c r="T218" s="13"/>
      <c r="U218" s="11" t="n">
        <f aca="false">O218*4 + P218*2 + MAX(0,N218-O218-P218)*1 + Q218*0.2 + R218*2 + S218*1 + IF(T218="",0,IF(T218&lt;=10,8,IF(T218&lt;=50,6,IF(T218&lt;=100,4,2))))</f>
        <v>0</v>
      </c>
      <c r="V218" s="7"/>
      <c r="W218" s="12"/>
      <c r="X218" s="13"/>
      <c r="Y218" s="13" t="s">
        <v>1093</v>
      </c>
    </row>
    <row r="219" customFormat="false" ht="15.75" hidden="false" customHeight="true" outlineLevel="0" collapsed="false">
      <c r="A219" s="7" t="s">
        <v>1094</v>
      </c>
      <c r="B219" s="8" t="n">
        <v>1926</v>
      </c>
      <c r="C219" s="8" t="s">
        <v>851</v>
      </c>
      <c r="D219" s="8" t="n">
        <v>78</v>
      </c>
      <c r="E219" s="7" t="s">
        <v>1095</v>
      </c>
      <c r="F219" s="8" t="n">
        <v>8.1</v>
      </c>
      <c r="G219" s="8"/>
      <c r="H219" s="9" t="n">
        <v>105817</v>
      </c>
      <c r="I219" s="7" t="s">
        <v>46</v>
      </c>
      <c r="J219" s="7" t="s">
        <v>112</v>
      </c>
      <c r="K219" s="7" t="s">
        <v>39</v>
      </c>
      <c r="L219" s="10" t="s">
        <v>1096</v>
      </c>
      <c r="M219" s="7" t="s">
        <v>1097</v>
      </c>
      <c r="N219" s="8" t="n">
        <v>0</v>
      </c>
      <c r="O219" s="8" t="n">
        <v>0</v>
      </c>
      <c r="P219" s="8" t="n">
        <v>0</v>
      </c>
      <c r="Q219" s="8" t="n">
        <v>0</v>
      </c>
      <c r="R219" s="13" t="n">
        <v>0</v>
      </c>
      <c r="S219" s="13" t="n">
        <v>0</v>
      </c>
      <c r="T219" s="8" t="n">
        <v>95</v>
      </c>
      <c r="U219" s="11" t="n">
        <f aca="false">O219*4 + P219*2 + MAX(0,N219-O219-P219)*1 + Q219*0.2 + R219*2 + S219*1 + IF(T219="",0,IF(T219&lt;=10,8,IF(T219&lt;=50,6,IF(T219&lt;=100,4,2))))</f>
        <v>4</v>
      </c>
      <c r="V219" s="7" t="s">
        <v>1098</v>
      </c>
      <c r="W219" s="12"/>
      <c r="X219" s="13"/>
      <c r="Y219" s="13" t="s">
        <v>1099</v>
      </c>
    </row>
    <row r="220" customFormat="false" ht="15.75" hidden="false" customHeight="true" outlineLevel="0" collapsed="false">
      <c r="A220" s="7" t="s">
        <v>1100</v>
      </c>
      <c r="B220" s="8" t="n">
        <v>2017</v>
      </c>
      <c r="C220" s="8" t="s">
        <v>176</v>
      </c>
      <c r="D220" s="8" t="n">
        <v>132</v>
      </c>
      <c r="E220" s="7" t="s">
        <v>1101</v>
      </c>
      <c r="F220" s="8" t="n">
        <v>7.8</v>
      </c>
      <c r="G220" s="8"/>
      <c r="H220" s="9" t="n">
        <v>363287</v>
      </c>
      <c r="I220" s="7" t="s">
        <v>28</v>
      </c>
      <c r="J220" s="7" t="s">
        <v>29</v>
      </c>
      <c r="K220" s="7" t="s">
        <v>1102</v>
      </c>
      <c r="L220" s="10" t="s">
        <v>210</v>
      </c>
      <c r="M220" s="7" t="s">
        <v>1103</v>
      </c>
      <c r="N220" s="8" t="n">
        <v>1</v>
      </c>
      <c r="O220" s="8" t="n">
        <v>0</v>
      </c>
      <c r="P220" s="8" t="n">
        <v>0</v>
      </c>
      <c r="Q220" s="8" t="n">
        <v>4</v>
      </c>
      <c r="R220" s="8" t="n">
        <v>0</v>
      </c>
      <c r="S220" s="8" t="n">
        <v>0</v>
      </c>
      <c r="T220" s="13"/>
      <c r="U220" s="11" t="n">
        <f aca="false">O220*4 + P220*2 + MAX(0,N220-O220-P220)*1 + Q220*0.2 + R220*2 + S220*1 + IF(T220="",0,IF(T220&lt;=10,8,IF(T220&lt;=50,6,IF(T220&lt;=100,4,2))))</f>
        <v>1.8</v>
      </c>
      <c r="V220" s="7"/>
      <c r="W220" s="12"/>
      <c r="X220" s="13"/>
      <c r="Y220" s="13" t="s">
        <v>1104</v>
      </c>
    </row>
    <row r="221" customFormat="false" ht="15.75" hidden="false" customHeight="true" outlineLevel="0" collapsed="false">
      <c r="A221" s="7" t="s">
        <v>1105</v>
      </c>
      <c r="B221" s="8" t="n">
        <v>1975</v>
      </c>
      <c r="C221" s="8" t="s">
        <v>61</v>
      </c>
      <c r="D221" s="8" t="n">
        <v>129</v>
      </c>
      <c r="E221" s="7" t="s">
        <v>1106</v>
      </c>
      <c r="F221" s="8" t="n">
        <v>7.7</v>
      </c>
      <c r="G221" s="8"/>
      <c r="H221" s="9" t="n">
        <v>55821</v>
      </c>
      <c r="I221" s="7" t="s">
        <v>280</v>
      </c>
      <c r="J221" s="7" t="s">
        <v>154</v>
      </c>
      <c r="K221" s="7" t="s">
        <v>39</v>
      </c>
      <c r="L221" s="10" t="s">
        <v>210</v>
      </c>
      <c r="M221" s="7" t="s">
        <v>1107</v>
      </c>
      <c r="N221" s="8" t="n">
        <v>0</v>
      </c>
      <c r="O221" s="8" t="n">
        <v>0</v>
      </c>
      <c r="P221" s="8" t="n">
        <v>0</v>
      </c>
      <c r="Q221" s="8" t="n">
        <v>4</v>
      </c>
      <c r="R221" s="8" t="n">
        <v>0</v>
      </c>
      <c r="S221" s="8" t="n">
        <v>0</v>
      </c>
      <c r="T221" s="13"/>
      <c r="U221" s="11" t="n">
        <f aca="false">O221*4 + P221*2 + MAX(0,N221-O221-P221)*1 + Q221*0.2 + R221*2 + S221*1 + IF(T221="",0,IF(T221&lt;=10,8,IF(T221&lt;=50,6,IF(T221&lt;=100,4,2))))</f>
        <v>0.8</v>
      </c>
      <c r="V221" s="7"/>
      <c r="W221" s="12"/>
      <c r="X221" s="13"/>
      <c r="Y221" s="13" t="s">
        <v>1108</v>
      </c>
    </row>
    <row r="222" customFormat="false" ht="15.75" hidden="false" customHeight="true" outlineLevel="0" collapsed="false">
      <c r="A222" s="7" t="s">
        <v>1109</v>
      </c>
      <c r="B222" s="8" t="n">
        <v>2010</v>
      </c>
      <c r="C222" s="8" t="s">
        <v>176</v>
      </c>
      <c r="D222" s="8" t="n">
        <v>131</v>
      </c>
      <c r="E222" s="7" t="s">
        <v>1110</v>
      </c>
      <c r="F222" s="8" t="n">
        <v>8.3</v>
      </c>
      <c r="G222" s="8"/>
      <c r="H222" s="9" t="n">
        <v>257009</v>
      </c>
      <c r="I222" s="7" t="s">
        <v>1111</v>
      </c>
      <c r="J222" s="7" t="s">
        <v>154</v>
      </c>
      <c r="K222" s="7" t="s">
        <v>82</v>
      </c>
      <c r="L222" s="10" t="s">
        <v>522</v>
      </c>
      <c r="M222" s="7" t="s">
        <v>1112</v>
      </c>
      <c r="N222" s="8" t="n">
        <v>0</v>
      </c>
      <c r="O222" s="8" t="n">
        <v>0</v>
      </c>
      <c r="P222" s="8" t="n">
        <v>0</v>
      </c>
      <c r="Q222" s="8" t="n">
        <v>1</v>
      </c>
      <c r="R222" s="8" t="n">
        <v>0</v>
      </c>
      <c r="S222" s="8" t="n">
        <v>0</v>
      </c>
      <c r="T222" s="13"/>
      <c r="U222" s="11" t="n">
        <f aca="false">O222*4 + P222*2 + MAX(0,N222-O222-P222)*1 + Q222*0.2 + R222*2 + S222*1 + IF(T222="",0,IF(T222&lt;=10,8,IF(T222&lt;=50,6,IF(T222&lt;=100,4,2))))</f>
        <v>0.2</v>
      </c>
      <c r="V222" s="7"/>
      <c r="W222" s="12"/>
      <c r="X222" s="13"/>
      <c r="Y222" s="13" t="s">
        <v>1113</v>
      </c>
    </row>
    <row r="223" customFormat="false" ht="15.75" hidden="false" customHeight="true" outlineLevel="0" collapsed="false">
      <c r="A223" s="7" t="s">
        <v>1114</v>
      </c>
      <c r="B223" s="8" t="n">
        <v>1983</v>
      </c>
      <c r="C223" s="8" t="s">
        <v>109</v>
      </c>
      <c r="D223" s="8" t="n">
        <v>107</v>
      </c>
      <c r="E223" s="7" t="s">
        <v>1115</v>
      </c>
      <c r="F223" s="8" t="n">
        <v>7.5</v>
      </c>
      <c r="G223" s="8"/>
      <c r="H223" s="9" t="n">
        <v>130624</v>
      </c>
      <c r="I223" s="7" t="s">
        <v>280</v>
      </c>
      <c r="J223" s="7" t="s">
        <v>90</v>
      </c>
      <c r="K223" s="7" t="s">
        <v>30</v>
      </c>
      <c r="L223" s="10" t="s">
        <v>192</v>
      </c>
      <c r="M223" s="7" t="s">
        <v>1116</v>
      </c>
      <c r="N223" s="8" t="n">
        <v>0</v>
      </c>
      <c r="O223" s="8" t="n">
        <v>0</v>
      </c>
      <c r="P223" s="8" t="n">
        <v>0</v>
      </c>
      <c r="Q223" s="8" t="n">
        <v>0</v>
      </c>
      <c r="R223" s="13" t="n">
        <v>0</v>
      </c>
      <c r="S223" s="13" t="n">
        <v>0</v>
      </c>
      <c r="T223" s="13"/>
      <c r="U223" s="11" t="n">
        <f aca="false">O223*4 + P223*2 + MAX(0,N223-O223-P223)*1 + Q223*0.2 + R223*2 + S223*1 + IF(T223="",0,IF(T223&lt;=10,8,IF(T223&lt;=50,6,IF(T223&lt;=100,4,2))))</f>
        <v>0</v>
      </c>
      <c r="V223" s="7"/>
      <c r="W223" s="12"/>
      <c r="X223" s="13"/>
      <c r="Y223" s="13" t="s">
        <v>1117</v>
      </c>
    </row>
    <row r="224" customFormat="false" ht="15.75" hidden="false" customHeight="true" outlineLevel="0" collapsed="false">
      <c r="A224" s="7" t="s">
        <v>1118</v>
      </c>
      <c r="B224" s="8" t="n">
        <v>1980</v>
      </c>
      <c r="C224" s="8" t="s">
        <v>109</v>
      </c>
      <c r="D224" s="8" t="n">
        <v>107</v>
      </c>
      <c r="E224" s="7" t="s">
        <v>1119</v>
      </c>
      <c r="F224" s="8" t="n">
        <v>7.1</v>
      </c>
      <c r="G224" s="8"/>
      <c r="H224" s="9" t="n">
        <v>44950</v>
      </c>
      <c r="I224" s="7" t="s">
        <v>1111</v>
      </c>
      <c r="J224" s="7" t="s">
        <v>147</v>
      </c>
      <c r="K224" s="7" t="s">
        <v>125</v>
      </c>
      <c r="L224" s="10" t="s">
        <v>1120</v>
      </c>
      <c r="M224" s="7" t="s">
        <v>1121</v>
      </c>
      <c r="N224" s="8" t="n">
        <v>0</v>
      </c>
      <c r="O224" s="8" t="n">
        <v>0</v>
      </c>
      <c r="P224" s="8" t="n">
        <v>0</v>
      </c>
      <c r="Q224" s="8" t="n">
        <v>0</v>
      </c>
      <c r="R224" s="13" t="n">
        <v>0</v>
      </c>
      <c r="S224" s="13" t="n">
        <v>0</v>
      </c>
      <c r="T224" s="13"/>
      <c r="U224" s="11" t="n">
        <f aca="false">O224*4 + P224*2 + MAX(0,N224-O224-P224)*1 + Q224*0.2 + R224*2 + S224*1 + IF(T224="",0,IF(T224&lt;=10,8,IF(T224&lt;=50,6,IF(T224&lt;=100,4,2))))</f>
        <v>0</v>
      </c>
      <c r="V224" s="7"/>
      <c r="W224" s="12"/>
      <c r="X224" s="13"/>
      <c r="Y224" s="13" t="s">
        <v>1122</v>
      </c>
    </row>
    <row r="225" customFormat="false" ht="15.75" hidden="false" customHeight="true" outlineLevel="0" collapsed="false">
      <c r="A225" s="7" t="s">
        <v>1123</v>
      </c>
      <c r="B225" s="8" t="n">
        <v>2003</v>
      </c>
      <c r="C225" s="8" t="s">
        <v>35</v>
      </c>
      <c r="D225" s="8" t="n">
        <v>116</v>
      </c>
      <c r="E225" s="7" t="s">
        <v>1124</v>
      </c>
      <c r="F225" s="8" t="n">
        <v>7.4</v>
      </c>
      <c r="G225" s="8"/>
      <c r="H225" s="9" t="n">
        <v>53444</v>
      </c>
      <c r="I225" s="7" t="s">
        <v>124</v>
      </c>
      <c r="J225" s="7" t="s">
        <v>112</v>
      </c>
      <c r="K225" s="7" t="s">
        <v>54</v>
      </c>
      <c r="L225" s="10"/>
      <c r="M225" s="7" t="s">
        <v>1125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0</v>
      </c>
      <c r="S225" s="13" t="n">
        <v>0</v>
      </c>
      <c r="T225" s="8"/>
      <c r="U225" s="11" t="n">
        <f aca="false">O225*4 + P225*2 + MAX(0,N225-O225-P225)*1 + Q225*0.2 + R225*2 + S225*1 + IF(T225="",0,IF(T225&lt;=10,8,IF(T225&lt;=50,6,IF(T225&lt;=100,4,2))))</f>
        <v>0</v>
      </c>
      <c r="V225" s="10" t="s">
        <v>1126</v>
      </c>
      <c r="W225" s="12"/>
      <c r="X225" s="8" t="n">
        <v>148</v>
      </c>
      <c r="Y225" s="8" t="s">
        <v>1127</v>
      </c>
    </row>
    <row r="226" customFormat="false" ht="15.75" hidden="false" customHeight="true" outlineLevel="0" collapsed="false">
      <c r="A226" s="7" t="s">
        <v>1128</v>
      </c>
      <c r="B226" s="8" t="n">
        <v>1990</v>
      </c>
      <c r="C226" s="8" t="s">
        <v>26</v>
      </c>
      <c r="D226" s="8" t="n">
        <v>125</v>
      </c>
      <c r="E226" s="7" t="s">
        <v>521</v>
      </c>
      <c r="F226" s="8" t="n">
        <v>7.2</v>
      </c>
      <c r="G226" s="8"/>
      <c r="H226" s="9" t="n">
        <v>112549</v>
      </c>
      <c r="I226" s="7" t="s">
        <v>46</v>
      </c>
      <c r="J226" s="7" t="s">
        <v>131</v>
      </c>
      <c r="K226" s="7" t="s">
        <v>54</v>
      </c>
      <c r="L226" s="10"/>
      <c r="M226" s="7" t="s">
        <v>1129</v>
      </c>
      <c r="N226" s="8" t="n">
        <v>0</v>
      </c>
      <c r="O226" s="8" t="n">
        <v>0</v>
      </c>
      <c r="P226" s="8" t="n">
        <v>0</v>
      </c>
      <c r="Q226" s="8" t="n">
        <v>1</v>
      </c>
      <c r="R226" s="8" t="n">
        <v>1</v>
      </c>
      <c r="S226" s="8" t="n">
        <v>0</v>
      </c>
      <c r="T226" s="13"/>
      <c r="U226" s="11" t="n">
        <f aca="false">O226*4 + P226*2 + MAX(0,N226-O226-P226)*1 + Q226*0.2 + R226*2 + S226*1 + IF(T226="",0,IF(T226&lt;=10,8,IF(T226&lt;=50,6,IF(T226&lt;=100,4,2))))</f>
        <v>2.2</v>
      </c>
      <c r="V226" s="7"/>
      <c r="W226" s="12"/>
      <c r="X226" s="13"/>
      <c r="Y226" s="13" t="s">
        <v>1130</v>
      </c>
    </row>
    <row r="227" customFormat="false" ht="15.75" hidden="false" customHeight="true" outlineLevel="0" collapsed="false">
      <c r="A227" s="7" t="s">
        <v>1131</v>
      </c>
      <c r="B227" s="8" t="n">
        <v>1987</v>
      </c>
      <c r="C227" s="8" t="s">
        <v>109</v>
      </c>
      <c r="D227" s="8" t="n">
        <v>126</v>
      </c>
      <c r="E227" s="7" t="s">
        <v>1132</v>
      </c>
      <c r="F227" s="8" t="n">
        <v>7.3</v>
      </c>
      <c r="G227" s="8"/>
      <c r="H227" s="9" t="n">
        <v>175608</v>
      </c>
      <c r="I227" s="7" t="s">
        <v>46</v>
      </c>
      <c r="J227" s="7" t="s">
        <v>47</v>
      </c>
      <c r="K227" s="7" t="s">
        <v>695</v>
      </c>
      <c r="L227" s="10"/>
      <c r="M227" s="7" t="s">
        <v>1133</v>
      </c>
      <c r="N227" s="8" t="n">
        <v>1</v>
      </c>
      <c r="O227" s="8" t="n">
        <v>0</v>
      </c>
      <c r="P227" s="8" t="n">
        <v>0</v>
      </c>
      <c r="Q227" s="8" t="n">
        <v>1</v>
      </c>
      <c r="R227" s="8" t="n">
        <v>0</v>
      </c>
      <c r="S227" s="8" t="n">
        <v>0</v>
      </c>
      <c r="T227" s="13"/>
      <c r="U227" s="11" t="n">
        <f aca="false">O227*4 + P227*2 + MAX(0,N227-O227-P227)*1 + Q227*0.2 + R227*2 + S227*1 + IF(T227="",0,IF(T227&lt;=10,8,IF(T227&lt;=50,6,IF(T227&lt;=100,4,2))))</f>
        <v>1.2</v>
      </c>
      <c r="V227" s="7"/>
      <c r="W227" s="12"/>
      <c r="X227" s="13"/>
      <c r="Y227" s="13" t="s">
        <v>1134</v>
      </c>
    </row>
    <row r="228" customFormat="false" ht="15.75" hidden="false" customHeight="true" outlineLevel="0" collapsed="false">
      <c r="A228" s="7" t="s">
        <v>1135</v>
      </c>
      <c r="B228" s="8" t="n">
        <v>2011</v>
      </c>
      <c r="C228" s="8" t="s">
        <v>176</v>
      </c>
      <c r="D228" s="8" t="n">
        <v>140</v>
      </c>
      <c r="E228" s="7" t="s">
        <v>1136</v>
      </c>
      <c r="F228" s="8" t="n">
        <v>8.1</v>
      </c>
      <c r="G228" s="8"/>
      <c r="H228" s="9" t="n">
        <v>532325</v>
      </c>
      <c r="I228" s="7" t="s">
        <v>46</v>
      </c>
      <c r="J228" s="7" t="s">
        <v>112</v>
      </c>
      <c r="K228" s="7" t="s">
        <v>75</v>
      </c>
      <c r="L228" s="10" t="s">
        <v>260</v>
      </c>
      <c r="M228" s="7" t="s">
        <v>1137</v>
      </c>
      <c r="N228" s="8" t="n">
        <v>0</v>
      </c>
      <c r="O228" s="8" t="n">
        <v>0</v>
      </c>
      <c r="P228" s="8" t="n">
        <v>0</v>
      </c>
      <c r="Q228" s="8" t="n">
        <v>1</v>
      </c>
      <c r="R228" s="8" t="n">
        <v>0</v>
      </c>
      <c r="S228" s="8" t="n">
        <v>0</v>
      </c>
      <c r="T228" s="13"/>
      <c r="U228" s="11" t="n">
        <f aca="false">O228*4 + P228*2 + MAX(0,N228-O228-P228)*1 + Q228*0.2 + R228*2 + S228*1 + IF(T228="",0,IF(T228&lt;=10,8,IF(T228&lt;=50,6,IF(T228&lt;=100,4,2))))</f>
        <v>0.2</v>
      </c>
      <c r="V228" s="7"/>
      <c r="W228" s="12"/>
      <c r="X228" s="13"/>
      <c r="Y228" s="13" t="s">
        <v>1138</v>
      </c>
    </row>
    <row r="229" customFormat="false" ht="15.75" hidden="false" customHeight="true" outlineLevel="0" collapsed="false">
      <c r="A229" s="7" t="s">
        <v>1139</v>
      </c>
      <c r="B229" s="8" t="n">
        <v>1985</v>
      </c>
      <c r="C229" s="8" t="s">
        <v>109</v>
      </c>
      <c r="D229" s="8" t="n">
        <v>160</v>
      </c>
      <c r="E229" s="7" t="s">
        <v>197</v>
      </c>
      <c r="F229" s="8" t="n">
        <v>8.2</v>
      </c>
      <c r="G229" s="8"/>
      <c r="H229" s="9" t="n">
        <v>153819</v>
      </c>
      <c r="I229" s="7" t="s">
        <v>124</v>
      </c>
      <c r="J229" s="7" t="s">
        <v>154</v>
      </c>
      <c r="K229" s="7" t="s">
        <v>1140</v>
      </c>
      <c r="L229" s="10" t="s">
        <v>166</v>
      </c>
      <c r="M229" s="7" t="s">
        <v>1141</v>
      </c>
      <c r="N229" s="8" t="n">
        <v>1</v>
      </c>
      <c r="O229" s="8" t="n">
        <v>0</v>
      </c>
      <c r="P229" s="8" t="n">
        <v>0</v>
      </c>
      <c r="Q229" s="8" t="n">
        <v>4</v>
      </c>
      <c r="R229" s="8" t="n">
        <v>0</v>
      </c>
      <c r="S229" s="8" t="n">
        <v>0</v>
      </c>
      <c r="T229" s="8" t="n">
        <v>185</v>
      </c>
      <c r="U229" s="11" t="n">
        <f aca="false">O229*4 + P229*2 + MAX(0,N229-O229-P229)*1 + Q229*0.2 + R229*2 + S229*1 + IF(T229="",0,IF(T229&lt;=10,8,IF(T229&lt;=50,6,IF(T229&lt;=100,4,2))))</f>
        <v>3.8</v>
      </c>
      <c r="V229" s="10" t="s">
        <v>1142</v>
      </c>
      <c r="W229" s="12"/>
      <c r="X229" s="13"/>
      <c r="Y229" s="13" t="s">
        <v>1143</v>
      </c>
    </row>
    <row r="230" customFormat="false" ht="15.75" hidden="false" customHeight="true" outlineLevel="0" collapsed="false">
      <c r="A230" s="7" t="s">
        <v>1144</v>
      </c>
      <c r="B230" s="8" t="n">
        <v>1925</v>
      </c>
      <c r="C230" s="8" t="s">
        <v>851</v>
      </c>
      <c r="D230" s="8" t="n">
        <v>95</v>
      </c>
      <c r="E230" s="7" t="s">
        <v>97</v>
      </c>
      <c r="F230" s="8" t="n">
        <v>8.1</v>
      </c>
      <c r="G230" s="8"/>
      <c r="H230" s="9" t="n">
        <v>128850</v>
      </c>
      <c r="I230" s="7" t="s">
        <v>46</v>
      </c>
      <c r="J230" s="7" t="s">
        <v>39</v>
      </c>
      <c r="K230" s="7" t="s">
        <v>30</v>
      </c>
      <c r="L230" s="10" t="s">
        <v>1145</v>
      </c>
      <c r="M230" s="7" t="s">
        <v>1146</v>
      </c>
      <c r="N230" s="8" t="n">
        <v>0</v>
      </c>
      <c r="O230" s="8" t="n">
        <v>0</v>
      </c>
      <c r="P230" s="8" t="n">
        <v>0</v>
      </c>
      <c r="Q230" s="8" t="n">
        <v>2</v>
      </c>
      <c r="R230" s="8" t="n">
        <v>0</v>
      </c>
      <c r="S230" s="8" t="n">
        <v>0</v>
      </c>
      <c r="T230" s="8"/>
      <c r="U230" s="11" t="n">
        <f aca="false">O230*4 + P230*2 + MAX(0,N230-O230-P230)*1 + Q230*0.2 + R230*2 + S230*1 + IF(T230="",0,IF(T230&lt;=10,8,IF(T230&lt;=50,6,IF(T230&lt;=100,4,2))))</f>
        <v>0.4</v>
      </c>
      <c r="V230" s="7" t="s">
        <v>1147</v>
      </c>
      <c r="W230" s="12"/>
      <c r="X230" s="13"/>
      <c r="Y230" s="13" t="s">
        <v>1148</v>
      </c>
    </row>
    <row r="231" customFormat="false" ht="15.75" hidden="false" customHeight="true" outlineLevel="0" collapsed="false">
      <c r="A231" s="7" t="s">
        <v>1149</v>
      </c>
      <c r="B231" s="8" t="n">
        <v>1990</v>
      </c>
      <c r="C231" s="8" t="s">
        <v>26</v>
      </c>
      <c r="D231" s="8" t="n">
        <v>135</v>
      </c>
      <c r="E231" s="7" t="s">
        <v>1026</v>
      </c>
      <c r="F231" s="8" t="n">
        <v>7.5</v>
      </c>
      <c r="G231" s="8"/>
      <c r="H231" s="9" t="n">
        <v>233223</v>
      </c>
      <c r="I231" s="7" t="s">
        <v>46</v>
      </c>
      <c r="J231" s="7" t="s">
        <v>131</v>
      </c>
      <c r="K231" s="7" t="s">
        <v>112</v>
      </c>
      <c r="L231" s="10" t="s">
        <v>238</v>
      </c>
      <c r="M231" s="7" t="s">
        <v>1150</v>
      </c>
      <c r="N231" s="8" t="n">
        <v>1</v>
      </c>
      <c r="O231" s="8" t="n">
        <v>0</v>
      </c>
      <c r="P231" s="8" t="n">
        <v>0</v>
      </c>
      <c r="Q231" s="8" t="n">
        <v>3</v>
      </c>
      <c r="R231" s="8" t="n">
        <v>0</v>
      </c>
      <c r="S231" s="8" t="n">
        <v>0</v>
      </c>
      <c r="T231" s="13"/>
      <c r="U231" s="11" t="n">
        <f aca="false">O231*4 + P231*2 + MAX(0,N231-O231-P231)*1 + Q231*0.2 + R231*2 + S231*1 + IF(T231="",0,IF(T231&lt;=10,8,IF(T231&lt;=50,6,IF(T231&lt;=100,4,2))))</f>
        <v>1.6</v>
      </c>
      <c r="V231" s="7"/>
      <c r="W231" s="12"/>
      <c r="X231" s="13"/>
      <c r="Y231" s="13" t="s">
        <v>1151</v>
      </c>
    </row>
    <row r="232" customFormat="false" ht="15.75" hidden="false" customHeight="true" outlineLevel="0" collapsed="false">
      <c r="A232" s="7" t="s">
        <v>1152</v>
      </c>
      <c r="B232" s="8" t="n">
        <v>2005</v>
      </c>
      <c r="C232" s="8" t="s">
        <v>35</v>
      </c>
      <c r="D232" s="8" t="n">
        <v>115</v>
      </c>
      <c r="E232" s="7" t="s">
        <v>557</v>
      </c>
      <c r="F232" s="8" t="n">
        <v>7.4</v>
      </c>
      <c r="G232" s="8"/>
      <c r="H232" s="9" t="n">
        <v>13721</v>
      </c>
      <c r="I232" s="7" t="s">
        <v>232</v>
      </c>
      <c r="J232" s="7" t="s">
        <v>29</v>
      </c>
      <c r="K232" s="7" t="s">
        <v>47</v>
      </c>
      <c r="L232" s="10" t="s">
        <v>205</v>
      </c>
      <c r="M232" s="7" t="s">
        <v>1153</v>
      </c>
      <c r="N232" s="8" t="n">
        <v>0</v>
      </c>
      <c r="O232" s="8" t="n">
        <v>0</v>
      </c>
      <c r="P232" s="8" t="n">
        <v>0</v>
      </c>
      <c r="Q232" s="8" t="n">
        <v>0</v>
      </c>
      <c r="R232" s="13" t="n">
        <v>0</v>
      </c>
      <c r="S232" s="13" t="n">
        <v>0</v>
      </c>
      <c r="T232" s="13"/>
      <c r="U232" s="11" t="n">
        <f aca="false">O232*4 + P232*2 + MAX(0,N232-O232-P232)*1 + Q232*0.2 + R232*2 + S232*1 + IF(T232="",0,IF(T232&lt;=10,8,IF(T232&lt;=50,6,IF(T232&lt;=100,4,2))))</f>
        <v>0</v>
      </c>
      <c r="V232" s="7"/>
      <c r="W232" s="12"/>
      <c r="X232" s="13"/>
      <c r="Y232" s="13" t="s">
        <v>1154</v>
      </c>
    </row>
    <row r="233" customFormat="false" ht="15.75" hidden="false" customHeight="true" outlineLevel="0" collapsed="false">
      <c r="A233" s="7" t="s">
        <v>1155</v>
      </c>
      <c r="B233" s="8" t="n">
        <v>1998</v>
      </c>
      <c r="C233" s="8" t="s">
        <v>26</v>
      </c>
      <c r="D233" s="8" t="n">
        <v>100</v>
      </c>
      <c r="E233" s="7" t="s">
        <v>1156</v>
      </c>
      <c r="F233" s="8" t="n">
        <v>7.5</v>
      </c>
      <c r="G233" s="8"/>
      <c r="H233" s="9" t="n">
        <v>227922</v>
      </c>
      <c r="I233" s="7" t="s">
        <v>46</v>
      </c>
      <c r="J233" s="7" t="s">
        <v>111</v>
      </c>
      <c r="K233" s="7" t="s">
        <v>125</v>
      </c>
      <c r="L233" s="10" t="s">
        <v>205</v>
      </c>
      <c r="M233" s="7" t="s">
        <v>1157</v>
      </c>
      <c r="N233" s="8" t="n">
        <v>0</v>
      </c>
      <c r="O233" s="8" t="n">
        <v>0</v>
      </c>
      <c r="P233" s="8" t="n">
        <v>0</v>
      </c>
      <c r="Q233" s="8" t="n">
        <v>0</v>
      </c>
      <c r="R233" s="13" t="n">
        <v>0</v>
      </c>
      <c r="S233" s="13" t="n">
        <v>0</v>
      </c>
      <c r="T233" s="13"/>
      <c r="U233" s="11" t="n">
        <f aca="false">O233*4 + P233*2 + MAX(0,N233-O233-P233)*1 + Q233*0.2 + R233*2 + S233*1 + IF(T233="",0,IF(T233&lt;=10,8,IF(T233&lt;=50,6,IF(T233&lt;=100,4,2))))</f>
        <v>0</v>
      </c>
      <c r="V233" s="7"/>
      <c r="W233" s="12"/>
      <c r="X233" s="13"/>
      <c r="Y233" s="13" t="s">
        <v>1158</v>
      </c>
    </row>
    <row r="234" customFormat="false" ht="15.75" hidden="false" customHeight="true" outlineLevel="0" collapsed="false">
      <c r="A234" s="7" t="s">
        <v>1159</v>
      </c>
      <c r="B234" s="8" t="n">
        <v>2020</v>
      </c>
      <c r="C234" s="8" t="s">
        <v>378</v>
      </c>
      <c r="D234" s="8" t="n">
        <v>117</v>
      </c>
      <c r="E234" s="7" t="s">
        <v>1160</v>
      </c>
      <c r="F234" s="8" t="n">
        <v>7.7</v>
      </c>
      <c r="G234" s="8"/>
      <c r="H234" s="9" t="n">
        <v>229537</v>
      </c>
      <c r="I234" s="7" t="s">
        <v>437</v>
      </c>
      <c r="J234" s="7" t="s">
        <v>30</v>
      </c>
      <c r="K234" s="7" t="s">
        <v>47</v>
      </c>
      <c r="L234" s="10" t="s">
        <v>1161</v>
      </c>
      <c r="M234" s="7" t="s">
        <v>1162</v>
      </c>
      <c r="N234" s="8" t="n">
        <v>1</v>
      </c>
      <c r="O234" s="8" t="n">
        <v>0</v>
      </c>
      <c r="P234" s="8" t="n">
        <v>0</v>
      </c>
      <c r="Q234" s="8" t="n">
        <v>2</v>
      </c>
      <c r="R234" s="8" t="n">
        <v>0</v>
      </c>
      <c r="S234" s="8" t="n">
        <v>0</v>
      </c>
      <c r="T234" s="13"/>
      <c r="U234" s="11" t="n">
        <f aca="false">O234*4 + P234*2 + MAX(0,N234-O234-P234)*1 + Q234*0.2 + R234*2 + S234*1 + IF(T234="",0,IF(T234&lt;=10,8,IF(T234&lt;=50,6,IF(T234&lt;=100,4,2))))</f>
        <v>1.4</v>
      </c>
      <c r="V234" s="7"/>
      <c r="W234" s="12"/>
      <c r="X234" s="13"/>
      <c r="Y234" s="13" t="s">
        <v>1163</v>
      </c>
    </row>
    <row r="235" customFormat="false" ht="15.75" hidden="false" customHeight="true" outlineLevel="0" collapsed="false">
      <c r="A235" s="7" t="s">
        <v>1164</v>
      </c>
      <c r="B235" s="8" t="n">
        <v>2005</v>
      </c>
      <c r="C235" s="8" t="s">
        <v>35</v>
      </c>
      <c r="D235" s="8" t="n">
        <v>136</v>
      </c>
      <c r="E235" s="7" t="s">
        <v>1165</v>
      </c>
      <c r="F235" s="8" t="n">
        <v>7.8</v>
      </c>
      <c r="G235" s="8"/>
      <c r="H235" s="9" t="n">
        <v>282016</v>
      </c>
      <c r="I235" s="7" t="s">
        <v>46</v>
      </c>
      <c r="J235" s="7" t="s">
        <v>90</v>
      </c>
      <c r="K235" s="7" t="s">
        <v>48</v>
      </c>
      <c r="L235" s="10" t="s">
        <v>552</v>
      </c>
      <c r="M235" s="7" t="s">
        <v>1166</v>
      </c>
      <c r="N235" s="8" t="n">
        <v>1</v>
      </c>
      <c r="O235" s="8" t="n">
        <v>0</v>
      </c>
      <c r="P235" s="8" t="n">
        <v>0</v>
      </c>
      <c r="Q235" s="8" t="n">
        <v>5</v>
      </c>
      <c r="R235" s="8" t="n">
        <v>0</v>
      </c>
      <c r="S235" s="8" t="n">
        <v>1</v>
      </c>
      <c r="T235" s="13"/>
      <c r="U235" s="11" t="n">
        <f aca="false">O235*4 + P235*2 + MAX(0,N235-O235-P235)*1 + Q235*0.2 + R235*2 + S235*1 + IF(T235="",0,IF(T235&lt;=10,8,IF(T235&lt;=50,6,IF(T235&lt;=100,4,2))))</f>
        <v>3</v>
      </c>
      <c r="V235" s="7"/>
      <c r="W235" s="12"/>
      <c r="X235" s="13"/>
      <c r="Y235" s="13" t="s">
        <v>1167</v>
      </c>
    </row>
    <row r="236" customFormat="false" ht="15.75" hidden="false" customHeight="true" outlineLevel="0" collapsed="false">
      <c r="A236" s="7" t="s">
        <v>1168</v>
      </c>
      <c r="B236" s="8" t="n">
        <v>1961</v>
      </c>
      <c r="C236" s="8" t="s">
        <v>122</v>
      </c>
      <c r="D236" s="8" t="n">
        <v>104</v>
      </c>
      <c r="E236" s="7" t="s">
        <v>186</v>
      </c>
      <c r="F236" s="8" t="n">
        <v>7.8</v>
      </c>
      <c r="G236" s="8"/>
      <c r="H236" s="9" t="n">
        <v>24920</v>
      </c>
      <c r="I236" s="7" t="s">
        <v>46</v>
      </c>
      <c r="J236" s="7" t="s">
        <v>30</v>
      </c>
      <c r="K236" s="7"/>
      <c r="L236" s="10" t="s">
        <v>416</v>
      </c>
      <c r="M236" s="7" t="s">
        <v>1169</v>
      </c>
      <c r="N236" s="8" t="n">
        <v>0</v>
      </c>
      <c r="O236" s="8" t="n">
        <v>0</v>
      </c>
      <c r="P236" s="8" t="n">
        <v>0</v>
      </c>
      <c r="Q236" s="8" t="n">
        <v>1</v>
      </c>
      <c r="R236" s="8" t="n">
        <v>0</v>
      </c>
      <c r="S236" s="8" t="n">
        <v>0</v>
      </c>
      <c r="T236" s="13"/>
      <c r="U236" s="11" t="n">
        <f aca="false">O236*4 + P236*2 + MAX(0,N236-O236-P236)*1 + Q236*0.2 + R236*2 + S236*1 + IF(T236="",0,IF(T236&lt;=10,8,IF(T236&lt;=50,6,IF(T236&lt;=100,4,2))))</f>
        <v>0.2</v>
      </c>
      <c r="V236" s="7" t="s">
        <v>1170</v>
      </c>
      <c r="W236" s="12"/>
      <c r="X236" s="13"/>
      <c r="Y236" s="13" t="s">
        <v>1171</v>
      </c>
    </row>
    <row r="237" customFormat="false" ht="15.75" hidden="false" customHeight="true" outlineLevel="0" collapsed="false">
      <c r="A237" s="7" t="s">
        <v>1172</v>
      </c>
      <c r="B237" s="8" t="n">
        <v>2006</v>
      </c>
      <c r="C237" s="8" t="s">
        <v>35</v>
      </c>
      <c r="D237" s="8" t="n">
        <v>129</v>
      </c>
      <c r="E237" s="7" t="s">
        <v>937</v>
      </c>
      <c r="F237" s="8" t="n">
        <v>7.6</v>
      </c>
      <c r="G237" s="8" t="n">
        <v>7</v>
      </c>
      <c r="H237" s="9" t="n">
        <v>427719</v>
      </c>
      <c r="I237" s="7" t="s">
        <v>46</v>
      </c>
      <c r="J237" s="7" t="s">
        <v>47</v>
      </c>
      <c r="K237" s="7" t="s">
        <v>54</v>
      </c>
      <c r="L237" s="10" t="s">
        <v>238</v>
      </c>
      <c r="M237" s="7" t="s">
        <v>1173</v>
      </c>
      <c r="N237" s="8" t="n">
        <v>0</v>
      </c>
      <c r="O237" s="8" t="n">
        <v>0</v>
      </c>
      <c r="P237" s="8" t="n">
        <v>0</v>
      </c>
      <c r="Q237" s="8" t="n">
        <v>0</v>
      </c>
      <c r="R237" s="13" t="n">
        <v>0</v>
      </c>
      <c r="S237" s="13" t="n">
        <v>0</v>
      </c>
      <c r="T237" s="13"/>
      <c r="U237" s="11" t="n">
        <f aca="false">O237*4 + P237*2 + MAX(0,N237-O237-P237)*1 + Q237*0.2 + R237*2 + S237*1 + IF(T237="",0,IF(T237&lt;=10,8,IF(T237&lt;=50,6,IF(T237&lt;=100,4,2))))</f>
        <v>0</v>
      </c>
      <c r="V237" s="7"/>
      <c r="W237" s="12"/>
      <c r="X237" s="13"/>
      <c r="Y237" s="13" t="s">
        <v>1174</v>
      </c>
    </row>
    <row r="238" customFormat="false" ht="15.75" hidden="false" customHeight="true" outlineLevel="0" collapsed="false">
      <c r="A238" s="7" t="s">
        <v>1175</v>
      </c>
      <c r="B238" s="8" t="n">
        <v>1968</v>
      </c>
      <c r="C238" s="8" t="s">
        <v>122</v>
      </c>
      <c r="D238" s="8" t="n">
        <v>145</v>
      </c>
      <c r="E238" s="7" t="s">
        <v>445</v>
      </c>
      <c r="F238" s="8" t="n">
        <v>8.5</v>
      </c>
      <c r="G238" s="8"/>
      <c r="H238" s="9" t="n">
        <v>386715</v>
      </c>
      <c r="I238" s="7" t="s">
        <v>551</v>
      </c>
      <c r="J238" s="7" t="s">
        <v>268</v>
      </c>
      <c r="K238" s="7" t="s">
        <v>47</v>
      </c>
      <c r="L238" s="10" t="s">
        <v>220</v>
      </c>
      <c r="M238" s="7" t="s">
        <v>1176</v>
      </c>
      <c r="N238" s="8" t="n">
        <v>0</v>
      </c>
      <c r="O238" s="8" t="n">
        <v>0</v>
      </c>
      <c r="P238" s="8" t="n">
        <v>0</v>
      </c>
      <c r="Q238" s="8" t="n">
        <v>0</v>
      </c>
      <c r="R238" s="13" t="n">
        <v>0</v>
      </c>
      <c r="S238" s="13" t="n">
        <v>0</v>
      </c>
      <c r="T238" s="8" t="n">
        <v>95</v>
      </c>
      <c r="U238" s="11" t="n">
        <f aca="false">O238*4 + P238*2 + MAX(0,N238-O238-P238)*1 + Q238*0.2 + R238*2 + S238*1 + IF(T238="",0,IF(T238&lt;=10,8,IF(T238&lt;=50,6,IF(T238&lt;=100,4,2))))</f>
        <v>4</v>
      </c>
      <c r="V238" s="7" t="s">
        <v>1177</v>
      </c>
      <c r="W238" s="12"/>
      <c r="X238" s="13"/>
      <c r="Y238" s="13" t="s">
        <v>1178</v>
      </c>
    </row>
    <row r="239" customFormat="false" ht="15.75" hidden="false" customHeight="true" outlineLevel="0" collapsed="false">
      <c r="A239" s="7" t="s">
        <v>1179</v>
      </c>
      <c r="B239" s="8" t="n">
        <v>2007</v>
      </c>
      <c r="C239" s="8" t="s">
        <v>35</v>
      </c>
      <c r="D239" s="8" t="n">
        <v>86</v>
      </c>
      <c r="E239" s="7" t="s">
        <v>1180</v>
      </c>
      <c r="F239" s="8" t="n">
        <v>7.8</v>
      </c>
      <c r="G239" s="8"/>
      <c r="H239" s="9" t="n">
        <v>126246</v>
      </c>
      <c r="I239" s="7" t="s">
        <v>700</v>
      </c>
      <c r="J239" s="7" t="s">
        <v>47</v>
      </c>
      <c r="K239" s="12" t="s">
        <v>29</v>
      </c>
      <c r="L239" s="10"/>
      <c r="M239" s="7" t="s">
        <v>1181</v>
      </c>
      <c r="N239" s="8" t="n">
        <v>0</v>
      </c>
      <c r="O239" s="8" t="n">
        <v>0</v>
      </c>
      <c r="P239" s="8" t="n">
        <v>0</v>
      </c>
      <c r="Q239" s="8" t="n">
        <v>0</v>
      </c>
      <c r="R239" s="13" t="n">
        <v>0</v>
      </c>
      <c r="S239" s="13" t="n">
        <v>0</v>
      </c>
      <c r="T239" s="13"/>
      <c r="U239" s="11" t="n">
        <f aca="false">O239*4 + P239*2 + MAX(0,N239-O239-P239)*1 + Q239*0.2 + R239*2 + S239*1 + IF(T239="",0,IF(T239&lt;=10,8,IF(T239&lt;=50,6,IF(T239&lt;=100,4,2))))</f>
        <v>0</v>
      </c>
      <c r="V239" s="7"/>
      <c r="W239" s="12"/>
      <c r="X239" s="13"/>
      <c r="Y239" s="13" t="s">
        <v>1182</v>
      </c>
    </row>
    <row r="240" customFormat="false" ht="15.75" hidden="false" customHeight="true" outlineLevel="0" collapsed="false">
      <c r="A240" s="7" t="s">
        <v>1183</v>
      </c>
      <c r="B240" s="8" t="n">
        <v>1991</v>
      </c>
      <c r="C240" s="8" t="s">
        <v>26</v>
      </c>
      <c r="D240" s="8" t="n">
        <v>116</v>
      </c>
      <c r="E240" s="7" t="s">
        <v>861</v>
      </c>
      <c r="F240" s="8" t="n">
        <v>7.6</v>
      </c>
      <c r="G240" s="8"/>
      <c r="H240" s="9" t="n">
        <v>136253</v>
      </c>
      <c r="I240" s="7" t="s">
        <v>46</v>
      </c>
      <c r="J240" s="7" t="s">
        <v>131</v>
      </c>
      <c r="K240" s="7" t="s">
        <v>30</v>
      </c>
      <c r="L240" s="10"/>
      <c r="M240" s="7" t="s">
        <v>1184</v>
      </c>
      <c r="N240" s="8" t="n">
        <v>0</v>
      </c>
      <c r="O240" s="8" t="n">
        <v>0</v>
      </c>
      <c r="P240" s="8" t="n">
        <v>0</v>
      </c>
      <c r="Q240" s="8" t="n">
        <v>3</v>
      </c>
      <c r="R240" s="8" t="n">
        <v>1</v>
      </c>
      <c r="S240" s="8" t="n">
        <v>0</v>
      </c>
      <c r="T240" s="13"/>
      <c r="U240" s="11" t="n">
        <f aca="false">O240*4 + P240*2 + MAX(0,N240-O240-P240)*1 + Q240*0.2 + R240*2 + S240*1 + IF(T240="",0,IF(T240&lt;=10,8,IF(T240&lt;=50,6,IF(T240&lt;=100,4,2))))</f>
        <v>2.6</v>
      </c>
      <c r="V240" s="7"/>
      <c r="W240" s="12"/>
      <c r="X240" s="13"/>
      <c r="Y240" s="13" t="s">
        <v>1185</v>
      </c>
    </row>
    <row r="241" customFormat="false" ht="15.75" hidden="false" customHeight="true" outlineLevel="0" collapsed="false">
      <c r="A241" s="7" t="s">
        <v>1186</v>
      </c>
      <c r="B241" s="8" t="n">
        <v>2009</v>
      </c>
      <c r="C241" s="8" t="s">
        <v>35</v>
      </c>
      <c r="D241" s="8" t="n">
        <v>93</v>
      </c>
      <c r="E241" s="7" t="s">
        <v>1187</v>
      </c>
      <c r="F241" s="8" t="n">
        <v>8.1</v>
      </c>
      <c r="G241" s="8"/>
      <c r="H241" s="9" t="n">
        <v>346816</v>
      </c>
      <c r="I241" s="7" t="s">
        <v>46</v>
      </c>
      <c r="J241" s="7" t="s">
        <v>47</v>
      </c>
      <c r="K241" s="7" t="s">
        <v>48</v>
      </c>
      <c r="L241" s="10" t="s">
        <v>1188</v>
      </c>
      <c r="M241" s="7" t="s">
        <v>1189</v>
      </c>
      <c r="N241" s="8" t="n">
        <v>0</v>
      </c>
      <c r="O241" s="8" t="n">
        <v>0</v>
      </c>
      <c r="P241" s="8" t="n">
        <v>0</v>
      </c>
      <c r="Q241" s="8" t="n">
        <v>0</v>
      </c>
      <c r="R241" s="13" t="n">
        <v>0</v>
      </c>
      <c r="S241" s="13" t="n">
        <v>0</v>
      </c>
      <c r="T241" s="13"/>
      <c r="U241" s="11" t="n">
        <f aca="false">O241*4 + P241*2 + MAX(0,N241-O241-P241)*1 + Q241*0.2 + R241*2 + S241*1 + IF(T241="",0,IF(T241&lt;=10,8,IF(T241&lt;=50,6,IF(T241&lt;=100,4,2))))</f>
        <v>0</v>
      </c>
      <c r="V241" s="7"/>
      <c r="W241" s="12"/>
      <c r="X241" s="13"/>
      <c r="Y241" s="13" t="s">
        <v>1190</v>
      </c>
    </row>
    <row r="242" customFormat="false" ht="15.75" hidden="false" customHeight="true" outlineLevel="0" collapsed="false">
      <c r="A242" s="7" t="s">
        <v>1191</v>
      </c>
      <c r="B242" s="8" t="n">
        <v>1997</v>
      </c>
      <c r="C242" s="8" t="s">
        <v>26</v>
      </c>
      <c r="D242" s="8" t="n">
        <v>155</v>
      </c>
      <c r="E242" s="7" t="s">
        <v>1192</v>
      </c>
      <c r="F242" s="8" t="n">
        <v>7.9</v>
      </c>
      <c r="G242" s="8"/>
      <c r="H242" s="9" t="n">
        <v>308486</v>
      </c>
      <c r="I242" s="7" t="s">
        <v>46</v>
      </c>
      <c r="J242" s="7" t="s">
        <v>47</v>
      </c>
      <c r="K242" s="7" t="s">
        <v>1005</v>
      </c>
      <c r="L242" s="10" t="s">
        <v>220</v>
      </c>
      <c r="M242" s="7" t="s">
        <v>1193</v>
      </c>
      <c r="N242" s="8" t="n">
        <v>0</v>
      </c>
      <c r="O242" s="8" t="n">
        <v>0</v>
      </c>
      <c r="P242" s="8" t="n">
        <v>0</v>
      </c>
      <c r="Q242" s="8" t="n">
        <v>3</v>
      </c>
      <c r="R242" s="8" t="n">
        <v>0</v>
      </c>
      <c r="S242" s="8" t="n">
        <v>0</v>
      </c>
      <c r="T242" s="13"/>
      <c r="U242" s="11" t="n">
        <f aca="false">O242*4 + P242*2 + MAX(0,N242-O242-P242)*1 + Q242*0.2 + R242*2 + S242*1 + IF(T242="",0,IF(T242&lt;=10,8,IF(T242&lt;=50,6,IF(T242&lt;=100,4,2))))</f>
        <v>0.6</v>
      </c>
      <c r="V242" s="7"/>
      <c r="W242" s="12"/>
      <c r="X242" s="13"/>
      <c r="Y242" s="13" t="s">
        <v>1194</v>
      </c>
    </row>
    <row r="243" customFormat="false" ht="15.75" hidden="false" customHeight="true" outlineLevel="0" collapsed="false">
      <c r="A243" s="7" t="s">
        <v>1195</v>
      </c>
      <c r="B243" s="8" t="n">
        <v>2019</v>
      </c>
      <c r="C243" s="8" t="s">
        <v>176</v>
      </c>
      <c r="D243" s="8" t="n">
        <v>113</v>
      </c>
      <c r="E243" s="7" t="s">
        <v>1196</v>
      </c>
      <c r="F243" s="8" t="n">
        <v>7.8</v>
      </c>
      <c r="G243" s="8" t="n">
        <v>7</v>
      </c>
      <c r="H243" s="9" t="n">
        <v>462929</v>
      </c>
      <c r="I243" s="7" t="s">
        <v>359</v>
      </c>
      <c r="J243" s="7" t="s">
        <v>112</v>
      </c>
      <c r="K243" s="7" t="s">
        <v>54</v>
      </c>
      <c r="L243" s="10" t="s">
        <v>507</v>
      </c>
      <c r="M243" s="7" t="s">
        <v>1197</v>
      </c>
      <c r="N243" s="8" t="n">
        <v>0</v>
      </c>
      <c r="O243" s="8" t="n">
        <v>0</v>
      </c>
      <c r="P243" s="8" t="n">
        <v>0</v>
      </c>
      <c r="Q243" s="8" t="n">
        <v>0</v>
      </c>
      <c r="R243" s="13" t="n">
        <v>0</v>
      </c>
      <c r="S243" s="13" t="n">
        <v>0</v>
      </c>
      <c r="T243" s="13"/>
      <c r="U243" s="11" t="n">
        <f aca="false">O243*4 + P243*2 + MAX(0,N243-O243-P243)*1 + Q243*0.2 + R243*2 + S243*1 + IF(T243="",0,IF(T243&lt;=10,8,IF(T243&lt;=50,6,IF(T243&lt;=100,4,2))))</f>
        <v>0</v>
      </c>
      <c r="V243" s="7"/>
      <c r="W243" s="12"/>
      <c r="X243" s="13"/>
      <c r="Y243" s="13" t="s">
        <v>1198</v>
      </c>
    </row>
    <row r="244" customFormat="false" ht="15.75" hidden="false" customHeight="true" outlineLevel="0" collapsed="false">
      <c r="A244" s="7" t="s">
        <v>1199</v>
      </c>
      <c r="B244" s="8" t="n">
        <v>2009</v>
      </c>
      <c r="C244" s="8" t="s">
        <v>35</v>
      </c>
      <c r="D244" s="8" t="n">
        <v>87</v>
      </c>
      <c r="E244" s="7" t="s">
        <v>1200</v>
      </c>
      <c r="F244" s="8" t="n">
        <v>7.9</v>
      </c>
      <c r="G244" s="8"/>
      <c r="H244" s="9" t="n">
        <v>308998</v>
      </c>
      <c r="I244" s="7" t="s">
        <v>46</v>
      </c>
      <c r="J244" s="7" t="s">
        <v>579</v>
      </c>
      <c r="K244" s="7" t="s">
        <v>39</v>
      </c>
      <c r="L244" s="10" t="s">
        <v>1201</v>
      </c>
      <c r="M244" s="7" t="s">
        <v>1202</v>
      </c>
      <c r="N244" s="8" t="n">
        <v>0</v>
      </c>
      <c r="O244" s="8" t="n">
        <v>0</v>
      </c>
      <c r="P244" s="8" t="n">
        <v>0</v>
      </c>
      <c r="Q244" s="8" t="n">
        <v>2</v>
      </c>
      <c r="R244" s="8" t="n">
        <v>0</v>
      </c>
      <c r="S244" s="8" t="n">
        <v>0</v>
      </c>
      <c r="T244" s="13"/>
      <c r="U244" s="11" t="n">
        <f aca="false">O244*4 + P244*2 + MAX(0,N244-O244-P244)*1 + Q244*0.2 + R244*2 + S244*1 + IF(T244="",0,IF(T244&lt;=10,8,IF(T244&lt;=50,6,IF(T244&lt;=100,4,2))))</f>
        <v>0.4</v>
      </c>
      <c r="V244" s="7"/>
      <c r="W244" s="12"/>
      <c r="X244" s="13"/>
      <c r="Y244" s="13" t="s">
        <v>1203</v>
      </c>
    </row>
    <row r="245" customFormat="false" ht="15.75" hidden="false" customHeight="true" outlineLevel="0" collapsed="false">
      <c r="A245" s="7" t="s">
        <v>1204</v>
      </c>
      <c r="B245" s="8" t="n">
        <v>2009</v>
      </c>
      <c r="C245" s="8" t="s">
        <v>35</v>
      </c>
      <c r="D245" s="8" t="n">
        <v>97</v>
      </c>
      <c r="E245" s="7" t="s">
        <v>1205</v>
      </c>
      <c r="F245" s="8" t="n">
        <v>7.1</v>
      </c>
      <c r="G245" s="8"/>
      <c r="H245" s="9" t="n">
        <v>124460</v>
      </c>
      <c r="I245" s="7" t="s">
        <v>1206</v>
      </c>
      <c r="J245" s="7" t="s">
        <v>131</v>
      </c>
      <c r="K245" s="7" t="s">
        <v>47</v>
      </c>
      <c r="L245" s="10"/>
      <c r="M245" s="7" t="s">
        <v>1207</v>
      </c>
      <c r="N245" s="8" t="n">
        <v>0</v>
      </c>
      <c r="O245" s="8" t="n">
        <v>0</v>
      </c>
      <c r="P245" s="8" t="n">
        <v>0</v>
      </c>
      <c r="Q245" s="8" t="n">
        <v>1</v>
      </c>
      <c r="R245" s="8" t="n">
        <v>0</v>
      </c>
      <c r="S245" s="8" t="n">
        <v>0</v>
      </c>
      <c r="T245" s="13"/>
      <c r="U245" s="11" t="n">
        <f aca="false">O245*4 + P245*2 + MAX(0,N245-O245-P245)*1 + Q245*0.2 + R245*2 + S245*1 + IF(T245="",0,IF(T245&lt;=10,8,IF(T245&lt;=50,6,IF(T245&lt;=100,4,2))))</f>
        <v>0.2</v>
      </c>
      <c r="V245" s="7"/>
      <c r="W245" s="12"/>
      <c r="X245" s="13"/>
      <c r="Y245" s="13" t="s">
        <v>1208</v>
      </c>
    </row>
    <row r="246" customFormat="false" ht="15.75" hidden="false" customHeight="true" outlineLevel="0" collapsed="false">
      <c r="A246" s="7" t="s">
        <v>1209</v>
      </c>
      <c r="B246" s="8" t="n">
        <v>2009</v>
      </c>
      <c r="C246" s="8" t="s">
        <v>35</v>
      </c>
      <c r="D246" s="8" t="n">
        <v>155</v>
      </c>
      <c r="E246" s="7" t="s">
        <v>1210</v>
      </c>
      <c r="F246" s="8" t="n">
        <v>7.8</v>
      </c>
      <c r="G246" s="8"/>
      <c r="H246" s="9" t="n">
        <v>108080</v>
      </c>
      <c r="I246" s="7" t="s">
        <v>219</v>
      </c>
      <c r="J246" s="7" t="s">
        <v>47</v>
      </c>
      <c r="K246" s="7" t="s">
        <v>54</v>
      </c>
      <c r="L246" s="10" t="s">
        <v>1211</v>
      </c>
      <c r="M246" s="7" t="s">
        <v>1212</v>
      </c>
      <c r="N246" s="8" t="n">
        <v>0</v>
      </c>
      <c r="O246" s="8" t="n">
        <v>0</v>
      </c>
      <c r="P246" s="8" t="n">
        <v>0</v>
      </c>
      <c r="Q246" s="8" t="n">
        <v>1</v>
      </c>
      <c r="R246" s="8" t="n">
        <v>0</v>
      </c>
      <c r="S246" s="8" t="n">
        <v>0</v>
      </c>
      <c r="T246" s="8"/>
      <c r="U246" s="11" t="n">
        <f aca="false">O246*4 + P246*2 + MAX(0,N246-O246-P246)*1 + Q246*0.2 + R246*2 + S246*1 + IF(T246="",0,IF(T246&lt;=10,8,IF(T246&lt;=50,6,IF(T246&lt;=100,4,2))))</f>
        <v>0.2</v>
      </c>
      <c r="V246" s="10" t="s">
        <v>1213</v>
      </c>
      <c r="W246" s="12"/>
      <c r="X246" s="8" t="n">
        <v>65</v>
      </c>
      <c r="Y246" s="8" t="s">
        <v>1214</v>
      </c>
    </row>
    <row r="247" customFormat="false" ht="15.75" hidden="false" customHeight="true" outlineLevel="0" collapsed="false">
      <c r="A247" s="7" t="s">
        <v>1215</v>
      </c>
      <c r="B247" s="8" t="n">
        <v>1981</v>
      </c>
      <c r="C247" s="8" t="s">
        <v>109</v>
      </c>
      <c r="D247" s="8" t="n">
        <v>140</v>
      </c>
      <c r="E247" s="7" t="s">
        <v>1216</v>
      </c>
      <c r="F247" s="8" t="n">
        <v>7.3</v>
      </c>
      <c r="G247" s="8"/>
      <c r="H247" s="9" t="n">
        <v>74431</v>
      </c>
      <c r="I247" s="7" t="s">
        <v>280</v>
      </c>
      <c r="J247" s="7" t="s">
        <v>38</v>
      </c>
      <c r="K247" s="7" t="s">
        <v>39</v>
      </c>
      <c r="L247" s="10" t="s">
        <v>210</v>
      </c>
      <c r="M247" s="7" t="s">
        <v>1217</v>
      </c>
      <c r="N247" s="8" t="n">
        <v>0</v>
      </c>
      <c r="O247" s="8" t="n">
        <v>0</v>
      </c>
      <c r="P247" s="8" t="n">
        <v>0</v>
      </c>
      <c r="Q247" s="8" t="n">
        <v>1</v>
      </c>
      <c r="R247" s="8" t="n">
        <v>0</v>
      </c>
      <c r="S247" s="8" t="n">
        <v>0</v>
      </c>
      <c r="T247" s="13"/>
      <c r="U247" s="11" t="n">
        <f aca="false">O247*4 + P247*2 + MAX(0,N247-O247-P247)*1 + Q247*0.2 + R247*2 + S247*1 + IF(T247="",0,IF(T247&lt;=10,8,IF(T247&lt;=50,6,IF(T247&lt;=100,4,2))))</f>
        <v>0.2</v>
      </c>
      <c r="V247" s="7"/>
      <c r="W247" s="12"/>
      <c r="X247" s="13"/>
      <c r="Y247" s="13" t="s">
        <v>1218</v>
      </c>
    </row>
    <row r="248" customFormat="false" ht="15.75" hidden="false" customHeight="true" outlineLevel="0" collapsed="false">
      <c r="A248" s="7" t="s">
        <v>1219</v>
      </c>
      <c r="B248" s="8" t="n">
        <v>1992</v>
      </c>
      <c r="C248" s="8" t="s">
        <v>26</v>
      </c>
      <c r="D248" s="8" t="n">
        <v>109</v>
      </c>
      <c r="E248" s="7" t="s">
        <v>1220</v>
      </c>
      <c r="F248" s="8" t="n">
        <v>7.1</v>
      </c>
      <c r="G248" s="8"/>
      <c r="H248" s="9" t="n">
        <v>12277</v>
      </c>
      <c r="I248" s="7" t="s">
        <v>232</v>
      </c>
      <c r="J248" s="7" t="s">
        <v>29</v>
      </c>
      <c r="K248" s="7" t="s">
        <v>1221</v>
      </c>
      <c r="L248" s="10" t="s">
        <v>1222</v>
      </c>
      <c r="M248" s="7" t="s">
        <v>1223</v>
      </c>
      <c r="N248" s="8" t="n">
        <v>1</v>
      </c>
      <c r="O248" s="8" t="n">
        <v>0</v>
      </c>
      <c r="P248" s="8" t="n">
        <v>0</v>
      </c>
      <c r="Q248" s="8" t="n">
        <v>1</v>
      </c>
      <c r="R248" s="8" t="n">
        <v>0</v>
      </c>
      <c r="S248" s="8" t="n">
        <v>0</v>
      </c>
      <c r="T248" s="13"/>
      <c r="U248" s="11" t="n">
        <f aca="false">O248*4 + P248*2 + MAX(0,N248-O248-P248)*1 + Q248*0.2 + R248*2 + S248*1 + IF(T248="",0,IF(T248&lt;=10,8,IF(T248&lt;=50,6,IF(T248&lt;=100,4,2))))</f>
        <v>1.2</v>
      </c>
      <c r="V248" s="7"/>
      <c r="W248" s="12"/>
      <c r="X248" s="13"/>
      <c r="Y248" s="13" t="s">
        <v>1224</v>
      </c>
    </row>
    <row r="249" customFormat="false" ht="15.75" hidden="false" customHeight="true" outlineLevel="0" collapsed="false">
      <c r="A249" s="7" t="s">
        <v>1225</v>
      </c>
      <c r="B249" s="8" t="n">
        <v>1998</v>
      </c>
      <c r="C249" s="8" t="s">
        <v>26</v>
      </c>
      <c r="D249" s="8" t="n">
        <v>80</v>
      </c>
      <c r="E249" s="7" t="s">
        <v>1226</v>
      </c>
      <c r="F249" s="8" t="n">
        <v>7.6</v>
      </c>
      <c r="G249" s="8"/>
      <c r="H249" s="9" t="n">
        <v>217804</v>
      </c>
      <c r="I249" s="7" t="s">
        <v>258</v>
      </c>
      <c r="J249" s="7" t="s">
        <v>131</v>
      </c>
      <c r="K249" s="7" t="s">
        <v>54</v>
      </c>
      <c r="L249" s="10"/>
      <c r="M249" s="7" t="s">
        <v>1227</v>
      </c>
      <c r="N249" s="8" t="n">
        <v>0</v>
      </c>
      <c r="O249" s="8" t="n">
        <v>0</v>
      </c>
      <c r="P249" s="8" t="n">
        <v>0</v>
      </c>
      <c r="Q249" s="8" t="n">
        <v>0</v>
      </c>
      <c r="R249" s="13" t="n">
        <v>0</v>
      </c>
      <c r="S249" s="13" t="n">
        <v>0</v>
      </c>
      <c r="T249" s="13"/>
      <c r="U249" s="11" t="n">
        <f aca="false">O249*4 + P249*2 + MAX(0,N249-O249-P249)*1 + Q249*0.2 + R249*2 + S249*1 + IF(T249="",0,IF(T249&lt;=10,8,IF(T249&lt;=50,6,IF(T249&lt;=100,4,2))))</f>
        <v>0</v>
      </c>
      <c r="V249" s="7"/>
      <c r="W249" s="12"/>
      <c r="X249" s="13"/>
      <c r="Y249" s="13" t="s">
        <v>1228</v>
      </c>
    </row>
    <row r="250" customFormat="false" ht="15.75" hidden="false" customHeight="true" outlineLevel="0" collapsed="false">
      <c r="A250" s="7" t="s">
        <v>1229</v>
      </c>
      <c r="B250" s="8" t="n">
        <v>2009</v>
      </c>
      <c r="C250" s="8" t="s">
        <v>35</v>
      </c>
      <c r="D250" s="8" t="n">
        <v>92</v>
      </c>
      <c r="E250" s="7" t="s">
        <v>1230</v>
      </c>
      <c r="F250" s="8" t="n">
        <v>8.1</v>
      </c>
      <c r="G250" s="8"/>
      <c r="H250" s="9" t="n">
        <v>202870</v>
      </c>
      <c r="I250" s="7" t="s">
        <v>1231</v>
      </c>
      <c r="J250" s="7" t="s">
        <v>579</v>
      </c>
      <c r="K250" s="7" t="s">
        <v>30</v>
      </c>
      <c r="L250" s="10" t="s">
        <v>113</v>
      </c>
      <c r="M250" s="7" t="s">
        <v>1232</v>
      </c>
      <c r="N250" s="8" t="n">
        <v>0</v>
      </c>
      <c r="O250" s="8" t="n">
        <v>0</v>
      </c>
      <c r="P250" s="8" t="n">
        <v>0</v>
      </c>
      <c r="Q250" s="8" t="n">
        <v>0</v>
      </c>
      <c r="R250" s="13" t="n">
        <v>0</v>
      </c>
      <c r="S250" s="13" t="n">
        <v>0</v>
      </c>
      <c r="T250" s="13"/>
      <c r="U250" s="11" t="n">
        <f aca="false">O250*4 + P250*2 + MAX(0,N250-O250-P250)*1 + Q250*0.2 + R250*2 + S250*1 + IF(T250="",0,IF(T250&lt;=10,8,IF(T250&lt;=50,6,IF(T250&lt;=100,4,2))))</f>
        <v>0</v>
      </c>
      <c r="V250" s="7"/>
      <c r="W250" s="12"/>
      <c r="X250" s="13"/>
      <c r="Y250" s="13" t="s">
        <v>1233</v>
      </c>
    </row>
    <row r="251" customFormat="false" ht="15.75" hidden="false" customHeight="true" outlineLevel="0" collapsed="false">
      <c r="A251" s="7" t="s">
        <v>1234</v>
      </c>
      <c r="B251" s="8" t="n">
        <v>2021</v>
      </c>
      <c r="C251" s="8" t="s">
        <v>378</v>
      </c>
      <c r="D251" s="8" t="n">
        <v>152</v>
      </c>
      <c r="E251" s="7" t="s">
        <v>1074</v>
      </c>
      <c r="F251" s="8" t="n">
        <v>7.3</v>
      </c>
      <c r="G251" s="8"/>
      <c r="H251" s="9" t="n">
        <v>209220</v>
      </c>
      <c r="I251" s="7" t="s">
        <v>153</v>
      </c>
      <c r="J251" s="7" t="s">
        <v>131</v>
      </c>
      <c r="K251" s="7" t="s">
        <v>453</v>
      </c>
      <c r="L251" s="10" t="s">
        <v>1235</v>
      </c>
      <c r="M251" s="7" t="s">
        <v>1236</v>
      </c>
      <c r="N251" s="8" t="n">
        <v>0</v>
      </c>
      <c r="O251" s="8" t="n">
        <v>0</v>
      </c>
      <c r="P251" s="8" t="n">
        <v>0</v>
      </c>
      <c r="Q251" s="8" t="n">
        <v>0</v>
      </c>
      <c r="R251" s="13" t="n">
        <v>0</v>
      </c>
      <c r="S251" s="13" t="n">
        <v>0</v>
      </c>
      <c r="T251" s="13"/>
      <c r="U251" s="11" t="n">
        <f aca="false">O251*4 + P251*2 + MAX(0,N251-O251-P251)*1 + Q251*0.2 + R251*2 + S251*1 + IF(T251="",0,IF(T251&lt;=10,8,IF(T251&lt;=50,6,IF(T251&lt;=100,4,2))))</f>
        <v>0</v>
      </c>
      <c r="V251" s="7"/>
      <c r="W251" s="12"/>
      <c r="X251" s="13"/>
      <c r="Y251" s="13" t="s">
        <v>1237</v>
      </c>
    </row>
    <row r="252" customFormat="false" ht="15.75" hidden="false" customHeight="true" outlineLevel="0" collapsed="false">
      <c r="A252" s="7" t="s">
        <v>1238</v>
      </c>
      <c r="B252" s="8" t="n">
        <v>2004</v>
      </c>
      <c r="C252" s="8" t="s">
        <v>35</v>
      </c>
      <c r="D252" s="8" t="n">
        <v>152</v>
      </c>
      <c r="E252" s="7" t="s">
        <v>1239</v>
      </c>
      <c r="F252" s="8" t="n">
        <v>7.7</v>
      </c>
      <c r="G252" s="8"/>
      <c r="H252" s="9" t="n">
        <v>166826</v>
      </c>
      <c r="I252" s="7" t="s">
        <v>46</v>
      </c>
      <c r="J252" s="7" t="s">
        <v>90</v>
      </c>
      <c r="K252" s="7" t="s">
        <v>48</v>
      </c>
      <c r="L252" s="10"/>
      <c r="M252" s="7" t="s">
        <v>1240</v>
      </c>
      <c r="N252" s="8" t="n">
        <v>2</v>
      </c>
      <c r="O252" s="8" t="n">
        <v>0</v>
      </c>
      <c r="P252" s="8" t="n">
        <v>0</v>
      </c>
      <c r="Q252" s="8" t="n">
        <v>6</v>
      </c>
      <c r="R252" s="8" t="n">
        <v>0</v>
      </c>
      <c r="S252" s="8" t="n">
        <v>0</v>
      </c>
      <c r="T252" s="13"/>
      <c r="U252" s="11" t="n">
        <f aca="false">O252*4 + P252*2 + MAX(0,N252-O252-P252)*1 + Q252*0.2 + R252*2 + S252*1 + IF(T252="",0,IF(T252&lt;=10,8,IF(T252&lt;=50,6,IF(T252&lt;=100,4,2))))</f>
        <v>3.2</v>
      </c>
      <c r="V252" s="7"/>
      <c r="W252" s="12"/>
      <c r="X252" s="13"/>
      <c r="Y252" s="13" t="s">
        <v>1241</v>
      </c>
    </row>
    <row r="253" customFormat="false" ht="15.75" hidden="false" customHeight="true" outlineLevel="0" collapsed="false">
      <c r="A253" s="7" t="s">
        <v>1242</v>
      </c>
      <c r="B253" s="8" t="n">
        <v>2024</v>
      </c>
      <c r="C253" s="8" t="s">
        <v>378</v>
      </c>
      <c r="D253" s="8" t="n">
        <v>96</v>
      </c>
      <c r="E253" s="7" t="s">
        <v>1243</v>
      </c>
      <c r="F253" s="8" t="n">
        <v>7.5</v>
      </c>
      <c r="G253" s="8" t="n">
        <v>7</v>
      </c>
      <c r="H253" s="9" t="n">
        <v>258213</v>
      </c>
      <c r="I253" s="7" t="s">
        <v>46</v>
      </c>
      <c r="J253" s="7" t="s">
        <v>579</v>
      </c>
      <c r="K253" s="7" t="s">
        <v>39</v>
      </c>
      <c r="L253" s="10" t="s">
        <v>177</v>
      </c>
      <c r="M253" s="7" t="s">
        <v>1244</v>
      </c>
      <c r="N253" s="8" t="n">
        <v>0</v>
      </c>
      <c r="O253" s="8" t="n">
        <v>0</v>
      </c>
      <c r="P253" s="8" t="n">
        <v>0</v>
      </c>
      <c r="Q253" s="8" t="n">
        <v>1</v>
      </c>
      <c r="R253" s="8" t="n">
        <v>0</v>
      </c>
      <c r="S253" s="8" t="n">
        <v>0</v>
      </c>
      <c r="T253" s="13"/>
      <c r="U253" s="11" t="n">
        <f aca="false">O253*4 + P253*2 + MAX(0,N253-O253-P253)*1 + Q253*0.2 + R253*2 + S253*1 + IF(T253="",0,IF(T253&lt;=10,8,IF(T253&lt;=50,6,IF(T253&lt;=100,4,2))))</f>
        <v>0.2</v>
      </c>
      <c r="V253" s="7"/>
      <c r="W253" s="12"/>
      <c r="X253" s="13"/>
      <c r="Y253" s="13" t="s">
        <v>1245</v>
      </c>
    </row>
    <row r="254" customFormat="false" ht="15.75" hidden="false" customHeight="true" outlineLevel="0" collapsed="false">
      <c r="A254" s="7" t="s">
        <v>1246</v>
      </c>
      <c r="B254" s="8" t="n">
        <v>1989</v>
      </c>
      <c r="C254" s="8" t="s">
        <v>109</v>
      </c>
      <c r="D254" s="8" t="n">
        <v>104</v>
      </c>
      <c r="E254" s="7" t="s">
        <v>388</v>
      </c>
      <c r="F254" s="8" t="n">
        <v>7.8</v>
      </c>
      <c r="G254" s="8"/>
      <c r="H254" s="9" t="n">
        <v>63618</v>
      </c>
      <c r="I254" s="7" t="s">
        <v>46</v>
      </c>
      <c r="J254" s="7" t="s">
        <v>30</v>
      </c>
      <c r="K254" s="7" t="s">
        <v>47</v>
      </c>
      <c r="L254" s="10"/>
      <c r="M254" s="7" t="s">
        <v>1247</v>
      </c>
      <c r="N254" s="8" t="n">
        <v>0</v>
      </c>
      <c r="O254" s="8" t="n">
        <v>0</v>
      </c>
      <c r="P254" s="8" t="n">
        <v>0</v>
      </c>
      <c r="Q254" s="8" t="n">
        <v>3</v>
      </c>
      <c r="R254" s="8" t="n">
        <v>0</v>
      </c>
      <c r="S254" s="8" t="n">
        <v>0</v>
      </c>
      <c r="T254" s="13"/>
      <c r="U254" s="11" t="n">
        <f aca="false">O254*4 + P254*2 + MAX(0,N254-O254-P254)*1 + Q254*0.2 + R254*2 + S254*1 + IF(T254="",0,IF(T254&lt;=10,8,IF(T254&lt;=50,6,IF(T254&lt;=100,4,2))))</f>
        <v>0.6</v>
      </c>
      <c r="V254" s="7"/>
      <c r="W254" s="12"/>
      <c r="X254" s="13"/>
      <c r="Y254" s="13" t="s">
        <v>1248</v>
      </c>
    </row>
    <row r="255" customFormat="false" ht="15.75" hidden="false" customHeight="true" outlineLevel="0" collapsed="false">
      <c r="A255" s="7" t="s">
        <v>1249</v>
      </c>
      <c r="B255" s="8" t="n">
        <v>1985</v>
      </c>
      <c r="C255" s="8" t="s">
        <v>109</v>
      </c>
      <c r="D255" s="8" t="n">
        <v>97</v>
      </c>
      <c r="E255" s="7" t="s">
        <v>1250</v>
      </c>
      <c r="F255" s="8" t="n">
        <v>7.8</v>
      </c>
      <c r="G255" s="8"/>
      <c r="H255" s="9" t="n">
        <v>475967</v>
      </c>
      <c r="I255" s="7" t="s">
        <v>46</v>
      </c>
      <c r="J255" s="7" t="s">
        <v>30</v>
      </c>
      <c r="K255" s="7" t="s">
        <v>47</v>
      </c>
      <c r="L255" s="10"/>
      <c r="M255" s="7" t="s">
        <v>1251</v>
      </c>
      <c r="N255" s="8" t="n">
        <v>0</v>
      </c>
      <c r="O255" s="8" t="n">
        <v>0</v>
      </c>
      <c r="P255" s="8" t="n">
        <v>0</v>
      </c>
      <c r="Q255" s="8" t="n">
        <v>0</v>
      </c>
      <c r="R255" s="13" t="n">
        <v>0</v>
      </c>
      <c r="S255" s="13" t="n">
        <v>0</v>
      </c>
      <c r="T255" s="13"/>
      <c r="U255" s="11" t="n">
        <f aca="false">O255*4 + P255*2 + MAX(0,N255-O255-P255)*1 + Q255*0.2 + R255*2 + S255*1 + IF(T255="",0,IF(T255&lt;=10,8,IF(T255&lt;=50,6,IF(T255&lt;=100,4,2))))</f>
        <v>0</v>
      </c>
      <c r="V255" s="7"/>
      <c r="W255" s="12"/>
      <c r="X255" s="13"/>
      <c r="Y255" s="13" t="s">
        <v>1252</v>
      </c>
    </row>
    <row r="256" customFormat="false" ht="15.75" hidden="false" customHeight="true" outlineLevel="0" collapsed="false">
      <c r="A256" s="7" t="s">
        <v>1253</v>
      </c>
      <c r="B256" s="8" t="n">
        <v>2006</v>
      </c>
      <c r="C256" s="8" t="s">
        <v>35</v>
      </c>
      <c r="D256" s="8" t="n">
        <v>123</v>
      </c>
      <c r="E256" s="7" t="s">
        <v>1254</v>
      </c>
      <c r="F256" s="8" t="n">
        <v>7.6</v>
      </c>
      <c r="G256" s="8"/>
      <c r="H256" s="9" t="n">
        <v>206807</v>
      </c>
      <c r="I256" s="7" t="s">
        <v>1255</v>
      </c>
      <c r="J256" s="7" t="s">
        <v>47</v>
      </c>
      <c r="K256" s="7" t="s">
        <v>48</v>
      </c>
      <c r="L256" s="10" t="s">
        <v>177</v>
      </c>
      <c r="M256" s="7" t="s">
        <v>1256</v>
      </c>
      <c r="N256" s="8" t="n">
        <v>1</v>
      </c>
      <c r="O256" s="8" t="n">
        <v>0</v>
      </c>
      <c r="P256" s="8" t="n">
        <v>0</v>
      </c>
      <c r="Q256" s="8" t="n">
        <v>1</v>
      </c>
      <c r="R256" s="8" t="n">
        <v>0</v>
      </c>
      <c r="S256" s="8" t="n">
        <v>0</v>
      </c>
      <c r="T256" s="13"/>
      <c r="U256" s="11" t="n">
        <f aca="false">O256*4 + P256*2 + MAX(0,N256-O256-P256)*1 + Q256*0.2 + R256*2 + S256*1 + IF(T256="",0,IF(T256&lt;=10,8,IF(T256&lt;=50,6,IF(T256&lt;=100,4,2))))</f>
        <v>1.2</v>
      </c>
      <c r="V256" s="7"/>
      <c r="W256" s="12"/>
      <c r="X256" s="13"/>
      <c r="Y256" s="13" t="s">
        <v>1257</v>
      </c>
    </row>
    <row r="257" customFormat="false" ht="15.75" hidden="false" customHeight="true" outlineLevel="0" collapsed="false">
      <c r="A257" s="7" t="s">
        <v>1258</v>
      </c>
      <c r="B257" s="8" t="n">
        <v>2017</v>
      </c>
      <c r="C257" s="8" t="s">
        <v>176</v>
      </c>
      <c r="D257" s="8" t="n">
        <v>119</v>
      </c>
      <c r="E257" s="7" t="s">
        <v>1259</v>
      </c>
      <c r="F257" s="8" t="n">
        <v>7.5</v>
      </c>
      <c r="G257" s="8"/>
      <c r="H257" s="9" t="n">
        <v>263146</v>
      </c>
      <c r="I257" s="7" t="s">
        <v>46</v>
      </c>
      <c r="J257" s="7" t="s">
        <v>30</v>
      </c>
      <c r="K257" s="7" t="s">
        <v>48</v>
      </c>
      <c r="L257" s="10" t="s">
        <v>161</v>
      </c>
      <c r="M257" s="7" t="s">
        <v>1260</v>
      </c>
      <c r="N257" s="8" t="n">
        <v>1</v>
      </c>
      <c r="O257" s="8" t="n">
        <v>0</v>
      </c>
      <c r="P257" s="8" t="n">
        <v>0</v>
      </c>
      <c r="Q257" s="8" t="n">
        <v>3</v>
      </c>
      <c r="R257" s="8" t="n">
        <v>0</v>
      </c>
      <c r="S257" s="8" t="n">
        <v>0</v>
      </c>
      <c r="T257" s="13"/>
      <c r="U257" s="11" t="n">
        <f aca="false">O257*4 + P257*2 + MAX(0,N257-O257-P257)*1 + Q257*0.2 + R257*2 + S257*1 + IF(T257="",0,IF(T257&lt;=10,8,IF(T257&lt;=50,6,IF(T257&lt;=100,4,2))))</f>
        <v>1.6</v>
      </c>
      <c r="V257" s="7"/>
      <c r="W257" s="12"/>
      <c r="X257" s="13"/>
      <c r="Y257" s="13" t="s">
        <v>1261</v>
      </c>
    </row>
    <row r="258" customFormat="false" ht="15.75" hidden="false" customHeight="true" outlineLevel="0" collapsed="false">
      <c r="A258" s="7" t="s">
        <v>1262</v>
      </c>
      <c r="B258" s="8" t="n">
        <v>1993</v>
      </c>
      <c r="C258" s="8" t="s">
        <v>26</v>
      </c>
      <c r="D258" s="8" t="n">
        <v>118</v>
      </c>
      <c r="E258" s="7" t="s">
        <v>1187</v>
      </c>
      <c r="F258" s="8" t="n">
        <v>7.7</v>
      </c>
      <c r="G258" s="8"/>
      <c r="H258" s="9" t="n">
        <v>270517</v>
      </c>
      <c r="I258" s="7" t="s">
        <v>46</v>
      </c>
      <c r="J258" s="7" t="s">
        <v>47</v>
      </c>
      <c r="K258" s="7"/>
      <c r="L258" s="10" t="s">
        <v>1263</v>
      </c>
      <c r="M258" s="7" t="s">
        <v>1264</v>
      </c>
      <c r="N258" s="8" t="n">
        <v>0</v>
      </c>
      <c r="O258" s="8" t="n">
        <v>0</v>
      </c>
      <c r="P258" s="8" t="n">
        <v>0</v>
      </c>
      <c r="Q258" s="8" t="n">
        <v>1</v>
      </c>
      <c r="R258" s="8" t="n">
        <v>0</v>
      </c>
      <c r="S258" s="8" t="n">
        <v>0</v>
      </c>
      <c r="T258" s="13"/>
      <c r="U258" s="11" t="n">
        <f aca="false">O258*4 + P258*2 + MAX(0,N258-O258-P258)*1 + Q258*0.2 + R258*2 + S258*1 + IF(T258="",0,IF(T258&lt;=10,8,IF(T258&lt;=50,6,IF(T258&lt;=100,4,2))))</f>
        <v>0.2</v>
      </c>
      <c r="V258" s="7"/>
      <c r="W258" s="12"/>
      <c r="X258" s="13"/>
      <c r="Y258" s="13" t="s">
        <v>1265</v>
      </c>
    </row>
    <row r="259" customFormat="false" ht="15.75" hidden="false" customHeight="true" outlineLevel="0" collapsed="false">
      <c r="A259" s="7" t="s">
        <v>1266</v>
      </c>
      <c r="B259" s="8" t="n">
        <v>1990</v>
      </c>
      <c r="C259" s="8" t="s">
        <v>26</v>
      </c>
      <c r="D259" s="8" t="n">
        <v>121</v>
      </c>
      <c r="E259" s="7" t="s">
        <v>1267</v>
      </c>
      <c r="F259" s="8" t="n">
        <v>7.8</v>
      </c>
      <c r="G259" s="8"/>
      <c r="H259" s="9" t="n">
        <v>178194</v>
      </c>
      <c r="I259" s="7" t="s">
        <v>46</v>
      </c>
      <c r="J259" s="7" t="s">
        <v>47</v>
      </c>
      <c r="K259" s="7" t="s">
        <v>48</v>
      </c>
      <c r="L259" s="10"/>
      <c r="M259" s="7" t="s">
        <v>1268</v>
      </c>
      <c r="N259" s="8" t="n">
        <v>0</v>
      </c>
      <c r="O259" s="8" t="n">
        <v>0</v>
      </c>
      <c r="P259" s="8" t="n">
        <v>0</v>
      </c>
      <c r="Q259" s="8" t="n">
        <v>3</v>
      </c>
      <c r="R259" s="8" t="n">
        <v>0</v>
      </c>
      <c r="S259" s="8" t="n">
        <v>0</v>
      </c>
      <c r="T259" s="13"/>
      <c r="U259" s="11" t="n">
        <f aca="false">O259*4 + P259*2 + MAX(0,N259-O259-P259)*1 + Q259*0.2 + R259*2 + S259*1 + IF(T259="",0,IF(T259&lt;=10,8,IF(T259&lt;=50,6,IF(T259&lt;=100,4,2))))</f>
        <v>0.6</v>
      </c>
      <c r="V259" s="7"/>
      <c r="W259" s="12"/>
      <c r="X259" s="13"/>
      <c r="Y259" s="13" t="s">
        <v>1269</v>
      </c>
    </row>
    <row r="260" customFormat="false" ht="15.75" hidden="false" customHeight="true" outlineLevel="0" collapsed="false">
      <c r="A260" s="7" t="s">
        <v>1270</v>
      </c>
      <c r="B260" s="8" t="n">
        <v>1940</v>
      </c>
      <c r="C260" s="8" t="s">
        <v>243</v>
      </c>
      <c r="D260" s="8" t="n">
        <v>129</v>
      </c>
      <c r="E260" s="7" t="s">
        <v>285</v>
      </c>
      <c r="F260" s="8" t="n">
        <v>8.1</v>
      </c>
      <c r="G260" s="8"/>
      <c r="H260" s="9" t="n">
        <v>107440</v>
      </c>
      <c r="I260" s="7" t="s">
        <v>46</v>
      </c>
      <c r="J260" s="7" t="s">
        <v>47</v>
      </c>
      <c r="K260" s="7"/>
      <c r="L260" s="10"/>
      <c r="M260" s="7" t="s">
        <v>1271</v>
      </c>
      <c r="N260" s="8" t="n">
        <v>2</v>
      </c>
      <c r="O260" s="8" t="n">
        <v>0</v>
      </c>
      <c r="P260" s="8" t="n">
        <v>1</v>
      </c>
      <c r="Q260" s="8" t="n">
        <v>7</v>
      </c>
      <c r="R260" s="8" t="n">
        <v>0</v>
      </c>
      <c r="S260" s="8" t="n">
        <v>0</v>
      </c>
      <c r="T260" s="13"/>
      <c r="U260" s="11" t="n">
        <f aca="false">O260*4 + P260*2 + MAX(0,N260-O260-P260)*1 + Q260*0.2 + R260*2 + S260*1 + IF(T260="",0,IF(T260&lt;=10,8,IF(T260&lt;=50,6,IF(T260&lt;=100,4,2))))</f>
        <v>4.4</v>
      </c>
      <c r="V260" s="7" t="s">
        <v>1272</v>
      </c>
      <c r="W260" s="12"/>
      <c r="X260" s="13"/>
      <c r="Y260" s="13" t="s">
        <v>1273</v>
      </c>
    </row>
    <row r="261" customFormat="false" ht="15.75" hidden="false" customHeight="true" outlineLevel="0" collapsed="false">
      <c r="A261" s="7" t="s">
        <v>1274</v>
      </c>
      <c r="B261" s="8" t="n">
        <v>2023</v>
      </c>
      <c r="C261" s="8" t="s">
        <v>378</v>
      </c>
      <c r="D261" s="8" t="n">
        <v>151</v>
      </c>
      <c r="E261" s="7" t="s">
        <v>1275</v>
      </c>
      <c r="F261" s="8" t="n">
        <v>7.6</v>
      </c>
      <c r="G261" s="8"/>
      <c r="H261" s="9" t="n">
        <v>236023</v>
      </c>
      <c r="I261" s="7" t="s">
        <v>219</v>
      </c>
      <c r="J261" s="7" t="s">
        <v>47</v>
      </c>
      <c r="K261" s="7" t="s">
        <v>54</v>
      </c>
      <c r="L261" s="10" t="s">
        <v>1276</v>
      </c>
      <c r="M261" s="7" t="s">
        <v>1277</v>
      </c>
      <c r="N261" s="8" t="n">
        <v>1</v>
      </c>
      <c r="O261" s="8" t="n">
        <v>0</v>
      </c>
      <c r="P261" s="8" t="n">
        <v>0</v>
      </c>
      <c r="Q261" s="8" t="n">
        <v>5</v>
      </c>
      <c r="R261" s="8" t="n">
        <v>0</v>
      </c>
      <c r="S261" s="8" t="n">
        <v>0</v>
      </c>
      <c r="T261" s="13"/>
      <c r="U261" s="11" t="n">
        <f aca="false">O261*4 + P261*2 + MAX(0,N261-O261-P261)*1 + Q261*0.2 + R261*2 + S261*1 + IF(T261="",0,IF(T261&lt;=10,8,IF(T261&lt;=50,6,IF(T261&lt;=100,4,2))))</f>
        <v>2</v>
      </c>
      <c r="V261" s="7"/>
      <c r="W261" s="12"/>
      <c r="X261" s="13"/>
      <c r="Y261" s="13" t="s">
        <v>1278</v>
      </c>
    </row>
    <row r="262" customFormat="false" ht="15.75" hidden="false" customHeight="true" outlineLevel="0" collapsed="false">
      <c r="A262" s="7" t="s">
        <v>1279</v>
      </c>
      <c r="B262" s="8" t="n">
        <v>2001</v>
      </c>
      <c r="C262" s="8" t="s">
        <v>35</v>
      </c>
      <c r="D262" s="8" t="n">
        <v>131</v>
      </c>
      <c r="E262" s="7" t="s">
        <v>462</v>
      </c>
      <c r="F262" s="8" t="n">
        <v>7.5</v>
      </c>
      <c r="G262" s="8"/>
      <c r="H262" s="9" t="n">
        <v>82336</v>
      </c>
      <c r="I262" s="7" t="s">
        <v>219</v>
      </c>
      <c r="J262" s="7" t="s">
        <v>90</v>
      </c>
      <c r="K262" s="7" t="s">
        <v>29</v>
      </c>
      <c r="L262" s="10" t="s">
        <v>1280</v>
      </c>
      <c r="M262" s="7" t="s">
        <v>1281</v>
      </c>
      <c r="N262" s="8" t="n">
        <v>0</v>
      </c>
      <c r="O262" s="8" t="n">
        <v>0</v>
      </c>
      <c r="P262" s="8" t="n">
        <v>0</v>
      </c>
      <c r="Q262" s="8" t="n">
        <v>0</v>
      </c>
      <c r="R262" s="13" t="n">
        <v>0</v>
      </c>
      <c r="S262" s="13" t="n">
        <v>0</v>
      </c>
      <c r="T262" s="13"/>
      <c r="U262" s="11" t="n">
        <f aca="false">O262*4 + P262*2 + MAX(0,N262-O262-P262)*1 + Q262*0.2 + R262*2 + S262*1 + IF(T262="",0,IF(T262&lt;=10,8,IF(T262&lt;=50,6,IF(T262&lt;=100,4,2))))</f>
        <v>0</v>
      </c>
      <c r="V262" s="7"/>
      <c r="W262" s="12"/>
      <c r="X262" s="13"/>
      <c r="Y262" s="13" t="s">
        <v>1282</v>
      </c>
    </row>
    <row r="263" customFormat="false" ht="15.75" hidden="false" customHeight="true" outlineLevel="0" collapsed="false">
      <c r="A263" s="7" t="s">
        <v>1283</v>
      </c>
      <c r="B263" s="8" t="n">
        <v>1932</v>
      </c>
      <c r="C263" s="8" t="s">
        <v>96</v>
      </c>
      <c r="D263" s="8" t="n">
        <v>64</v>
      </c>
      <c r="E263" s="7" t="s">
        <v>1284</v>
      </c>
      <c r="F263" s="8" t="n">
        <v>7.8</v>
      </c>
      <c r="G263" s="8"/>
      <c r="H263" s="9" t="n">
        <v>55189</v>
      </c>
      <c r="I263" s="7" t="s">
        <v>46</v>
      </c>
      <c r="J263" s="7" t="s">
        <v>147</v>
      </c>
      <c r="K263" s="7" t="s">
        <v>47</v>
      </c>
      <c r="L263" s="10" t="s">
        <v>1285</v>
      </c>
      <c r="M263" s="7" t="s">
        <v>1286</v>
      </c>
      <c r="N263" s="8" t="n">
        <v>0</v>
      </c>
      <c r="O263" s="8" t="n">
        <v>0</v>
      </c>
      <c r="P263" s="8" t="n">
        <v>0</v>
      </c>
      <c r="Q263" s="8" t="n">
        <v>0</v>
      </c>
      <c r="R263" s="13" t="n">
        <v>0</v>
      </c>
      <c r="S263" s="13" t="n">
        <v>0</v>
      </c>
      <c r="T263" s="13"/>
      <c r="U263" s="11" t="n">
        <f aca="false">O263*4 + P263*2 + MAX(0,N263-O263-P263)*1 + Q263*0.2 + R263*2 + S263*1 + IF(T263="",0,IF(T263&lt;=10,8,IF(T263&lt;=50,6,IF(T263&lt;=100,4,2))))</f>
        <v>0</v>
      </c>
      <c r="V263" s="7" t="s">
        <v>1287</v>
      </c>
      <c r="W263" s="12"/>
      <c r="X263" s="13"/>
      <c r="Y263" s="13" t="s">
        <v>1288</v>
      </c>
    </row>
    <row r="264" customFormat="false" ht="15.75" hidden="false" customHeight="true" outlineLevel="0" collapsed="false">
      <c r="A264" s="7" t="s">
        <v>1289</v>
      </c>
      <c r="B264" s="8" t="n">
        <v>1985</v>
      </c>
      <c r="C264" s="8" t="s">
        <v>109</v>
      </c>
      <c r="D264" s="8" t="n">
        <v>154</v>
      </c>
      <c r="E264" s="7" t="s">
        <v>45</v>
      </c>
      <c r="F264" s="8" t="n">
        <v>7.7</v>
      </c>
      <c r="G264" s="8"/>
      <c r="H264" s="9" t="n">
        <v>105076</v>
      </c>
      <c r="I264" s="7" t="s">
        <v>46</v>
      </c>
      <c r="J264" s="7" t="s">
        <v>47</v>
      </c>
      <c r="K264" s="7"/>
      <c r="L264" s="10" t="s">
        <v>210</v>
      </c>
      <c r="M264" s="7" t="s">
        <v>1290</v>
      </c>
      <c r="N264" s="8" t="n">
        <v>0</v>
      </c>
      <c r="O264" s="8" t="n">
        <v>0</v>
      </c>
      <c r="P264" s="8" t="n">
        <v>0</v>
      </c>
      <c r="Q264" s="8" t="n">
        <v>11</v>
      </c>
      <c r="R264" s="8" t="n">
        <v>0</v>
      </c>
      <c r="S264" s="8" t="n">
        <v>0</v>
      </c>
      <c r="T264" s="13"/>
      <c r="U264" s="11" t="n">
        <f aca="false">O264*4 + P264*2 + MAX(0,N264-O264-P264)*1 + Q264*0.2 + R264*2 + S264*1 + IF(T264="",0,IF(T264&lt;=10,8,IF(T264&lt;=50,6,IF(T264&lt;=100,4,2))))</f>
        <v>2.2</v>
      </c>
      <c r="V264" s="7"/>
      <c r="W264" s="12"/>
      <c r="X264" s="13"/>
      <c r="Y264" s="13" t="s">
        <v>1291</v>
      </c>
    </row>
    <row r="265" customFormat="false" ht="15.75" hidden="false" customHeight="true" outlineLevel="0" collapsed="false">
      <c r="A265" s="7" t="s">
        <v>1292</v>
      </c>
      <c r="B265" s="8" t="n">
        <v>2023</v>
      </c>
      <c r="C265" s="8" t="s">
        <v>378</v>
      </c>
      <c r="D265" s="8" t="n">
        <v>206</v>
      </c>
      <c r="E265" s="7" t="s">
        <v>165</v>
      </c>
      <c r="F265" s="8" t="n">
        <v>7.5</v>
      </c>
      <c r="G265" s="8"/>
      <c r="H265" s="9" t="n">
        <v>311662</v>
      </c>
      <c r="I265" s="7" t="s">
        <v>46</v>
      </c>
      <c r="J265" s="7" t="s">
        <v>47</v>
      </c>
      <c r="K265" s="7" t="s">
        <v>54</v>
      </c>
      <c r="L265" s="10" t="s">
        <v>1293</v>
      </c>
      <c r="M265" s="7" t="s">
        <v>1294</v>
      </c>
      <c r="N265" s="8" t="n">
        <v>0</v>
      </c>
      <c r="O265" s="8" t="n">
        <v>0</v>
      </c>
      <c r="P265" s="8" t="n">
        <v>0</v>
      </c>
      <c r="Q265" s="8" t="n">
        <v>10</v>
      </c>
      <c r="R265" s="8" t="n">
        <v>0</v>
      </c>
      <c r="S265" s="8" t="n">
        <v>0</v>
      </c>
      <c r="T265" s="13"/>
      <c r="U265" s="11" t="n">
        <f aca="false">O265*4 + P265*2 + MAX(0,N265-O265-P265)*1 + Q265*0.2 + R265*2 + S265*1 + IF(T265="",0,IF(T265&lt;=10,8,IF(T265&lt;=50,6,IF(T265&lt;=100,4,2))))</f>
        <v>2</v>
      </c>
      <c r="V265" s="7"/>
      <c r="W265" s="12"/>
      <c r="X265" s="13"/>
      <c r="Y265" s="13" t="s">
        <v>1295</v>
      </c>
    </row>
    <row r="266" customFormat="false" ht="15.75" hidden="false" customHeight="true" outlineLevel="0" collapsed="false">
      <c r="A266" s="7" t="s">
        <v>1296</v>
      </c>
      <c r="B266" s="8" t="n">
        <v>1999</v>
      </c>
      <c r="C266" s="8" t="s">
        <v>26</v>
      </c>
      <c r="D266" s="8" t="n">
        <v>118</v>
      </c>
      <c r="E266" s="7" t="s">
        <v>204</v>
      </c>
      <c r="F266" s="8" t="n">
        <v>7.4</v>
      </c>
      <c r="G266" s="8"/>
      <c r="H266" s="9" t="n">
        <v>144003</v>
      </c>
      <c r="I266" s="7" t="s">
        <v>46</v>
      </c>
      <c r="J266" s="7" t="s">
        <v>30</v>
      </c>
      <c r="K266" s="7" t="s">
        <v>48</v>
      </c>
      <c r="L266" s="10"/>
      <c r="M266" s="7" t="s">
        <v>1297</v>
      </c>
      <c r="N266" s="8" t="n">
        <v>0</v>
      </c>
      <c r="O266" s="8" t="n">
        <v>0</v>
      </c>
      <c r="P266" s="8" t="n">
        <v>0</v>
      </c>
      <c r="Q266" s="8" t="n">
        <v>0</v>
      </c>
      <c r="R266" s="13" t="n">
        <v>0</v>
      </c>
      <c r="S266" s="13" t="n">
        <v>0</v>
      </c>
      <c r="T266" s="13"/>
      <c r="U266" s="11" t="n">
        <f aca="false">O266*4 + P266*2 + MAX(0,N266-O266-P266)*1 + Q266*0.2 + R266*2 + S266*1 + IF(T266="",0,IF(T266&lt;=10,8,IF(T266&lt;=50,6,IF(T266&lt;=100,4,2))))</f>
        <v>0</v>
      </c>
      <c r="V266" s="7"/>
      <c r="W266" s="12"/>
      <c r="X266" s="13"/>
      <c r="Y266" s="13" t="s">
        <v>1298</v>
      </c>
    </row>
    <row r="267" customFormat="false" ht="15.75" hidden="false" customHeight="true" outlineLevel="0" collapsed="false">
      <c r="A267" s="7" t="s">
        <v>1299</v>
      </c>
      <c r="B267" s="8" t="n">
        <v>1995</v>
      </c>
      <c r="C267" s="8" t="s">
        <v>26</v>
      </c>
      <c r="D267" s="8" t="n">
        <v>95</v>
      </c>
      <c r="E267" s="7" t="s">
        <v>388</v>
      </c>
      <c r="F267" s="8" t="n">
        <v>7</v>
      </c>
      <c r="G267" s="8"/>
      <c r="H267" s="9" t="n">
        <v>45193</v>
      </c>
      <c r="I267" s="7" t="s">
        <v>46</v>
      </c>
      <c r="J267" s="7" t="s">
        <v>38</v>
      </c>
      <c r="K267" s="7" t="s">
        <v>29</v>
      </c>
      <c r="L267" s="10" t="s">
        <v>252</v>
      </c>
      <c r="M267" s="7" t="s">
        <v>1300</v>
      </c>
      <c r="N267" s="8" t="n">
        <v>1</v>
      </c>
      <c r="O267" s="8" t="n">
        <v>0</v>
      </c>
      <c r="P267" s="8" t="n">
        <v>0</v>
      </c>
      <c r="Q267" s="8" t="n">
        <v>2</v>
      </c>
      <c r="R267" s="8" t="n">
        <v>0</v>
      </c>
      <c r="S267" s="8" t="n">
        <v>0</v>
      </c>
      <c r="T267" s="13"/>
      <c r="U267" s="11" t="n">
        <f aca="false">O267*4 + P267*2 + MAX(0,N267-O267-P267)*1 + Q267*0.2 + R267*2 + S267*1 + IF(T267="",0,IF(T267&lt;=10,8,IF(T267&lt;=50,6,IF(T267&lt;=100,4,2))))</f>
        <v>1.4</v>
      </c>
      <c r="V267" s="7"/>
      <c r="W267" s="12"/>
      <c r="X267" s="13"/>
      <c r="Y267" s="13" t="s">
        <v>1301</v>
      </c>
    </row>
    <row r="268" customFormat="false" ht="15.75" hidden="false" customHeight="true" outlineLevel="0" collapsed="false">
      <c r="A268" s="7" t="s">
        <v>1302</v>
      </c>
      <c r="B268" s="8" t="n">
        <v>1981</v>
      </c>
      <c r="C268" s="8" t="s">
        <v>109</v>
      </c>
      <c r="D268" s="8" t="n">
        <v>113</v>
      </c>
      <c r="E268" s="7" t="s">
        <v>1303</v>
      </c>
      <c r="F268" s="8" t="n">
        <v>7.4</v>
      </c>
      <c r="G268" s="8"/>
      <c r="H268" s="9" t="n">
        <v>44593</v>
      </c>
      <c r="I268" s="7" t="s">
        <v>46</v>
      </c>
      <c r="J268" s="7" t="s">
        <v>29</v>
      </c>
      <c r="K268" s="7" t="s">
        <v>54</v>
      </c>
      <c r="L268" s="10" t="s">
        <v>220</v>
      </c>
      <c r="M268" s="7" t="s">
        <v>1304</v>
      </c>
      <c r="N268" s="8" t="n">
        <v>0</v>
      </c>
      <c r="O268" s="8" t="n">
        <v>0</v>
      </c>
      <c r="P268" s="8" t="n">
        <v>0</v>
      </c>
      <c r="Q268" s="8" t="n">
        <v>0</v>
      </c>
      <c r="R268" s="13" t="n">
        <v>0</v>
      </c>
      <c r="S268" s="13" t="n">
        <v>0</v>
      </c>
      <c r="T268" s="13"/>
      <c r="U268" s="11" t="n">
        <f aca="false">O268*4 + P268*2 + MAX(0,N268-O268-P268)*1 + Q268*0.2 + R268*2 + S268*1 + IF(T268="",0,IF(T268&lt;=10,8,IF(T268&lt;=50,6,IF(T268&lt;=100,4,2))))</f>
        <v>0</v>
      </c>
      <c r="V268" s="7"/>
      <c r="W268" s="12"/>
      <c r="X268" s="13"/>
      <c r="Y268" s="13" t="s">
        <v>1305</v>
      </c>
    </row>
    <row r="269" customFormat="false" ht="15.75" hidden="false" customHeight="true" outlineLevel="0" collapsed="false">
      <c r="A269" s="7" t="s">
        <v>1306</v>
      </c>
      <c r="B269" s="8" t="n">
        <v>1999</v>
      </c>
      <c r="C269" s="8" t="s">
        <v>26</v>
      </c>
      <c r="D269" s="8" t="n">
        <v>116</v>
      </c>
      <c r="E269" s="7" t="s">
        <v>1307</v>
      </c>
      <c r="F269" s="8" t="n">
        <v>7.5</v>
      </c>
      <c r="G269" s="8"/>
      <c r="H269" s="9" t="n">
        <v>103464</v>
      </c>
      <c r="I269" s="7" t="s">
        <v>46</v>
      </c>
      <c r="J269" s="7" t="s">
        <v>47</v>
      </c>
      <c r="K269" s="7" t="s">
        <v>54</v>
      </c>
      <c r="L269" s="10" t="s">
        <v>205</v>
      </c>
      <c r="M269" s="7" t="s">
        <v>1308</v>
      </c>
      <c r="N269" s="8" t="n">
        <v>0</v>
      </c>
      <c r="O269" s="8" t="n">
        <v>0</v>
      </c>
      <c r="P269" s="8" t="n">
        <v>0</v>
      </c>
      <c r="Q269" s="8" t="n">
        <v>0</v>
      </c>
      <c r="R269" s="13" t="n">
        <v>0</v>
      </c>
      <c r="S269" s="13" t="n">
        <v>0</v>
      </c>
      <c r="T269" s="13"/>
      <c r="U269" s="11" t="n">
        <f aca="false">O269*4 + P269*2 + MAX(0,N269-O269-P269)*1 + Q269*0.2 + R269*2 + S269*1 + IF(T269="",0,IF(T269&lt;=10,8,IF(T269&lt;=50,6,IF(T269&lt;=100,4,2))))</f>
        <v>0</v>
      </c>
      <c r="V269" s="7"/>
      <c r="W269" s="12"/>
      <c r="X269" s="13"/>
      <c r="Y269" s="13" t="s">
        <v>1309</v>
      </c>
    </row>
    <row r="270" customFormat="false" ht="15.75" hidden="false" customHeight="true" outlineLevel="0" collapsed="false">
      <c r="A270" s="7" t="s">
        <v>1310</v>
      </c>
      <c r="B270" s="8" t="n">
        <v>2022</v>
      </c>
      <c r="C270" s="8" t="s">
        <v>378</v>
      </c>
      <c r="D270" s="8" t="n">
        <v>148</v>
      </c>
      <c r="E270" s="7" t="s">
        <v>1311</v>
      </c>
      <c r="F270" s="8" t="n">
        <v>7.8</v>
      </c>
      <c r="G270" s="8"/>
      <c r="H270" s="9" t="n">
        <v>343987</v>
      </c>
      <c r="I270" s="7" t="s">
        <v>258</v>
      </c>
      <c r="J270" s="7" t="s">
        <v>154</v>
      </c>
      <c r="K270" s="7" t="s">
        <v>453</v>
      </c>
      <c r="L270" s="10" t="s">
        <v>238</v>
      </c>
      <c r="M270" s="7" t="s">
        <v>1312</v>
      </c>
      <c r="N270" s="8" t="n">
        <v>4</v>
      </c>
      <c r="O270" s="8" t="n">
        <v>0</v>
      </c>
      <c r="P270" s="8" t="n">
        <v>0</v>
      </c>
      <c r="Q270" s="8" t="n">
        <v>9</v>
      </c>
      <c r="R270" s="8" t="n">
        <v>0</v>
      </c>
      <c r="S270" s="8" t="n">
        <v>0</v>
      </c>
      <c r="T270" s="13"/>
      <c r="U270" s="11" t="n">
        <f aca="false">O270*4 + P270*2 + MAX(0,N270-O270-P270)*1 + Q270*0.2 + R270*2 + S270*1 + IF(T270="",0,IF(T270&lt;=10,8,IF(T270&lt;=50,6,IF(T270&lt;=100,4,2))))</f>
        <v>5.8</v>
      </c>
      <c r="V270" s="7"/>
      <c r="W270" s="12"/>
      <c r="X270" s="13"/>
      <c r="Y270" s="13" t="s">
        <v>1313</v>
      </c>
    </row>
    <row r="271" customFormat="false" ht="15.75" hidden="false" customHeight="true" outlineLevel="0" collapsed="false">
      <c r="A271" s="7" t="s">
        <v>1314</v>
      </c>
      <c r="B271" s="8" t="n">
        <v>2015</v>
      </c>
      <c r="C271" s="8" t="s">
        <v>176</v>
      </c>
      <c r="D271" s="8" t="n">
        <v>118</v>
      </c>
      <c r="E271" s="7" t="s">
        <v>1315</v>
      </c>
      <c r="F271" s="8" t="n">
        <v>7.3</v>
      </c>
      <c r="G271" s="8"/>
      <c r="H271" s="9" t="n">
        <v>154660</v>
      </c>
      <c r="I271" s="7" t="s">
        <v>153</v>
      </c>
      <c r="J271" s="7" t="s">
        <v>29</v>
      </c>
      <c r="K271" s="7" t="s">
        <v>1062</v>
      </c>
      <c r="L271" s="10" t="s">
        <v>113</v>
      </c>
      <c r="M271" s="7" t="s">
        <v>1316</v>
      </c>
      <c r="N271" s="8" t="n">
        <v>0</v>
      </c>
      <c r="O271" s="8" t="n">
        <v>0</v>
      </c>
      <c r="P271" s="8" t="n">
        <v>0</v>
      </c>
      <c r="Q271" s="8" t="n">
        <v>6</v>
      </c>
      <c r="R271" s="8" t="n">
        <v>0</v>
      </c>
      <c r="S271" s="8" t="n">
        <v>0</v>
      </c>
      <c r="T271" s="8"/>
      <c r="U271" s="11" t="n">
        <f aca="false">O271*4 + P271*2 + MAX(0,N271-O271-P271)*1 + Q271*0.2 + R271*2 + S271*1 + IF(T271="",0,IF(T271&lt;=10,8,IF(T271&lt;=50,6,IF(T271&lt;=100,4,2))))</f>
        <v>1.2</v>
      </c>
      <c r="V271" s="10" t="s">
        <v>1317</v>
      </c>
      <c r="W271" s="12"/>
      <c r="X271" s="8" t="n">
        <v>34</v>
      </c>
      <c r="Y271" s="8" t="s">
        <v>1318</v>
      </c>
    </row>
    <row r="272" customFormat="false" ht="15.75" hidden="false" customHeight="true" outlineLevel="0" collapsed="false">
      <c r="A272" s="7" t="s">
        <v>1319</v>
      </c>
      <c r="B272" s="8" t="n">
        <v>2019</v>
      </c>
      <c r="C272" s="8" t="s">
        <v>176</v>
      </c>
      <c r="D272" s="8" t="n">
        <v>152</v>
      </c>
      <c r="E272" s="7" t="s">
        <v>1165</v>
      </c>
      <c r="F272" s="8" t="n">
        <v>8.1</v>
      </c>
      <c r="G272" s="8"/>
      <c r="H272" s="9" t="n">
        <v>582520</v>
      </c>
      <c r="I272" s="7" t="s">
        <v>46</v>
      </c>
      <c r="J272" s="7" t="s">
        <v>112</v>
      </c>
      <c r="K272" s="7" t="s">
        <v>48</v>
      </c>
      <c r="L272" s="10" t="s">
        <v>177</v>
      </c>
      <c r="M272" s="7" t="s">
        <v>1320</v>
      </c>
      <c r="N272" s="8" t="n">
        <v>2</v>
      </c>
      <c r="O272" s="8" t="n">
        <v>0</v>
      </c>
      <c r="P272" s="8" t="n">
        <v>0</v>
      </c>
      <c r="Q272" s="8" t="n">
        <v>4</v>
      </c>
      <c r="R272" s="8" t="n">
        <v>0</v>
      </c>
      <c r="S272" s="8" t="n">
        <v>0</v>
      </c>
      <c r="T272" s="13"/>
      <c r="U272" s="11" t="n">
        <f aca="false">O272*4 + P272*2 + MAX(0,N272-O272-P272)*1 + Q272*0.2 + R272*2 + S272*1 + IF(T272="",0,IF(T272&lt;=10,8,IF(T272&lt;=50,6,IF(T272&lt;=100,4,2))))</f>
        <v>2.8</v>
      </c>
      <c r="V272" s="7"/>
      <c r="W272" s="12"/>
      <c r="X272" s="13"/>
      <c r="Y272" s="13" t="s">
        <v>1321</v>
      </c>
    </row>
    <row r="273" customFormat="false" ht="15.75" hidden="false" customHeight="true" outlineLevel="0" collapsed="false">
      <c r="A273" s="7" t="s">
        <v>1322</v>
      </c>
      <c r="B273" s="8" t="n">
        <v>2022</v>
      </c>
      <c r="C273" s="8" t="s">
        <v>378</v>
      </c>
      <c r="D273" s="8" t="n">
        <v>117</v>
      </c>
      <c r="E273" s="7" t="s">
        <v>160</v>
      </c>
      <c r="F273" s="8" t="n">
        <v>7.6</v>
      </c>
      <c r="G273" s="8" t="n">
        <v>7</v>
      </c>
      <c r="H273" s="9" t="n">
        <v>310693</v>
      </c>
      <c r="I273" s="7" t="s">
        <v>46</v>
      </c>
      <c r="J273" s="7" t="s">
        <v>47</v>
      </c>
      <c r="K273" s="7"/>
      <c r="L273" s="10" t="s">
        <v>1323</v>
      </c>
      <c r="M273" s="7" t="s">
        <v>1324</v>
      </c>
      <c r="N273" s="8" t="n">
        <v>2</v>
      </c>
      <c r="O273" s="8" t="n">
        <v>0</v>
      </c>
      <c r="P273" s="8" t="n">
        <v>0</v>
      </c>
      <c r="Q273" s="8" t="n">
        <v>3</v>
      </c>
      <c r="R273" s="8" t="n">
        <v>0</v>
      </c>
      <c r="S273" s="8" t="n">
        <v>0</v>
      </c>
      <c r="T273" s="13"/>
      <c r="U273" s="11" t="n">
        <f aca="false">O273*4 + P273*2 + MAX(0,N273-O273-P273)*1 + Q273*0.2 + R273*2 + S273*1 + IF(T273="",0,IF(T273&lt;=10,8,IF(T273&lt;=50,6,IF(T273&lt;=100,4,2))))</f>
        <v>2.6</v>
      </c>
      <c r="V273" s="7"/>
      <c r="W273" s="12"/>
      <c r="X273" s="13"/>
      <c r="Y273" s="13" t="s">
        <v>1325</v>
      </c>
    </row>
    <row r="274" customFormat="false" ht="15.75" hidden="false" customHeight="true" outlineLevel="0" collapsed="false">
      <c r="A274" s="7" t="s">
        <v>1326</v>
      </c>
      <c r="B274" s="8" t="n">
        <v>2005</v>
      </c>
      <c r="C274" s="8" t="s">
        <v>35</v>
      </c>
      <c r="D274" s="8" t="n">
        <v>92</v>
      </c>
      <c r="E274" s="7" t="s">
        <v>1327</v>
      </c>
      <c r="F274" s="8" t="n">
        <v>7.5</v>
      </c>
      <c r="G274" s="8"/>
      <c r="H274" s="9" t="n">
        <v>236503</v>
      </c>
      <c r="I274" s="7" t="s">
        <v>46</v>
      </c>
      <c r="J274" s="7" t="s">
        <v>30</v>
      </c>
      <c r="K274" s="7" t="s">
        <v>47</v>
      </c>
      <c r="L274" s="10"/>
      <c r="M274" s="7" t="s">
        <v>1328</v>
      </c>
      <c r="N274" s="8" t="n">
        <v>0</v>
      </c>
      <c r="O274" s="8" t="n">
        <v>0</v>
      </c>
      <c r="P274" s="8" t="n">
        <v>0</v>
      </c>
      <c r="Q274" s="8" t="n">
        <v>0</v>
      </c>
      <c r="R274" s="13" t="n">
        <v>0</v>
      </c>
      <c r="S274" s="13" t="n">
        <v>0</v>
      </c>
      <c r="T274" s="13"/>
      <c r="U274" s="11" t="n">
        <f aca="false">O274*4 + P274*2 + MAX(0,N274-O274-P274)*1 + Q274*0.2 + R274*2 + S274*1 + IF(T274="",0,IF(T274&lt;=10,8,IF(T274&lt;=50,6,IF(T274&lt;=100,4,2))))</f>
        <v>0</v>
      </c>
      <c r="V274" s="7"/>
      <c r="W274" s="12"/>
      <c r="X274" s="13"/>
      <c r="Y274" s="13" t="s">
        <v>1329</v>
      </c>
    </row>
    <row r="275" customFormat="false" ht="15.75" hidden="false" customHeight="true" outlineLevel="0" collapsed="false">
      <c r="A275" s="7" t="s">
        <v>1330</v>
      </c>
      <c r="B275" s="8" t="n">
        <v>1992</v>
      </c>
      <c r="C275" s="8" t="s">
        <v>26</v>
      </c>
      <c r="D275" s="8" t="n">
        <v>139</v>
      </c>
      <c r="E275" s="7" t="s">
        <v>88</v>
      </c>
      <c r="F275" s="8" t="n">
        <v>7.2</v>
      </c>
      <c r="G275" s="8"/>
      <c r="H275" s="9" t="n">
        <v>46672</v>
      </c>
      <c r="I275" s="7" t="s">
        <v>219</v>
      </c>
      <c r="J275" s="7" t="s">
        <v>131</v>
      </c>
      <c r="K275" s="7" t="s">
        <v>29</v>
      </c>
      <c r="L275" s="10"/>
      <c r="M275" s="7" t="s">
        <v>1331</v>
      </c>
      <c r="N275" s="8" t="n">
        <v>0</v>
      </c>
      <c r="O275" s="8" t="n">
        <v>0</v>
      </c>
      <c r="P275" s="8" t="n">
        <v>0</v>
      </c>
      <c r="Q275" s="8" t="n">
        <v>0</v>
      </c>
      <c r="R275" s="13" t="n">
        <v>0</v>
      </c>
      <c r="S275" s="13" t="n">
        <v>0</v>
      </c>
      <c r="T275" s="13"/>
      <c r="U275" s="11" t="n">
        <f aca="false">O275*4 + P275*2 + MAX(0,N275-O275-P275)*1 + Q275*0.2 + R275*2 + S275*1 + IF(T275="",0,IF(T275&lt;=10,8,IF(T275&lt;=50,6,IF(T275&lt;=100,4,2))))</f>
        <v>0</v>
      </c>
      <c r="V275" s="7"/>
      <c r="W275" s="12"/>
      <c r="X275" s="13"/>
      <c r="Y275" s="13" t="s">
        <v>1332</v>
      </c>
    </row>
    <row r="276" customFormat="false" ht="15.75" hidden="false" customHeight="true" outlineLevel="0" collapsed="false">
      <c r="A276" s="7" t="s">
        <v>1333</v>
      </c>
      <c r="B276" s="8" t="n">
        <v>2003</v>
      </c>
      <c r="C276" s="8" t="s">
        <v>35</v>
      </c>
      <c r="D276" s="8" t="n">
        <v>99</v>
      </c>
      <c r="E276" s="7" t="s">
        <v>1334</v>
      </c>
      <c r="F276" s="8" t="n">
        <v>7.5</v>
      </c>
      <c r="G276" s="8"/>
      <c r="H276" s="9" t="n">
        <v>31011</v>
      </c>
      <c r="I276" s="7" t="s">
        <v>1111</v>
      </c>
      <c r="J276" s="7" t="s">
        <v>30</v>
      </c>
      <c r="K276" s="7" t="s">
        <v>54</v>
      </c>
      <c r="L276" s="10" t="s">
        <v>517</v>
      </c>
      <c r="M276" s="7" t="s">
        <v>1335</v>
      </c>
      <c r="N276" s="8" t="n">
        <v>1</v>
      </c>
      <c r="O276" s="8" t="n">
        <v>0</v>
      </c>
      <c r="P276" s="8" t="n">
        <v>0</v>
      </c>
      <c r="Q276" s="8" t="n">
        <v>2</v>
      </c>
      <c r="R276" s="8" t="n">
        <v>0</v>
      </c>
      <c r="S276" s="8" t="n">
        <v>0</v>
      </c>
      <c r="T276" s="13"/>
      <c r="U276" s="11" t="n">
        <f aca="false">O276*4 + P276*2 + MAX(0,N276-O276-P276)*1 + Q276*0.2 + R276*2 + S276*1 + IF(T276="",0,IF(T276&lt;=10,8,IF(T276&lt;=50,6,IF(T276&lt;=100,4,2))))</f>
        <v>1.4</v>
      </c>
      <c r="V276" s="7"/>
      <c r="W276" s="12"/>
      <c r="X276" s="13"/>
      <c r="Y276" s="13" t="s">
        <v>1336</v>
      </c>
    </row>
    <row r="277" customFormat="false" ht="15.75" hidden="false" customHeight="true" outlineLevel="0" collapsed="false">
      <c r="A277" s="7" t="s">
        <v>1337</v>
      </c>
      <c r="B277" s="8" t="n">
        <v>2020</v>
      </c>
      <c r="C277" s="8" t="s">
        <v>378</v>
      </c>
      <c r="D277" s="8" t="n">
        <v>97</v>
      </c>
      <c r="E277" s="7" t="s">
        <v>1338</v>
      </c>
      <c r="F277" s="8" t="n">
        <v>8.2</v>
      </c>
      <c r="G277" s="8"/>
      <c r="H277" s="9" t="n">
        <v>248411</v>
      </c>
      <c r="I277" s="7" t="s">
        <v>280</v>
      </c>
      <c r="J277" s="7" t="s">
        <v>47</v>
      </c>
      <c r="K277" s="7" t="s">
        <v>125</v>
      </c>
      <c r="L277" s="10" t="s">
        <v>1048</v>
      </c>
      <c r="M277" s="7" t="s">
        <v>1339</v>
      </c>
      <c r="N277" s="8" t="n">
        <v>2</v>
      </c>
      <c r="O277" s="8" t="n">
        <v>0</v>
      </c>
      <c r="P277" s="8" t="n">
        <v>0</v>
      </c>
      <c r="Q277" s="8" t="n">
        <v>6</v>
      </c>
      <c r="R277" s="8" t="n">
        <v>0</v>
      </c>
      <c r="S277" s="8" t="n">
        <v>0</v>
      </c>
      <c r="T277" s="13"/>
      <c r="U277" s="11" t="n">
        <f aca="false">O277*4 + P277*2 + MAX(0,N277-O277-P277)*1 + Q277*0.2 + R277*2 + S277*1 + IF(T277="",0,IF(T277&lt;=10,8,IF(T277&lt;=50,6,IF(T277&lt;=100,4,2))))</f>
        <v>3.2</v>
      </c>
      <c r="V277" s="7"/>
      <c r="W277" s="12"/>
      <c r="X277" s="13"/>
      <c r="Y277" s="13" t="s">
        <v>1340</v>
      </c>
    </row>
    <row r="278" customFormat="false" ht="15.75" hidden="false" customHeight="true" outlineLevel="0" collapsed="false">
      <c r="A278" s="7" t="s">
        <v>1341</v>
      </c>
      <c r="B278" s="8" t="n">
        <v>2015</v>
      </c>
      <c r="C278" s="8" t="s">
        <v>176</v>
      </c>
      <c r="D278" s="8" t="n">
        <v>124</v>
      </c>
      <c r="E278" s="7" t="s">
        <v>1342</v>
      </c>
      <c r="F278" s="8" t="n">
        <v>7.3</v>
      </c>
      <c r="G278" s="8"/>
      <c r="H278" s="9" t="n">
        <v>89150</v>
      </c>
      <c r="I278" s="7" t="s">
        <v>1343</v>
      </c>
      <c r="J278" s="7" t="s">
        <v>90</v>
      </c>
      <c r="K278" s="7" t="s">
        <v>30</v>
      </c>
      <c r="L278" s="10" t="s">
        <v>522</v>
      </c>
      <c r="M278" s="7" t="s">
        <v>1344</v>
      </c>
      <c r="N278" s="8" t="n">
        <v>0</v>
      </c>
      <c r="O278" s="8" t="n">
        <v>0</v>
      </c>
      <c r="P278" s="8" t="n">
        <v>0</v>
      </c>
      <c r="Q278" s="8" t="n">
        <v>1</v>
      </c>
      <c r="R278" s="8" t="n">
        <v>0</v>
      </c>
      <c r="S278" s="8" t="n">
        <v>0</v>
      </c>
      <c r="T278" s="13"/>
      <c r="U278" s="11" t="n">
        <f aca="false">O278*4 + P278*2 + MAX(0,N278-O278-P278)*1 + Q278*0.2 + R278*2 + S278*1 + IF(T278="",0,IF(T278&lt;=10,8,IF(T278&lt;=50,6,IF(T278&lt;=100,4,2))))</f>
        <v>0.2</v>
      </c>
      <c r="V278" s="7"/>
      <c r="W278" s="12"/>
      <c r="X278" s="13"/>
      <c r="Y278" s="13" t="s">
        <v>1345</v>
      </c>
    </row>
    <row r="279" customFormat="false" ht="15.75" hidden="false" customHeight="true" outlineLevel="0" collapsed="false">
      <c r="A279" s="7" t="s">
        <v>1346</v>
      </c>
      <c r="B279" s="8" t="n">
        <v>1995</v>
      </c>
      <c r="C279" s="8" t="s">
        <v>26</v>
      </c>
      <c r="D279" s="8" t="n">
        <v>102</v>
      </c>
      <c r="E279" s="7" t="s">
        <v>1347</v>
      </c>
      <c r="F279" s="8" t="n">
        <v>7.3</v>
      </c>
      <c r="G279" s="8"/>
      <c r="H279" s="9" t="n">
        <v>133910</v>
      </c>
      <c r="I279" s="7" t="s">
        <v>46</v>
      </c>
      <c r="J279" s="7" t="s">
        <v>47</v>
      </c>
      <c r="K279" s="7" t="s">
        <v>54</v>
      </c>
      <c r="L279" s="10"/>
      <c r="M279" s="7" t="s">
        <v>1348</v>
      </c>
      <c r="N279" s="8" t="n">
        <v>0</v>
      </c>
      <c r="O279" s="8" t="n">
        <v>0</v>
      </c>
      <c r="P279" s="8" t="n">
        <v>0</v>
      </c>
      <c r="Q279" s="8" t="n">
        <v>0</v>
      </c>
      <c r="R279" s="13" t="n">
        <v>0</v>
      </c>
      <c r="S279" s="13" t="n">
        <v>0</v>
      </c>
      <c r="T279" s="13"/>
      <c r="U279" s="11" t="n">
        <f aca="false">O279*4 + P279*2 + MAX(0,N279-O279-P279)*1 + Q279*0.2 + R279*2 + S279*1 + IF(T279="",0,IF(T279&lt;=10,8,IF(T279&lt;=50,6,IF(T279&lt;=100,4,2))))</f>
        <v>0</v>
      </c>
      <c r="V279" s="7"/>
      <c r="W279" s="12"/>
      <c r="X279" s="13"/>
      <c r="Y279" s="13" t="s">
        <v>1349</v>
      </c>
    </row>
    <row r="280" customFormat="false" ht="15.75" hidden="false" customHeight="true" outlineLevel="0" collapsed="false">
      <c r="A280" s="7" t="s">
        <v>1350</v>
      </c>
      <c r="B280" s="8" t="n">
        <v>1999</v>
      </c>
      <c r="C280" s="8" t="s">
        <v>26</v>
      </c>
      <c r="D280" s="8" t="n">
        <v>86</v>
      </c>
      <c r="E280" s="7" t="s">
        <v>1351</v>
      </c>
      <c r="F280" s="8" t="n">
        <v>8.1</v>
      </c>
      <c r="G280" s="8"/>
      <c r="H280" s="9" t="n">
        <v>264140</v>
      </c>
      <c r="I280" s="7" t="s">
        <v>46</v>
      </c>
      <c r="J280" s="7" t="s">
        <v>579</v>
      </c>
      <c r="K280" s="7" t="s">
        <v>112</v>
      </c>
      <c r="L280" s="10" t="s">
        <v>55</v>
      </c>
      <c r="M280" s="7" t="s">
        <v>1352</v>
      </c>
      <c r="N280" s="8" t="n">
        <v>0</v>
      </c>
      <c r="O280" s="8" t="n">
        <v>0</v>
      </c>
      <c r="P280" s="8" t="n">
        <v>0</v>
      </c>
      <c r="Q280" s="8" t="n">
        <v>0</v>
      </c>
      <c r="R280" s="13" t="n">
        <v>0</v>
      </c>
      <c r="S280" s="13" t="n">
        <v>0</v>
      </c>
      <c r="T280" s="13"/>
      <c r="U280" s="11" t="n">
        <f aca="false">O280*4 + P280*2 + MAX(0,N280-O280-P280)*1 + Q280*0.2 + R280*2 + S280*1 + IF(T280="",0,IF(T280&lt;=10,8,IF(T280&lt;=50,6,IF(T280&lt;=100,4,2))))</f>
        <v>0</v>
      </c>
      <c r="V280" s="7"/>
      <c r="W280" s="12"/>
      <c r="X280" s="13"/>
      <c r="Y280" s="13" t="s">
        <v>1353</v>
      </c>
    </row>
    <row r="281" customFormat="false" ht="15.75" hidden="false" customHeight="true" outlineLevel="0" collapsed="false">
      <c r="A281" s="7" t="s">
        <v>1354</v>
      </c>
      <c r="B281" s="8" t="n">
        <v>1983</v>
      </c>
      <c r="C281" s="8" t="s">
        <v>109</v>
      </c>
      <c r="D281" s="8" t="n">
        <v>132</v>
      </c>
      <c r="E281" s="7" t="s">
        <v>1355</v>
      </c>
      <c r="F281" s="8" t="n">
        <v>7.4</v>
      </c>
      <c r="G281" s="8"/>
      <c r="H281" s="9" t="n">
        <v>71152</v>
      </c>
      <c r="I281" s="7" t="s">
        <v>46</v>
      </c>
      <c r="J281" s="7" t="s">
        <v>30</v>
      </c>
      <c r="K281" s="7" t="s">
        <v>47</v>
      </c>
      <c r="L281" s="10"/>
      <c r="M281" s="7" t="s">
        <v>1356</v>
      </c>
      <c r="N281" s="8" t="n">
        <v>5</v>
      </c>
      <c r="O281" s="8" t="n">
        <v>1</v>
      </c>
      <c r="P281" s="8" t="n">
        <v>1</v>
      </c>
      <c r="Q281" s="8" t="n">
        <v>11</v>
      </c>
      <c r="R281" s="8" t="n">
        <v>0</v>
      </c>
      <c r="S281" s="8" t="n">
        <v>1</v>
      </c>
      <c r="T281" s="13"/>
      <c r="U281" s="11" t="n">
        <f aca="false">O281*4 + P281*2 + MAX(0,N281-O281-P281)*1 + Q281*0.2 + R281*2 + S281*1 + IF(T281="",0,IF(T281&lt;=10,8,IF(T281&lt;=50,6,IF(T281&lt;=100,4,2))))</f>
        <v>12.2</v>
      </c>
      <c r="V281" s="7"/>
      <c r="W281" s="12"/>
      <c r="X281" s="13"/>
      <c r="Y281" s="13" t="s">
        <v>1357</v>
      </c>
    </row>
    <row r="282" customFormat="false" ht="15.75" hidden="false" customHeight="true" outlineLevel="0" collapsed="false">
      <c r="A282" s="7" t="s">
        <v>1358</v>
      </c>
      <c r="B282" s="8" t="n">
        <v>1993</v>
      </c>
      <c r="C282" s="8" t="s">
        <v>26</v>
      </c>
      <c r="D282" s="8" t="n">
        <v>134</v>
      </c>
      <c r="E282" s="7" t="s">
        <v>1359</v>
      </c>
      <c r="F282" s="8" t="n">
        <v>7.5</v>
      </c>
      <c r="G282" s="8"/>
      <c r="H282" s="9" t="n">
        <v>39521</v>
      </c>
      <c r="I282" s="7" t="s">
        <v>258</v>
      </c>
      <c r="J282" s="7" t="s">
        <v>154</v>
      </c>
      <c r="K282" s="7" t="s">
        <v>47</v>
      </c>
      <c r="L282" s="10" t="s">
        <v>126</v>
      </c>
      <c r="M282" s="7" t="s">
        <v>1360</v>
      </c>
      <c r="N282" s="8" t="n">
        <v>0</v>
      </c>
      <c r="O282" s="8" t="n">
        <v>0</v>
      </c>
      <c r="P282" s="8" t="n">
        <v>0</v>
      </c>
      <c r="Q282" s="8" t="n">
        <v>0</v>
      </c>
      <c r="R282" s="13" t="n">
        <v>0</v>
      </c>
      <c r="S282" s="13" t="n">
        <v>0</v>
      </c>
      <c r="T282" s="13"/>
      <c r="U282" s="11" t="n">
        <f aca="false">O282*4 + P282*2 + MAX(0,N282-O282-P282)*1 + Q282*0.2 + R282*2 + S282*1 + IF(T282="",0,IF(T282&lt;=10,8,IF(T282&lt;=50,6,IF(T282&lt;=100,4,2))))</f>
        <v>0</v>
      </c>
      <c r="V282" s="7"/>
      <c r="W282" s="12"/>
      <c r="X282" s="13"/>
      <c r="Y282" s="13" t="s">
        <v>1361</v>
      </c>
    </row>
    <row r="283" customFormat="false" ht="15.75" hidden="false" customHeight="true" outlineLevel="0" collapsed="false">
      <c r="A283" s="7" t="s">
        <v>1362</v>
      </c>
      <c r="B283" s="8" t="n">
        <v>2022</v>
      </c>
      <c r="C283" s="8" t="s">
        <v>378</v>
      </c>
      <c r="D283" s="8" t="n">
        <v>114</v>
      </c>
      <c r="E283" s="7" t="s">
        <v>1363</v>
      </c>
      <c r="F283" s="8" t="n">
        <v>7.6</v>
      </c>
      <c r="G283" s="8" t="n">
        <v>6</v>
      </c>
      <c r="H283" s="9" t="n">
        <v>298856</v>
      </c>
      <c r="I283" s="7" t="s">
        <v>1364</v>
      </c>
      <c r="J283" s="7" t="s">
        <v>30</v>
      </c>
      <c r="K283" s="7" t="s">
        <v>47</v>
      </c>
      <c r="L283" s="10" t="s">
        <v>177</v>
      </c>
      <c r="M283" s="7" t="s">
        <v>1365</v>
      </c>
      <c r="N283" s="8" t="n">
        <v>0</v>
      </c>
      <c r="O283" s="8" t="n">
        <v>0</v>
      </c>
      <c r="P283" s="8" t="n">
        <v>0</v>
      </c>
      <c r="Q283" s="8" t="n">
        <v>9</v>
      </c>
      <c r="R283" s="8" t="n">
        <v>0</v>
      </c>
      <c r="S283" s="8" t="n">
        <v>0</v>
      </c>
      <c r="T283" s="13"/>
      <c r="U283" s="11" t="n">
        <f aca="false">O283*4 + P283*2 + MAX(0,N283-O283-P283)*1 + Q283*0.2 + R283*2 + S283*1 + IF(T283="",0,IF(T283&lt;=10,8,IF(T283&lt;=50,6,IF(T283&lt;=100,4,2))))</f>
        <v>1.8</v>
      </c>
      <c r="V283" s="7"/>
      <c r="W283" s="12"/>
      <c r="X283" s="13"/>
      <c r="Y283" s="13" t="s">
        <v>1366</v>
      </c>
    </row>
    <row r="284" customFormat="false" ht="15.75" hidden="false" customHeight="true" outlineLevel="0" collapsed="false">
      <c r="A284" s="7" t="s">
        <v>1367</v>
      </c>
      <c r="B284" s="8" t="n">
        <v>2023</v>
      </c>
      <c r="C284" s="8" t="s">
        <v>378</v>
      </c>
      <c r="D284" s="8" t="n">
        <v>105</v>
      </c>
      <c r="E284" s="7" t="s">
        <v>1368</v>
      </c>
      <c r="F284" s="8" t="n">
        <v>7.8</v>
      </c>
      <c r="G284" s="8"/>
      <c r="H284" s="9" t="n">
        <v>176606</v>
      </c>
      <c r="I284" s="7" t="s">
        <v>1369</v>
      </c>
      <c r="J284" s="7" t="s">
        <v>29</v>
      </c>
      <c r="K284" s="7" t="s">
        <v>47</v>
      </c>
      <c r="L284" s="10" t="s">
        <v>1370</v>
      </c>
      <c r="M284" s="7" t="s">
        <v>1371</v>
      </c>
      <c r="N284" s="8" t="n">
        <v>0</v>
      </c>
      <c r="O284" s="8" t="n">
        <v>0</v>
      </c>
      <c r="P284" s="8" t="n">
        <v>0</v>
      </c>
      <c r="Q284" s="8" t="n">
        <v>2</v>
      </c>
      <c r="R284" s="8" t="n">
        <v>0</v>
      </c>
      <c r="S284" s="8" t="n">
        <v>0</v>
      </c>
      <c r="T284" s="8"/>
      <c r="U284" s="11" t="n">
        <f aca="false">O284*4 + P284*2 + MAX(0,N284-O284-P284)*1 + Q284*0.2 + R284*2 + S284*1 + IF(T284="",0,IF(T284&lt;=10,8,IF(T284&lt;=50,6,IF(T284&lt;=100,4,2))))</f>
        <v>0.4</v>
      </c>
      <c r="V284" s="10" t="s">
        <v>1372</v>
      </c>
      <c r="W284" s="12"/>
      <c r="X284" s="8" t="n">
        <v>96</v>
      </c>
      <c r="Y284" s="8" t="s">
        <v>1373</v>
      </c>
    </row>
    <row r="285" customFormat="false" ht="15.75" hidden="false" customHeight="true" outlineLevel="0" collapsed="false">
      <c r="A285" s="7" t="s">
        <v>1374</v>
      </c>
      <c r="B285" s="8" t="n">
        <v>2017</v>
      </c>
      <c r="C285" s="8" t="s">
        <v>176</v>
      </c>
      <c r="D285" s="8" t="n">
        <v>113</v>
      </c>
      <c r="E285" s="7" t="s">
        <v>846</v>
      </c>
      <c r="F285" s="8" t="n">
        <v>7.9</v>
      </c>
      <c r="G285" s="8"/>
      <c r="H285" s="9" t="n">
        <v>198576</v>
      </c>
      <c r="I285" s="7" t="s">
        <v>46</v>
      </c>
      <c r="J285" s="7" t="s">
        <v>47</v>
      </c>
      <c r="K285" s="7" t="s">
        <v>259</v>
      </c>
      <c r="L285" s="10" t="s">
        <v>1375</v>
      </c>
      <c r="M285" s="7" t="s">
        <v>1376</v>
      </c>
      <c r="N285" s="8" t="n">
        <v>0</v>
      </c>
      <c r="O285" s="8" t="n">
        <v>0</v>
      </c>
      <c r="P285" s="8" t="n">
        <v>0</v>
      </c>
      <c r="Q285" s="8" t="n">
        <v>1</v>
      </c>
      <c r="R285" s="8" t="n">
        <v>0</v>
      </c>
      <c r="S285" s="8" t="n">
        <v>0</v>
      </c>
      <c r="T285" s="13"/>
      <c r="U285" s="11" t="n">
        <f aca="false">O285*4 + P285*2 + MAX(0,N285-O285-P285)*1 + Q285*0.2 + R285*2 + S285*1 + IF(T285="",0,IF(T285&lt;=10,8,IF(T285&lt;=50,6,IF(T285&lt;=100,4,2))))</f>
        <v>0.2</v>
      </c>
      <c r="V285" s="7"/>
      <c r="W285" s="12"/>
      <c r="X285" s="13"/>
      <c r="Y285" s="13" t="s">
        <v>1377</v>
      </c>
    </row>
    <row r="286" customFormat="false" ht="15.75" hidden="false" customHeight="true" outlineLevel="0" collapsed="false">
      <c r="A286" s="7" t="s">
        <v>1378</v>
      </c>
      <c r="B286" s="8" t="n">
        <v>1976</v>
      </c>
      <c r="C286" s="8" t="s">
        <v>61</v>
      </c>
      <c r="D286" s="8" t="n">
        <v>125</v>
      </c>
      <c r="E286" s="7" t="s">
        <v>1379</v>
      </c>
      <c r="F286" s="8" t="n">
        <v>7.4</v>
      </c>
      <c r="G286" s="8"/>
      <c r="H286" s="9" t="n">
        <v>76235</v>
      </c>
      <c r="I286" s="7" t="s">
        <v>46</v>
      </c>
      <c r="J286" s="7" t="s">
        <v>131</v>
      </c>
      <c r="K286" s="7" t="s">
        <v>54</v>
      </c>
      <c r="L286" s="10" t="s">
        <v>205</v>
      </c>
      <c r="M286" s="7" t="s">
        <v>1380</v>
      </c>
      <c r="N286" s="8" t="n">
        <v>0</v>
      </c>
      <c r="O286" s="8" t="n">
        <v>0</v>
      </c>
      <c r="P286" s="8" t="n">
        <v>0</v>
      </c>
      <c r="Q286" s="8" t="n">
        <v>1</v>
      </c>
      <c r="R286" s="8" t="n">
        <v>0</v>
      </c>
      <c r="S286" s="8" t="n">
        <v>0</v>
      </c>
      <c r="T286" s="13"/>
      <c r="U286" s="11" t="n">
        <f aca="false">O286*4 + P286*2 + MAX(0,N286-O286-P286)*1 + Q286*0.2 + R286*2 + S286*1 + IF(T286="",0,IF(T286&lt;=10,8,IF(T286&lt;=50,6,IF(T286&lt;=100,4,2))))</f>
        <v>0.2</v>
      </c>
      <c r="V286" s="7"/>
      <c r="W286" s="12"/>
      <c r="X286" s="13"/>
      <c r="Y286" s="13" t="s">
        <v>1381</v>
      </c>
    </row>
    <row r="287" customFormat="false" ht="15.75" hidden="false" customHeight="true" outlineLevel="0" collapsed="false">
      <c r="A287" s="7" t="s">
        <v>1382</v>
      </c>
      <c r="B287" s="8" t="n">
        <v>1976</v>
      </c>
      <c r="C287" s="8" t="s">
        <v>61</v>
      </c>
      <c r="D287" s="8" t="n">
        <v>317</v>
      </c>
      <c r="E287" s="7" t="s">
        <v>656</v>
      </c>
      <c r="F287" s="8" t="n">
        <v>7.6</v>
      </c>
      <c r="G287" s="8"/>
      <c r="H287" s="9" t="n">
        <v>27961</v>
      </c>
      <c r="I287" s="7" t="s">
        <v>1383</v>
      </c>
      <c r="J287" s="7" t="s">
        <v>47</v>
      </c>
      <c r="K287" s="12" t="s">
        <v>453</v>
      </c>
      <c r="L287" s="10" t="s">
        <v>113</v>
      </c>
      <c r="M287" s="7" t="s">
        <v>1384</v>
      </c>
      <c r="N287" s="8" t="n">
        <v>0</v>
      </c>
      <c r="O287" s="8" t="n">
        <v>0</v>
      </c>
      <c r="P287" s="8" t="n">
        <v>0</v>
      </c>
      <c r="Q287" s="8" t="n">
        <v>0</v>
      </c>
      <c r="R287" s="13" t="n">
        <v>0</v>
      </c>
      <c r="S287" s="13" t="n">
        <v>0</v>
      </c>
      <c r="T287" s="13"/>
      <c r="U287" s="11" t="n">
        <f aca="false">O287*4 + P287*2 + MAX(0,N287-O287-P287)*1 + Q287*0.2 + R287*2 + S287*1 + IF(T287="",0,IF(T287&lt;=10,8,IF(T287&lt;=50,6,IF(T287&lt;=100,4,2))))</f>
        <v>0</v>
      </c>
      <c r="V287" s="7" t="s">
        <v>1385</v>
      </c>
      <c r="W287" s="12"/>
      <c r="X287" s="13"/>
      <c r="Y287" s="13" t="s">
        <v>1386</v>
      </c>
    </row>
    <row r="288" customFormat="false" ht="15.75" hidden="false" customHeight="true" outlineLevel="0" collapsed="false">
      <c r="A288" s="7" t="s">
        <v>1387</v>
      </c>
      <c r="B288" s="8" t="n">
        <v>1998</v>
      </c>
      <c r="C288" s="8" t="s">
        <v>26</v>
      </c>
      <c r="D288" s="8" t="n">
        <v>140</v>
      </c>
      <c r="E288" s="7" t="s">
        <v>1388</v>
      </c>
      <c r="F288" s="8" t="n">
        <v>7.7</v>
      </c>
      <c r="G288" s="8"/>
      <c r="H288" s="9" t="n">
        <v>80537</v>
      </c>
      <c r="I288" s="7" t="s">
        <v>46</v>
      </c>
      <c r="J288" s="7" t="s">
        <v>30</v>
      </c>
      <c r="K288" s="7" t="s">
        <v>47</v>
      </c>
      <c r="L288" s="10"/>
      <c r="M288" s="7" t="s">
        <v>1389</v>
      </c>
      <c r="N288" s="8" t="n">
        <v>0</v>
      </c>
      <c r="O288" s="8" t="n">
        <v>0</v>
      </c>
      <c r="P288" s="8" t="n">
        <v>0</v>
      </c>
      <c r="Q288" s="8" t="n">
        <v>0</v>
      </c>
      <c r="R288" s="13" t="n">
        <v>0</v>
      </c>
      <c r="S288" s="13" t="n">
        <v>0</v>
      </c>
      <c r="T288" s="8" t="n">
        <v>152</v>
      </c>
      <c r="U288" s="11" t="n">
        <f aca="false">O288*4 + P288*2 + MAX(0,N288-O288-P288)*1 + Q288*0.2 + R288*2 + S288*1 + IF(T288="",0,IF(T288&lt;=10,8,IF(T288&lt;=50,6,IF(T288&lt;=100,4,2))))</f>
        <v>2</v>
      </c>
      <c r="V288" s="10" t="s">
        <v>1390</v>
      </c>
      <c r="W288" s="12"/>
      <c r="X288" s="13"/>
      <c r="Y288" s="13" t="s">
        <v>1391</v>
      </c>
    </row>
    <row r="289" customFormat="false" ht="15.75" hidden="false" customHeight="true" outlineLevel="0" collapsed="false">
      <c r="A289" s="7" t="s">
        <v>1392</v>
      </c>
      <c r="B289" s="8" t="n">
        <v>2019</v>
      </c>
      <c r="C289" s="8" t="s">
        <v>176</v>
      </c>
      <c r="D289" s="8" t="n">
        <v>131</v>
      </c>
      <c r="E289" s="7" t="s">
        <v>74</v>
      </c>
      <c r="F289" s="8" t="n">
        <v>7.5</v>
      </c>
      <c r="G289" s="8"/>
      <c r="H289" s="9" t="n">
        <v>107974</v>
      </c>
      <c r="I289" s="7" t="s">
        <v>46</v>
      </c>
      <c r="J289" s="7" t="s">
        <v>47</v>
      </c>
      <c r="K289" s="7" t="s">
        <v>54</v>
      </c>
      <c r="L289" s="10"/>
      <c r="M289" s="7" t="s">
        <v>1393</v>
      </c>
      <c r="N289" s="8" t="n">
        <v>0</v>
      </c>
      <c r="O289" s="8" t="n">
        <v>0</v>
      </c>
      <c r="P289" s="8" t="n">
        <v>0</v>
      </c>
      <c r="Q289" s="8" t="n">
        <v>1</v>
      </c>
      <c r="R289" s="8" t="n">
        <v>0</v>
      </c>
      <c r="S289" s="8" t="n">
        <v>0</v>
      </c>
      <c r="T289" s="13"/>
      <c r="U289" s="11" t="n">
        <f aca="false">O289*4 + P289*2 + MAX(0,N289-O289-P289)*1 + Q289*0.2 + R289*2 + S289*1 + IF(T289="",0,IF(T289&lt;=10,8,IF(T289&lt;=50,6,IF(T289&lt;=100,4,2))))</f>
        <v>0.2</v>
      </c>
      <c r="V289" s="7"/>
      <c r="W289" s="12"/>
      <c r="X289" s="13"/>
      <c r="Y289" s="13" t="s">
        <v>1394</v>
      </c>
    </row>
    <row r="290" customFormat="false" ht="15.75" hidden="false" customHeight="true" outlineLevel="0" collapsed="false">
      <c r="A290" s="7" t="s">
        <v>1395</v>
      </c>
      <c r="B290" s="8" t="n">
        <v>1997</v>
      </c>
      <c r="C290" s="8" t="s">
        <v>26</v>
      </c>
      <c r="D290" s="8" t="n">
        <v>110</v>
      </c>
      <c r="E290" s="7" t="s">
        <v>1396</v>
      </c>
      <c r="F290" s="8" t="n">
        <v>7</v>
      </c>
      <c r="G290" s="8"/>
      <c r="H290" s="9" t="n">
        <v>2892</v>
      </c>
      <c r="I290" s="7" t="s">
        <v>232</v>
      </c>
      <c r="J290" s="7" t="s">
        <v>47</v>
      </c>
      <c r="K290" s="7"/>
      <c r="L290" s="10" t="s">
        <v>714</v>
      </c>
      <c r="M290" s="7" t="s">
        <v>1397</v>
      </c>
      <c r="N290" s="8" t="n">
        <v>0</v>
      </c>
      <c r="O290" s="8" t="n">
        <v>0</v>
      </c>
      <c r="P290" s="8" t="n">
        <v>0</v>
      </c>
      <c r="Q290" s="8" t="n">
        <v>0</v>
      </c>
      <c r="R290" s="13" t="n">
        <v>0</v>
      </c>
      <c r="S290" s="13" t="n">
        <v>0</v>
      </c>
      <c r="T290" s="13"/>
      <c r="U290" s="11" t="n">
        <f aca="false">O290*4 + P290*2 + MAX(0,N290-O290-P290)*1 + Q290*0.2 + R290*2 + S290*1 + IF(T290="",0,IF(T290&lt;=10,8,IF(T290&lt;=50,6,IF(T290&lt;=100,4,2))))</f>
        <v>0</v>
      </c>
      <c r="V290" s="7"/>
      <c r="W290" s="12"/>
      <c r="X290" s="13"/>
      <c r="Y290" s="13" t="s">
        <v>1398</v>
      </c>
    </row>
    <row r="291" customFormat="false" ht="15.75" hidden="false" customHeight="true" outlineLevel="0" collapsed="false">
      <c r="A291" s="7" t="s">
        <v>1399</v>
      </c>
      <c r="B291" s="8" t="n">
        <v>2011</v>
      </c>
      <c r="C291" s="8" t="s">
        <v>176</v>
      </c>
      <c r="D291" s="8" t="n">
        <v>102</v>
      </c>
      <c r="E291" s="7" t="s">
        <v>1400</v>
      </c>
      <c r="F291" s="8" t="n">
        <v>7.2</v>
      </c>
      <c r="G291" s="8"/>
      <c r="H291" s="9" t="n">
        <v>50265</v>
      </c>
      <c r="I291" s="7" t="s">
        <v>232</v>
      </c>
      <c r="J291" s="7" t="s">
        <v>131</v>
      </c>
      <c r="K291" s="7" t="s">
        <v>54</v>
      </c>
      <c r="L291" s="10" t="s">
        <v>1401</v>
      </c>
      <c r="M291" s="7" t="s">
        <v>1402</v>
      </c>
      <c r="N291" s="8" t="n">
        <v>0</v>
      </c>
      <c r="O291" s="8" t="n">
        <v>0</v>
      </c>
      <c r="P291" s="8" t="n">
        <v>0</v>
      </c>
      <c r="Q291" s="8" t="n">
        <v>0</v>
      </c>
      <c r="R291" s="13" t="n">
        <v>0</v>
      </c>
      <c r="S291" s="13" t="n">
        <v>0</v>
      </c>
      <c r="T291" s="13"/>
      <c r="U291" s="11" t="n">
        <f aca="false">O291*4 + P291*2 + MAX(0,N291-O291-P291)*1 + Q291*0.2 + R291*2 + S291*1 + IF(T291="",0,IF(T291&lt;=10,8,IF(T291&lt;=50,6,IF(T291&lt;=100,4,2))))</f>
        <v>0</v>
      </c>
      <c r="V291" s="7"/>
      <c r="W291" s="12"/>
      <c r="X291" s="13"/>
      <c r="Y291" s="13" t="s">
        <v>1403</v>
      </c>
    </row>
    <row r="292" customFormat="false" ht="15.75" hidden="false" customHeight="true" outlineLevel="0" collapsed="false">
      <c r="A292" s="7" t="s">
        <v>1404</v>
      </c>
      <c r="B292" s="8" t="n">
        <v>2007</v>
      </c>
      <c r="C292" s="8" t="s">
        <v>35</v>
      </c>
      <c r="D292" s="8" t="n">
        <v>112</v>
      </c>
      <c r="E292" s="7" t="s">
        <v>1405</v>
      </c>
      <c r="F292" s="8" t="n">
        <v>8</v>
      </c>
      <c r="G292" s="8"/>
      <c r="H292" s="9" t="n">
        <v>113123</v>
      </c>
      <c r="I292" s="7" t="s">
        <v>219</v>
      </c>
      <c r="J292" s="7" t="s">
        <v>47</v>
      </c>
      <c r="K292" s="12"/>
      <c r="L292" s="10" t="s">
        <v>113</v>
      </c>
      <c r="M292" s="7" t="s">
        <v>1406</v>
      </c>
      <c r="N292" s="8" t="n">
        <v>0</v>
      </c>
      <c r="O292" s="8" t="n">
        <v>0</v>
      </c>
      <c r="P292" s="8" t="n">
        <v>0</v>
      </c>
      <c r="Q292" s="8" t="n">
        <v>0</v>
      </c>
      <c r="R292" s="13" t="n">
        <v>0</v>
      </c>
      <c r="S292" s="13" t="n">
        <v>0</v>
      </c>
      <c r="T292" s="13"/>
      <c r="U292" s="11" t="n">
        <f aca="false">O292*4 + P292*2 + MAX(0,N292-O292-P292)*1 + Q292*0.2 + R292*2 + S292*1 + IF(T292="",0,IF(T292&lt;=10,8,IF(T292&lt;=50,6,IF(T292&lt;=100,4,2))))</f>
        <v>0</v>
      </c>
      <c r="V292" s="7"/>
      <c r="W292" s="12"/>
      <c r="X292" s="13"/>
      <c r="Y292" s="13" t="s">
        <v>1407</v>
      </c>
    </row>
    <row r="293" customFormat="false" ht="15.75" hidden="false" customHeight="true" outlineLevel="0" collapsed="false">
      <c r="A293" s="7" t="s">
        <v>1408</v>
      </c>
      <c r="B293" s="8" t="n">
        <v>2017</v>
      </c>
      <c r="C293" s="8" t="s">
        <v>176</v>
      </c>
      <c r="D293" s="8" t="n">
        <v>111</v>
      </c>
      <c r="E293" s="7" t="s">
        <v>1409</v>
      </c>
      <c r="F293" s="8" t="n">
        <v>7.6</v>
      </c>
      <c r="G293" s="8"/>
      <c r="H293" s="9" t="n">
        <v>148613</v>
      </c>
      <c r="I293" s="7" t="s">
        <v>46</v>
      </c>
      <c r="J293" s="7" t="s">
        <v>47</v>
      </c>
      <c r="K293" s="7"/>
      <c r="L293" s="10" t="s">
        <v>55</v>
      </c>
      <c r="M293" s="7" t="s">
        <v>1410</v>
      </c>
      <c r="N293" s="8" t="n">
        <v>0</v>
      </c>
      <c r="O293" s="8" t="n">
        <v>0</v>
      </c>
      <c r="P293" s="8" t="n">
        <v>0</v>
      </c>
      <c r="Q293" s="8" t="n">
        <v>1</v>
      </c>
      <c r="R293" s="8" t="n">
        <v>0</v>
      </c>
      <c r="S293" s="8" t="n">
        <v>0</v>
      </c>
      <c r="T293" s="13"/>
      <c r="U293" s="11" t="n">
        <f aca="false">O293*4 + P293*2 + MAX(0,N293-O293-P293)*1 + Q293*0.2 + R293*2 + S293*1 + IF(T293="",0,IF(T293&lt;=10,8,IF(T293&lt;=50,6,IF(T293&lt;=100,4,2))))</f>
        <v>0.2</v>
      </c>
      <c r="V293" s="7"/>
      <c r="W293" s="12"/>
      <c r="X293" s="13"/>
      <c r="Y293" s="13" t="s">
        <v>1411</v>
      </c>
    </row>
    <row r="294" customFormat="false" ht="15.75" hidden="false" customHeight="true" outlineLevel="0" collapsed="false">
      <c r="A294" s="7" t="s">
        <v>1412</v>
      </c>
      <c r="B294" s="8" t="n">
        <v>2023</v>
      </c>
      <c r="C294" s="8" t="s">
        <v>378</v>
      </c>
      <c r="D294" s="8" t="n">
        <v>133</v>
      </c>
      <c r="E294" s="7" t="s">
        <v>1061</v>
      </c>
      <c r="F294" s="8" t="n">
        <v>7.9</v>
      </c>
      <c r="G294" s="8"/>
      <c r="H294" s="9" t="n">
        <v>272443</v>
      </c>
      <c r="I294" s="7" t="s">
        <v>46</v>
      </c>
      <c r="J294" s="7" t="s">
        <v>30</v>
      </c>
      <c r="K294" s="7" t="s">
        <v>47</v>
      </c>
      <c r="L294" s="10"/>
      <c r="M294" s="7" t="s">
        <v>1413</v>
      </c>
      <c r="N294" s="8" t="n">
        <v>1</v>
      </c>
      <c r="O294" s="8" t="n">
        <v>0</v>
      </c>
      <c r="P294" s="8" t="n">
        <v>0</v>
      </c>
      <c r="Q294" s="8" t="n">
        <v>5</v>
      </c>
      <c r="R294" s="8" t="n">
        <v>0</v>
      </c>
      <c r="S294" s="8" t="n">
        <v>0</v>
      </c>
      <c r="T294" s="13"/>
      <c r="U294" s="11" t="n">
        <f aca="false">O294*4 + P294*2 + MAX(0,N294-O294-P294)*1 + Q294*0.2 + R294*2 + S294*1 + IF(T294="",0,IF(T294&lt;=10,8,IF(T294&lt;=50,6,IF(T294&lt;=100,4,2))))</f>
        <v>2</v>
      </c>
      <c r="V294" s="7"/>
      <c r="W294" s="12"/>
      <c r="X294" s="13"/>
      <c r="Y294" s="13" t="s">
        <v>1414</v>
      </c>
    </row>
    <row r="295" customFormat="false" ht="15.75" hidden="false" customHeight="true" outlineLevel="0" collapsed="false">
      <c r="A295" s="7" t="s">
        <v>1415</v>
      </c>
      <c r="B295" s="8" t="n">
        <v>1999</v>
      </c>
      <c r="C295" s="8" t="s">
        <v>26</v>
      </c>
      <c r="D295" s="8" t="n">
        <v>95</v>
      </c>
      <c r="E295" s="7" t="s">
        <v>388</v>
      </c>
      <c r="F295" s="8" t="n">
        <v>7.2</v>
      </c>
      <c r="G295" s="8"/>
      <c r="H295" s="9" t="n">
        <v>37122</v>
      </c>
      <c r="I295" s="7" t="s">
        <v>46</v>
      </c>
      <c r="J295" s="7" t="s">
        <v>90</v>
      </c>
      <c r="K295" s="7" t="s">
        <v>30</v>
      </c>
      <c r="L295" s="10" t="s">
        <v>252</v>
      </c>
      <c r="M295" s="7" t="s">
        <v>1416</v>
      </c>
      <c r="N295" s="8" t="n">
        <v>0</v>
      </c>
      <c r="O295" s="8" t="n">
        <v>0</v>
      </c>
      <c r="P295" s="8" t="n">
        <v>0</v>
      </c>
      <c r="Q295" s="8" t="n">
        <v>2</v>
      </c>
      <c r="R295" s="8" t="n">
        <v>0</v>
      </c>
      <c r="S295" s="8" t="n">
        <v>0</v>
      </c>
      <c r="T295" s="13"/>
      <c r="U295" s="11" t="n">
        <f aca="false">O295*4 + P295*2 + MAX(0,N295-O295-P295)*1 + Q295*0.2 + R295*2 + S295*1 + IF(T295="",0,IF(T295&lt;=10,8,IF(T295&lt;=50,6,IF(T295&lt;=100,4,2))))</f>
        <v>0.4</v>
      </c>
      <c r="V295" s="7"/>
      <c r="W295" s="12"/>
      <c r="X295" s="13"/>
      <c r="Y295" s="13" t="s">
        <v>1417</v>
      </c>
    </row>
    <row r="296" customFormat="false" ht="15.75" hidden="false" customHeight="true" outlineLevel="0" collapsed="false">
      <c r="A296" s="7" t="s">
        <v>1418</v>
      </c>
      <c r="B296" s="8" t="n">
        <v>1996</v>
      </c>
      <c r="C296" s="8" t="s">
        <v>26</v>
      </c>
      <c r="D296" s="8" t="n">
        <v>112</v>
      </c>
      <c r="E296" s="7" t="s">
        <v>1419</v>
      </c>
      <c r="F296" s="8" t="n">
        <v>7.1</v>
      </c>
      <c r="G296" s="8"/>
      <c r="H296" s="9" t="n">
        <v>36476</v>
      </c>
      <c r="I296" s="7" t="s">
        <v>46</v>
      </c>
      <c r="J296" s="7" t="s">
        <v>29</v>
      </c>
      <c r="K296" s="7" t="s">
        <v>30</v>
      </c>
      <c r="L296" s="10" t="s">
        <v>531</v>
      </c>
      <c r="M296" s="7" t="s">
        <v>1420</v>
      </c>
      <c r="N296" s="8" t="n">
        <v>0</v>
      </c>
      <c r="O296" s="8" t="n">
        <v>0</v>
      </c>
      <c r="P296" s="8" t="n">
        <v>0</v>
      </c>
      <c r="Q296" s="8" t="n">
        <v>0</v>
      </c>
      <c r="R296" s="13" t="n">
        <v>0</v>
      </c>
      <c r="S296" s="13" t="n">
        <v>0</v>
      </c>
      <c r="T296" s="13"/>
      <c r="U296" s="11" t="n">
        <f aca="false">O296*4 + P296*2 + MAX(0,N296-O296-P296)*1 + Q296*0.2 + R296*2 + S296*1 + IF(T296="",0,IF(T296&lt;=10,8,IF(T296&lt;=50,6,IF(T296&lt;=100,4,2))))</f>
        <v>0</v>
      </c>
      <c r="V296" s="7"/>
      <c r="W296" s="12"/>
      <c r="X296" s="13"/>
      <c r="Y296" s="13" t="s">
        <v>1421</v>
      </c>
    </row>
    <row r="297" customFormat="false" ht="15.75" hidden="false" customHeight="true" outlineLevel="0" collapsed="false">
      <c r="A297" s="7" t="s">
        <v>1422</v>
      </c>
      <c r="B297" s="8" t="n">
        <v>2004</v>
      </c>
      <c r="C297" s="8" t="s">
        <v>35</v>
      </c>
      <c r="D297" s="8" t="n">
        <v>98</v>
      </c>
      <c r="E297" s="7" t="s">
        <v>1423</v>
      </c>
      <c r="F297" s="8" t="n">
        <v>8</v>
      </c>
      <c r="G297" s="8"/>
      <c r="H297" s="9" t="n">
        <v>22893</v>
      </c>
      <c r="I297" s="7" t="s">
        <v>1424</v>
      </c>
      <c r="J297" s="7" t="s">
        <v>154</v>
      </c>
      <c r="K297" s="7" t="s">
        <v>47</v>
      </c>
      <c r="L297" s="10"/>
      <c r="M297" s="7" t="s">
        <v>1425</v>
      </c>
      <c r="N297" s="8" t="n">
        <v>0</v>
      </c>
      <c r="O297" s="8" t="n">
        <v>0</v>
      </c>
      <c r="P297" s="8" t="n">
        <v>0</v>
      </c>
      <c r="Q297" s="8" t="n">
        <v>0</v>
      </c>
      <c r="R297" s="13" t="n">
        <v>0</v>
      </c>
      <c r="S297" s="13" t="n">
        <v>0</v>
      </c>
      <c r="T297" s="13"/>
      <c r="U297" s="11" t="n">
        <f aca="false">O297*4 + P297*2 + MAX(0,N297-O297-P297)*1 + Q297*0.2 + R297*2 + S297*1 + IF(T297="",0,IF(T297&lt;=10,8,IF(T297&lt;=50,6,IF(T297&lt;=100,4,2))))</f>
        <v>0</v>
      </c>
      <c r="V297" s="7"/>
      <c r="W297" s="12"/>
      <c r="X297" s="13"/>
      <c r="Y297" s="13" t="s">
        <v>1426</v>
      </c>
    </row>
    <row r="298" customFormat="false" ht="15.75" hidden="false" customHeight="true" outlineLevel="0" collapsed="false">
      <c r="A298" s="7" t="s">
        <v>1427</v>
      </c>
      <c r="B298" s="8" t="n">
        <v>1993</v>
      </c>
      <c r="C298" s="8" t="s">
        <v>26</v>
      </c>
      <c r="D298" s="8" t="n">
        <v>108</v>
      </c>
      <c r="E298" s="7" t="s">
        <v>1428</v>
      </c>
      <c r="F298" s="8" t="n">
        <v>7.4</v>
      </c>
      <c r="G298" s="8"/>
      <c r="H298" s="9" t="n">
        <v>6380</v>
      </c>
      <c r="I298" s="7" t="s">
        <v>1429</v>
      </c>
      <c r="J298" s="7" t="s">
        <v>29</v>
      </c>
      <c r="K298" s="7" t="s">
        <v>1102</v>
      </c>
      <c r="L298" s="10" t="s">
        <v>1430</v>
      </c>
      <c r="M298" s="7" t="s">
        <v>1431</v>
      </c>
      <c r="N298" s="8" t="n">
        <v>0</v>
      </c>
      <c r="O298" s="8" t="n">
        <v>0</v>
      </c>
      <c r="P298" s="8" t="n">
        <v>0</v>
      </c>
      <c r="Q298" s="8" t="n">
        <v>1</v>
      </c>
      <c r="R298" s="8" t="n">
        <v>0</v>
      </c>
      <c r="S298" s="8" t="n">
        <v>0</v>
      </c>
      <c r="T298" s="13"/>
      <c r="U298" s="11" t="n">
        <f aca="false">O298*4 + P298*2 + MAX(0,N298-O298-P298)*1 + Q298*0.2 + R298*2 + S298*1 + IF(T298="",0,IF(T298&lt;=10,8,IF(T298&lt;=50,6,IF(T298&lt;=100,4,2))))</f>
        <v>0.2</v>
      </c>
      <c r="V298" s="7"/>
      <c r="W298" s="12"/>
      <c r="X298" s="13"/>
      <c r="Y298" s="13" t="s">
        <v>1432</v>
      </c>
    </row>
    <row r="299" customFormat="false" ht="15.75" hidden="false" customHeight="true" outlineLevel="0" collapsed="false">
      <c r="A299" s="7" t="s">
        <v>1433</v>
      </c>
      <c r="B299" s="8" t="n">
        <v>1996</v>
      </c>
      <c r="C299" s="8" t="s">
        <v>26</v>
      </c>
      <c r="D299" s="8" t="n">
        <v>101</v>
      </c>
      <c r="E299" s="7" t="s">
        <v>388</v>
      </c>
      <c r="F299" s="8" t="n">
        <v>6.7</v>
      </c>
      <c r="G299" s="8"/>
      <c r="H299" s="9" t="n">
        <v>41451</v>
      </c>
      <c r="I299" s="7" t="s">
        <v>46</v>
      </c>
      <c r="J299" s="7" t="s">
        <v>90</v>
      </c>
      <c r="K299" s="7" t="s">
        <v>29</v>
      </c>
      <c r="L299" s="10" t="s">
        <v>252</v>
      </c>
      <c r="M299" s="7" t="s">
        <v>1434</v>
      </c>
      <c r="N299" s="8" t="n">
        <v>0</v>
      </c>
      <c r="O299" s="8" t="n">
        <v>0</v>
      </c>
      <c r="P299" s="8" t="n">
        <v>0</v>
      </c>
      <c r="Q299" s="8" t="n">
        <v>0</v>
      </c>
      <c r="R299" s="13" t="n">
        <v>0</v>
      </c>
      <c r="S299" s="13" t="n">
        <v>0</v>
      </c>
      <c r="T299" s="13"/>
      <c r="U299" s="11" t="n">
        <f aca="false">O299*4 + P299*2 + MAX(0,N299-O299-P299)*1 + Q299*0.2 + R299*2 + S299*1 + IF(T299="",0,IF(T299&lt;=10,8,IF(T299&lt;=50,6,IF(T299&lt;=100,4,2))))</f>
        <v>0</v>
      </c>
      <c r="V299" s="7"/>
      <c r="W299" s="12"/>
      <c r="X299" s="13"/>
      <c r="Y299" s="13" t="s">
        <v>1435</v>
      </c>
    </row>
    <row r="300" customFormat="false" ht="15.75" hidden="false" customHeight="true" outlineLevel="0" collapsed="false">
      <c r="A300" s="7" t="s">
        <v>1436</v>
      </c>
      <c r="B300" s="8" t="n">
        <v>1982</v>
      </c>
      <c r="C300" s="8" t="s">
        <v>109</v>
      </c>
      <c r="D300" s="8" t="n">
        <v>322</v>
      </c>
      <c r="E300" s="7" t="s">
        <v>1437</v>
      </c>
      <c r="F300" s="8" t="n">
        <v>8.1</v>
      </c>
      <c r="G300" s="8"/>
      <c r="H300" s="9" t="n">
        <v>71723</v>
      </c>
      <c r="I300" s="7" t="s">
        <v>1438</v>
      </c>
      <c r="J300" s="7" t="s">
        <v>47</v>
      </c>
      <c r="K300" s="7"/>
      <c r="L300" s="10" t="s">
        <v>1439</v>
      </c>
      <c r="M300" s="7" t="s">
        <v>1440</v>
      </c>
      <c r="N300" s="8" t="n">
        <v>4</v>
      </c>
      <c r="O300" s="8" t="n">
        <v>0</v>
      </c>
      <c r="P300" s="8" t="n">
        <v>0</v>
      </c>
      <c r="Q300" s="8" t="n">
        <v>6</v>
      </c>
      <c r="R300" s="8" t="n">
        <v>0</v>
      </c>
      <c r="S300" s="8" t="n">
        <v>0</v>
      </c>
      <c r="T300" s="8" t="n">
        <v>129</v>
      </c>
      <c r="U300" s="11" t="n">
        <f aca="false">O300*4 + P300*2 + MAX(0,N300-O300-P300)*1 + Q300*0.2 + R300*2 + S300*1 + IF(T300="",0,IF(T300&lt;=10,8,IF(T300&lt;=50,6,IF(T300&lt;=100,4,2))))</f>
        <v>7.2</v>
      </c>
      <c r="V300" s="10" t="s">
        <v>1441</v>
      </c>
      <c r="W300" s="12"/>
      <c r="X300" s="13"/>
      <c r="Y300" s="13" t="s">
        <v>1442</v>
      </c>
    </row>
    <row r="301" customFormat="false" ht="15.75" hidden="false" customHeight="true" outlineLevel="0" collapsed="false">
      <c r="A301" s="7" t="s">
        <v>1443</v>
      </c>
      <c r="B301" s="8" t="n">
        <v>1975</v>
      </c>
      <c r="C301" s="8" t="s">
        <v>61</v>
      </c>
      <c r="D301" s="8" t="n">
        <v>85</v>
      </c>
      <c r="E301" s="7" t="s">
        <v>388</v>
      </c>
      <c r="F301" s="8" t="n">
        <v>7.6</v>
      </c>
      <c r="G301" s="8"/>
      <c r="H301" s="9" t="n">
        <v>44114</v>
      </c>
      <c r="I301" s="7" t="s">
        <v>46</v>
      </c>
      <c r="J301" s="7" t="s">
        <v>154</v>
      </c>
      <c r="K301" s="7" t="s">
        <v>30</v>
      </c>
      <c r="L301" s="10" t="s">
        <v>187</v>
      </c>
      <c r="M301" s="7" t="s">
        <v>1444</v>
      </c>
      <c r="N301" s="8" t="n">
        <v>0</v>
      </c>
      <c r="O301" s="8" t="n">
        <v>0</v>
      </c>
      <c r="P301" s="8" t="n">
        <v>0</v>
      </c>
      <c r="Q301" s="8" t="n">
        <v>0</v>
      </c>
      <c r="R301" s="13" t="n">
        <v>0</v>
      </c>
      <c r="S301" s="13" t="n">
        <v>0</v>
      </c>
      <c r="T301" s="13"/>
      <c r="U301" s="11" t="n">
        <f aca="false">O301*4 + P301*2 + MAX(0,N301-O301-P301)*1 + Q301*0.2 + R301*2 + S301*1 + IF(T301="",0,IF(T301&lt;=10,8,IF(T301&lt;=50,6,IF(T301&lt;=100,4,2))))</f>
        <v>0</v>
      </c>
      <c r="V301" s="7"/>
      <c r="W301" s="12"/>
      <c r="X301" s="13"/>
      <c r="Y301" s="13" t="s">
        <v>1445</v>
      </c>
    </row>
    <row r="302" customFormat="false" ht="15.75" hidden="false" customHeight="true" outlineLevel="0" collapsed="false">
      <c r="A302" s="7" t="s">
        <v>1446</v>
      </c>
      <c r="B302" s="8" t="n">
        <v>2019</v>
      </c>
      <c r="C302" s="8" t="s">
        <v>176</v>
      </c>
      <c r="D302" s="8" t="n">
        <v>135</v>
      </c>
      <c r="E302" s="7" t="s">
        <v>1447</v>
      </c>
      <c r="F302" s="8" t="n">
        <v>7.7</v>
      </c>
      <c r="G302" s="8"/>
      <c r="H302" s="9" t="n">
        <v>287346</v>
      </c>
      <c r="I302" s="7" t="s">
        <v>46</v>
      </c>
      <c r="J302" s="7" t="s">
        <v>29</v>
      </c>
      <c r="K302" s="7" t="s">
        <v>47</v>
      </c>
      <c r="L302" s="10" t="s">
        <v>113</v>
      </c>
      <c r="M302" s="7" t="s">
        <v>1448</v>
      </c>
      <c r="N302" s="8" t="n">
        <v>1</v>
      </c>
      <c r="O302" s="8" t="n">
        <v>0</v>
      </c>
      <c r="P302" s="8" t="n">
        <v>0</v>
      </c>
      <c r="Q302" s="8" t="n">
        <v>6</v>
      </c>
      <c r="R302" s="8" t="n">
        <v>0</v>
      </c>
      <c r="S302" s="8" t="n">
        <v>0</v>
      </c>
      <c r="T302" s="13"/>
      <c r="U302" s="11" t="n">
        <f aca="false">O302*4 + P302*2 + MAX(0,N302-O302-P302)*1 + Q302*0.2 + R302*2 + S302*1 + IF(T302="",0,IF(T302&lt;=10,8,IF(T302&lt;=50,6,IF(T302&lt;=100,4,2))))</f>
        <v>2.2</v>
      </c>
      <c r="V302" s="7"/>
      <c r="W302" s="12"/>
      <c r="X302" s="13"/>
      <c r="Y302" s="13" t="s">
        <v>1449</v>
      </c>
    </row>
    <row r="303" customFormat="false" ht="15.75" hidden="false" customHeight="true" outlineLevel="0" collapsed="false">
      <c r="A303" s="7" t="s">
        <v>1450</v>
      </c>
      <c r="B303" s="8" t="n">
        <v>1984</v>
      </c>
      <c r="C303" s="8" t="s">
        <v>109</v>
      </c>
      <c r="D303" s="8" t="n">
        <v>101</v>
      </c>
      <c r="E303" s="7" t="s">
        <v>349</v>
      </c>
      <c r="F303" s="8" t="n">
        <v>7.1</v>
      </c>
      <c r="G303" s="8"/>
      <c r="H303" s="9" t="n">
        <v>12190</v>
      </c>
      <c r="I303" s="7" t="s">
        <v>232</v>
      </c>
      <c r="J303" s="7" t="s">
        <v>30</v>
      </c>
      <c r="K303" s="7" t="s">
        <v>1005</v>
      </c>
      <c r="L303" s="10" t="s">
        <v>587</v>
      </c>
      <c r="M303" s="7" t="s">
        <v>1451</v>
      </c>
      <c r="N303" s="8" t="n">
        <v>0</v>
      </c>
      <c r="O303" s="8" t="n">
        <v>0</v>
      </c>
      <c r="P303" s="8" t="n">
        <v>0</v>
      </c>
      <c r="Q303" s="8" t="n">
        <v>0</v>
      </c>
      <c r="R303" s="13" t="n">
        <v>0</v>
      </c>
      <c r="S303" s="13" t="n">
        <v>0</v>
      </c>
      <c r="T303" s="13"/>
      <c r="U303" s="11" t="n">
        <f aca="false">O303*4 + P303*2 + MAX(0,N303-O303-P303)*1 + Q303*0.2 + R303*2 + S303*1 + IF(T303="",0,IF(T303&lt;=10,8,IF(T303&lt;=50,6,IF(T303&lt;=100,4,2))))</f>
        <v>0</v>
      </c>
      <c r="V303" s="7"/>
      <c r="W303" s="12"/>
      <c r="X303" s="13"/>
      <c r="Y303" s="13" t="s">
        <v>1452</v>
      </c>
    </row>
    <row r="304" customFormat="false" ht="15.75" hidden="false" customHeight="true" outlineLevel="0" collapsed="false">
      <c r="A304" s="7" t="s">
        <v>1453</v>
      </c>
      <c r="B304" s="8" t="n">
        <v>2013</v>
      </c>
      <c r="C304" s="8" t="s">
        <v>176</v>
      </c>
      <c r="D304" s="8" t="n">
        <v>89</v>
      </c>
      <c r="E304" s="7" t="s">
        <v>1454</v>
      </c>
      <c r="F304" s="8" t="n">
        <v>7.2</v>
      </c>
      <c r="G304" s="8"/>
      <c r="H304" s="9" t="n">
        <v>177440</v>
      </c>
      <c r="I304" s="7" t="s">
        <v>46</v>
      </c>
      <c r="J304" s="7" t="s">
        <v>111</v>
      </c>
      <c r="K304" s="7" t="s">
        <v>1455</v>
      </c>
      <c r="L304" s="10" t="s">
        <v>205</v>
      </c>
      <c r="M304" s="7" t="s">
        <v>1456</v>
      </c>
      <c r="N304" s="8" t="n">
        <v>0</v>
      </c>
      <c r="O304" s="8" t="n">
        <v>0</v>
      </c>
      <c r="P304" s="8" t="n">
        <v>0</v>
      </c>
      <c r="Q304" s="8" t="n">
        <v>0</v>
      </c>
      <c r="R304" s="13" t="n">
        <v>0</v>
      </c>
      <c r="S304" s="13" t="n">
        <v>0</v>
      </c>
      <c r="T304" s="13"/>
      <c r="U304" s="11" t="n">
        <f aca="false">O304*4 + P304*2 + MAX(0,N304-O304-P304)*1 + Q304*0.2 + R304*2 + S304*1 + IF(T304="",0,IF(T304&lt;=10,8,IF(T304&lt;=50,6,IF(T304&lt;=100,4,2))))</f>
        <v>0</v>
      </c>
      <c r="V304" s="7"/>
      <c r="W304" s="12"/>
      <c r="X304" s="13"/>
      <c r="Y304" s="13" t="s">
        <v>1457</v>
      </c>
    </row>
    <row r="305" customFormat="false" ht="15.75" hidden="false" customHeight="true" outlineLevel="0" collapsed="false">
      <c r="A305" s="7" t="s">
        <v>1458</v>
      </c>
      <c r="B305" s="8" t="n">
        <v>1983</v>
      </c>
      <c r="C305" s="8" t="s">
        <v>109</v>
      </c>
      <c r="D305" s="8" t="n">
        <v>94</v>
      </c>
      <c r="E305" s="7" t="s">
        <v>62</v>
      </c>
      <c r="F305" s="8" t="n">
        <v>7.1</v>
      </c>
      <c r="G305" s="8"/>
      <c r="H305" s="9" t="n">
        <v>41548</v>
      </c>
      <c r="I305" s="7" t="s">
        <v>46</v>
      </c>
      <c r="J305" s="7" t="s">
        <v>29</v>
      </c>
      <c r="K305" s="7" t="s">
        <v>54</v>
      </c>
      <c r="L305" s="10" t="s">
        <v>205</v>
      </c>
      <c r="M305" s="7" t="s">
        <v>1459</v>
      </c>
      <c r="N305" s="8" t="n">
        <v>0</v>
      </c>
      <c r="O305" s="8" t="n">
        <v>0</v>
      </c>
      <c r="P305" s="8" t="n">
        <v>0</v>
      </c>
      <c r="Q305" s="8" t="n">
        <v>0</v>
      </c>
      <c r="R305" s="13" t="n">
        <v>0</v>
      </c>
      <c r="S305" s="13" t="n">
        <v>0</v>
      </c>
      <c r="T305" s="13"/>
      <c r="U305" s="11" t="n">
        <f aca="false">O305*4 + P305*2 + MAX(0,N305-O305-P305)*1 + Q305*0.2 + R305*2 + S305*1 + IF(T305="",0,IF(T305&lt;=10,8,IF(T305&lt;=50,6,IF(T305&lt;=100,4,2))))</f>
        <v>0</v>
      </c>
      <c r="V305" s="7"/>
      <c r="W305" s="12"/>
      <c r="X305" s="13"/>
      <c r="Y305" s="13" t="s">
        <v>1460</v>
      </c>
    </row>
    <row r="306" customFormat="false" ht="15.75" hidden="false" customHeight="true" outlineLevel="0" collapsed="false">
      <c r="A306" s="7" t="s">
        <v>1461</v>
      </c>
      <c r="B306" s="8" t="n">
        <v>2022</v>
      </c>
      <c r="C306" s="8" t="s">
        <v>378</v>
      </c>
      <c r="D306" s="8" t="n">
        <v>151</v>
      </c>
      <c r="E306" s="7" t="s">
        <v>45</v>
      </c>
      <c r="F306" s="8" t="n">
        <v>7.5</v>
      </c>
      <c r="G306" s="8"/>
      <c r="H306" s="9" t="n">
        <v>136558</v>
      </c>
      <c r="I306" s="7" t="s">
        <v>46</v>
      </c>
      <c r="J306" s="7" t="s">
        <v>47</v>
      </c>
      <c r="K306" s="7" t="s">
        <v>48</v>
      </c>
      <c r="L306" s="10" t="s">
        <v>238</v>
      </c>
      <c r="M306" s="7" t="s">
        <v>1462</v>
      </c>
      <c r="N306" s="8" t="n">
        <v>0</v>
      </c>
      <c r="O306" s="8" t="n">
        <v>0</v>
      </c>
      <c r="P306" s="8" t="n">
        <v>0</v>
      </c>
      <c r="Q306" s="8" t="n">
        <v>7</v>
      </c>
      <c r="R306" s="8" t="n">
        <v>0</v>
      </c>
      <c r="S306" s="8" t="n">
        <v>0</v>
      </c>
      <c r="T306" s="13"/>
      <c r="U306" s="11" t="n">
        <f aca="false">O306*4 + P306*2 + MAX(0,N306-O306-P306)*1 + Q306*0.2 + R306*2 + S306*1 + IF(T306="",0,IF(T306&lt;=10,8,IF(T306&lt;=50,6,IF(T306&lt;=100,4,2))))</f>
        <v>1.4</v>
      </c>
      <c r="V306" s="7"/>
      <c r="W306" s="12"/>
      <c r="X306" s="13"/>
      <c r="Y306" s="13" t="s">
        <v>1463</v>
      </c>
    </row>
    <row r="307" customFormat="false" ht="15.75" hidden="false" customHeight="true" outlineLevel="0" collapsed="false">
      <c r="A307" s="7" t="s">
        <v>1464</v>
      </c>
      <c r="B307" s="8" t="n">
        <v>1991</v>
      </c>
      <c r="C307" s="8" t="s">
        <v>26</v>
      </c>
      <c r="D307" s="8" t="n">
        <v>140</v>
      </c>
      <c r="E307" s="7" t="s">
        <v>1132</v>
      </c>
      <c r="F307" s="8" t="n">
        <v>7.2</v>
      </c>
      <c r="G307" s="8"/>
      <c r="H307" s="9" t="n">
        <v>107791</v>
      </c>
      <c r="I307" s="7" t="s">
        <v>46</v>
      </c>
      <c r="J307" s="7" t="s">
        <v>90</v>
      </c>
      <c r="K307" s="7" t="s">
        <v>48</v>
      </c>
      <c r="L307" s="10" t="s">
        <v>220</v>
      </c>
      <c r="M307" s="7" t="s">
        <v>1465</v>
      </c>
      <c r="N307" s="8" t="n">
        <v>0</v>
      </c>
      <c r="O307" s="8" t="n">
        <v>0</v>
      </c>
      <c r="P307" s="8" t="n">
        <v>0</v>
      </c>
      <c r="Q307" s="8" t="n">
        <v>0</v>
      </c>
      <c r="R307" s="13" t="n">
        <v>0</v>
      </c>
      <c r="S307" s="13" t="n">
        <v>0</v>
      </c>
      <c r="T307" s="13"/>
      <c r="U307" s="11" t="n">
        <f aca="false">O307*4 + P307*2 + MAX(0,N307-O307-P307)*1 + Q307*0.2 + R307*2 + S307*1 + IF(T307="",0,IF(T307&lt;=10,8,IF(T307&lt;=50,6,IF(T307&lt;=100,4,2))))</f>
        <v>0</v>
      </c>
      <c r="V307" s="7"/>
      <c r="W307" s="12"/>
      <c r="X307" s="13"/>
      <c r="Y307" s="13" t="s">
        <v>1466</v>
      </c>
    </row>
    <row r="308" customFormat="false" ht="15.75" hidden="false" customHeight="true" outlineLevel="0" collapsed="false">
      <c r="A308" s="7" t="s">
        <v>1467</v>
      </c>
      <c r="B308" s="8" t="n">
        <v>1992</v>
      </c>
      <c r="C308" s="8" t="s">
        <v>26</v>
      </c>
      <c r="D308" s="8" t="n">
        <v>107</v>
      </c>
      <c r="E308" s="7" t="s">
        <v>1468</v>
      </c>
      <c r="F308" s="8" t="n">
        <v>7.3</v>
      </c>
      <c r="G308" s="8"/>
      <c r="H308" s="9" t="n">
        <v>7719</v>
      </c>
      <c r="I308" s="7" t="s">
        <v>1111</v>
      </c>
      <c r="J308" s="7" t="s">
        <v>38</v>
      </c>
      <c r="K308" s="7" t="s">
        <v>1455</v>
      </c>
      <c r="L308" s="10" t="s">
        <v>1469</v>
      </c>
      <c r="M308" s="7" t="s">
        <v>1470</v>
      </c>
      <c r="N308" s="8" t="n">
        <v>0</v>
      </c>
      <c r="O308" s="8" t="n">
        <v>0</v>
      </c>
      <c r="P308" s="8" t="n">
        <v>0</v>
      </c>
      <c r="Q308" s="8" t="n">
        <v>0</v>
      </c>
      <c r="R308" s="13" t="n">
        <v>0</v>
      </c>
      <c r="S308" s="13" t="n">
        <v>0</v>
      </c>
      <c r="T308" s="13"/>
      <c r="U308" s="11" t="n">
        <f aca="false">O308*4 + P308*2 + MAX(0,N308-O308-P308)*1 + Q308*0.2 + R308*2 + S308*1 + IF(T308="",0,IF(T308&lt;=10,8,IF(T308&lt;=50,6,IF(T308&lt;=100,4,2))))</f>
        <v>0</v>
      </c>
      <c r="V308" s="7"/>
      <c r="W308" s="12"/>
      <c r="X308" s="13"/>
      <c r="Y308" s="13" t="s">
        <v>1471</v>
      </c>
    </row>
    <row r="309" customFormat="false" ht="15.75" hidden="false" customHeight="true" outlineLevel="0" collapsed="false">
      <c r="A309" s="7" t="s">
        <v>1472</v>
      </c>
      <c r="B309" s="8" t="n">
        <v>1989</v>
      </c>
      <c r="C309" s="8" t="s">
        <v>109</v>
      </c>
      <c r="D309" s="8" t="n">
        <v>113</v>
      </c>
      <c r="E309" s="7" t="s">
        <v>273</v>
      </c>
      <c r="F309" s="8" t="n">
        <v>7.1</v>
      </c>
      <c r="G309" s="8"/>
      <c r="H309" s="9" t="n">
        <v>52188</v>
      </c>
      <c r="I309" s="7" t="s">
        <v>46</v>
      </c>
      <c r="J309" s="7" t="s">
        <v>112</v>
      </c>
      <c r="K309" s="7" t="s">
        <v>54</v>
      </c>
      <c r="L309" s="10" t="s">
        <v>205</v>
      </c>
      <c r="M309" s="7" t="s">
        <v>1473</v>
      </c>
      <c r="N309" s="8" t="n">
        <v>0</v>
      </c>
      <c r="O309" s="8" t="n">
        <v>0</v>
      </c>
      <c r="P309" s="8" t="n">
        <v>0</v>
      </c>
      <c r="Q309" s="8" t="n">
        <v>0</v>
      </c>
      <c r="R309" s="13" t="n">
        <v>0</v>
      </c>
      <c r="S309" s="13" t="n">
        <v>0</v>
      </c>
      <c r="T309" s="13"/>
      <c r="U309" s="11" t="n">
        <f aca="false">O309*4 + P309*2 + MAX(0,N309-O309-P309)*1 + Q309*0.2 + R309*2 + S309*1 + IF(T309="",0,IF(T309&lt;=10,8,IF(T309&lt;=50,6,IF(T309&lt;=100,4,2))))</f>
        <v>0</v>
      </c>
      <c r="V309" s="7"/>
      <c r="W309" s="12"/>
      <c r="X309" s="13"/>
      <c r="Y309" s="13" t="s">
        <v>1474</v>
      </c>
    </row>
    <row r="310" customFormat="false" ht="15.75" hidden="false" customHeight="true" outlineLevel="0" collapsed="false">
      <c r="A310" s="7" t="s">
        <v>1475</v>
      </c>
      <c r="B310" s="8" t="n">
        <v>2024</v>
      </c>
      <c r="C310" s="8" t="s">
        <v>378</v>
      </c>
      <c r="D310" s="8" t="n">
        <v>118</v>
      </c>
      <c r="E310" s="7" t="s">
        <v>1476</v>
      </c>
      <c r="F310" s="8" t="n">
        <v>7.1</v>
      </c>
      <c r="G310" s="8"/>
      <c r="H310" s="9" t="n">
        <v>6439</v>
      </c>
      <c r="I310" s="7" t="s">
        <v>232</v>
      </c>
      <c r="J310" s="7" t="s">
        <v>47</v>
      </c>
      <c r="K310" s="7" t="s">
        <v>54</v>
      </c>
      <c r="L310" s="10" t="s">
        <v>55</v>
      </c>
      <c r="M310" s="7" t="s">
        <v>1477</v>
      </c>
      <c r="N310" s="8" t="n">
        <v>0</v>
      </c>
      <c r="O310" s="8" t="n">
        <v>0</v>
      </c>
      <c r="P310" s="8" t="n">
        <v>0</v>
      </c>
      <c r="Q310" s="8" t="n">
        <v>0</v>
      </c>
      <c r="R310" s="13" t="n">
        <v>0</v>
      </c>
      <c r="S310" s="13" t="n">
        <v>0</v>
      </c>
      <c r="T310" s="13"/>
      <c r="U310" s="11" t="n">
        <f aca="false">O310*4 + P310*2 + MAX(0,N310-O310-P310)*1 + Q310*0.2 + R310*2 + S310*1 + IF(T310="",0,IF(T310&lt;=10,8,IF(T310&lt;=50,6,IF(T310&lt;=100,4,2))))</f>
        <v>0</v>
      </c>
      <c r="V310" s="7"/>
      <c r="W310" s="12"/>
      <c r="X310" s="13"/>
      <c r="Y310" s="13" t="s">
        <v>1478</v>
      </c>
    </row>
    <row r="311" customFormat="false" ht="15.75" hidden="false" customHeight="true" outlineLevel="0" collapsed="false">
      <c r="A311" s="7" t="s">
        <v>1479</v>
      </c>
      <c r="B311" s="8" t="n">
        <v>2014</v>
      </c>
      <c r="C311" s="8" t="s">
        <v>176</v>
      </c>
      <c r="D311" s="8" t="n">
        <v>119</v>
      </c>
      <c r="E311" s="7" t="s">
        <v>1480</v>
      </c>
      <c r="F311" s="8" t="n">
        <v>7.8</v>
      </c>
      <c r="G311" s="8"/>
      <c r="H311" s="9" t="n">
        <v>65551</v>
      </c>
      <c r="I311" s="7" t="s">
        <v>280</v>
      </c>
      <c r="J311" s="7" t="s">
        <v>30</v>
      </c>
      <c r="K311" s="7" t="s">
        <v>48</v>
      </c>
      <c r="L311" s="10" t="s">
        <v>166</v>
      </c>
      <c r="M311" s="7" t="s">
        <v>1481</v>
      </c>
      <c r="N311" s="8" t="n">
        <v>0</v>
      </c>
      <c r="O311" s="8" t="n">
        <v>0</v>
      </c>
      <c r="P311" s="8" t="n">
        <v>0</v>
      </c>
      <c r="Q311" s="8" t="n">
        <v>0</v>
      </c>
      <c r="R311" s="13" t="n">
        <v>0</v>
      </c>
      <c r="S311" s="13" t="n">
        <v>0</v>
      </c>
      <c r="T311" s="13"/>
      <c r="U311" s="11" t="n">
        <f aca="false">O311*4 + P311*2 + MAX(0,N311-O311-P311)*1 + Q311*0.2 + R311*2 + S311*1 + IF(T311="",0,IF(T311&lt;=10,8,IF(T311&lt;=50,6,IF(T311&lt;=100,4,2))))</f>
        <v>0</v>
      </c>
      <c r="V311" s="7"/>
      <c r="W311" s="12"/>
      <c r="X311" s="13"/>
      <c r="Y311" s="13" t="s">
        <v>1482</v>
      </c>
    </row>
    <row r="312" customFormat="false" ht="15.75" hidden="false" customHeight="true" outlineLevel="0" collapsed="false">
      <c r="A312" s="7" t="s">
        <v>1483</v>
      </c>
      <c r="B312" s="8" t="n">
        <v>1994</v>
      </c>
      <c r="C312" s="8" t="s">
        <v>26</v>
      </c>
      <c r="D312" s="8" t="n">
        <v>92</v>
      </c>
      <c r="E312" s="7" t="s">
        <v>774</v>
      </c>
      <c r="F312" s="8" t="n">
        <v>7.6</v>
      </c>
      <c r="G312" s="8"/>
      <c r="H312" s="9" t="n">
        <v>85181</v>
      </c>
      <c r="I312" s="7" t="s">
        <v>219</v>
      </c>
      <c r="J312" s="7" t="s">
        <v>29</v>
      </c>
      <c r="K312" s="7" t="s">
        <v>30</v>
      </c>
      <c r="L312" s="10" t="s">
        <v>205</v>
      </c>
      <c r="M312" s="7" t="s">
        <v>1484</v>
      </c>
      <c r="N312" s="8" t="n">
        <v>0</v>
      </c>
      <c r="O312" s="8" t="n">
        <v>0</v>
      </c>
      <c r="P312" s="8" t="n">
        <v>0</v>
      </c>
      <c r="Q312" s="8" t="n">
        <v>0</v>
      </c>
      <c r="R312" s="13" t="n">
        <v>0</v>
      </c>
      <c r="S312" s="13" t="n">
        <v>0</v>
      </c>
      <c r="T312" s="13"/>
      <c r="U312" s="11" t="n">
        <f aca="false">O312*4 + P312*2 + MAX(0,N312-O312-P312)*1 + Q312*0.2 + R312*2 + S312*1 + IF(T312="",0,IF(T312&lt;=10,8,IF(T312&lt;=50,6,IF(T312&lt;=100,4,2))))</f>
        <v>0</v>
      </c>
      <c r="V312" s="7"/>
      <c r="W312" s="12"/>
      <c r="X312" s="13"/>
      <c r="Y312" s="13" t="s">
        <v>1485</v>
      </c>
    </row>
    <row r="313" customFormat="false" ht="15.75" hidden="false" customHeight="true" outlineLevel="0" collapsed="false">
      <c r="A313" s="7" t="s">
        <v>1486</v>
      </c>
      <c r="B313" s="8" t="n">
        <v>1987</v>
      </c>
      <c r="C313" s="8" t="s">
        <v>109</v>
      </c>
      <c r="D313" s="8" t="n">
        <v>84</v>
      </c>
      <c r="E313" s="7" t="s">
        <v>1487</v>
      </c>
      <c r="F313" s="8" t="n">
        <v>7.6</v>
      </c>
      <c r="G313" s="8"/>
      <c r="H313" s="9" t="n">
        <v>199441</v>
      </c>
      <c r="I313" s="7" t="s">
        <v>46</v>
      </c>
      <c r="J313" s="7" t="s">
        <v>147</v>
      </c>
      <c r="K313" s="7" t="s">
        <v>30</v>
      </c>
      <c r="L313" s="10" t="s">
        <v>1488</v>
      </c>
      <c r="M313" s="7" t="s">
        <v>1489</v>
      </c>
      <c r="N313" s="8" t="n">
        <v>0</v>
      </c>
      <c r="O313" s="8" t="n">
        <v>0</v>
      </c>
      <c r="P313" s="8" t="n">
        <v>0</v>
      </c>
      <c r="Q313" s="8" t="n">
        <v>0</v>
      </c>
      <c r="R313" s="13" t="n">
        <v>0</v>
      </c>
      <c r="S313" s="13" t="n">
        <v>0</v>
      </c>
      <c r="T313" s="13"/>
      <c r="U313" s="11" t="n">
        <f aca="false">O313*4 + P313*2 + MAX(0,N313-O313-P313)*1 + Q313*0.2 + R313*2 + S313*1 + IF(T313="",0,IF(T313&lt;=10,8,IF(T313&lt;=50,6,IF(T313&lt;=100,4,2))))</f>
        <v>0</v>
      </c>
      <c r="V313" s="7"/>
      <c r="W313" s="12"/>
      <c r="X313" s="13"/>
      <c r="Y313" s="13" t="s">
        <v>1490</v>
      </c>
    </row>
    <row r="314" customFormat="false" ht="15.75" hidden="false" customHeight="true" outlineLevel="0" collapsed="false">
      <c r="A314" s="7" t="s">
        <v>1491</v>
      </c>
      <c r="B314" s="8" t="n">
        <v>1995</v>
      </c>
      <c r="C314" s="8" t="s">
        <v>26</v>
      </c>
      <c r="D314" s="8" t="n">
        <v>121</v>
      </c>
      <c r="E314" s="7" t="s">
        <v>1307</v>
      </c>
      <c r="F314" s="8" t="n">
        <v>7.5</v>
      </c>
      <c r="G314" s="8"/>
      <c r="H314" s="9" t="n">
        <v>109680</v>
      </c>
      <c r="I314" s="7" t="s">
        <v>46</v>
      </c>
      <c r="J314" s="7" t="s">
        <v>268</v>
      </c>
      <c r="K314" s="7" t="s">
        <v>39</v>
      </c>
      <c r="L314" s="10"/>
      <c r="M314" s="7" t="s">
        <v>1492</v>
      </c>
      <c r="N314" s="8" t="n">
        <v>0</v>
      </c>
      <c r="O314" s="8" t="n">
        <v>0</v>
      </c>
      <c r="P314" s="8" t="n">
        <v>0</v>
      </c>
      <c r="Q314" s="8" t="n">
        <v>0</v>
      </c>
      <c r="R314" s="13" t="n">
        <v>0</v>
      </c>
      <c r="S314" s="13" t="n">
        <v>0</v>
      </c>
      <c r="T314" s="13"/>
      <c r="U314" s="11" t="n">
        <f aca="false">O314*4 + P314*2 + MAX(0,N314-O314-P314)*1 + Q314*0.2 + R314*2 + S314*1 + IF(T314="",0,IF(T314&lt;=10,8,IF(T314&lt;=50,6,IF(T314&lt;=100,4,2))))</f>
        <v>0</v>
      </c>
      <c r="V314" s="7"/>
      <c r="W314" s="12"/>
      <c r="X314" s="13"/>
      <c r="Y314" s="13" t="s">
        <v>1493</v>
      </c>
    </row>
    <row r="315" customFormat="false" ht="15.75" hidden="false" customHeight="true" outlineLevel="0" collapsed="false">
      <c r="A315" s="7" t="s">
        <v>1494</v>
      </c>
      <c r="B315" s="8" t="n">
        <v>2019</v>
      </c>
      <c r="C315" s="8" t="s">
        <v>176</v>
      </c>
      <c r="D315" s="8" t="n">
        <v>122</v>
      </c>
      <c r="E315" s="7" t="s">
        <v>1495</v>
      </c>
      <c r="F315" s="8" t="n">
        <v>8</v>
      </c>
      <c r="G315" s="8"/>
      <c r="H315" s="9" t="n">
        <v>129433</v>
      </c>
      <c r="I315" s="7" t="s">
        <v>219</v>
      </c>
      <c r="J315" s="7" t="s">
        <v>29</v>
      </c>
      <c r="K315" s="7" t="s">
        <v>47</v>
      </c>
      <c r="L315" s="10" t="s">
        <v>1496</v>
      </c>
      <c r="M315" s="7" t="s">
        <v>1497</v>
      </c>
      <c r="N315" s="8" t="n">
        <v>0</v>
      </c>
      <c r="O315" s="8" t="n">
        <v>0</v>
      </c>
      <c r="P315" s="8" t="n">
        <v>0</v>
      </c>
      <c r="Q315" s="8" t="n">
        <v>0</v>
      </c>
      <c r="R315" s="8" t="n">
        <v>0</v>
      </c>
      <c r="S315" s="13" t="n">
        <v>0</v>
      </c>
      <c r="T315" s="8" t="n">
        <v>30</v>
      </c>
      <c r="U315" s="11" t="n">
        <f aca="false">O315*4 + P315*2 + MAX(0,N315-O315-P315)*1 + Q315*0.2 + R315*2 + S315*1 + IF(T315="",0,IF(T315&lt;=10,8,IF(T315&lt;=50,6,IF(T315&lt;=100,4,2))))</f>
        <v>6</v>
      </c>
      <c r="V315" s="7" t="s">
        <v>1498</v>
      </c>
      <c r="W315" s="12" t="s">
        <v>201</v>
      </c>
      <c r="X315" s="8" t="n">
        <v>3</v>
      </c>
      <c r="Y315" s="8" t="s">
        <v>1499</v>
      </c>
    </row>
    <row r="316" customFormat="false" ht="15.75" hidden="false" customHeight="true" outlineLevel="0" collapsed="false">
      <c r="A316" s="7" t="s">
        <v>1500</v>
      </c>
      <c r="B316" s="8" t="n">
        <v>1987</v>
      </c>
      <c r="C316" s="8" t="s">
        <v>109</v>
      </c>
      <c r="D316" s="8" t="n">
        <v>128</v>
      </c>
      <c r="E316" s="7" t="s">
        <v>1501</v>
      </c>
      <c r="F316" s="8" t="n">
        <v>7.9</v>
      </c>
      <c r="G316" s="8"/>
      <c r="H316" s="9" t="n">
        <v>84594</v>
      </c>
      <c r="I316" s="7" t="s">
        <v>258</v>
      </c>
      <c r="J316" s="7" t="s">
        <v>38</v>
      </c>
      <c r="K316" s="7" t="s">
        <v>29</v>
      </c>
      <c r="L316" s="10" t="s">
        <v>1048</v>
      </c>
      <c r="M316" s="7" t="s">
        <v>1502</v>
      </c>
      <c r="N316" s="8" t="n">
        <v>0</v>
      </c>
      <c r="O316" s="8" t="n">
        <v>0</v>
      </c>
      <c r="P316" s="8" t="n">
        <v>0</v>
      </c>
      <c r="Q316" s="8" t="n">
        <v>0</v>
      </c>
      <c r="R316" s="13" t="n">
        <v>0</v>
      </c>
      <c r="S316" s="13" t="n">
        <v>0</v>
      </c>
      <c r="T316" s="8" t="n">
        <v>185</v>
      </c>
      <c r="U316" s="11" t="n">
        <f aca="false">O316*4 + P316*2 + MAX(0,N316-O316-P316)*1 + Q316*0.2 + R316*2 + S316*1 + IF(T316="",0,IF(T316&lt;=10,8,IF(T316&lt;=50,6,IF(T316&lt;=100,4,2))))</f>
        <v>2</v>
      </c>
      <c r="V316" s="10" t="s">
        <v>1503</v>
      </c>
      <c r="W316" s="12"/>
      <c r="X316" s="13"/>
      <c r="Y316" s="13" t="s">
        <v>1504</v>
      </c>
    </row>
    <row r="317" customFormat="false" ht="15.75" hidden="false" customHeight="true" outlineLevel="0" collapsed="false">
      <c r="A317" s="7" t="s">
        <v>1505</v>
      </c>
      <c r="B317" s="8" t="n">
        <v>1976</v>
      </c>
      <c r="C317" s="8" t="s">
        <v>61</v>
      </c>
      <c r="D317" s="8" t="n">
        <v>95</v>
      </c>
      <c r="E317" s="7" t="s">
        <v>1506</v>
      </c>
      <c r="F317" s="8" t="n">
        <v>7.2</v>
      </c>
      <c r="G317" s="8"/>
      <c r="H317" s="9" t="n">
        <v>45987</v>
      </c>
      <c r="I317" s="7" t="s">
        <v>46</v>
      </c>
      <c r="J317" s="7" t="s">
        <v>30</v>
      </c>
      <c r="K317" s="7" t="s">
        <v>54</v>
      </c>
      <c r="L317" s="10" t="s">
        <v>210</v>
      </c>
      <c r="M317" s="7" t="s">
        <v>1507</v>
      </c>
      <c r="N317" s="8" t="n">
        <v>0</v>
      </c>
      <c r="O317" s="8" t="n">
        <v>0</v>
      </c>
      <c r="P317" s="8" t="n">
        <v>0</v>
      </c>
      <c r="Q317" s="8" t="n">
        <v>0</v>
      </c>
      <c r="R317" s="13" t="n">
        <v>0</v>
      </c>
      <c r="S317" s="13" t="n">
        <v>0</v>
      </c>
      <c r="T317" s="13"/>
      <c r="U317" s="11" t="n">
        <f aca="false">O317*4 + P317*2 + MAX(0,N317-O317-P317)*1 + Q317*0.2 + R317*2 + S317*1 + IF(T317="",0,IF(T317&lt;=10,8,IF(T317&lt;=50,6,IF(T317&lt;=100,4,2))))</f>
        <v>0</v>
      </c>
      <c r="V317" s="7"/>
      <c r="W317" s="12"/>
      <c r="X317" s="13"/>
      <c r="Y317" s="13" t="s">
        <v>1508</v>
      </c>
    </row>
    <row r="318" customFormat="false" ht="15.75" hidden="false" customHeight="true" outlineLevel="0" collapsed="false">
      <c r="A318" s="7" t="s">
        <v>1509</v>
      </c>
      <c r="B318" s="8" t="n">
        <v>1999</v>
      </c>
      <c r="C318" s="8" t="s">
        <v>26</v>
      </c>
      <c r="D318" s="8" t="n">
        <v>118</v>
      </c>
      <c r="E318" s="7" t="s">
        <v>1510</v>
      </c>
      <c r="F318" s="8" t="n">
        <v>7.5</v>
      </c>
      <c r="G318" s="8"/>
      <c r="H318" s="9" t="n">
        <v>108103</v>
      </c>
      <c r="I318" s="7" t="s">
        <v>46</v>
      </c>
      <c r="J318" s="7" t="s">
        <v>47</v>
      </c>
      <c r="K318" s="7" t="s">
        <v>54</v>
      </c>
      <c r="L318" s="10" t="s">
        <v>177</v>
      </c>
      <c r="M318" s="7" t="s">
        <v>1511</v>
      </c>
      <c r="N318" s="8" t="n">
        <v>1</v>
      </c>
      <c r="O318" s="8" t="n">
        <v>0</v>
      </c>
      <c r="P318" s="8" t="n">
        <v>0</v>
      </c>
      <c r="Q318" s="8" t="n">
        <v>2</v>
      </c>
      <c r="R318" s="8" t="n">
        <v>0</v>
      </c>
      <c r="S318" s="8" t="n">
        <v>0</v>
      </c>
      <c r="T318" s="13"/>
      <c r="U318" s="11" t="n">
        <f aca="false">O318*4 + P318*2 + MAX(0,N318-O318-P318)*1 + Q318*0.2 + R318*2 + S318*1 + IF(T318="",0,IF(T318&lt;=10,8,IF(T318&lt;=50,6,IF(T318&lt;=100,4,2))))</f>
        <v>1.4</v>
      </c>
      <c r="V318" s="7"/>
      <c r="W318" s="12"/>
      <c r="X318" s="13"/>
      <c r="Y318" s="13" t="s">
        <v>1512</v>
      </c>
    </row>
    <row r="319" customFormat="false" ht="15.75" hidden="false" customHeight="true" outlineLevel="0" collapsed="false">
      <c r="A319" s="7" t="s">
        <v>1513</v>
      </c>
      <c r="B319" s="8" t="n">
        <v>1950</v>
      </c>
      <c r="C319" s="8" t="s">
        <v>196</v>
      </c>
      <c r="D319" s="8" t="n">
        <v>80</v>
      </c>
      <c r="E319" s="7" t="s">
        <v>1514</v>
      </c>
      <c r="F319" s="8" t="n">
        <v>8.2</v>
      </c>
      <c r="G319" s="8"/>
      <c r="H319" s="9" t="n">
        <v>23852</v>
      </c>
      <c r="I319" s="7" t="s">
        <v>373</v>
      </c>
      <c r="J319" s="7" t="s">
        <v>47</v>
      </c>
      <c r="K319" s="7" t="s">
        <v>54</v>
      </c>
      <c r="L319" s="10" t="s">
        <v>478</v>
      </c>
      <c r="M319" s="7" t="s">
        <v>1515</v>
      </c>
      <c r="N319" s="8" t="n">
        <v>0</v>
      </c>
      <c r="O319" s="8" t="n">
        <v>0</v>
      </c>
      <c r="P319" s="8" t="n">
        <v>0</v>
      </c>
      <c r="Q319" s="8" t="n">
        <v>0</v>
      </c>
      <c r="R319" s="8" t="n">
        <v>0</v>
      </c>
      <c r="S319" s="13" t="n">
        <v>0</v>
      </c>
      <c r="T319" s="8" t="n">
        <v>157</v>
      </c>
      <c r="U319" s="11" t="n">
        <f aca="false">O319*4 + P319*2 + MAX(0,N319-O319-P319)*1 + Q319*0.2 + R319*2 + S319*1 + IF(T319="",0,IF(T319&lt;=10,8,IF(T319&lt;=50,6,IF(T319&lt;=100,4,2))))</f>
        <v>2</v>
      </c>
      <c r="V319" s="7" t="s">
        <v>1516</v>
      </c>
      <c r="W319" s="12"/>
      <c r="X319" s="13"/>
      <c r="Y319" s="13" t="s">
        <v>1517</v>
      </c>
    </row>
    <row r="320" customFormat="false" ht="15.75" hidden="false" customHeight="true" outlineLevel="0" collapsed="false">
      <c r="A320" s="7" t="s">
        <v>1518</v>
      </c>
      <c r="B320" s="8" t="n">
        <v>1927</v>
      </c>
      <c r="C320" s="8" t="s">
        <v>851</v>
      </c>
      <c r="D320" s="8" t="n">
        <v>94</v>
      </c>
      <c r="E320" s="7" t="s">
        <v>1519</v>
      </c>
      <c r="F320" s="8" t="n">
        <v>8.1</v>
      </c>
      <c r="G320" s="8"/>
      <c r="H320" s="9" t="n">
        <v>56984</v>
      </c>
      <c r="I320" s="7" t="s">
        <v>46</v>
      </c>
      <c r="J320" s="7" t="s">
        <v>29</v>
      </c>
      <c r="K320" s="7" t="s">
        <v>47</v>
      </c>
      <c r="L320" s="10" t="s">
        <v>1520</v>
      </c>
      <c r="M320" s="7" t="s">
        <v>1521</v>
      </c>
      <c r="N320" s="8" t="n">
        <v>3</v>
      </c>
      <c r="O320" s="8" t="n">
        <v>0</v>
      </c>
      <c r="P320" s="8" t="n">
        <v>0</v>
      </c>
      <c r="Q320" s="8" t="n">
        <v>4</v>
      </c>
      <c r="R320" s="8" t="n">
        <v>0</v>
      </c>
      <c r="S320" s="8" t="n">
        <v>0</v>
      </c>
      <c r="T320" s="8" t="n">
        <v>11</v>
      </c>
      <c r="U320" s="11" t="n">
        <f aca="false">O320*4 + P320*2 + MAX(0,N320-O320-P320)*1 + Q320*0.2 + R320*2 + S320*1 + IF(T320="",0,IF(T320&lt;=10,8,IF(T320&lt;=50,6,IF(T320&lt;=100,4,2))))</f>
        <v>9.8</v>
      </c>
      <c r="V320" s="7" t="s">
        <v>1522</v>
      </c>
      <c r="W320" s="12" t="s">
        <v>1523</v>
      </c>
      <c r="X320" s="13"/>
      <c r="Y320" s="13" t="s">
        <v>1524</v>
      </c>
    </row>
    <row r="321" customFormat="false" ht="15.75" hidden="false" customHeight="true" outlineLevel="0" collapsed="false">
      <c r="A321" s="7" t="s">
        <v>1525</v>
      </c>
      <c r="B321" s="8" t="n">
        <v>2015</v>
      </c>
      <c r="C321" s="8" t="s">
        <v>176</v>
      </c>
      <c r="D321" s="8" t="n">
        <v>137</v>
      </c>
      <c r="E321" s="7" t="s">
        <v>1526</v>
      </c>
      <c r="F321" s="8" t="n">
        <v>7.7</v>
      </c>
      <c r="G321" s="8"/>
      <c r="H321" s="9" t="n">
        <v>91999</v>
      </c>
      <c r="I321" s="7" t="s">
        <v>46</v>
      </c>
      <c r="J321" s="7" t="s">
        <v>154</v>
      </c>
      <c r="K321" s="7" t="s">
        <v>591</v>
      </c>
      <c r="L321" s="10" t="s">
        <v>238</v>
      </c>
      <c r="M321" s="7" t="s">
        <v>1527</v>
      </c>
      <c r="N321" s="8" t="n">
        <v>0</v>
      </c>
      <c r="O321" s="8" t="n">
        <v>0</v>
      </c>
      <c r="P321" s="8" t="n">
        <v>0</v>
      </c>
      <c r="Q321" s="8" t="n">
        <v>0</v>
      </c>
      <c r="R321" s="13" t="n">
        <v>0</v>
      </c>
      <c r="S321" s="13" t="n">
        <v>0</v>
      </c>
      <c r="T321" s="13"/>
      <c r="U321" s="11" t="n">
        <f aca="false">O321*4 + P321*2 + MAX(0,N321-O321-P321)*1 + Q321*0.2 + R321*2 + S321*1 + IF(T321="",0,IF(T321&lt;=10,8,IF(T321&lt;=50,6,IF(T321&lt;=100,4,2))))</f>
        <v>0</v>
      </c>
      <c r="V321" s="7"/>
      <c r="W321" s="12"/>
      <c r="X321" s="13"/>
      <c r="Y321" s="13" t="s">
        <v>1528</v>
      </c>
    </row>
    <row r="322" customFormat="false" ht="15.75" hidden="false" customHeight="true" outlineLevel="0" collapsed="false">
      <c r="A322" s="7" t="s">
        <v>1529</v>
      </c>
      <c r="B322" s="8" t="n">
        <v>2015</v>
      </c>
      <c r="C322" s="8" t="s">
        <v>176</v>
      </c>
      <c r="D322" s="8" t="n">
        <v>124</v>
      </c>
      <c r="E322" s="7" t="s">
        <v>1530</v>
      </c>
      <c r="F322" s="8" t="n">
        <v>7.4</v>
      </c>
      <c r="G322" s="8"/>
      <c r="H322" s="9" t="n">
        <v>87903</v>
      </c>
      <c r="I322" s="7" t="s">
        <v>46</v>
      </c>
      <c r="J322" s="7" t="s">
        <v>47</v>
      </c>
      <c r="K322" s="7" t="s">
        <v>48</v>
      </c>
      <c r="L322" s="10" t="s">
        <v>260</v>
      </c>
      <c r="M322" s="7" t="s">
        <v>1531</v>
      </c>
      <c r="N322" s="8" t="n">
        <v>0</v>
      </c>
      <c r="O322" s="8" t="n">
        <v>0</v>
      </c>
      <c r="P322" s="8" t="n">
        <v>0</v>
      </c>
      <c r="Q322" s="8" t="n">
        <v>1</v>
      </c>
      <c r="R322" s="8" t="n">
        <v>0</v>
      </c>
      <c r="S322" s="8" t="n">
        <v>0</v>
      </c>
      <c r="T322" s="13"/>
      <c r="U322" s="11" t="n">
        <f aca="false">O322*4 + P322*2 + MAX(0,N322-O322-P322)*1 + Q322*0.2 + R322*2 + S322*1 + IF(T322="",0,IF(T322&lt;=10,8,IF(T322&lt;=50,6,IF(T322&lt;=100,4,2))))</f>
        <v>0.2</v>
      </c>
      <c r="V322" s="7"/>
      <c r="W322" s="12"/>
      <c r="X322" s="13"/>
      <c r="Y322" s="13" t="s">
        <v>1532</v>
      </c>
    </row>
    <row r="323" customFormat="false" ht="15.75" hidden="false" customHeight="true" outlineLevel="0" collapsed="false">
      <c r="A323" s="7" t="s">
        <v>1533</v>
      </c>
      <c r="B323" s="8" t="n">
        <v>2005</v>
      </c>
      <c r="C323" s="8" t="s">
        <v>35</v>
      </c>
      <c r="D323" s="8" t="n">
        <v>129</v>
      </c>
      <c r="E323" s="7" t="s">
        <v>1534</v>
      </c>
      <c r="F323" s="8" t="n">
        <v>7.8</v>
      </c>
      <c r="G323" s="8"/>
      <c r="H323" s="9" t="n">
        <v>35263</v>
      </c>
      <c r="I323" s="7" t="s">
        <v>1111</v>
      </c>
      <c r="J323" s="7" t="s">
        <v>30</v>
      </c>
      <c r="K323" s="7" t="s">
        <v>251</v>
      </c>
      <c r="L323" s="10" t="s">
        <v>1535</v>
      </c>
      <c r="M323" s="7" t="s">
        <v>1536</v>
      </c>
      <c r="N323" s="8" t="n">
        <v>0</v>
      </c>
      <c r="O323" s="8" t="n">
        <v>0</v>
      </c>
      <c r="P323" s="8" t="n">
        <v>0</v>
      </c>
      <c r="Q323" s="8" t="n">
        <v>0</v>
      </c>
      <c r="R323" s="13" t="n">
        <v>0</v>
      </c>
      <c r="S323" s="13" t="n">
        <v>0</v>
      </c>
      <c r="T323" s="13"/>
      <c r="U323" s="11" t="n">
        <f aca="false">O323*4 + P323*2 + MAX(0,N323-O323-P323)*1 + Q323*0.2 + R323*2 + S323*1 + IF(T323="",0,IF(T323&lt;=10,8,IF(T323&lt;=50,6,IF(T323&lt;=100,4,2))))</f>
        <v>0</v>
      </c>
      <c r="V323" s="7"/>
      <c r="W323" s="12"/>
      <c r="X323" s="13"/>
      <c r="Y323" s="13" t="s">
        <v>1537</v>
      </c>
    </row>
    <row r="324" customFormat="false" ht="15.75" hidden="false" customHeight="true" outlineLevel="0" collapsed="false">
      <c r="A324" s="7" t="s">
        <v>1538</v>
      </c>
      <c r="B324" s="8" t="n">
        <v>1978</v>
      </c>
      <c r="C324" s="8" t="s">
        <v>61</v>
      </c>
      <c r="D324" s="8" t="n">
        <v>115</v>
      </c>
      <c r="E324" s="7" t="s">
        <v>1539</v>
      </c>
      <c r="F324" s="8" t="n">
        <v>7.4</v>
      </c>
      <c r="G324" s="8"/>
      <c r="H324" s="9" t="n">
        <v>82971</v>
      </c>
      <c r="I324" s="7" t="s">
        <v>46</v>
      </c>
      <c r="J324" s="7" t="s">
        <v>147</v>
      </c>
      <c r="K324" s="7" t="s">
        <v>111</v>
      </c>
      <c r="L324" s="10" t="s">
        <v>1540</v>
      </c>
      <c r="M324" s="7" t="s">
        <v>1541</v>
      </c>
      <c r="N324" s="8" t="n">
        <v>0</v>
      </c>
      <c r="O324" s="8" t="n">
        <v>0</v>
      </c>
      <c r="P324" s="8" t="n">
        <v>0</v>
      </c>
      <c r="Q324" s="8" t="n">
        <v>0</v>
      </c>
      <c r="R324" s="13" t="n">
        <v>0</v>
      </c>
      <c r="S324" s="13" t="n">
        <v>0</v>
      </c>
      <c r="T324" s="13"/>
      <c r="U324" s="11" t="n">
        <f aca="false">O324*4 + P324*2 + MAX(0,N324-O324-P324)*1 + Q324*0.2 + R324*2 + S324*1 + IF(T324="",0,IF(T324&lt;=10,8,IF(T324&lt;=50,6,IF(T324&lt;=100,4,2))))</f>
        <v>0</v>
      </c>
      <c r="V324" s="7"/>
      <c r="W324" s="12"/>
      <c r="X324" s="13"/>
      <c r="Y324" s="13" t="s">
        <v>1542</v>
      </c>
    </row>
    <row r="325" customFormat="false" ht="15.75" hidden="false" customHeight="true" outlineLevel="0" collapsed="false">
      <c r="A325" s="7" t="s">
        <v>1543</v>
      </c>
      <c r="B325" s="8" t="n">
        <v>1982</v>
      </c>
      <c r="C325" s="8" t="s">
        <v>109</v>
      </c>
      <c r="D325" s="8" t="n">
        <v>129</v>
      </c>
      <c r="E325" s="7" t="s">
        <v>410</v>
      </c>
      <c r="F325" s="8" t="n">
        <v>7.7</v>
      </c>
      <c r="G325" s="8"/>
      <c r="H325" s="9" t="n">
        <v>51153</v>
      </c>
      <c r="I325" s="7" t="s">
        <v>46</v>
      </c>
      <c r="J325" s="7" t="s">
        <v>47</v>
      </c>
      <c r="K325" s="7"/>
      <c r="L325" s="10"/>
      <c r="M325" s="7" t="s">
        <v>1544</v>
      </c>
      <c r="N325" s="8" t="n">
        <v>0</v>
      </c>
      <c r="O325" s="8" t="n">
        <v>0</v>
      </c>
      <c r="P325" s="8" t="n">
        <v>0</v>
      </c>
      <c r="Q325" s="8" t="n">
        <v>5</v>
      </c>
      <c r="R325" s="8" t="n">
        <v>0</v>
      </c>
      <c r="S325" s="8" t="n">
        <v>0</v>
      </c>
      <c r="T325" s="13"/>
      <c r="U325" s="11" t="n">
        <f aca="false">O325*4 + P325*2 + MAX(0,N325-O325-P325)*1 + Q325*0.2 + R325*2 + S325*1 + IF(T325="",0,IF(T325&lt;=10,8,IF(T325&lt;=50,6,IF(T325&lt;=100,4,2))))</f>
        <v>1</v>
      </c>
      <c r="V325" s="7"/>
      <c r="W325" s="12"/>
      <c r="X325" s="13"/>
      <c r="Y325" s="13" t="s">
        <v>1545</v>
      </c>
    </row>
    <row r="326" customFormat="false" ht="15.75" hidden="false" customHeight="true" outlineLevel="0" collapsed="false">
      <c r="A326" s="7" t="s">
        <v>1546</v>
      </c>
      <c r="B326" s="8" t="n">
        <v>2017</v>
      </c>
      <c r="C326" s="8" t="s">
        <v>176</v>
      </c>
      <c r="D326" s="8" t="n">
        <v>107</v>
      </c>
      <c r="E326" s="7" t="s">
        <v>1547</v>
      </c>
      <c r="F326" s="8" t="n">
        <v>7.7</v>
      </c>
      <c r="G326" s="8"/>
      <c r="H326" s="9" t="n">
        <v>318787</v>
      </c>
      <c r="I326" s="7" t="s">
        <v>46</v>
      </c>
      <c r="J326" s="7" t="s">
        <v>47</v>
      </c>
      <c r="K326" s="7" t="s">
        <v>54</v>
      </c>
      <c r="L326" s="10" t="s">
        <v>380</v>
      </c>
      <c r="M326" s="7" t="s">
        <v>1548</v>
      </c>
      <c r="N326" s="8" t="n">
        <v>0</v>
      </c>
      <c r="O326" s="8" t="n">
        <v>0</v>
      </c>
      <c r="P326" s="8" t="n">
        <v>0</v>
      </c>
      <c r="Q326" s="8" t="n">
        <v>0</v>
      </c>
      <c r="R326" s="13" t="n">
        <v>0</v>
      </c>
      <c r="S326" s="13" t="n">
        <v>0</v>
      </c>
      <c r="T326" s="13"/>
      <c r="U326" s="11" t="n">
        <f aca="false">O326*4 + P326*2 + MAX(0,N326-O326-P326)*1 + Q326*0.2 + R326*2 + S326*1 + IF(T326="",0,IF(T326&lt;=10,8,IF(T326&lt;=50,6,IF(T326&lt;=100,4,2))))</f>
        <v>0</v>
      </c>
      <c r="V326" s="7"/>
      <c r="W326" s="12"/>
      <c r="X326" s="13"/>
      <c r="Y326" s="13" t="s">
        <v>1549</v>
      </c>
    </row>
    <row r="327" customFormat="false" ht="15.75" hidden="false" customHeight="true" outlineLevel="0" collapsed="false">
      <c r="A327" s="7" t="s">
        <v>1550</v>
      </c>
      <c r="B327" s="8" t="n">
        <v>1985</v>
      </c>
      <c r="C327" s="8" t="s">
        <v>109</v>
      </c>
      <c r="D327" s="8" t="n">
        <v>112</v>
      </c>
      <c r="E327" s="7" t="s">
        <v>503</v>
      </c>
      <c r="F327" s="8" t="n">
        <v>7.3</v>
      </c>
      <c r="G327" s="8"/>
      <c r="H327" s="9" t="n">
        <v>115026</v>
      </c>
      <c r="I327" s="7" t="s">
        <v>46</v>
      </c>
      <c r="J327" s="7" t="s">
        <v>29</v>
      </c>
      <c r="K327" s="7" t="s">
        <v>54</v>
      </c>
      <c r="L327" s="10" t="s">
        <v>166</v>
      </c>
      <c r="M327" s="7" t="s">
        <v>1551</v>
      </c>
      <c r="N327" s="8" t="n">
        <v>2</v>
      </c>
      <c r="O327" s="8" t="n">
        <v>0</v>
      </c>
      <c r="P327" s="8" t="n">
        <v>0</v>
      </c>
      <c r="Q327" s="8" t="n">
        <v>8</v>
      </c>
      <c r="R327" s="8" t="n">
        <v>0</v>
      </c>
      <c r="S327" s="8" t="n">
        <v>0</v>
      </c>
      <c r="T327" s="13"/>
      <c r="U327" s="11" t="n">
        <f aca="false">O327*4 + P327*2 + MAX(0,N327-O327-P327)*1 + Q327*0.2 + R327*2 + S327*1 + IF(T327="",0,IF(T327&lt;=10,8,IF(T327&lt;=50,6,IF(T327&lt;=100,4,2))))</f>
        <v>3.6</v>
      </c>
      <c r="V327" s="7"/>
      <c r="W327" s="12"/>
      <c r="X327" s="13"/>
      <c r="Y327" s="13" t="s">
        <v>1552</v>
      </c>
    </row>
    <row r="328" customFormat="false" ht="15.75" hidden="false" customHeight="true" outlineLevel="0" collapsed="false">
      <c r="A328" s="7" t="s">
        <v>1553</v>
      </c>
      <c r="B328" s="8" t="n">
        <v>1982</v>
      </c>
      <c r="C328" s="8" t="s">
        <v>109</v>
      </c>
      <c r="D328" s="8" t="n">
        <v>115</v>
      </c>
      <c r="E328" s="7" t="s">
        <v>503</v>
      </c>
      <c r="F328" s="8" t="n">
        <v>7.1</v>
      </c>
      <c r="G328" s="8"/>
      <c r="H328" s="9" t="n">
        <v>25029</v>
      </c>
      <c r="I328" s="7" t="s">
        <v>1231</v>
      </c>
      <c r="J328" s="7" t="s">
        <v>154</v>
      </c>
      <c r="K328" s="7" t="s">
        <v>29</v>
      </c>
      <c r="L328" s="10" t="s">
        <v>210</v>
      </c>
      <c r="M328" s="7" t="s">
        <v>1554</v>
      </c>
      <c r="N328" s="8" t="n">
        <v>1</v>
      </c>
      <c r="O328" s="8" t="n">
        <v>0</v>
      </c>
      <c r="P328" s="8" t="n">
        <v>0</v>
      </c>
      <c r="Q328" s="8" t="n">
        <v>1</v>
      </c>
      <c r="R328" s="8" t="n">
        <v>0</v>
      </c>
      <c r="S328" s="8" t="n">
        <v>0</v>
      </c>
      <c r="T328" s="13"/>
      <c r="U328" s="11" t="n">
        <f aca="false">O328*4 + P328*2 + MAX(0,N328-O328-P328)*1 + Q328*0.2 + R328*2 + S328*1 + IF(T328="",0,IF(T328&lt;=10,8,IF(T328&lt;=50,6,IF(T328&lt;=100,4,2))))</f>
        <v>1.2</v>
      </c>
      <c r="V328" s="7"/>
      <c r="W328" s="12"/>
      <c r="X328" s="13"/>
      <c r="Y328" s="13" t="s">
        <v>1555</v>
      </c>
    </row>
    <row r="329" customFormat="false" ht="15.75" hidden="false" customHeight="true" outlineLevel="0" collapsed="false">
      <c r="A329" s="7" t="s">
        <v>1556</v>
      </c>
      <c r="B329" s="8" t="n">
        <v>1988</v>
      </c>
      <c r="C329" s="8" t="s">
        <v>109</v>
      </c>
      <c r="D329" s="8" t="n">
        <v>96</v>
      </c>
      <c r="E329" s="7" t="s">
        <v>1557</v>
      </c>
      <c r="F329" s="8" t="n">
        <v>7.7</v>
      </c>
      <c r="G329" s="8"/>
      <c r="H329" s="9" t="n">
        <v>20585</v>
      </c>
      <c r="I329" s="7" t="s">
        <v>219</v>
      </c>
      <c r="J329" s="7" t="s">
        <v>39</v>
      </c>
      <c r="K329" s="7" t="s">
        <v>259</v>
      </c>
      <c r="L329" s="10" t="s">
        <v>1558</v>
      </c>
      <c r="M329" s="7" t="s">
        <v>1559</v>
      </c>
      <c r="N329" s="8" t="n">
        <v>0</v>
      </c>
      <c r="O329" s="8" t="n">
        <v>0</v>
      </c>
      <c r="P329" s="8" t="n">
        <v>0</v>
      </c>
      <c r="Q329" s="8" t="n">
        <v>1</v>
      </c>
      <c r="R329" s="8" t="n">
        <v>0</v>
      </c>
      <c r="S329" s="8" t="n">
        <v>0</v>
      </c>
      <c r="T329" s="13"/>
      <c r="U329" s="11" t="n">
        <f aca="false">O329*4 + P329*2 + MAX(0,N329-O329-P329)*1 + Q329*0.2 + R329*2 + S329*1 + IF(T329="",0,IF(T329&lt;=10,8,IF(T329&lt;=50,6,IF(T329&lt;=100,4,2))))</f>
        <v>0.2</v>
      </c>
      <c r="V329" s="7"/>
      <c r="W329" s="12"/>
      <c r="X329" s="13"/>
      <c r="Y329" s="13" t="s">
        <v>1560</v>
      </c>
    </row>
    <row r="330" customFormat="false" ht="15.75" hidden="false" customHeight="true" outlineLevel="0" collapsed="false">
      <c r="A330" s="7" t="s">
        <v>1561</v>
      </c>
      <c r="B330" s="8" t="n">
        <v>1999</v>
      </c>
      <c r="C330" s="8" t="s">
        <v>26</v>
      </c>
      <c r="D330" s="8" t="n">
        <v>122</v>
      </c>
      <c r="E330" s="7" t="s">
        <v>1124</v>
      </c>
      <c r="F330" s="8" t="n">
        <v>7.7</v>
      </c>
      <c r="G330" s="8"/>
      <c r="H330" s="9" t="n">
        <v>23797</v>
      </c>
      <c r="I330" s="7" t="s">
        <v>124</v>
      </c>
      <c r="J330" s="7" t="s">
        <v>30</v>
      </c>
      <c r="K330" s="7" t="s">
        <v>47</v>
      </c>
      <c r="L330" s="10"/>
      <c r="M330" s="7" t="s">
        <v>1562</v>
      </c>
      <c r="N330" s="8" t="n">
        <v>0</v>
      </c>
      <c r="O330" s="8" t="n">
        <v>0</v>
      </c>
      <c r="P330" s="8" t="n">
        <v>0</v>
      </c>
      <c r="Q330" s="8" t="n">
        <v>0</v>
      </c>
      <c r="R330" s="13" t="n">
        <v>0</v>
      </c>
      <c r="S330" s="13" t="n">
        <v>0</v>
      </c>
      <c r="T330" s="13"/>
      <c r="U330" s="11" t="n">
        <f aca="false">O330*4 + P330*2 + MAX(0,N330-O330-P330)*1 + Q330*0.2 + R330*2 + S330*1 + IF(T330="",0,IF(T330&lt;=10,8,IF(T330&lt;=50,6,IF(T330&lt;=100,4,2))))</f>
        <v>0</v>
      </c>
      <c r="V330" s="7"/>
      <c r="W330" s="12"/>
      <c r="X330" s="13"/>
      <c r="Y330" s="13" t="s">
        <v>1563</v>
      </c>
    </row>
    <row r="331" customFormat="false" ht="15.75" hidden="false" customHeight="true" outlineLevel="0" collapsed="false">
      <c r="A331" s="7" t="s">
        <v>1564</v>
      </c>
      <c r="B331" s="8" t="n">
        <v>2007</v>
      </c>
      <c r="C331" s="8" t="s">
        <v>35</v>
      </c>
      <c r="D331" s="8" t="n">
        <v>128</v>
      </c>
      <c r="E331" s="7" t="s">
        <v>661</v>
      </c>
      <c r="F331" s="8" t="n">
        <v>7.5</v>
      </c>
      <c r="G331" s="8"/>
      <c r="H331" s="9" t="n">
        <v>85484</v>
      </c>
      <c r="I331" s="7" t="s">
        <v>46</v>
      </c>
      <c r="J331" s="7" t="s">
        <v>47</v>
      </c>
      <c r="K331" s="7"/>
      <c r="L331" s="10"/>
      <c r="M331" s="7" t="s">
        <v>1565</v>
      </c>
      <c r="N331" s="8" t="n">
        <v>0</v>
      </c>
      <c r="O331" s="8" t="n">
        <v>0</v>
      </c>
      <c r="P331" s="8" t="n">
        <v>0</v>
      </c>
      <c r="Q331" s="8" t="n">
        <v>1</v>
      </c>
      <c r="R331" s="8" t="n">
        <v>0</v>
      </c>
      <c r="S331" s="8" t="n">
        <v>0</v>
      </c>
      <c r="T331" s="13"/>
      <c r="U331" s="11" t="n">
        <f aca="false">O331*4 + P331*2 + MAX(0,N331-O331-P331)*1 + Q331*0.2 + R331*2 + S331*1 + IF(T331="",0,IF(T331&lt;=10,8,IF(T331&lt;=50,6,IF(T331&lt;=100,4,2))))</f>
        <v>0.2</v>
      </c>
      <c r="V331" s="7"/>
      <c r="W331" s="12"/>
      <c r="X331" s="13"/>
      <c r="Y331" s="13" t="s">
        <v>1566</v>
      </c>
    </row>
    <row r="332" customFormat="false" ht="15.75" hidden="false" customHeight="true" outlineLevel="0" collapsed="false">
      <c r="A332" s="7" t="s">
        <v>1567</v>
      </c>
      <c r="B332" s="8" t="n">
        <v>1952</v>
      </c>
      <c r="C332" s="8" t="s">
        <v>196</v>
      </c>
      <c r="D332" s="8" t="n">
        <v>137</v>
      </c>
      <c r="E332" s="7" t="s">
        <v>97</v>
      </c>
      <c r="F332" s="8" t="n">
        <v>8</v>
      </c>
      <c r="G332" s="8"/>
      <c r="H332" s="9" t="n">
        <v>24165</v>
      </c>
      <c r="I332" s="7" t="s">
        <v>46</v>
      </c>
      <c r="J332" s="7" t="s">
        <v>90</v>
      </c>
      <c r="K332" s="7" t="s">
        <v>30</v>
      </c>
      <c r="L332" s="10" t="s">
        <v>478</v>
      </c>
      <c r="M332" s="7" t="s">
        <v>1568</v>
      </c>
      <c r="N332" s="8" t="n">
        <v>1</v>
      </c>
      <c r="O332" s="8" t="n">
        <v>0</v>
      </c>
      <c r="P332" s="8" t="n">
        <v>0</v>
      </c>
      <c r="Q332" s="8" t="n">
        <v>1</v>
      </c>
      <c r="R332" s="8" t="n">
        <v>0</v>
      </c>
      <c r="S332" s="8" t="n">
        <v>0</v>
      </c>
      <c r="T332" s="13"/>
      <c r="U332" s="11" t="n">
        <f aca="false">O332*4 + P332*2 + MAX(0,N332-O332-P332)*1 + Q332*0.2 + R332*2 + S332*1 + IF(T332="",0,IF(T332&lt;=10,8,IF(T332&lt;=50,6,IF(T332&lt;=100,4,2))))</f>
        <v>1.2</v>
      </c>
      <c r="V332" s="7" t="s">
        <v>1569</v>
      </c>
      <c r="W332" s="12"/>
      <c r="X332" s="13"/>
      <c r="Y332" s="13" t="s">
        <v>1570</v>
      </c>
    </row>
    <row r="333" customFormat="false" ht="15.75" hidden="false" customHeight="true" outlineLevel="0" collapsed="false">
      <c r="A333" s="7" t="s">
        <v>1571</v>
      </c>
      <c r="B333" s="8" t="n">
        <v>1998</v>
      </c>
      <c r="C333" s="8" t="s">
        <v>26</v>
      </c>
      <c r="D333" s="8" t="n">
        <v>93</v>
      </c>
      <c r="E333" s="7" t="s">
        <v>1200</v>
      </c>
      <c r="F333" s="8" t="n">
        <v>7.6</v>
      </c>
      <c r="G333" s="8"/>
      <c r="H333" s="9" t="n">
        <v>209331</v>
      </c>
      <c r="I333" s="7" t="s">
        <v>46</v>
      </c>
      <c r="J333" s="7" t="s">
        <v>29</v>
      </c>
      <c r="K333" s="7" t="s">
        <v>30</v>
      </c>
      <c r="L333" s="10" t="s">
        <v>177</v>
      </c>
      <c r="M333" s="7" t="s">
        <v>1572</v>
      </c>
      <c r="N333" s="8" t="n">
        <v>0</v>
      </c>
      <c r="O333" s="8" t="n">
        <v>0</v>
      </c>
      <c r="P333" s="8" t="n">
        <v>0</v>
      </c>
      <c r="Q333" s="8" t="n">
        <v>0</v>
      </c>
      <c r="R333" s="13" t="n">
        <v>0</v>
      </c>
      <c r="S333" s="13" t="n">
        <v>0</v>
      </c>
      <c r="T333" s="13"/>
      <c r="U333" s="11" t="n">
        <f aca="false">O333*4 + P333*2 + MAX(0,N333-O333-P333)*1 + Q333*0.2 + R333*2 + S333*1 + IF(T333="",0,IF(T333&lt;=10,8,IF(T333&lt;=50,6,IF(T333&lt;=100,4,2))))</f>
        <v>0</v>
      </c>
      <c r="V333" s="7"/>
      <c r="W333" s="12"/>
      <c r="X333" s="13"/>
      <c r="Y333" s="13" t="s">
        <v>1573</v>
      </c>
    </row>
    <row r="334" customFormat="false" ht="15.75" hidden="false" customHeight="true" outlineLevel="0" collapsed="false">
      <c r="A334" s="7" t="s">
        <v>1574</v>
      </c>
      <c r="B334" s="8" t="n">
        <v>1976</v>
      </c>
      <c r="C334" s="8" t="s">
        <v>61</v>
      </c>
      <c r="D334" s="8" t="n">
        <v>126</v>
      </c>
      <c r="E334" s="7" t="s">
        <v>88</v>
      </c>
      <c r="F334" s="8" t="n">
        <v>7.5</v>
      </c>
      <c r="G334" s="8"/>
      <c r="H334" s="9" t="n">
        <v>51763</v>
      </c>
      <c r="I334" s="7" t="s">
        <v>219</v>
      </c>
      <c r="J334" s="7" t="s">
        <v>131</v>
      </c>
      <c r="K334" s="7" t="s">
        <v>47</v>
      </c>
      <c r="L334" s="10"/>
      <c r="M334" s="7" t="s">
        <v>1575</v>
      </c>
      <c r="N334" s="8" t="n">
        <v>0</v>
      </c>
      <c r="O334" s="8" t="n">
        <v>0</v>
      </c>
      <c r="P334" s="8" t="n">
        <v>0</v>
      </c>
      <c r="Q334" s="8" t="n">
        <v>0</v>
      </c>
      <c r="R334" s="13" t="n">
        <v>0</v>
      </c>
      <c r="S334" s="13" t="n">
        <v>0</v>
      </c>
      <c r="T334" s="13"/>
      <c r="U334" s="11" t="n">
        <f aca="false">O334*4 + P334*2 + MAX(0,N334-O334-P334)*1 + Q334*0.2 + R334*2 + S334*1 + IF(T334="",0,IF(T334&lt;=10,8,IF(T334&lt;=50,6,IF(T334&lt;=100,4,2))))</f>
        <v>0</v>
      </c>
      <c r="V334" s="7"/>
      <c r="W334" s="12"/>
      <c r="X334" s="13"/>
      <c r="Y334" s="13" t="s">
        <v>1576</v>
      </c>
    </row>
    <row r="335" customFormat="false" ht="15.75" hidden="false" customHeight="true" outlineLevel="0" collapsed="false">
      <c r="A335" s="7" t="s">
        <v>1577</v>
      </c>
      <c r="B335" s="8" t="n">
        <v>1961</v>
      </c>
      <c r="C335" s="8" t="s">
        <v>122</v>
      </c>
      <c r="D335" s="8" t="n">
        <v>179</v>
      </c>
      <c r="E335" s="7" t="s">
        <v>1578</v>
      </c>
      <c r="F335" s="8" t="n">
        <v>8.3</v>
      </c>
      <c r="G335" s="8"/>
      <c r="H335" s="9" t="n">
        <v>97958</v>
      </c>
      <c r="I335" s="7" t="s">
        <v>46</v>
      </c>
      <c r="J335" s="7" t="s">
        <v>154</v>
      </c>
      <c r="K335" s="7" t="s">
        <v>453</v>
      </c>
      <c r="L335" s="10" t="s">
        <v>1540</v>
      </c>
      <c r="M335" s="7" t="s">
        <v>1579</v>
      </c>
      <c r="N335" s="8" t="n">
        <v>2</v>
      </c>
      <c r="O335" s="8" t="n">
        <v>0</v>
      </c>
      <c r="P335" s="8" t="n">
        <v>0</v>
      </c>
      <c r="Q335" s="8" t="n">
        <v>11</v>
      </c>
      <c r="R335" s="8" t="n">
        <v>0</v>
      </c>
      <c r="S335" s="8" t="n">
        <v>0</v>
      </c>
      <c r="T335" s="13"/>
      <c r="U335" s="11" t="n">
        <f aca="false">O335*4 + P335*2 + MAX(0,N335-O335-P335)*1 + Q335*0.2 + R335*2 + S335*1 + IF(T335="",0,IF(T335&lt;=10,8,IF(T335&lt;=50,6,IF(T335&lt;=100,4,2))))</f>
        <v>4.2</v>
      </c>
      <c r="V335" s="7" t="s">
        <v>1580</v>
      </c>
      <c r="W335" s="12"/>
      <c r="X335" s="13"/>
      <c r="Y335" s="13" t="s">
        <v>1581</v>
      </c>
    </row>
    <row r="336" customFormat="false" ht="15.75" hidden="false" customHeight="true" outlineLevel="0" collapsed="false">
      <c r="A336" s="7" t="s">
        <v>1582</v>
      </c>
      <c r="B336" s="8" t="n">
        <v>1996</v>
      </c>
      <c r="C336" s="8" t="s">
        <v>26</v>
      </c>
      <c r="D336" s="8" t="n">
        <v>98</v>
      </c>
      <c r="E336" s="7" t="s">
        <v>493</v>
      </c>
      <c r="F336" s="8" t="n">
        <v>7.2</v>
      </c>
      <c r="G336" s="8"/>
      <c r="H336" s="9" t="n">
        <v>1655</v>
      </c>
      <c r="I336" s="7" t="s">
        <v>232</v>
      </c>
      <c r="J336" s="7" t="s">
        <v>30</v>
      </c>
      <c r="K336" s="7" t="s">
        <v>47</v>
      </c>
      <c r="L336" s="10" t="s">
        <v>1583</v>
      </c>
      <c r="M336" s="7" t="s">
        <v>1584</v>
      </c>
      <c r="N336" s="8" t="n">
        <v>0</v>
      </c>
      <c r="O336" s="8" t="n">
        <v>0</v>
      </c>
      <c r="P336" s="8" t="n">
        <v>0</v>
      </c>
      <c r="Q336" s="8" t="n">
        <v>0</v>
      </c>
      <c r="R336" s="13" t="n">
        <v>0</v>
      </c>
      <c r="S336" s="13" t="n">
        <v>0</v>
      </c>
      <c r="T336" s="13"/>
      <c r="U336" s="11" t="n">
        <f aca="false">O336*4 + P336*2 + MAX(0,N336-O336-P336)*1 + Q336*0.2 + R336*2 + S336*1 + IF(T336="",0,IF(T336&lt;=10,8,IF(T336&lt;=50,6,IF(T336&lt;=100,4,2))))</f>
        <v>0</v>
      </c>
      <c r="V336" s="7"/>
      <c r="W336" s="12"/>
      <c r="X336" s="13"/>
      <c r="Y336" s="13" t="s">
        <v>1585</v>
      </c>
    </row>
    <row r="337" customFormat="false" ht="15.75" hidden="false" customHeight="true" outlineLevel="0" collapsed="false">
      <c r="A337" s="7" t="s">
        <v>1586</v>
      </c>
      <c r="B337" s="8" t="n">
        <v>1989</v>
      </c>
      <c r="C337" s="8" t="s">
        <v>109</v>
      </c>
      <c r="D337" s="8" t="n">
        <v>120</v>
      </c>
      <c r="E337" s="7" t="s">
        <v>937</v>
      </c>
      <c r="F337" s="8" t="n">
        <v>7.9</v>
      </c>
      <c r="G337" s="8"/>
      <c r="H337" s="9" t="n">
        <v>125734</v>
      </c>
      <c r="I337" s="7" t="s">
        <v>46</v>
      </c>
      <c r="J337" s="7" t="s">
        <v>30</v>
      </c>
      <c r="K337" s="7" t="s">
        <v>47</v>
      </c>
      <c r="L337" s="10"/>
      <c r="M337" s="7" t="s">
        <v>1587</v>
      </c>
      <c r="N337" s="8" t="n">
        <v>0</v>
      </c>
      <c r="O337" s="8" t="n">
        <v>0</v>
      </c>
      <c r="P337" s="8" t="n">
        <v>0</v>
      </c>
      <c r="Q337" s="8" t="n">
        <v>2</v>
      </c>
      <c r="R337" s="8" t="n">
        <v>0</v>
      </c>
      <c r="S337" s="8" t="n">
        <v>0</v>
      </c>
      <c r="T337" s="8" t="n">
        <v>24</v>
      </c>
      <c r="U337" s="11" t="n">
        <f aca="false">O337*4 + P337*2 + MAX(0,N337-O337-P337)*1 + Q337*0.2 + R337*2 + S337*1 + IF(T337="",0,IF(T337&lt;=10,8,IF(T337&lt;=50,6,IF(T337&lt;=100,4,2))))</f>
        <v>6.4</v>
      </c>
      <c r="V337" s="10" t="s">
        <v>1588</v>
      </c>
      <c r="W337" s="12"/>
      <c r="X337" s="13"/>
      <c r="Y337" s="13" t="s">
        <v>1589</v>
      </c>
    </row>
    <row r="338" customFormat="false" ht="15.75" hidden="false" customHeight="true" outlineLevel="0" collapsed="false">
      <c r="A338" s="7" t="s">
        <v>1590</v>
      </c>
      <c r="B338" s="8" t="n">
        <v>1976</v>
      </c>
      <c r="C338" s="8" t="s">
        <v>61</v>
      </c>
      <c r="D338" s="8" t="n">
        <v>112</v>
      </c>
      <c r="E338" s="7" t="s">
        <v>1591</v>
      </c>
      <c r="F338" s="8" t="n">
        <v>7.2</v>
      </c>
      <c r="G338" s="8"/>
      <c r="H338" s="9" t="n">
        <v>8980</v>
      </c>
      <c r="I338" s="7" t="s">
        <v>232</v>
      </c>
      <c r="J338" s="7" t="s">
        <v>147</v>
      </c>
      <c r="K338" s="7" t="s">
        <v>125</v>
      </c>
      <c r="L338" s="10" t="s">
        <v>1078</v>
      </c>
      <c r="M338" s="7" t="s">
        <v>1592</v>
      </c>
      <c r="N338" s="8" t="n">
        <v>0</v>
      </c>
      <c r="O338" s="8" t="n">
        <v>0</v>
      </c>
      <c r="P338" s="8" t="n">
        <v>0</v>
      </c>
      <c r="Q338" s="8" t="n">
        <v>0</v>
      </c>
      <c r="R338" s="13" t="n">
        <v>0</v>
      </c>
      <c r="S338" s="13" t="n">
        <v>0</v>
      </c>
      <c r="T338" s="13"/>
      <c r="U338" s="11" t="n">
        <f aca="false">O338*4 + P338*2 + MAX(0,N338-O338-P338)*1 + Q338*0.2 + R338*2 + S338*1 + IF(T338="",0,IF(T338&lt;=10,8,IF(T338&lt;=50,6,IF(T338&lt;=100,4,2))))</f>
        <v>0</v>
      </c>
      <c r="V338" s="7"/>
      <c r="W338" s="12"/>
      <c r="X338" s="13"/>
      <c r="Y338" s="13" t="s">
        <v>1593</v>
      </c>
    </row>
    <row r="339" customFormat="false" ht="15.75" hidden="false" customHeight="true" outlineLevel="0" collapsed="false">
      <c r="A339" s="7" t="s">
        <v>1594</v>
      </c>
      <c r="B339" s="8" t="n">
        <v>1997</v>
      </c>
      <c r="C339" s="8" t="s">
        <v>26</v>
      </c>
      <c r="D339" s="8" t="n">
        <v>5</v>
      </c>
      <c r="E339" s="7" t="s">
        <v>1595</v>
      </c>
      <c r="F339" s="8" t="n">
        <v>7.8</v>
      </c>
      <c r="G339" s="8"/>
      <c r="H339" s="9" t="n">
        <v>28671</v>
      </c>
      <c r="I339" s="7" t="s">
        <v>46</v>
      </c>
      <c r="J339" s="7"/>
      <c r="K339" s="12"/>
      <c r="L339" s="10"/>
      <c r="M339" s="7" t="s">
        <v>1596</v>
      </c>
      <c r="N339" s="8" t="n">
        <v>1</v>
      </c>
      <c r="O339" s="8" t="n">
        <v>0</v>
      </c>
      <c r="P339" s="8" t="n">
        <v>0</v>
      </c>
      <c r="Q339" s="8" t="n">
        <v>1</v>
      </c>
      <c r="R339" s="8" t="n">
        <v>0</v>
      </c>
      <c r="S339" s="8" t="n">
        <v>0</v>
      </c>
      <c r="T339" s="13"/>
      <c r="U339" s="11" t="n">
        <f aca="false">O339*4 + P339*2 + MAX(0,N339-O339-P339)*1 + Q339*0.2 + R339*2 + S339*1 + IF(T339="",0,IF(T339&lt;=10,8,IF(T339&lt;=50,6,IF(T339&lt;=100,4,2))))</f>
        <v>1.2</v>
      </c>
      <c r="V339" s="7"/>
      <c r="W339" s="12"/>
      <c r="X339" s="13"/>
      <c r="Y339" s="13" t="s">
        <v>1597</v>
      </c>
    </row>
    <row r="340" customFormat="false" ht="15.75" hidden="false" customHeight="true" outlineLevel="0" collapsed="false">
      <c r="A340" s="7" t="s">
        <v>1598</v>
      </c>
      <c r="B340" s="8" t="n">
        <v>2002</v>
      </c>
      <c r="C340" s="8" t="s">
        <v>35</v>
      </c>
      <c r="D340" s="8" t="n">
        <v>117</v>
      </c>
      <c r="E340" s="7" t="s">
        <v>1599</v>
      </c>
      <c r="F340" s="8" t="n">
        <v>7.3</v>
      </c>
      <c r="G340" s="8"/>
      <c r="H340" s="9" t="n">
        <v>40699</v>
      </c>
      <c r="I340" s="7" t="s">
        <v>280</v>
      </c>
      <c r="J340" s="7" t="s">
        <v>30</v>
      </c>
      <c r="K340" s="7" t="s">
        <v>48</v>
      </c>
      <c r="L340" s="10" t="s">
        <v>210</v>
      </c>
      <c r="M340" s="7" t="s">
        <v>1600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13" t="n">
        <v>0</v>
      </c>
      <c r="T340" s="8"/>
      <c r="U340" s="11" t="n">
        <f aca="false">O340*4 + P340*2 + MAX(0,N340-O340-P340)*1 + Q340*0.2 + R340*2 + S340*1 + IF(T340="",0,IF(T340&lt;=10,8,IF(T340&lt;=50,6,IF(T340&lt;=100,4,2))))</f>
        <v>0</v>
      </c>
      <c r="V340" s="10" t="s">
        <v>1601</v>
      </c>
      <c r="W340" s="12"/>
      <c r="X340" s="8" t="n">
        <v>119</v>
      </c>
      <c r="Y340" s="8" t="s">
        <v>1602</v>
      </c>
    </row>
    <row r="341" customFormat="false" ht="15.75" hidden="false" customHeight="true" outlineLevel="0" collapsed="false">
      <c r="A341" s="7" t="s">
        <v>1603</v>
      </c>
      <c r="B341" s="8" t="n">
        <v>1998</v>
      </c>
      <c r="C341" s="8" t="s">
        <v>26</v>
      </c>
      <c r="D341" s="8" t="n">
        <v>124</v>
      </c>
      <c r="E341" s="7" t="s">
        <v>1604</v>
      </c>
      <c r="F341" s="8" t="n">
        <v>7.5</v>
      </c>
      <c r="G341" s="8"/>
      <c r="H341" s="9" t="n">
        <v>145231</v>
      </c>
      <c r="I341" s="7" t="s">
        <v>46</v>
      </c>
      <c r="J341" s="7" t="s">
        <v>38</v>
      </c>
      <c r="K341" s="7" t="s">
        <v>953</v>
      </c>
      <c r="L341" s="10" t="s">
        <v>238</v>
      </c>
      <c r="M341" s="7" t="s">
        <v>1605</v>
      </c>
      <c r="N341" s="8" t="n">
        <v>0</v>
      </c>
      <c r="O341" s="8" t="n">
        <v>0</v>
      </c>
      <c r="P341" s="8" t="n">
        <v>0</v>
      </c>
      <c r="Q341" s="8" t="n">
        <v>3</v>
      </c>
      <c r="R341" s="8" t="n">
        <v>0</v>
      </c>
      <c r="S341" s="8" t="n">
        <v>0</v>
      </c>
      <c r="T341" s="13"/>
      <c r="U341" s="11" t="n">
        <f aca="false">O341*4 + P341*2 + MAX(0,N341-O341-P341)*1 + Q341*0.2 + R341*2 + S341*1 + IF(T341="",0,IF(T341&lt;=10,8,IF(T341&lt;=50,6,IF(T341&lt;=100,4,2))))</f>
        <v>0.6</v>
      </c>
      <c r="V341" s="7"/>
      <c r="W341" s="12"/>
      <c r="X341" s="13"/>
      <c r="Y341" s="13" t="s">
        <v>1606</v>
      </c>
    </row>
    <row r="342" customFormat="false" ht="15.75" hidden="false" customHeight="true" outlineLevel="0" collapsed="false">
      <c r="A342" s="7" t="s">
        <v>1607</v>
      </c>
      <c r="B342" s="8" t="n">
        <v>1981</v>
      </c>
      <c r="C342" s="8" t="s">
        <v>109</v>
      </c>
      <c r="D342" s="8" t="n">
        <v>100</v>
      </c>
      <c r="E342" s="7" t="s">
        <v>1557</v>
      </c>
      <c r="F342" s="8" t="n">
        <v>7.3</v>
      </c>
      <c r="G342" s="8"/>
      <c r="H342" s="9" t="n">
        <v>26651</v>
      </c>
      <c r="I342" s="7" t="s">
        <v>1111</v>
      </c>
      <c r="J342" s="7" t="s">
        <v>39</v>
      </c>
      <c r="K342" s="7" t="s">
        <v>47</v>
      </c>
      <c r="L342" s="10" t="s">
        <v>1608</v>
      </c>
      <c r="M342" s="7" t="s">
        <v>1609</v>
      </c>
      <c r="N342" s="8" t="n">
        <v>1</v>
      </c>
      <c r="O342" s="8" t="n">
        <v>0</v>
      </c>
      <c r="P342" s="8" t="n">
        <v>0</v>
      </c>
      <c r="Q342" s="8" t="n">
        <v>1</v>
      </c>
      <c r="R342" s="8" t="n">
        <v>0</v>
      </c>
      <c r="S342" s="8" t="n">
        <v>0</v>
      </c>
      <c r="T342" s="13"/>
      <c r="U342" s="11" t="n">
        <f aca="false">O342*4 + P342*2 + MAX(0,N342-O342-P342)*1 + Q342*0.2 + R342*2 + S342*1 + IF(T342="",0,IF(T342&lt;=10,8,IF(T342&lt;=50,6,IF(T342&lt;=100,4,2))))</f>
        <v>1.2</v>
      </c>
      <c r="V342" s="7"/>
      <c r="W342" s="12"/>
      <c r="X342" s="13"/>
      <c r="Y342" s="13" t="s">
        <v>1610</v>
      </c>
    </row>
    <row r="343" customFormat="false" ht="15.75" hidden="false" customHeight="true" outlineLevel="0" collapsed="false">
      <c r="A343" s="7" t="s">
        <v>1611</v>
      </c>
      <c r="B343" s="8" t="n">
        <v>1979</v>
      </c>
      <c r="C343" s="8" t="s">
        <v>61</v>
      </c>
      <c r="D343" s="8" t="n">
        <v>121</v>
      </c>
      <c r="E343" s="7" t="s">
        <v>204</v>
      </c>
      <c r="F343" s="8" t="n">
        <v>7.5</v>
      </c>
      <c r="G343" s="8"/>
      <c r="H343" s="9" t="n">
        <v>44574</v>
      </c>
      <c r="I343" s="7" t="s">
        <v>46</v>
      </c>
      <c r="J343" s="7" t="s">
        <v>90</v>
      </c>
      <c r="K343" s="7" t="s">
        <v>328</v>
      </c>
      <c r="L343" s="10" t="s">
        <v>187</v>
      </c>
      <c r="M343" s="7" t="s">
        <v>1612</v>
      </c>
      <c r="N343" s="8" t="n">
        <v>0</v>
      </c>
      <c r="O343" s="8" t="n">
        <v>0</v>
      </c>
      <c r="P343" s="8" t="n">
        <v>0</v>
      </c>
      <c r="Q343" s="8" t="n">
        <v>0</v>
      </c>
      <c r="R343" s="13" t="n">
        <v>0</v>
      </c>
      <c r="S343" s="13" t="n">
        <v>0</v>
      </c>
      <c r="T343" s="13"/>
      <c r="U343" s="11" t="n">
        <f aca="false">O343*4 + P343*2 + MAX(0,N343-O343-P343)*1 + Q343*0.2 + R343*2 + S343*1 + IF(T343="",0,IF(T343&lt;=10,8,IF(T343&lt;=50,6,IF(T343&lt;=100,4,2))))</f>
        <v>0</v>
      </c>
      <c r="V343" s="7"/>
      <c r="W343" s="12"/>
      <c r="X343" s="13"/>
      <c r="Y343" s="13" t="s">
        <v>1613</v>
      </c>
    </row>
    <row r="344" customFormat="false" ht="15.75" hidden="false" customHeight="true" outlineLevel="0" collapsed="false">
      <c r="A344" s="7" t="s">
        <v>1614</v>
      </c>
      <c r="B344" s="8" t="n">
        <v>1995</v>
      </c>
      <c r="C344" s="8" t="s">
        <v>26</v>
      </c>
      <c r="D344" s="8" t="n">
        <v>109</v>
      </c>
      <c r="E344" s="7" t="s">
        <v>1615</v>
      </c>
      <c r="F344" s="8" t="n">
        <v>7.5</v>
      </c>
      <c r="G344" s="8"/>
      <c r="H344" s="9" t="n">
        <v>12947</v>
      </c>
      <c r="I344" s="7" t="s">
        <v>280</v>
      </c>
      <c r="J344" s="7" t="s">
        <v>154</v>
      </c>
      <c r="K344" s="7" t="s">
        <v>47</v>
      </c>
      <c r="L344" s="10" t="s">
        <v>1616</v>
      </c>
      <c r="M344" s="7" t="s">
        <v>1617</v>
      </c>
      <c r="N344" s="8" t="n">
        <v>0</v>
      </c>
      <c r="O344" s="8" t="n">
        <v>0</v>
      </c>
      <c r="P344" s="8" t="n">
        <v>0</v>
      </c>
      <c r="Q344" s="8" t="n">
        <v>0</v>
      </c>
      <c r="R344" s="13" t="n">
        <v>0</v>
      </c>
      <c r="S344" s="13" t="n">
        <v>0</v>
      </c>
      <c r="T344" s="13"/>
      <c r="U344" s="11" t="n">
        <f aca="false">O344*4 + P344*2 + MAX(0,N344-O344-P344)*1 + Q344*0.2 + R344*2 + S344*1 + IF(T344="",0,IF(T344&lt;=10,8,IF(T344&lt;=50,6,IF(T344&lt;=100,4,2))))</f>
        <v>0</v>
      </c>
      <c r="V344" s="7"/>
      <c r="W344" s="12"/>
      <c r="X344" s="13"/>
      <c r="Y344" s="13" t="s">
        <v>1618</v>
      </c>
    </row>
    <row r="345" customFormat="false" ht="15.75" hidden="false" customHeight="true" outlineLevel="0" collapsed="false">
      <c r="A345" s="7" t="s">
        <v>1619</v>
      </c>
      <c r="B345" s="8" t="n">
        <v>2024</v>
      </c>
      <c r="C345" s="8" t="s">
        <v>378</v>
      </c>
      <c r="D345" s="8" t="n">
        <v>85</v>
      </c>
      <c r="E345" s="7" t="s">
        <v>1620</v>
      </c>
      <c r="F345" s="8" t="n">
        <v>7.8</v>
      </c>
      <c r="G345" s="8"/>
      <c r="H345" s="9" t="n">
        <v>152256</v>
      </c>
      <c r="I345" s="7" t="s">
        <v>1621</v>
      </c>
      <c r="J345" s="7" t="s">
        <v>579</v>
      </c>
      <c r="K345" s="7" t="s">
        <v>259</v>
      </c>
      <c r="L345" s="10" t="s">
        <v>1622</v>
      </c>
      <c r="M345" s="7" t="s">
        <v>1623</v>
      </c>
      <c r="N345" s="8" t="n">
        <v>1</v>
      </c>
      <c r="O345" s="8" t="n">
        <v>0</v>
      </c>
      <c r="P345" s="8" t="n">
        <v>0</v>
      </c>
      <c r="Q345" s="8" t="n">
        <v>2</v>
      </c>
      <c r="R345" s="8" t="n">
        <v>0</v>
      </c>
      <c r="S345" s="8" t="n">
        <v>0</v>
      </c>
      <c r="T345" s="13"/>
      <c r="U345" s="11" t="n">
        <f aca="false">O345*4 + P345*2 + MAX(0,N345-O345-P345)*1 + Q345*0.2 + R345*2 + S345*1 + IF(T345="",0,IF(T345&lt;=10,8,IF(T345&lt;=50,6,IF(T345&lt;=100,4,2))))</f>
        <v>1.4</v>
      </c>
      <c r="V345" s="7"/>
      <c r="W345" s="12"/>
      <c r="X345" s="13"/>
      <c r="Y345" s="13" t="s">
        <v>1624</v>
      </c>
    </row>
    <row r="346" customFormat="false" ht="15.75" hidden="false" customHeight="true" outlineLevel="0" collapsed="false">
      <c r="A346" s="7" t="s">
        <v>1625</v>
      </c>
      <c r="B346" s="8" t="n">
        <v>1941</v>
      </c>
      <c r="C346" s="8" t="s">
        <v>243</v>
      </c>
      <c r="D346" s="8" t="n">
        <v>118</v>
      </c>
      <c r="E346" s="7" t="s">
        <v>285</v>
      </c>
      <c r="F346" s="8" t="n">
        <v>7.7</v>
      </c>
      <c r="G346" s="8"/>
      <c r="H346" s="9" t="n">
        <v>29456</v>
      </c>
      <c r="I346" s="7" t="s">
        <v>46</v>
      </c>
      <c r="J346" s="7" t="s">
        <v>47</v>
      </c>
      <c r="K346" s="7" t="s">
        <v>259</v>
      </c>
      <c r="L346" s="10"/>
      <c r="M346" s="7" t="s">
        <v>1626</v>
      </c>
      <c r="N346" s="8" t="n">
        <v>5</v>
      </c>
      <c r="O346" s="8" t="n">
        <v>1</v>
      </c>
      <c r="P346" s="8" t="n">
        <v>1</v>
      </c>
      <c r="Q346" s="8" t="n">
        <v>10</v>
      </c>
      <c r="R346" s="8" t="n">
        <v>0</v>
      </c>
      <c r="S346" s="8" t="n">
        <v>0</v>
      </c>
      <c r="T346" s="13"/>
      <c r="U346" s="11" t="n">
        <f aca="false">O346*4 + P346*2 + MAX(0,N346-O346-P346)*1 + Q346*0.2 + R346*2 + S346*1 + IF(T346="",0,IF(T346&lt;=10,8,IF(T346&lt;=50,6,IF(T346&lt;=100,4,2))))</f>
        <v>11</v>
      </c>
      <c r="V346" s="7" t="s">
        <v>1625</v>
      </c>
      <c r="W346" s="12"/>
      <c r="X346" s="13"/>
      <c r="Y346" s="13" t="s">
        <v>1627</v>
      </c>
    </row>
    <row r="347" customFormat="false" ht="15.75" hidden="false" customHeight="true" outlineLevel="0" collapsed="false">
      <c r="A347" s="7" t="s">
        <v>1628</v>
      </c>
      <c r="B347" s="8" t="n">
        <v>1988</v>
      </c>
      <c r="C347" s="8" t="s">
        <v>109</v>
      </c>
      <c r="D347" s="8" t="n">
        <v>126</v>
      </c>
      <c r="E347" s="7" t="s">
        <v>172</v>
      </c>
      <c r="F347" s="8" t="n">
        <v>7.2</v>
      </c>
      <c r="G347" s="8"/>
      <c r="H347" s="9" t="n">
        <v>139026</v>
      </c>
      <c r="I347" s="7" t="s">
        <v>46</v>
      </c>
      <c r="J347" s="7" t="s">
        <v>112</v>
      </c>
      <c r="K347" s="7" t="s">
        <v>39</v>
      </c>
      <c r="L347" s="10" t="s">
        <v>552</v>
      </c>
      <c r="M347" s="7" t="s">
        <v>1629</v>
      </c>
      <c r="N347" s="8" t="n">
        <v>0</v>
      </c>
      <c r="O347" s="8" t="n">
        <v>0</v>
      </c>
      <c r="P347" s="8" t="n">
        <v>0</v>
      </c>
      <c r="Q347" s="8" t="n">
        <v>2</v>
      </c>
      <c r="R347" s="8" t="n">
        <v>0</v>
      </c>
      <c r="S347" s="8" t="n">
        <v>0</v>
      </c>
      <c r="T347" s="13"/>
      <c r="U347" s="11" t="n">
        <f aca="false">O347*4 + P347*2 + MAX(0,N347-O347-P347)*1 + Q347*0.2 + R347*2 + S347*1 + IF(T347="",0,IF(T347&lt;=10,8,IF(T347&lt;=50,6,IF(T347&lt;=100,4,2))))</f>
        <v>0.4</v>
      </c>
      <c r="V347" s="7"/>
      <c r="W347" s="12"/>
      <c r="X347" s="13"/>
      <c r="Y347" s="13" t="s">
        <v>1630</v>
      </c>
    </row>
    <row r="348" customFormat="false" ht="15.75" hidden="false" customHeight="true" outlineLevel="0" collapsed="false">
      <c r="A348" s="7" t="s">
        <v>1631</v>
      </c>
      <c r="B348" s="8" t="n">
        <v>1953</v>
      </c>
      <c r="C348" s="8" t="s">
        <v>196</v>
      </c>
      <c r="D348" s="8" t="n">
        <v>137</v>
      </c>
      <c r="E348" s="7" t="s">
        <v>1632</v>
      </c>
      <c r="F348" s="8" t="n">
        <v>8.1</v>
      </c>
      <c r="G348" s="8"/>
      <c r="H348" s="9" t="n">
        <v>78500</v>
      </c>
      <c r="I348" s="7" t="s">
        <v>124</v>
      </c>
      <c r="J348" s="7" t="s">
        <v>47</v>
      </c>
      <c r="K348" s="7"/>
      <c r="L348" s="10" t="s">
        <v>1633</v>
      </c>
      <c r="M348" s="7" t="s">
        <v>1634</v>
      </c>
      <c r="N348" s="8" t="n">
        <v>0</v>
      </c>
      <c r="O348" s="8" t="n">
        <v>0</v>
      </c>
      <c r="P348" s="8" t="n">
        <v>0</v>
      </c>
      <c r="Q348" s="8" t="n">
        <v>0</v>
      </c>
      <c r="R348" s="8" t="n">
        <v>0</v>
      </c>
      <c r="S348" s="13" t="n">
        <v>0</v>
      </c>
      <c r="T348" s="8" t="n">
        <v>4</v>
      </c>
      <c r="U348" s="11" t="n">
        <f aca="false">O348*4 + P348*2 + MAX(0,N348-O348-P348)*1 + Q348*0.2 + R348*2 + S348*1 + IF(T348="",0,IF(T348&lt;=10,8,IF(T348&lt;=50,6,IF(T348&lt;=100,4,2))))</f>
        <v>8</v>
      </c>
      <c r="V348" s="7" t="s">
        <v>1635</v>
      </c>
      <c r="W348" s="12" t="s">
        <v>201</v>
      </c>
      <c r="X348" s="13"/>
      <c r="Y348" s="13" t="s">
        <v>1636</v>
      </c>
    </row>
    <row r="349" customFormat="false" ht="15.75" hidden="false" customHeight="true" outlineLevel="0" collapsed="false">
      <c r="A349" s="7" t="s">
        <v>1637</v>
      </c>
      <c r="B349" s="8" t="n">
        <v>1992</v>
      </c>
      <c r="C349" s="8" t="s">
        <v>26</v>
      </c>
      <c r="D349" s="8" t="n">
        <v>134</v>
      </c>
      <c r="E349" s="7" t="s">
        <v>521</v>
      </c>
      <c r="F349" s="8" t="n">
        <v>7.3</v>
      </c>
      <c r="G349" s="8"/>
      <c r="H349" s="9" t="n">
        <v>119432</v>
      </c>
      <c r="I349" s="7" t="s">
        <v>46</v>
      </c>
      <c r="J349" s="7" t="s">
        <v>147</v>
      </c>
      <c r="K349" s="7" t="s">
        <v>125</v>
      </c>
      <c r="L349" s="10" t="s">
        <v>374</v>
      </c>
      <c r="M349" s="7" t="s">
        <v>1638</v>
      </c>
      <c r="N349" s="8" t="n">
        <v>0</v>
      </c>
      <c r="O349" s="8" t="n">
        <v>0</v>
      </c>
      <c r="P349" s="8" t="n">
        <v>0</v>
      </c>
      <c r="Q349" s="8" t="n">
        <v>0</v>
      </c>
      <c r="R349" s="13" t="n">
        <v>0</v>
      </c>
      <c r="S349" s="13" t="n">
        <v>0</v>
      </c>
      <c r="T349" s="8" t="n">
        <v>211</v>
      </c>
      <c r="U349" s="11" t="n">
        <f aca="false">O349*4 + P349*2 + MAX(0,N349-O349-P349)*1 + Q349*0.2 + R349*2 + S349*1 + IF(T349="",0,IF(T349&lt;=10,8,IF(T349&lt;=50,6,IF(T349&lt;=100,4,2))))</f>
        <v>2</v>
      </c>
      <c r="V349" s="10" t="s">
        <v>1639</v>
      </c>
      <c r="W349" s="12"/>
      <c r="X349" s="13"/>
      <c r="Y349" s="13" t="s">
        <v>1640</v>
      </c>
    </row>
    <row r="350" customFormat="false" ht="15.75" hidden="false" customHeight="true" outlineLevel="0" collapsed="false">
      <c r="A350" s="7" t="s">
        <v>1641</v>
      </c>
      <c r="B350" s="8" t="n">
        <v>1999</v>
      </c>
      <c r="C350" s="8" t="s">
        <v>26</v>
      </c>
      <c r="D350" s="8" t="n">
        <v>159</v>
      </c>
      <c r="E350" s="7" t="s">
        <v>152</v>
      </c>
      <c r="F350" s="8" t="n">
        <v>7.5</v>
      </c>
      <c r="G350" s="8"/>
      <c r="H350" s="9" t="n">
        <v>435657</v>
      </c>
      <c r="I350" s="7" t="s">
        <v>280</v>
      </c>
      <c r="J350" s="7" t="s">
        <v>131</v>
      </c>
      <c r="K350" s="7" t="s">
        <v>125</v>
      </c>
      <c r="L350" s="10" t="s">
        <v>1642</v>
      </c>
      <c r="M350" s="7" t="s">
        <v>1643</v>
      </c>
      <c r="N350" s="8" t="n">
        <v>0</v>
      </c>
      <c r="O350" s="8" t="n">
        <v>0</v>
      </c>
      <c r="P350" s="8" t="n">
        <v>0</v>
      </c>
      <c r="Q350" s="8" t="n">
        <v>0</v>
      </c>
      <c r="R350" s="13" t="n">
        <v>0</v>
      </c>
      <c r="S350" s="13" t="n">
        <v>0</v>
      </c>
      <c r="T350" s="13"/>
      <c r="U350" s="11" t="n">
        <f aca="false">O350*4 + P350*2 + MAX(0,N350-O350-P350)*1 + Q350*0.2 + R350*2 + S350*1 + IF(T350="",0,IF(T350&lt;=10,8,IF(T350&lt;=50,6,IF(T350&lt;=100,4,2))))</f>
        <v>0</v>
      </c>
      <c r="V350" s="7"/>
      <c r="W350" s="12"/>
      <c r="X350" s="13"/>
      <c r="Y350" s="13" t="s">
        <v>1644</v>
      </c>
    </row>
    <row r="351" customFormat="false" ht="15.75" hidden="false" customHeight="true" outlineLevel="0" collapsed="false">
      <c r="A351" s="7" t="s">
        <v>1645</v>
      </c>
      <c r="B351" s="8" t="n">
        <v>1989</v>
      </c>
      <c r="C351" s="8" t="s">
        <v>109</v>
      </c>
      <c r="D351" s="8" t="n">
        <v>103</v>
      </c>
      <c r="E351" s="7" t="s">
        <v>1646</v>
      </c>
      <c r="F351" s="8" t="n">
        <v>7.8</v>
      </c>
      <c r="G351" s="8"/>
      <c r="H351" s="9" t="n">
        <v>190892</v>
      </c>
      <c r="I351" s="7" t="s">
        <v>124</v>
      </c>
      <c r="J351" s="7" t="s">
        <v>579</v>
      </c>
      <c r="K351" s="7" t="s">
        <v>259</v>
      </c>
      <c r="L351" s="10" t="s">
        <v>238</v>
      </c>
      <c r="M351" s="7" t="s">
        <v>1647</v>
      </c>
      <c r="N351" s="8" t="n">
        <v>0</v>
      </c>
      <c r="O351" s="8" t="n">
        <v>0</v>
      </c>
      <c r="P351" s="8" t="n">
        <v>0</v>
      </c>
      <c r="Q351" s="8" t="n">
        <v>0</v>
      </c>
      <c r="R351" s="13" t="n">
        <v>0</v>
      </c>
      <c r="S351" s="13" t="n">
        <v>0</v>
      </c>
      <c r="T351" s="13"/>
      <c r="U351" s="11" t="n">
        <f aca="false">O351*4 + P351*2 + MAX(0,N351-O351-P351)*1 + Q351*0.2 + R351*2 + S351*1 + IF(T351="",0,IF(T351&lt;=10,8,IF(T351&lt;=50,6,IF(T351&lt;=100,4,2))))</f>
        <v>0</v>
      </c>
      <c r="V351" s="7"/>
      <c r="W351" s="12"/>
      <c r="X351" s="13"/>
      <c r="Y351" s="13" t="s">
        <v>1648</v>
      </c>
    </row>
    <row r="352" customFormat="false" ht="15.75" hidden="false" customHeight="true" outlineLevel="0" collapsed="false">
      <c r="A352" s="7" t="s">
        <v>1649</v>
      </c>
      <c r="B352" s="8" t="n">
        <v>1999</v>
      </c>
      <c r="C352" s="8" t="s">
        <v>26</v>
      </c>
      <c r="D352" s="8" t="n">
        <v>139</v>
      </c>
      <c r="E352" s="7" t="s">
        <v>425</v>
      </c>
      <c r="F352" s="8" t="n">
        <v>7.4</v>
      </c>
      <c r="G352" s="8"/>
      <c r="H352" s="9" t="n">
        <v>274758</v>
      </c>
      <c r="I352" s="7" t="s">
        <v>46</v>
      </c>
      <c r="J352" s="7" t="s">
        <v>131</v>
      </c>
      <c r="K352" s="7" t="s">
        <v>54</v>
      </c>
      <c r="L352" s="10" t="s">
        <v>55</v>
      </c>
      <c r="M352" s="7" t="s">
        <v>1650</v>
      </c>
      <c r="N352" s="8" t="n">
        <v>0</v>
      </c>
      <c r="O352" s="8" t="n">
        <v>0</v>
      </c>
      <c r="P352" s="8" t="n">
        <v>0</v>
      </c>
      <c r="Q352" s="8" t="n">
        <v>5</v>
      </c>
      <c r="R352" s="8" t="n">
        <v>0</v>
      </c>
      <c r="S352" s="8" t="n">
        <v>0</v>
      </c>
      <c r="T352" s="13"/>
      <c r="U352" s="11" t="n">
        <f aca="false">O352*4 + P352*2 + MAX(0,N352-O352-P352)*1 + Q352*0.2 + R352*2 + S352*1 + IF(T352="",0,IF(T352&lt;=10,8,IF(T352&lt;=50,6,IF(T352&lt;=100,4,2))))</f>
        <v>1</v>
      </c>
      <c r="V352" s="7"/>
      <c r="W352" s="12"/>
      <c r="X352" s="13"/>
      <c r="Y352" s="13" t="s">
        <v>1651</v>
      </c>
    </row>
    <row r="353" customFormat="false" ht="15.75" hidden="false" customHeight="true" outlineLevel="0" collapsed="false">
      <c r="A353" s="7" t="s">
        <v>1652</v>
      </c>
      <c r="B353" s="8" t="n">
        <v>1994</v>
      </c>
      <c r="C353" s="8" t="s">
        <v>26</v>
      </c>
      <c r="D353" s="8" t="n">
        <v>133</v>
      </c>
      <c r="E353" s="7" t="s">
        <v>1653</v>
      </c>
      <c r="F353" s="8" t="n">
        <v>7.5</v>
      </c>
      <c r="G353" s="8"/>
      <c r="H353" s="9" t="n">
        <v>201370</v>
      </c>
      <c r="I353" s="7" t="s">
        <v>46</v>
      </c>
      <c r="J353" s="7" t="s">
        <v>154</v>
      </c>
      <c r="K353" s="7" t="s">
        <v>29</v>
      </c>
      <c r="L353" s="10" t="s">
        <v>238</v>
      </c>
      <c r="M353" s="7" t="s">
        <v>1654</v>
      </c>
      <c r="N353" s="8" t="n">
        <v>1</v>
      </c>
      <c r="O353" s="8" t="n">
        <v>0</v>
      </c>
      <c r="P353" s="8" t="n">
        <v>0</v>
      </c>
      <c r="Q353" s="8" t="n">
        <v>3</v>
      </c>
      <c r="R353" s="8" t="n">
        <v>0</v>
      </c>
      <c r="S353" s="8" t="n">
        <v>0</v>
      </c>
      <c r="T353" s="13"/>
      <c r="U353" s="11" t="n">
        <f aca="false">O353*4 + P353*2 + MAX(0,N353-O353-P353)*1 + Q353*0.2 + R353*2 + S353*1 + IF(T353="",0,IF(T353&lt;=10,8,IF(T353&lt;=50,6,IF(T353&lt;=100,4,2))))</f>
        <v>1.6</v>
      </c>
      <c r="V353" s="7"/>
      <c r="W353" s="12"/>
      <c r="X353" s="13"/>
      <c r="Y353" s="13" t="s">
        <v>1655</v>
      </c>
    </row>
    <row r="354" customFormat="false" ht="15.75" hidden="false" customHeight="true" outlineLevel="0" collapsed="false">
      <c r="A354" s="7" t="s">
        <v>1656</v>
      </c>
      <c r="B354" s="8" t="n">
        <v>2022</v>
      </c>
      <c r="C354" s="8" t="s">
        <v>378</v>
      </c>
      <c r="D354" s="8" t="n">
        <v>117</v>
      </c>
      <c r="E354" s="7" t="s">
        <v>1657</v>
      </c>
      <c r="F354" s="8" t="n">
        <v>7.6</v>
      </c>
      <c r="G354" s="8"/>
      <c r="H354" s="9" t="n">
        <v>166524</v>
      </c>
      <c r="I354" s="7" t="s">
        <v>46</v>
      </c>
      <c r="J354" s="7"/>
      <c r="K354" s="12"/>
      <c r="L354" s="10" t="s">
        <v>238</v>
      </c>
      <c r="M354" s="7" t="s">
        <v>1658</v>
      </c>
      <c r="N354" s="8" t="n">
        <v>0</v>
      </c>
      <c r="O354" s="8" t="n">
        <v>0</v>
      </c>
      <c r="P354" s="8" t="n">
        <v>0</v>
      </c>
      <c r="Q354" s="8" t="n">
        <v>0</v>
      </c>
      <c r="R354" s="13" t="n">
        <v>0</v>
      </c>
      <c r="S354" s="13" t="n">
        <v>0</v>
      </c>
      <c r="T354" s="13"/>
      <c r="U354" s="11" t="n">
        <f aca="false">O354*4 + P354*2 + MAX(0,N354-O354-P354)*1 + Q354*0.2 + R354*2 + S354*1 + IF(T354="",0,IF(T354&lt;=10,8,IF(T354&lt;=50,6,IF(T354&lt;=100,4,2))))</f>
        <v>0</v>
      </c>
      <c r="V354" s="7" t="s">
        <v>1659</v>
      </c>
      <c r="W354" s="12"/>
      <c r="X354" s="13"/>
      <c r="Y354" s="13" t="s">
        <v>1660</v>
      </c>
    </row>
    <row r="355" customFormat="false" ht="15.75" hidden="false" customHeight="true" outlineLevel="0" collapsed="false">
      <c r="A355" s="7" t="s">
        <v>1661</v>
      </c>
      <c r="B355" s="8" t="n">
        <v>1998</v>
      </c>
      <c r="C355" s="8" t="s">
        <v>26</v>
      </c>
      <c r="D355" s="8" t="n">
        <v>151</v>
      </c>
      <c r="E355" s="7" t="s">
        <v>652</v>
      </c>
      <c r="F355" s="8" t="n">
        <v>7.3</v>
      </c>
      <c r="G355" s="8"/>
      <c r="H355" s="9" t="n">
        <v>2203</v>
      </c>
      <c r="I355" s="7" t="s">
        <v>232</v>
      </c>
      <c r="J355" s="7" t="s">
        <v>47</v>
      </c>
      <c r="K355" s="7" t="s">
        <v>591</v>
      </c>
      <c r="L355" s="10" t="s">
        <v>380</v>
      </c>
      <c r="M355" s="7" t="s">
        <v>1662</v>
      </c>
      <c r="N355" s="8" t="n">
        <v>0</v>
      </c>
      <c r="O355" s="8" t="n">
        <v>0</v>
      </c>
      <c r="P355" s="8" t="n">
        <v>0</v>
      </c>
      <c r="Q355" s="8" t="n">
        <v>1</v>
      </c>
      <c r="R355" s="8" t="n">
        <v>0</v>
      </c>
      <c r="S355" s="8" t="n">
        <v>0</v>
      </c>
      <c r="T355" s="13"/>
      <c r="U355" s="11" t="n">
        <f aca="false">O355*4 + P355*2 + MAX(0,N355-O355-P355)*1 + Q355*0.2 + R355*2 + S355*1 + IF(T355="",0,IF(T355&lt;=10,8,IF(T355&lt;=50,6,IF(T355&lt;=100,4,2))))</f>
        <v>0.2</v>
      </c>
      <c r="V355" s="7"/>
      <c r="W355" s="12"/>
      <c r="X355" s="13"/>
      <c r="Y355" s="13" t="s">
        <v>1663</v>
      </c>
    </row>
    <row r="356" customFormat="false" ht="15.75" hidden="false" customHeight="true" outlineLevel="0" collapsed="false">
      <c r="A356" s="7" t="s">
        <v>1664</v>
      </c>
      <c r="B356" s="8" t="n">
        <v>1990</v>
      </c>
      <c r="C356" s="8" t="s">
        <v>26</v>
      </c>
      <c r="D356" s="8" t="n">
        <v>102</v>
      </c>
      <c r="E356" s="7" t="s">
        <v>1665</v>
      </c>
      <c r="F356" s="8" t="n">
        <v>7.1</v>
      </c>
      <c r="G356" s="8"/>
      <c r="H356" s="9" t="n">
        <v>3637</v>
      </c>
      <c r="I356" s="7" t="s">
        <v>232</v>
      </c>
      <c r="J356" s="7" t="s">
        <v>154</v>
      </c>
      <c r="K356" s="7" t="s">
        <v>30</v>
      </c>
      <c r="L356" s="10" t="s">
        <v>1078</v>
      </c>
      <c r="M356" s="7" t="s">
        <v>1666</v>
      </c>
      <c r="N356" s="8" t="n">
        <v>0</v>
      </c>
      <c r="O356" s="8" t="n">
        <v>0</v>
      </c>
      <c r="P356" s="8" t="n">
        <v>0</v>
      </c>
      <c r="Q356" s="8" t="n">
        <v>0</v>
      </c>
      <c r="R356" s="13" t="n">
        <v>0</v>
      </c>
      <c r="S356" s="13" t="n">
        <v>0</v>
      </c>
      <c r="T356" s="13"/>
      <c r="U356" s="11" t="n">
        <f aca="false">O356*4 + P356*2 + MAX(0,N356-O356-P356)*1 + Q356*0.2 + R356*2 + S356*1 + IF(T356="",0,IF(T356&lt;=10,8,IF(T356&lt;=50,6,IF(T356&lt;=100,4,2))))</f>
        <v>0</v>
      </c>
      <c r="V356" s="7"/>
      <c r="W356" s="12"/>
      <c r="X356" s="13"/>
      <c r="Y356" s="13" t="s">
        <v>1667</v>
      </c>
    </row>
    <row r="357" customFormat="false" ht="15.75" hidden="false" customHeight="true" outlineLevel="0" collapsed="false">
      <c r="A357" s="7" t="s">
        <v>1668</v>
      </c>
      <c r="B357" s="8" t="n">
        <v>1982</v>
      </c>
      <c r="C357" s="8" t="s">
        <v>109</v>
      </c>
      <c r="D357" s="8" t="n">
        <v>109</v>
      </c>
      <c r="E357" s="7" t="s">
        <v>165</v>
      </c>
      <c r="F357" s="8" t="n">
        <v>7.8</v>
      </c>
      <c r="G357" s="8"/>
      <c r="H357" s="9" t="n">
        <v>134906</v>
      </c>
      <c r="I357" s="7" t="s">
        <v>46</v>
      </c>
      <c r="J357" s="7" t="s">
        <v>30</v>
      </c>
      <c r="K357" s="7" t="s">
        <v>54</v>
      </c>
      <c r="L357" s="10" t="s">
        <v>1669</v>
      </c>
      <c r="M357" s="7" t="s">
        <v>1670</v>
      </c>
      <c r="N357" s="8" t="n">
        <v>0</v>
      </c>
      <c r="O357" s="8" t="n">
        <v>0</v>
      </c>
      <c r="P357" s="8" t="n">
        <v>0</v>
      </c>
      <c r="Q357" s="8" t="n">
        <v>0</v>
      </c>
      <c r="R357" s="13" t="n">
        <v>0</v>
      </c>
      <c r="S357" s="13" t="n">
        <v>0</v>
      </c>
      <c r="T357" s="13"/>
      <c r="U357" s="11" t="n">
        <f aca="false">O357*4 + P357*2 + MAX(0,N357-O357-P357)*1 + Q357*0.2 + R357*2 + S357*1 + IF(T357="",0,IF(T357&lt;=10,8,IF(T357&lt;=50,6,IF(T357&lt;=100,4,2))))</f>
        <v>0</v>
      </c>
      <c r="V357" s="7"/>
      <c r="W357" s="12"/>
      <c r="X357" s="13"/>
      <c r="Y357" s="13" t="s">
        <v>1671</v>
      </c>
    </row>
    <row r="358" customFormat="false" ht="15.75" hidden="false" customHeight="true" outlineLevel="0" collapsed="false">
      <c r="A358" s="7" t="s">
        <v>1672</v>
      </c>
      <c r="B358" s="8" t="n">
        <v>1991</v>
      </c>
      <c r="C358" s="8" t="s">
        <v>26</v>
      </c>
      <c r="D358" s="8" t="n">
        <v>129</v>
      </c>
      <c r="E358" s="7" t="s">
        <v>1307</v>
      </c>
      <c r="F358" s="8" t="n">
        <v>7.6</v>
      </c>
      <c r="G358" s="8"/>
      <c r="H358" s="9" t="n">
        <v>71567</v>
      </c>
      <c r="I358" s="7" t="s">
        <v>46</v>
      </c>
      <c r="J358" s="7" t="s">
        <v>30</v>
      </c>
      <c r="K358" s="7" t="s">
        <v>47</v>
      </c>
      <c r="L358" s="10"/>
      <c r="M358" s="7" t="s">
        <v>1673</v>
      </c>
      <c r="N358" s="8" t="n">
        <v>0</v>
      </c>
      <c r="O358" s="8" t="n">
        <v>0</v>
      </c>
      <c r="P358" s="8" t="n">
        <v>0</v>
      </c>
      <c r="Q358" s="8" t="n">
        <v>0</v>
      </c>
      <c r="R358" s="13" t="n">
        <v>0</v>
      </c>
      <c r="S358" s="13" t="n">
        <v>0</v>
      </c>
      <c r="T358" s="13"/>
      <c r="U358" s="11" t="n">
        <f aca="false">O358*4 + P358*2 + MAX(0,N358-O358-P358)*1 + Q358*0.2 + R358*2 + S358*1 + IF(T358="",0,IF(T358&lt;=10,8,IF(T358&lt;=50,6,IF(T358&lt;=100,4,2))))</f>
        <v>0</v>
      </c>
      <c r="V358" s="7"/>
      <c r="W358" s="12"/>
      <c r="X358" s="13"/>
      <c r="Y358" s="13" t="s">
        <v>1674</v>
      </c>
    </row>
    <row r="359" customFormat="false" ht="15.75" hidden="false" customHeight="true" outlineLevel="0" collapsed="false">
      <c r="A359" s="7" t="s">
        <v>1675</v>
      </c>
      <c r="B359" s="8" t="n">
        <v>1952</v>
      </c>
      <c r="C359" s="8" t="s">
        <v>196</v>
      </c>
      <c r="D359" s="8" t="n">
        <v>143</v>
      </c>
      <c r="E359" s="7" t="s">
        <v>197</v>
      </c>
      <c r="F359" s="8" t="n">
        <v>8.3</v>
      </c>
      <c r="G359" s="8"/>
      <c r="H359" s="9" t="n">
        <v>103478</v>
      </c>
      <c r="I359" s="7" t="s">
        <v>124</v>
      </c>
      <c r="J359" s="7" t="s">
        <v>47</v>
      </c>
      <c r="K359" s="12"/>
      <c r="L359" s="10" t="s">
        <v>517</v>
      </c>
      <c r="M359" s="7" t="s">
        <v>1676</v>
      </c>
      <c r="N359" s="8" t="n">
        <v>0</v>
      </c>
      <c r="O359" s="8" t="n">
        <v>0</v>
      </c>
      <c r="P359" s="8" t="n">
        <v>0</v>
      </c>
      <c r="Q359" s="8" t="n">
        <v>0</v>
      </c>
      <c r="R359" s="13" t="n">
        <v>0</v>
      </c>
      <c r="S359" s="13" t="n">
        <v>0</v>
      </c>
      <c r="T359" s="13" t="n">
        <v>157</v>
      </c>
      <c r="U359" s="11" t="n">
        <f aca="false">O359*4 + P359*2 + MAX(0,N359-O359-P359)*1 + Q359*0.2 + R359*2 + S359*1 + IF(T359="",0,IF(T359&lt;=10,8,IF(T359&lt;=50,6,IF(T359&lt;=100,4,2))))</f>
        <v>2</v>
      </c>
      <c r="V359" s="7" t="s">
        <v>1677</v>
      </c>
      <c r="W359" s="12"/>
      <c r="X359" s="13"/>
      <c r="Y359" s="13" t="s">
        <v>1678</v>
      </c>
    </row>
    <row r="360" customFormat="false" ht="15.75" hidden="false" customHeight="true" outlineLevel="0" collapsed="false">
      <c r="A360" s="7" t="s">
        <v>1679</v>
      </c>
      <c r="B360" s="8" t="n">
        <v>1987</v>
      </c>
      <c r="C360" s="8" t="s">
        <v>109</v>
      </c>
      <c r="D360" s="8" t="n">
        <v>107</v>
      </c>
      <c r="E360" s="7" t="s">
        <v>1680</v>
      </c>
      <c r="F360" s="8" t="n">
        <v>7.3</v>
      </c>
      <c r="G360" s="8"/>
      <c r="H360" s="9" t="n">
        <v>1794</v>
      </c>
      <c r="I360" s="7" t="s">
        <v>232</v>
      </c>
      <c r="J360" s="7" t="s">
        <v>38</v>
      </c>
      <c r="K360" s="7" t="s">
        <v>30</v>
      </c>
      <c r="L360" s="10" t="s">
        <v>166</v>
      </c>
      <c r="M360" s="7" t="s">
        <v>1681</v>
      </c>
      <c r="N360" s="8" t="n">
        <v>0</v>
      </c>
      <c r="O360" s="8" t="n">
        <v>0</v>
      </c>
      <c r="P360" s="8" t="n">
        <v>0</v>
      </c>
      <c r="Q360" s="8" t="n">
        <v>0</v>
      </c>
      <c r="R360" s="13" t="n">
        <v>0</v>
      </c>
      <c r="S360" s="13" t="n">
        <v>0</v>
      </c>
      <c r="T360" s="13"/>
      <c r="U360" s="11" t="n">
        <f aca="false">O360*4 + P360*2 + MAX(0,N360-O360-P360)*1 + Q360*0.2 + R360*2 + S360*1 + IF(T360="",0,IF(T360&lt;=10,8,IF(T360&lt;=50,6,IF(T360&lt;=100,4,2))))</f>
        <v>0</v>
      </c>
      <c r="V360" s="7"/>
      <c r="W360" s="12"/>
      <c r="X360" s="13"/>
      <c r="Y360" s="13" t="s">
        <v>1682</v>
      </c>
    </row>
    <row r="361" customFormat="false" ht="15.75" hidden="false" customHeight="true" outlineLevel="0" collapsed="false">
      <c r="A361" s="7" t="s">
        <v>1683</v>
      </c>
      <c r="B361" s="8" t="n">
        <v>1993</v>
      </c>
      <c r="C361" s="8" t="s">
        <v>26</v>
      </c>
      <c r="D361" s="8" t="n">
        <v>94</v>
      </c>
      <c r="E361" s="7" t="s">
        <v>1684</v>
      </c>
      <c r="F361" s="8" t="n">
        <v>7.8</v>
      </c>
      <c r="G361" s="8"/>
      <c r="H361" s="9" t="n">
        <v>45133</v>
      </c>
      <c r="I361" s="7" t="s">
        <v>124</v>
      </c>
      <c r="J361" s="7" t="s">
        <v>579</v>
      </c>
      <c r="K361" s="7" t="s">
        <v>1685</v>
      </c>
      <c r="L361" s="10" t="s">
        <v>1686</v>
      </c>
      <c r="M361" s="7" t="s">
        <v>1687</v>
      </c>
      <c r="N361" s="8" t="n">
        <v>0</v>
      </c>
      <c r="O361" s="8" t="n">
        <v>0</v>
      </c>
      <c r="P361" s="8" t="n">
        <v>0</v>
      </c>
      <c r="Q361" s="8" t="n">
        <v>0</v>
      </c>
      <c r="R361" s="13" t="n">
        <v>0</v>
      </c>
      <c r="S361" s="13" t="n">
        <v>0</v>
      </c>
      <c r="T361" s="13"/>
      <c r="U361" s="11" t="n">
        <f aca="false">O361*4 + P361*2 + MAX(0,N361-O361-P361)*1 + Q361*0.2 + R361*2 + S361*1 + IF(T361="",0,IF(T361&lt;=10,8,IF(T361&lt;=50,6,IF(T361&lt;=100,4,2))))</f>
        <v>0</v>
      </c>
      <c r="V361" s="7"/>
      <c r="W361" s="12"/>
      <c r="X361" s="13"/>
      <c r="Y361" s="13" t="s">
        <v>1688</v>
      </c>
    </row>
    <row r="362" customFormat="false" ht="15.75" hidden="false" customHeight="true" outlineLevel="0" collapsed="false">
      <c r="A362" s="7" t="s">
        <v>1689</v>
      </c>
      <c r="B362" s="8" t="n">
        <v>1997</v>
      </c>
      <c r="C362" s="8" t="s">
        <v>26</v>
      </c>
      <c r="D362" s="8" t="n">
        <v>103</v>
      </c>
      <c r="E362" s="7" t="s">
        <v>1124</v>
      </c>
      <c r="F362" s="8" t="n">
        <v>7.7</v>
      </c>
      <c r="G362" s="8"/>
      <c r="H362" s="9" t="n">
        <v>35876</v>
      </c>
      <c r="I362" s="7" t="s">
        <v>124</v>
      </c>
      <c r="J362" s="7" t="s">
        <v>29</v>
      </c>
      <c r="K362" s="7" t="s">
        <v>54</v>
      </c>
      <c r="L362" s="10"/>
      <c r="M362" s="7" t="s">
        <v>1690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1</v>
      </c>
      <c r="S362" s="13" t="n">
        <v>0</v>
      </c>
      <c r="T362" s="13"/>
      <c r="U362" s="11" t="n">
        <f aca="false">O362*4 + P362*2 + MAX(0,N362-O362-P362)*1 + Q362*0.2 + R362*2 + S362*1 + IF(T362="",0,IF(T362&lt;=10,8,IF(T362&lt;=50,6,IF(T362&lt;=100,4,2))))</f>
        <v>2</v>
      </c>
      <c r="V362" s="7"/>
      <c r="W362" s="12"/>
      <c r="X362" s="13"/>
      <c r="Y362" s="13" t="s">
        <v>1691</v>
      </c>
    </row>
    <row r="363" customFormat="false" ht="15.75" hidden="false" customHeight="true" outlineLevel="0" collapsed="false">
      <c r="A363" s="7" t="s">
        <v>1692</v>
      </c>
      <c r="B363" s="8" t="n">
        <v>1979</v>
      </c>
      <c r="C363" s="8" t="s">
        <v>61</v>
      </c>
      <c r="D363" s="8" t="n">
        <v>115</v>
      </c>
      <c r="E363" s="7" t="s">
        <v>1693</v>
      </c>
      <c r="F363" s="8" t="n">
        <v>6.8</v>
      </c>
      <c r="G363" s="8"/>
      <c r="H363" s="9" t="n">
        <v>4013</v>
      </c>
      <c r="I363" s="7" t="s">
        <v>232</v>
      </c>
      <c r="J363" s="7" t="s">
        <v>147</v>
      </c>
      <c r="K363" s="7" t="s">
        <v>38</v>
      </c>
      <c r="L363" s="10" t="s">
        <v>1694</v>
      </c>
      <c r="M363" s="7" t="s">
        <v>1695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13" t="n">
        <v>0</v>
      </c>
      <c r="T363" s="8"/>
      <c r="U363" s="11" t="n">
        <f aca="false">O363*4 + P363*2 + MAX(0,N363-O363-P363)*1 + Q363*0.2 + R363*2 + S363*1 + IF(T363="",0,IF(T363&lt;=10,8,IF(T363&lt;=50,6,IF(T363&lt;=100,4,2))))</f>
        <v>0</v>
      </c>
      <c r="V363" s="7" t="s">
        <v>1696</v>
      </c>
      <c r="W363" s="12" t="s">
        <v>183</v>
      </c>
      <c r="X363" s="13"/>
      <c r="Y363" s="13" t="s">
        <v>1697</v>
      </c>
    </row>
    <row r="364" customFormat="false" ht="15.75" hidden="false" customHeight="true" outlineLevel="0" collapsed="false">
      <c r="A364" s="7" t="s">
        <v>1698</v>
      </c>
      <c r="B364" s="8" t="n">
        <v>1993</v>
      </c>
      <c r="C364" s="8" t="s">
        <v>26</v>
      </c>
      <c r="D364" s="8" t="n">
        <v>113</v>
      </c>
      <c r="E364" s="7" t="s">
        <v>1699</v>
      </c>
      <c r="F364" s="8" t="n">
        <v>7.5</v>
      </c>
      <c r="G364" s="8"/>
      <c r="H364" s="9" t="n">
        <v>228373</v>
      </c>
      <c r="I364" s="7" t="s">
        <v>46</v>
      </c>
      <c r="J364" s="7" t="s">
        <v>131</v>
      </c>
      <c r="K364" s="7" t="s">
        <v>54</v>
      </c>
      <c r="L364" s="10" t="s">
        <v>210</v>
      </c>
      <c r="M364" s="7" t="s">
        <v>1700</v>
      </c>
      <c r="N364" s="8" t="n">
        <v>0</v>
      </c>
      <c r="O364" s="8" t="n">
        <v>0</v>
      </c>
      <c r="P364" s="8" t="n">
        <v>0</v>
      </c>
      <c r="Q364" s="8" t="n">
        <v>0</v>
      </c>
      <c r="R364" s="13" t="n">
        <v>0</v>
      </c>
      <c r="S364" s="13" t="n">
        <v>0</v>
      </c>
      <c r="T364" s="13"/>
      <c r="U364" s="11" t="n">
        <f aca="false">O364*4 + P364*2 + MAX(0,N364-O364-P364)*1 + Q364*0.2 + R364*2 + S364*1 + IF(T364="",0,IF(T364&lt;=10,8,IF(T364&lt;=50,6,IF(T364&lt;=100,4,2))))</f>
        <v>0</v>
      </c>
      <c r="V364" s="7"/>
      <c r="W364" s="12"/>
      <c r="X364" s="13"/>
      <c r="Y364" s="13" t="s">
        <v>1701</v>
      </c>
    </row>
    <row r="365" customFormat="false" ht="15.75" hidden="false" customHeight="true" outlineLevel="0" collapsed="false">
      <c r="A365" s="7" t="s">
        <v>1702</v>
      </c>
      <c r="B365" s="8" t="n">
        <v>1977</v>
      </c>
      <c r="C365" s="8" t="s">
        <v>61</v>
      </c>
      <c r="D365" s="8" t="n">
        <v>175</v>
      </c>
      <c r="E365" s="7" t="s">
        <v>842</v>
      </c>
      <c r="F365" s="8" t="n">
        <v>7.4</v>
      </c>
      <c r="G365" s="8"/>
      <c r="H365" s="9" t="n">
        <v>68396</v>
      </c>
      <c r="I365" s="7" t="s">
        <v>280</v>
      </c>
      <c r="J365" s="7" t="s">
        <v>154</v>
      </c>
      <c r="K365" s="7" t="s">
        <v>453</v>
      </c>
      <c r="L365" s="10" t="s">
        <v>1540</v>
      </c>
      <c r="M365" s="7" t="s">
        <v>1703</v>
      </c>
      <c r="N365" s="8" t="n">
        <v>0</v>
      </c>
      <c r="O365" s="8" t="n">
        <v>0</v>
      </c>
      <c r="P365" s="8" t="n">
        <v>0</v>
      </c>
      <c r="Q365" s="8" t="n">
        <v>0</v>
      </c>
      <c r="R365" s="13" t="n">
        <v>0</v>
      </c>
      <c r="S365" s="13" t="n">
        <v>0</v>
      </c>
      <c r="T365" s="13"/>
      <c r="U365" s="11" t="n">
        <f aca="false">O365*4 + P365*2 + MAX(0,N365-O365-P365)*1 + Q365*0.2 + R365*2 + S365*1 + IF(T365="",0,IF(T365&lt;=10,8,IF(T365&lt;=50,6,IF(T365&lt;=100,4,2))))</f>
        <v>0</v>
      </c>
      <c r="V365" s="7"/>
      <c r="W365" s="12"/>
      <c r="X365" s="13"/>
      <c r="Y365" s="13" t="s">
        <v>1704</v>
      </c>
    </row>
    <row r="366" customFormat="false" ht="15.75" hidden="false" customHeight="true" outlineLevel="0" collapsed="false">
      <c r="A366" s="7" t="s">
        <v>1705</v>
      </c>
      <c r="B366" s="8" t="n">
        <v>2015</v>
      </c>
      <c r="C366" s="8" t="s">
        <v>176</v>
      </c>
      <c r="D366" s="8" t="n">
        <v>147</v>
      </c>
      <c r="E366" s="7" t="s">
        <v>1706</v>
      </c>
      <c r="F366" s="8" t="n">
        <v>7.8</v>
      </c>
      <c r="G366" s="8"/>
      <c r="H366" s="9" t="n">
        <v>235455</v>
      </c>
      <c r="I366" s="7" t="s">
        <v>46</v>
      </c>
      <c r="J366" s="7" t="s">
        <v>47</v>
      </c>
      <c r="K366" s="7" t="s">
        <v>48</v>
      </c>
      <c r="L366" s="10"/>
      <c r="M366" s="7" t="s">
        <v>1707</v>
      </c>
      <c r="N366" s="8" t="n">
        <v>0</v>
      </c>
      <c r="O366" s="8" t="n">
        <v>0</v>
      </c>
      <c r="P366" s="8" t="n">
        <v>0</v>
      </c>
      <c r="Q366" s="8" t="n">
        <v>1</v>
      </c>
      <c r="R366" s="8" t="n">
        <v>0</v>
      </c>
      <c r="S366" s="8" t="n">
        <v>0</v>
      </c>
      <c r="T366" s="13"/>
      <c r="U366" s="11" t="n">
        <f aca="false">O366*4 + P366*2 + MAX(0,N366-O366-P366)*1 + Q366*0.2 + R366*2 + S366*1 + IF(T366="",0,IF(T366&lt;=10,8,IF(T366&lt;=50,6,IF(T366&lt;=100,4,2))))</f>
        <v>0.2</v>
      </c>
      <c r="V366" s="7"/>
      <c r="W366" s="12"/>
      <c r="X366" s="13"/>
      <c r="Y366" s="13" t="s">
        <v>1708</v>
      </c>
    </row>
    <row r="367" customFormat="false" ht="15.75" hidden="false" customHeight="true" outlineLevel="0" collapsed="false">
      <c r="A367" s="7" t="s">
        <v>1709</v>
      </c>
      <c r="B367" s="8" t="n">
        <v>1977</v>
      </c>
      <c r="C367" s="8" t="s">
        <v>61</v>
      </c>
      <c r="D367" s="8" t="n">
        <v>119</v>
      </c>
      <c r="E367" s="7" t="s">
        <v>1710</v>
      </c>
      <c r="F367" s="8" t="n">
        <v>7.4</v>
      </c>
      <c r="G367" s="8"/>
      <c r="H367" s="9" t="n">
        <v>31807</v>
      </c>
      <c r="I367" s="7" t="s">
        <v>280</v>
      </c>
      <c r="J367" s="7" t="s">
        <v>154</v>
      </c>
      <c r="K367" s="7" t="s">
        <v>47</v>
      </c>
      <c r="L367" s="10" t="s">
        <v>1711</v>
      </c>
      <c r="M367" s="7" t="s">
        <v>1712</v>
      </c>
      <c r="N367" s="8" t="n">
        <v>0</v>
      </c>
      <c r="O367" s="8" t="n">
        <v>0</v>
      </c>
      <c r="P367" s="8" t="n">
        <v>0</v>
      </c>
      <c r="Q367" s="8" t="n">
        <v>0</v>
      </c>
      <c r="R367" s="13" t="n">
        <v>0</v>
      </c>
      <c r="S367" s="13" t="n">
        <v>0</v>
      </c>
      <c r="T367" s="13"/>
      <c r="U367" s="11" t="n">
        <f aca="false">O367*4 + P367*2 + MAX(0,N367-O367-P367)*1 + Q367*0.2 + R367*2 + S367*1 + IF(T367="",0,IF(T367&lt;=10,8,IF(T367&lt;=50,6,IF(T367&lt;=100,4,2))))</f>
        <v>0</v>
      </c>
      <c r="V367" s="7"/>
      <c r="W367" s="12"/>
      <c r="X367" s="13"/>
      <c r="Y367" s="13" t="s">
        <v>1713</v>
      </c>
    </row>
    <row r="368" customFormat="false" ht="15.75" hidden="false" customHeight="true" outlineLevel="0" collapsed="false">
      <c r="A368" s="7" t="s">
        <v>1714</v>
      </c>
      <c r="B368" s="8" t="n">
        <v>1994</v>
      </c>
      <c r="C368" s="8" t="s">
        <v>26</v>
      </c>
      <c r="D368" s="8" t="n">
        <v>133</v>
      </c>
      <c r="E368" s="7" t="s">
        <v>1715</v>
      </c>
      <c r="F368" s="8" t="n">
        <v>7.5</v>
      </c>
      <c r="G368" s="8"/>
      <c r="H368" s="9" t="n">
        <v>78228</v>
      </c>
      <c r="I368" s="7" t="s">
        <v>46</v>
      </c>
      <c r="J368" s="7" t="s">
        <v>47</v>
      </c>
      <c r="K368" s="7" t="s">
        <v>48</v>
      </c>
      <c r="L368" s="10"/>
      <c r="M368" s="7" t="s">
        <v>1716</v>
      </c>
      <c r="N368" s="8" t="n">
        <v>0</v>
      </c>
      <c r="O368" s="8" t="n">
        <v>0</v>
      </c>
      <c r="P368" s="8" t="n">
        <v>0</v>
      </c>
      <c r="Q368" s="8" t="n">
        <v>4</v>
      </c>
      <c r="R368" s="8" t="n">
        <v>0</v>
      </c>
      <c r="S368" s="8" t="n">
        <v>0</v>
      </c>
      <c r="T368" s="13"/>
      <c r="U368" s="11" t="n">
        <f aca="false">O368*4 + P368*2 + MAX(0,N368-O368-P368)*1 + Q368*0.2 + R368*2 + S368*1 + IF(T368="",0,IF(T368&lt;=10,8,IF(T368&lt;=50,6,IF(T368&lt;=100,4,2))))</f>
        <v>0.8</v>
      </c>
      <c r="V368" s="7"/>
      <c r="W368" s="12"/>
      <c r="X368" s="13"/>
      <c r="Y368" s="13" t="s">
        <v>1717</v>
      </c>
    </row>
    <row r="369" customFormat="false" ht="15.75" hidden="false" customHeight="true" outlineLevel="0" collapsed="false">
      <c r="A369" s="7" t="s">
        <v>1718</v>
      </c>
      <c r="B369" s="8" t="n">
        <v>1995</v>
      </c>
      <c r="C369" s="8" t="s">
        <v>26</v>
      </c>
      <c r="D369" s="8" t="n">
        <v>112</v>
      </c>
      <c r="E369" s="7" t="s">
        <v>719</v>
      </c>
      <c r="F369" s="8" t="n">
        <v>7.4</v>
      </c>
      <c r="G369" s="8"/>
      <c r="H369" s="9" t="n">
        <v>75200</v>
      </c>
      <c r="I369" s="7" t="s">
        <v>219</v>
      </c>
      <c r="J369" s="7" t="s">
        <v>38</v>
      </c>
      <c r="K369" s="7" t="s">
        <v>39</v>
      </c>
      <c r="L369" s="10" t="s">
        <v>447</v>
      </c>
      <c r="M369" s="7" t="s">
        <v>1719</v>
      </c>
      <c r="N369" s="8" t="n">
        <v>0</v>
      </c>
      <c r="O369" s="8" t="n">
        <v>0</v>
      </c>
      <c r="P369" s="8" t="n">
        <v>0</v>
      </c>
      <c r="Q369" s="8" t="n">
        <v>0</v>
      </c>
      <c r="R369" s="13" t="n">
        <v>0</v>
      </c>
      <c r="S369" s="13" t="n">
        <v>0</v>
      </c>
      <c r="T369" s="13"/>
      <c r="U369" s="11" t="n">
        <f aca="false">O369*4 + P369*2 + MAX(0,N369-O369-P369)*1 + Q369*0.2 + R369*2 + S369*1 + IF(T369="",0,IF(T369&lt;=10,8,IF(T369&lt;=50,6,IF(T369&lt;=100,4,2))))</f>
        <v>0</v>
      </c>
      <c r="V369" s="7"/>
      <c r="W369" s="12"/>
      <c r="X369" s="13"/>
      <c r="Y369" s="13" t="s">
        <v>1720</v>
      </c>
    </row>
    <row r="370" customFormat="false" ht="15.75" hidden="false" customHeight="true" outlineLevel="0" collapsed="false">
      <c r="A370" s="7" t="s">
        <v>1721</v>
      </c>
      <c r="B370" s="8" t="n">
        <v>1997</v>
      </c>
      <c r="C370" s="8" t="s">
        <v>26</v>
      </c>
      <c r="D370" s="8" t="n">
        <v>121</v>
      </c>
      <c r="E370" s="7" t="s">
        <v>74</v>
      </c>
      <c r="F370" s="8" t="n">
        <v>6.7</v>
      </c>
      <c r="G370" s="8"/>
      <c r="H370" s="9" t="n">
        <v>65422</v>
      </c>
      <c r="I370" s="7" t="s">
        <v>46</v>
      </c>
      <c r="J370" s="7" t="s">
        <v>112</v>
      </c>
      <c r="K370" s="7" t="s">
        <v>54</v>
      </c>
      <c r="L370" s="10"/>
      <c r="M370" s="7" t="s">
        <v>1722</v>
      </c>
      <c r="N370" s="8" t="n">
        <v>0</v>
      </c>
      <c r="O370" s="8" t="n">
        <v>0</v>
      </c>
      <c r="P370" s="8" t="n">
        <v>0</v>
      </c>
      <c r="Q370" s="8" t="n">
        <v>0</v>
      </c>
      <c r="R370" s="13" t="n">
        <v>0</v>
      </c>
      <c r="S370" s="13" t="n">
        <v>0</v>
      </c>
      <c r="T370" s="13"/>
      <c r="U370" s="11" t="n">
        <f aca="false">O370*4 + P370*2 + MAX(0,N370-O370-P370)*1 + Q370*0.2 + R370*2 + S370*1 + IF(T370="",0,IF(T370&lt;=10,8,IF(T370&lt;=50,6,IF(T370&lt;=100,4,2))))</f>
        <v>0</v>
      </c>
      <c r="V370" s="7"/>
      <c r="W370" s="12"/>
      <c r="X370" s="13"/>
      <c r="Y370" s="13" t="s">
        <v>1723</v>
      </c>
    </row>
    <row r="371" customFormat="false" ht="15.75" hidden="false" customHeight="true" outlineLevel="0" collapsed="false">
      <c r="A371" s="7" t="s">
        <v>1724</v>
      </c>
      <c r="B371" s="8" t="n">
        <v>1988</v>
      </c>
      <c r="C371" s="8" t="s">
        <v>109</v>
      </c>
      <c r="D371" s="8" t="n">
        <v>116</v>
      </c>
      <c r="E371" s="7" t="s">
        <v>1086</v>
      </c>
      <c r="F371" s="8" t="n">
        <v>7.2</v>
      </c>
      <c r="G371" s="8"/>
      <c r="H371" s="9" t="n">
        <v>59411</v>
      </c>
      <c r="I371" s="7" t="s">
        <v>1111</v>
      </c>
      <c r="J371" s="7" t="s">
        <v>147</v>
      </c>
      <c r="K371" s="7" t="s">
        <v>131</v>
      </c>
      <c r="L371" s="10" t="s">
        <v>1725</v>
      </c>
      <c r="M371" s="7" t="s">
        <v>1726</v>
      </c>
      <c r="N371" s="8" t="n">
        <v>0</v>
      </c>
      <c r="O371" s="8" t="n">
        <v>0</v>
      </c>
      <c r="P371" s="8" t="n">
        <v>0</v>
      </c>
      <c r="Q371" s="8" t="n">
        <v>0</v>
      </c>
      <c r="R371" s="13" t="n">
        <v>0</v>
      </c>
      <c r="S371" s="13" t="n">
        <v>0</v>
      </c>
      <c r="T371" s="13"/>
      <c r="U371" s="11" t="n">
        <f aca="false">O371*4 + P371*2 + MAX(0,N371-O371-P371)*1 + Q371*0.2 + R371*2 + S371*1 + IF(T371="",0,IF(T371&lt;=10,8,IF(T371&lt;=50,6,IF(T371&lt;=100,4,2))))</f>
        <v>0</v>
      </c>
      <c r="V371" s="7"/>
      <c r="W371" s="12"/>
      <c r="X371" s="13"/>
      <c r="Y371" s="13" t="s">
        <v>1727</v>
      </c>
    </row>
    <row r="372" customFormat="false" ht="15.75" hidden="false" customHeight="true" outlineLevel="0" collapsed="false">
      <c r="A372" s="7" t="s">
        <v>1728</v>
      </c>
      <c r="B372" s="8" t="n">
        <v>1979</v>
      </c>
      <c r="C372" s="8" t="s">
        <v>61</v>
      </c>
      <c r="D372" s="8" t="n">
        <v>142</v>
      </c>
      <c r="E372" s="7" t="s">
        <v>1729</v>
      </c>
      <c r="F372" s="8" t="n">
        <v>7.4</v>
      </c>
      <c r="G372" s="8"/>
      <c r="H372" s="9" t="n">
        <v>28078</v>
      </c>
      <c r="I372" s="7" t="s">
        <v>258</v>
      </c>
      <c r="J372" s="7" t="s">
        <v>154</v>
      </c>
      <c r="K372" s="7" t="s">
        <v>47</v>
      </c>
      <c r="L372" s="10" t="s">
        <v>1730</v>
      </c>
      <c r="M372" s="7" t="s">
        <v>1731</v>
      </c>
      <c r="N372" s="8" t="n">
        <v>1</v>
      </c>
      <c r="O372" s="8" t="n">
        <v>0</v>
      </c>
      <c r="P372" s="8" t="n">
        <v>0</v>
      </c>
      <c r="Q372" s="8" t="n">
        <v>1</v>
      </c>
      <c r="R372" s="8" t="n">
        <v>0</v>
      </c>
      <c r="S372" s="8" t="n">
        <v>0</v>
      </c>
      <c r="T372" s="13"/>
      <c r="U372" s="11" t="n">
        <f aca="false">O372*4 + P372*2 + MAX(0,N372-O372-P372)*1 + Q372*0.2 + R372*2 + S372*1 + IF(T372="",0,IF(T372&lt;=10,8,IF(T372&lt;=50,6,IF(T372&lt;=100,4,2))))</f>
        <v>1.2</v>
      </c>
      <c r="V372" s="7"/>
      <c r="W372" s="12"/>
      <c r="X372" s="13"/>
      <c r="Y372" s="13" t="s">
        <v>1732</v>
      </c>
    </row>
    <row r="373" customFormat="false" ht="15.75" hidden="false" customHeight="true" outlineLevel="0" collapsed="false">
      <c r="A373" s="7" t="s">
        <v>1733</v>
      </c>
      <c r="B373" s="8" t="n">
        <v>1979</v>
      </c>
      <c r="C373" s="8" t="s">
        <v>61</v>
      </c>
      <c r="D373" s="8" t="n">
        <v>94</v>
      </c>
      <c r="E373" s="7" t="s">
        <v>1734</v>
      </c>
      <c r="F373" s="8" t="n">
        <v>8</v>
      </c>
      <c r="G373" s="8"/>
      <c r="H373" s="9" t="n">
        <v>435303</v>
      </c>
      <c r="I373" s="7" t="s">
        <v>280</v>
      </c>
      <c r="J373" s="7" t="s">
        <v>30</v>
      </c>
      <c r="K373" s="7"/>
      <c r="L373" s="10" t="s">
        <v>1735</v>
      </c>
      <c r="M373" s="7" t="s">
        <v>1736</v>
      </c>
      <c r="N373" s="8" t="n">
        <v>0</v>
      </c>
      <c r="O373" s="8" t="n">
        <v>0</v>
      </c>
      <c r="P373" s="8" t="n">
        <v>0</v>
      </c>
      <c r="Q373" s="8" t="n">
        <v>0</v>
      </c>
      <c r="R373" s="13" t="n">
        <v>0</v>
      </c>
      <c r="S373" s="13" t="n">
        <v>0</v>
      </c>
      <c r="T373" s="13"/>
      <c r="U373" s="11" t="n">
        <f aca="false">O373*4 + P373*2 + MAX(0,N373-O373-P373)*1 + Q373*0.2 + R373*2 + S373*1 + IF(T373="",0,IF(T373&lt;=10,8,IF(T373&lt;=50,6,IF(T373&lt;=100,4,2))))</f>
        <v>0</v>
      </c>
      <c r="V373" s="7"/>
      <c r="W373" s="12"/>
      <c r="X373" s="13"/>
      <c r="Y373" s="13" t="s">
        <v>1737</v>
      </c>
    </row>
    <row r="374" customFormat="false" ht="15.75" hidden="false" customHeight="true" outlineLevel="0" collapsed="false">
      <c r="A374" s="7" t="s">
        <v>1738</v>
      </c>
      <c r="B374" s="8" t="n">
        <v>1992</v>
      </c>
      <c r="C374" s="8" t="s">
        <v>26</v>
      </c>
      <c r="D374" s="8" t="n">
        <v>202</v>
      </c>
      <c r="E374" s="7" t="s">
        <v>937</v>
      </c>
      <c r="F374" s="8" t="n">
        <v>7.7</v>
      </c>
      <c r="G374" s="8"/>
      <c r="H374" s="9" t="n">
        <v>112097</v>
      </c>
      <c r="I374" s="7" t="s">
        <v>46</v>
      </c>
      <c r="J374" s="7" t="s">
        <v>47</v>
      </c>
      <c r="K374" s="7" t="s">
        <v>48</v>
      </c>
      <c r="L374" s="10" t="s">
        <v>210</v>
      </c>
      <c r="M374" s="7" t="s">
        <v>1739</v>
      </c>
      <c r="N374" s="8" t="n">
        <v>0</v>
      </c>
      <c r="O374" s="8" t="n">
        <v>0</v>
      </c>
      <c r="P374" s="8" t="n">
        <v>0</v>
      </c>
      <c r="Q374" s="8" t="n">
        <v>2</v>
      </c>
      <c r="R374" s="8" t="n">
        <v>0</v>
      </c>
      <c r="S374" s="8" t="n">
        <v>0</v>
      </c>
      <c r="T374" s="13"/>
      <c r="U374" s="11" t="n">
        <f aca="false">O374*4 + P374*2 + MAX(0,N374-O374-P374)*1 + Q374*0.2 + R374*2 + S374*1 + IF(T374="",0,IF(T374&lt;=10,8,IF(T374&lt;=50,6,IF(T374&lt;=100,4,2))))</f>
        <v>0.4</v>
      </c>
      <c r="V374" s="7"/>
      <c r="W374" s="12"/>
      <c r="X374" s="13"/>
      <c r="Y374" s="13" t="s">
        <v>1740</v>
      </c>
    </row>
    <row r="375" customFormat="false" ht="15.75" hidden="false" customHeight="true" outlineLevel="0" collapsed="false">
      <c r="A375" s="7" t="s">
        <v>1741</v>
      </c>
      <c r="B375" s="8" t="n">
        <v>1994</v>
      </c>
      <c r="C375" s="8" t="s">
        <v>26</v>
      </c>
      <c r="D375" s="8" t="n">
        <v>99</v>
      </c>
      <c r="E375" s="7" t="s">
        <v>36</v>
      </c>
      <c r="F375" s="8" t="n">
        <v>7.2</v>
      </c>
      <c r="G375" s="8"/>
      <c r="H375" s="9" t="n">
        <v>70150</v>
      </c>
      <c r="I375" s="7" t="s">
        <v>669</v>
      </c>
      <c r="J375" s="7" t="s">
        <v>47</v>
      </c>
      <c r="K375" s="7" t="s">
        <v>54</v>
      </c>
      <c r="L375" s="10"/>
      <c r="M375" s="7" t="s">
        <v>1742</v>
      </c>
      <c r="N375" s="8" t="n">
        <v>0</v>
      </c>
      <c r="O375" s="8" t="n">
        <v>0</v>
      </c>
      <c r="P375" s="8" t="n">
        <v>0</v>
      </c>
      <c r="Q375" s="8" t="n">
        <v>1</v>
      </c>
      <c r="R375" s="8" t="n">
        <v>0</v>
      </c>
      <c r="S375" s="8" t="n">
        <v>0</v>
      </c>
      <c r="T375" s="13"/>
      <c r="U375" s="11" t="n">
        <f aca="false">O375*4 + P375*2 + MAX(0,N375-O375-P375)*1 + Q375*0.2 + R375*2 + S375*1 + IF(T375="",0,IF(T375&lt;=10,8,IF(T375&lt;=50,6,IF(T375&lt;=100,4,2))))</f>
        <v>0.2</v>
      </c>
      <c r="V375" s="7"/>
      <c r="W375" s="12"/>
      <c r="X375" s="13"/>
      <c r="Y375" s="13" t="s">
        <v>1743</v>
      </c>
    </row>
    <row r="376" customFormat="false" ht="15.75" hidden="false" customHeight="true" outlineLevel="0" collapsed="false">
      <c r="A376" s="7" t="s">
        <v>1744</v>
      </c>
      <c r="B376" s="8" t="n">
        <v>1992</v>
      </c>
      <c r="C376" s="8" t="s">
        <v>26</v>
      </c>
      <c r="D376" s="8" t="n">
        <v>96</v>
      </c>
      <c r="E376" s="7" t="s">
        <v>609</v>
      </c>
      <c r="F376" s="8" t="n">
        <v>7.1</v>
      </c>
      <c r="G376" s="8"/>
      <c r="H376" s="9" t="n">
        <v>4085</v>
      </c>
      <c r="I376" s="7" t="s">
        <v>232</v>
      </c>
      <c r="J376" s="7" t="s">
        <v>29</v>
      </c>
      <c r="K376" s="7" t="s">
        <v>125</v>
      </c>
      <c r="L376" s="10" t="s">
        <v>447</v>
      </c>
      <c r="M376" s="7" t="s">
        <v>1745</v>
      </c>
      <c r="N376" s="8" t="n">
        <v>0</v>
      </c>
      <c r="O376" s="8" t="n">
        <v>0</v>
      </c>
      <c r="P376" s="8" t="n">
        <v>0</v>
      </c>
      <c r="Q376" s="8" t="n">
        <v>0</v>
      </c>
      <c r="R376" s="13" t="n">
        <v>0</v>
      </c>
      <c r="S376" s="13" t="n">
        <v>0</v>
      </c>
      <c r="T376" s="13"/>
      <c r="U376" s="11" t="n">
        <f aca="false">O376*4 + P376*2 + MAX(0,N376-O376-P376)*1 + Q376*0.2 + R376*2 + S376*1 + IF(T376="",0,IF(T376&lt;=10,8,IF(T376&lt;=50,6,IF(T376&lt;=100,4,2))))</f>
        <v>0</v>
      </c>
      <c r="V376" s="7"/>
      <c r="W376" s="12"/>
      <c r="X376" s="13"/>
      <c r="Y376" s="13" t="s">
        <v>1746</v>
      </c>
    </row>
    <row r="377" customFormat="false" ht="15.75" hidden="false" customHeight="true" outlineLevel="0" collapsed="false">
      <c r="A377" s="7" t="s">
        <v>1747</v>
      </c>
      <c r="B377" s="8" t="n">
        <v>1994</v>
      </c>
      <c r="C377" s="8" t="s">
        <v>26</v>
      </c>
      <c r="D377" s="8" t="n">
        <v>103</v>
      </c>
      <c r="E377" s="7" t="s">
        <v>88</v>
      </c>
      <c r="F377" s="8" t="n">
        <v>7.2</v>
      </c>
      <c r="G377" s="8"/>
      <c r="H377" s="9" t="n">
        <v>29197</v>
      </c>
      <c r="I377" s="7" t="s">
        <v>280</v>
      </c>
      <c r="J377" s="7" t="s">
        <v>131</v>
      </c>
      <c r="K377" s="7" t="s">
        <v>125</v>
      </c>
      <c r="L377" s="10" t="s">
        <v>166</v>
      </c>
      <c r="M377" s="7" t="s">
        <v>1748</v>
      </c>
      <c r="N377" s="8" t="n">
        <v>0</v>
      </c>
      <c r="O377" s="8" t="n">
        <v>0</v>
      </c>
      <c r="P377" s="8" t="n">
        <v>0</v>
      </c>
      <c r="Q377" s="8" t="n">
        <v>0</v>
      </c>
      <c r="R377" s="13" t="n">
        <v>0</v>
      </c>
      <c r="S377" s="13" t="n">
        <v>0</v>
      </c>
      <c r="T377" s="13"/>
      <c r="U377" s="11" t="n">
        <f aca="false">O377*4 + P377*2 + MAX(0,N377-O377-P377)*1 + Q377*0.2 + R377*2 + S377*1 + IF(T377="",0,IF(T377&lt;=10,8,IF(T377&lt;=50,6,IF(T377&lt;=100,4,2))))</f>
        <v>0</v>
      </c>
      <c r="V377" s="7"/>
      <c r="W377" s="12"/>
      <c r="X377" s="13"/>
      <c r="Y377" s="13" t="s">
        <v>1749</v>
      </c>
    </row>
    <row r="378" customFormat="false" ht="15.75" hidden="false" customHeight="true" outlineLevel="0" collapsed="false">
      <c r="A378" s="7" t="s">
        <v>1750</v>
      </c>
      <c r="B378" s="8" t="n">
        <v>1984</v>
      </c>
      <c r="C378" s="8" t="s">
        <v>109</v>
      </c>
      <c r="D378" s="8" t="n">
        <v>89</v>
      </c>
      <c r="E378" s="7" t="s">
        <v>1307</v>
      </c>
      <c r="F378" s="8" t="n">
        <v>7.4</v>
      </c>
      <c r="G378" s="8"/>
      <c r="H378" s="9" t="n">
        <v>43599</v>
      </c>
      <c r="I378" s="7" t="s">
        <v>46</v>
      </c>
      <c r="J378" s="7" t="s">
        <v>30</v>
      </c>
      <c r="K378" s="7" t="s">
        <v>47</v>
      </c>
      <c r="L378" s="10"/>
      <c r="M378" s="7" t="s">
        <v>1751</v>
      </c>
      <c r="N378" s="8" t="n">
        <v>0</v>
      </c>
      <c r="O378" s="8" t="n">
        <v>0</v>
      </c>
      <c r="P378" s="8" t="n">
        <v>0</v>
      </c>
      <c r="Q378" s="8" t="n">
        <v>0</v>
      </c>
      <c r="R378" s="13" t="n">
        <v>0</v>
      </c>
      <c r="S378" s="13" t="n">
        <v>0</v>
      </c>
      <c r="T378" s="13"/>
      <c r="U378" s="11" t="n">
        <f aca="false">O378*4 + P378*2 + MAX(0,N378-O378-P378)*1 + Q378*0.2 + R378*2 + S378*1 + IF(T378="",0,IF(T378&lt;=10,8,IF(T378&lt;=50,6,IF(T378&lt;=100,4,2))))</f>
        <v>0</v>
      </c>
      <c r="V378" s="7"/>
      <c r="W378" s="12"/>
      <c r="X378" s="13"/>
      <c r="Y378" s="13" t="s">
        <v>1752</v>
      </c>
    </row>
    <row r="379" customFormat="false" ht="15.75" hidden="false" customHeight="true" outlineLevel="0" collapsed="false">
      <c r="A379" s="7" t="s">
        <v>1753</v>
      </c>
      <c r="B379" s="8" t="n">
        <v>1997</v>
      </c>
      <c r="C379" s="8" t="s">
        <v>26</v>
      </c>
      <c r="D379" s="8" t="n">
        <v>155</v>
      </c>
      <c r="E379" s="7" t="s">
        <v>74</v>
      </c>
      <c r="F379" s="8" t="n">
        <v>6.6</v>
      </c>
      <c r="G379" s="8"/>
      <c r="H379" s="9" t="n">
        <v>43998</v>
      </c>
      <c r="I379" s="7" t="s">
        <v>46</v>
      </c>
      <c r="J379" s="7" t="s">
        <v>47</v>
      </c>
      <c r="K379" s="7" t="s">
        <v>54</v>
      </c>
      <c r="L379" s="10" t="s">
        <v>210</v>
      </c>
      <c r="M379" s="7" t="s">
        <v>1754</v>
      </c>
      <c r="N379" s="8" t="n">
        <v>0</v>
      </c>
      <c r="O379" s="8" t="n">
        <v>0</v>
      </c>
      <c r="P379" s="8" t="n">
        <v>0</v>
      </c>
      <c r="Q379" s="8" t="n">
        <v>0</v>
      </c>
      <c r="R379" s="13" t="n">
        <v>0</v>
      </c>
      <c r="S379" s="13" t="n">
        <v>0</v>
      </c>
      <c r="T379" s="13"/>
      <c r="U379" s="11" t="n">
        <f aca="false">O379*4 + P379*2 + MAX(0,N379-O379-P379)*1 + Q379*0.2 + R379*2 + S379*1 + IF(T379="",0,IF(T379&lt;=10,8,IF(T379&lt;=50,6,IF(T379&lt;=100,4,2))))</f>
        <v>0</v>
      </c>
      <c r="V379" s="7"/>
      <c r="W379" s="12"/>
      <c r="X379" s="13"/>
      <c r="Y379" s="13" t="s">
        <v>1755</v>
      </c>
    </row>
    <row r="380" customFormat="false" ht="15.75" hidden="false" customHeight="true" outlineLevel="0" collapsed="false">
      <c r="A380" s="7" t="s">
        <v>1756</v>
      </c>
      <c r="B380" s="8" t="n">
        <v>1976</v>
      </c>
      <c r="C380" s="8" t="s">
        <v>61</v>
      </c>
      <c r="D380" s="8" t="n">
        <v>135</v>
      </c>
      <c r="E380" s="7" t="s">
        <v>74</v>
      </c>
      <c r="F380" s="8" t="n">
        <v>7.8</v>
      </c>
      <c r="G380" s="8"/>
      <c r="H380" s="9" t="n">
        <v>87602</v>
      </c>
      <c r="I380" s="7" t="s">
        <v>46</v>
      </c>
      <c r="J380" s="7" t="s">
        <v>268</v>
      </c>
      <c r="K380" s="7" t="s">
        <v>47</v>
      </c>
      <c r="L380" s="10" t="s">
        <v>834</v>
      </c>
      <c r="M380" s="7" t="s">
        <v>1757</v>
      </c>
      <c r="N380" s="8" t="n">
        <v>0</v>
      </c>
      <c r="O380" s="8" t="n">
        <v>0</v>
      </c>
      <c r="P380" s="8" t="n">
        <v>0</v>
      </c>
      <c r="Q380" s="8" t="n">
        <v>1</v>
      </c>
      <c r="R380" s="8" t="n">
        <v>0</v>
      </c>
      <c r="S380" s="8" t="n">
        <v>0</v>
      </c>
      <c r="T380" s="13"/>
      <c r="U380" s="11" t="n">
        <f aca="false">O380*4 + P380*2 + MAX(0,N380-O380-P380)*1 + Q380*0.2 + R380*2 + S380*1 + IF(T380="",0,IF(T380&lt;=10,8,IF(T380&lt;=50,6,IF(T380&lt;=100,4,2))))</f>
        <v>0.2</v>
      </c>
      <c r="V380" s="7"/>
      <c r="W380" s="12"/>
      <c r="X380" s="13"/>
      <c r="Y380" s="13" t="s">
        <v>1758</v>
      </c>
    </row>
    <row r="381" customFormat="false" ht="15.75" hidden="false" customHeight="true" outlineLevel="0" collapsed="false">
      <c r="A381" s="7" t="s">
        <v>1759</v>
      </c>
      <c r="B381" s="8" t="n">
        <v>1997</v>
      </c>
      <c r="C381" s="8" t="s">
        <v>26</v>
      </c>
      <c r="D381" s="8" t="n">
        <v>113</v>
      </c>
      <c r="E381" s="7" t="s">
        <v>321</v>
      </c>
      <c r="F381" s="8" t="n">
        <v>7</v>
      </c>
      <c r="G381" s="8"/>
      <c r="H381" s="9" t="n">
        <v>23893</v>
      </c>
      <c r="I381" s="7" t="s">
        <v>700</v>
      </c>
      <c r="J381" s="7" t="s">
        <v>29</v>
      </c>
      <c r="K381" s="7" t="s">
        <v>75</v>
      </c>
      <c r="L381" s="10"/>
      <c r="M381" s="7" t="s">
        <v>1760</v>
      </c>
      <c r="N381" s="8" t="n">
        <v>0</v>
      </c>
      <c r="O381" s="8" t="n">
        <v>0</v>
      </c>
      <c r="P381" s="8" t="n">
        <v>0</v>
      </c>
      <c r="Q381" s="8" t="n">
        <v>0</v>
      </c>
      <c r="R381" s="13" t="n">
        <v>0</v>
      </c>
      <c r="S381" s="13" t="n">
        <v>0</v>
      </c>
      <c r="T381" s="13"/>
      <c r="U381" s="11" t="n">
        <f aca="false">O381*4 + P381*2 + MAX(0,N381-O381-P381)*1 + Q381*0.2 + R381*2 + S381*1 + IF(T381="",0,IF(T381&lt;=10,8,IF(T381&lt;=50,6,IF(T381&lt;=100,4,2))))</f>
        <v>0</v>
      </c>
      <c r="V381" s="7"/>
      <c r="W381" s="12"/>
      <c r="X381" s="13"/>
      <c r="Y381" s="13" t="s">
        <v>1761</v>
      </c>
    </row>
    <row r="382" customFormat="false" ht="15.75" hidden="false" customHeight="true" outlineLevel="0" collapsed="false">
      <c r="A382" s="7" t="s">
        <v>1762</v>
      </c>
      <c r="B382" s="8" t="n">
        <v>1990</v>
      </c>
      <c r="C382" s="8" t="s">
        <v>26</v>
      </c>
      <c r="D382" s="8" t="n">
        <v>113</v>
      </c>
      <c r="E382" s="7" t="s">
        <v>1763</v>
      </c>
      <c r="F382" s="8" t="n">
        <v>7.4</v>
      </c>
      <c r="G382" s="8"/>
      <c r="H382" s="9" t="n">
        <v>130437</v>
      </c>
      <c r="I382" s="7" t="s">
        <v>46</v>
      </c>
      <c r="J382" s="7" t="s">
        <v>147</v>
      </c>
      <c r="K382" s="7" t="s">
        <v>125</v>
      </c>
      <c r="L382" s="10" t="s">
        <v>1488</v>
      </c>
      <c r="M382" s="7" t="s">
        <v>1764</v>
      </c>
      <c r="N382" s="8" t="n">
        <v>0</v>
      </c>
      <c r="O382" s="8" t="n">
        <v>0</v>
      </c>
      <c r="P382" s="8" t="n">
        <v>0</v>
      </c>
      <c r="Q382" s="8" t="n">
        <v>0</v>
      </c>
      <c r="R382" s="13" t="n">
        <v>0</v>
      </c>
      <c r="S382" s="13" t="n">
        <v>0</v>
      </c>
      <c r="T382" s="13"/>
      <c r="U382" s="11" t="n">
        <f aca="false">O382*4 + P382*2 + MAX(0,N382-O382-P382)*1 + Q382*0.2 + R382*2 + S382*1 + IF(T382="",0,IF(T382&lt;=10,8,IF(T382&lt;=50,6,IF(T382&lt;=100,4,2))))</f>
        <v>0</v>
      </c>
      <c r="V382" s="7"/>
      <c r="W382" s="12"/>
      <c r="X382" s="13"/>
      <c r="Y382" s="13" t="s">
        <v>1765</v>
      </c>
    </row>
    <row r="383" customFormat="false" ht="15.75" hidden="false" customHeight="true" outlineLevel="0" collapsed="false">
      <c r="A383" s="7" t="s">
        <v>1766</v>
      </c>
      <c r="B383" s="8" t="n">
        <v>1993</v>
      </c>
      <c r="C383" s="8" t="s">
        <v>26</v>
      </c>
      <c r="D383" s="8" t="n">
        <v>188</v>
      </c>
      <c r="E383" s="7" t="s">
        <v>1767</v>
      </c>
      <c r="F383" s="8" t="n">
        <v>7.6</v>
      </c>
      <c r="G383" s="8"/>
      <c r="H383" s="9" t="n">
        <v>50217</v>
      </c>
      <c r="I383" s="7" t="s">
        <v>46</v>
      </c>
      <c r="J383" s="7" t="s">
        <v>47</v>
      </c>
      <c r="K383" s="12" t="s">
        <v>1768</v>
      </c>
      <c r="L383" s="10"/>
      <c r="M383" s="7" t="s">
        <v>1769</v>
      </c>
      <c r="N383" s="8" t="n">
        <v>0</v>
      </c>
      <c r="O383" s="8" t="n">
        <v>0</v>
      </c>
      <c r="P383" s="8" t="n">
        <v>0</v>
      </c>
      <c r="Q383" s="8" t="n">
        <v>0</v>
      </c>
      <c r="R383" s="13" t="n">
        <v>0</v>
      </c>
      <c r="S383" s="13" t="n">
        <v>0</v>
      </c>
      <c r="T383" s="13"/>
      <c r="U383" s="11" t="n">
        <f aca="false">O383*4 + P383*2 + MAX(0,N383-O383-P383)*1 + Q383*0.2 + R383*2 + S383*1 + IF(T383="",0,IF(T383&lt;=10,8,IF(T383&lt;=50,6,IF(T383&lt;=100,4,2))))</f>
        <v>0</v>
      </c>
      <c r="V383" s="7"/>
      <c r="W383" s="12"/>
      <c r="X383" s="13"/>
      <c r="Y383" s="13" t="s">
        <v>1770</v>
      </c>
    </row>
    <row r="384" customFormat="false" ht="15.75" hidden="false" customHeight="true" outlineLevel="0" collapsed="false">
      <c r="A384" s="7" t="s">
        <v>1771</v>
      </c>
      <c r="B384" s="8" t="n">
        <v>1998</v>
      </c>
      <c r="C384" s="8" t="s">
        <v>26</v>
      </c>
      <c r="D384" s="8" t="n">
        <v>110</v>
      </c>
      <c r="E384" s="7" t="s">
        <v>1772</v>
      </c>
      <c r="F384" s="8" t="n">
        <v>7.4</v>
      </c>
      <c r="G384" s="8"/>
      <c r="H384" s="9" t="n">
        <v>67292</v>
      </c>
      <c r="I384" s="7" t="s">
        <v>46</v>
      </c>
      <c r="J384" s="7" t="s">
        <v>29</v>
      </c>
      <c r="K384" s="7" t="s">
        <v>82</v>
      </c>
      <c r="L384" s="10" t="s">
        <v>177</v>
      </c>
      <c r="M384" s="7" t="s">
        <v>1773</v>
      </c>
      <c r="N384" s="8" t="n">
        <v>0</v>
      </c>
      <c r="O384" s="8" t="n">
        <v>0</v>
      </c>
      <c r="P384" s="8" t="n">
        <v>0</v>
      </c>
      <c r="Q384" s="8" t="n">
        <v>0</v>
      </c>
      <c r="R384" s="13" t="n">
        <v>0</v>
      </c>
      <c r="S384" s="13" t="n">
        <v>0</v>
      </c>
      <c r="T384" s="13"/>
      <c r="U384" s="11" t="n">
        <f aca="false">O384*4 + P384*2 + MAX(0,N384-O384-P384)*1 + Q384*0.2 + R384*2 + S384*1 + IF(T384="",0,IF(T384&lt;=10,8,IF(T384&lt;=50,6,IF(T384&lt;=100,4,2))))</f>
        <v>0</v>
      </c>
      <c r="V384" s="7"/>
      <c r="W384" s="12"/>
      <c r="X384" s="13"/>
      <c r="Y384" s="13" t="s">
        <v>1774</v>
      </c>
    </row>
    <row r="385" customFormat="false" ht="15.75" hidden="false" customHeight="true" outlineLevel="0" collapsed="false">
      <c r="A385" s="7" t="s">
        <v>1775</v>
      </c>
      <c r="B385" s="8" t="n">
        <v>1980</v>
      </c>
      <c r="C385" s="8" t="s">
        <v>109</v>
      </c>
      <c r="D385" s="8" t="n">
        <v>131</v>
      </c>
      <c r="E385" s="7" t="s">
        <v>1776</v>
      </c>
      <c r="F385" s="8" t="n">
        <v>7.2</v>
      </c>
      <c r="G385" s="8"/>
      <c r="H385" s="9" t="n">
        <v>21610</v>
      </c>
      <c r="I385" s="7" t="s">
        <v>46</v>
      </c>
      <c r="J385" s="7" t="s">
        <v>47</v>
      </c>
      <c r="K385" s="7" t="s">
        <v>82</v>
      </c>
      <c r="L385" s="10"/>
      <c r="M385" s="7" t="s">
        <v>1777</v>
      </c>
      <c r="N385" s="8" t="n">
        <v>0</v>
      </c>
      <c r="O385" s="8" t="n">
        <v>0</v>
      </c>
      <c r="P385" s="8" t="n">
        <v>0</v>
      </c>
      <c r="Q385" s="8" t="n">
        <v>1</v>
      </c>
      <c r="R385" s="8" t="n">
        <v>0</v>
      </c>
      <c r="S385" s="8" t="n">
        <v>0</v>
      </c>
      <c r="T385" s="13"/>
      <c r="U385" s="11" t="n">
        <f aca="false">O385*4 + P385*2 + MAX(0,N385-O385-P385)*1 + Q385*0.2 + R385*2 + S385*1 + IF(T385="",0,IF(T385&lt;=10,8,IF(T385&lt;=50,6,IF(T385&lt;=100,4,2))))</f>
        <v>0.2</v>
      </c>
      <c r="V385" s="7"/>
      <c r="W385" s="12"/>
      <c r="X385" s="13"/>
      <c r="Y385" s="13" t="s">
        <v>1778</v>
      </c>
    </row>
    <row r="386" customFormat="false" ht="15.75" hidden="false" customHeight="true" outlineLevel="0" collapsed="false">
      <c r="A386" s="7" t="s">
        <v>1779</v>
      </c>
      <c r="B386" s="8" t="n">
        <v>1988</v>
      </c>
      <c r="C386" s="8" t="s">
        <v>109</v>
      </c>
      <c r="D386" s="8" t="n">
        <v>161</v>
      </c>
      <c r="E386" s="7" t="s">
        <v>74</v>
      </c>
      <c r="F386" s="8" t="n">
        <v>7.1</v>
      </c>
      <c r="G386" s="8"/>
      <c r="H386" s="9" t="n">
        <v>14457</v>
      </c>
      <c r="I386" s="7" t="s">
        <v>46</v>
      </c>
      <c r="J386" s="7" t="s">
        <v>90</v>
      </c>
      <c r="K386" s="7" t="s">
        <v>48</v>
      </c>
      <c r="L386" s="10"/>
      <c r="M386" s="7" t="s">
        <v>1780</v>
      </c>
      <c r="N386" s="8" t="n">
        <v>1</v>
      </c>
      <c r="O386" s="8" t="n">
        <v>0</v>
      </c>
      <c r="P386" s="8" t="n">
        <v>0</v>
      </c>
      <c r="Q386" s="8" t="n">
        <v>1</v>
      </c>
      <c r="R386" s="8" t="n">
        <v>0</v>
      </c>
      <c r="S386" s="8" t="n">
        <v>0</v>
      </c>
      <c r="T386" s="13"/>
      <c r="U386" s="11" t="n">
        <f aca="false">O386*4 + P386*2 + MAX(0,N386-O386-P386)*1 + Q386*0.2 + R386*2 + S386*1 + IF(T386="",0,IF(T386&lt;=10,8,IF(T386&lt;=50,6,IF(T386&lt;=100,4,2))))</f>
        <v>1.2</v>
      </c>
      <c r="V386" s="7"/>
      <c r="W386" s="12"/>
      <c r="X386" s="13"/>
      <c r="Y386" s="13" t="s">
        <v>1781</v>
      </c>
    </row>
    <row r="387" customFormat="false" ht="15.75" hidden="false" customHeight="true" outlineLevel="0" collapsed="false">
      <c r="A387" s="7" t="s">
        <v>1782</v>
      </c>
      <c r="B387" s="8" t="n">
        <v>1976</v>
      </c>
      <c r="C387" s="8" t="s">
        <v>61</v>
      </c>
      <c r="D387" s="8" t="n">
        <v>106</v>
      </c>
      <c r="E387" s="7" t="s">
        <v>1783</v>
      </c>
      <c r="F387" s="8" t="n">
        <v>6.5</v>
      </c>
      <c r="G387" s="8"/>
      <c r="H387" s="9" t="n">
        <v>15251</v>
      </c>
      <c r="I387" s="7" t="s">
        <v>280</v>
      </c>
      <c r="J387" s="7" t="s">
        <v>39</v>
      </c>
      <c r="K387" s="7" t="s">
        <v>29</v>
      </c>
      <c r="L387" s="10" t="s">
        <v>210</v>
      </c>
      <c r="M387" s="7" t="s">
        <v>1784</v>
      </c>
      <c r="N387" s="8" t="n">
        <v>0</v>
      </c>
      <c r="O387" s="8" t="n">
        <v>0</v>
      </c>
      <c r="P387" s="8" t="n">
        <v>0</v>
      </c>
      <c r="Q387" s="8" t="n">
        <v>0</v>
      </c>
      <c r="R387" s="13" t="n">
        <v>0</v>
      </c>
      <c r="S387" s="13" t="n">
        <v>0</v>
      </c>
      <c r="T387" s="13"/>
      <c r="U387" s="11" t="n">
        <f aca="false">O387*4 + P387*2 + MAX(0,N387-O387-P387)*1 + Q387*0.2 + R387*2 + S387*1 + IF(T387="",0,IF(T387&lt;=10,8,IF(T387&lt;=50,6,IF(T387&lt;=100,4,2))))</f>
        <v>0</v>
      </c>
      <c r="V387" s="7"/>
      <c r="W387" s="12"/>
      <c r="X387" s="13"/>
      <c r="Y387" s="13" t="s">
        <v>1785</v>
      </c>
    </row>
    <row r="388" customFormat="false" ht="15.75" hidden="false" customHeight="true" outlineLevel="0" collapsed="false">
      <c r="A388" s="7" t="s">
        <v>1786</v>
      </c>
      <c r="B388" s="8" t="n">
        <v>1984</v>
      </c>
      <c r="C388" s="8" t="s">
        <v>109</v>
      </c>
      <c r="D388" s="8" t="n">
        <v>129</v>
      </c>
      <c r="E388" s="7" t="s">
        <v>62</v>
      </c>
      <c r="F388" s="8" t="n">
        <v>6.6</v>
      </c>
      <c r="G388" s="8"/>
      <c r="H388" s="9" t="n">
        <v>21316</v>
      </c>
      <c r="I388" s="7" t="s">
        <v>46</v>
      </c>
      <c r="J388" s="7" t="s">
        <v>90</v>
      </c>
      <c r="K388" s="7" t="s">
        <v>54</v>
      </c>
      <c r="L388" s="10"/>
      <c r="M388" s="7" t="s">
        <v>1787</v>
      </c>
      <c r="N388" s="8" t="n">
        <v>0</v>
      </c>
      <c r="O388" s="8" t="n">
        <v>0</v>
      </c>
      <c r="P388" s="8" t="n">
        <v>0</v>
      </c>
      <c r="Q388" s="8" t="n">
        <v>2</v>
      </c>
      <c r="R388" s="8" t="n">
        <v>0</v>
      </c>
      <c r="S388" s="8" t="n">
        <v>0</v>
      </c>
      <c r="T388" s="13"/>
      <c r="U388" s="11" t="n">
        <f aca="false">O388*4 + P388*2 + MAX(0,N388-O388-P388)*1 + Q388*0.2 + R388*2 + S388*1 + IF(T388="",0,IF(T388&lt;=10,8,IF(T388&lt;=50,6,IF(T388&lt;=100,4,2))))</f>
        <v>0.4</v>
      </c>
      <c r="V388" s="7"/>
      <c r="W388" s="12"/>
      <c r="X388" s="13"/>
      <c r="Y388" s="13" t="s">
        <v>1788</v>
      </c>
    </row>
    <row r="389" customFormat="false" ht="15.75" hidden="false" customHeight="true" outlineLevel="0" collapsed="false">
      <c r="A389" s="7" t="s">
        <v>1789</v>
      </c>
      <c r="B389" s="8" t="n">
        <v>1991</v>
      </c>
      <c r="C389" s="8" t="s">
        <v>26</v>
      </c>
      <c r="D389" s="8" t="n">
        <v>108</v>
      </c>
      <c r="E389" s="7" t="s">
        <v>436</v>
      </c>
      <c r="F389" s="8" t="n">
        <v>7.5</v>
      </c>
      <c r="G389" s="8"/>
      <c r="H389" s="9" t="n">
        <v>24816</v>
      </c>
      <c r="I389" s="7" t="s">
        <v>437</v>
      </c>
      <c r="J389" s="7" t="s">
        <v>131</v>
      </c>
      <c r="K389" s="7" t="s">
        <v>54</v>
      </c>
      <c r="L389" s="10"/>
      <c r="M389" s="7" t="s">
        <v>1790</v>
      </c>
      <c r="N389" s="8" t="n">
        <v>0</v>
      </c>
      <c r="O389" s="8" t="n">
        <v>0</v>
      </c>
      <c r="P389" s="8" t="n">
        <v>0</v>
      </c>
      <c r="Q389" s="8" t="n">
        <v>0</v>
      </c>
      <c r="R389" s="13" t="n">
        <v>0</v>
      </c>
      <c r="S389" s="13" t="n">
        <v>0</v>
      </c>
      <c r="T389" s="13"/>
      <c r="U389" s="11" t="n">
        <f aca="false">O389*4 + P389*2 + MAX(0,N389-O389-P389)*1 + Q389*0.2 + R389*2 + S389*1 + IF(T389="",0,IF(T389&lt;=10,8,IF(T389&lt;=50,6,IF(T389&lt;=100,4,2))))</f>
        <v>0</v>
      </c>
      <c r="V389" s="7"/>
      <c r="W389" s="12"/>
      <c r="X389" s="13"/>
      <c r="Y389" s="13" t="s">
        <v>1791</v>
      </c>
    </row>
    <row r="390" customFormat="false" ht="15.75" hidden="false" customHeight="true" outlineLevel="0" collapsed="false">
      <c r="A390" s="7" t="s">
        <v>1792</v>
      </c>
      <c r="B390" s="8" t="n">
        <v>1977</v>
      </c>
      <c r="C390" s="8" t="s">
        <v>61</v>
      </c>
      <c r="D390" s="8" t="n">
        <v>100</v>
      </c>
      <c r="E390" s="7" t="s">
        <v>1074</v>
      </c>
      <c r="F390" s="8" t="n">
        <v>7.4</v>
      </c>
      <c r="G390" s="8"/>
      <c r="H390" s="9" t="n">
        <v>28788</v>
      </c>
      <c r="I390" s="7" t="s">
        <v>280</v>
      </c>
      <c r="J390" s="7" t="s">
        <v>154</v>
      </c>
      <c r="K390" s="7" t="s">
        <v>47</v>
      </c>
      <c r="L390" s="10"/>
      <c r="M390" s="7" t="s">
        <v>1793</v>
      </c>
      <c r="N390" s="8" t="n">
        <v>0</v>
      </c>
      <c r="O390" s="8" t="n">
        <v>0</v>
      </c>
      <c r="P390" s="8" t="n">
        <v>0</v>
      </c>
      <c r="Q390" s="8" t="n">
        <v>0</v>
      </c>
      <c r="R390" s="13" t="n">
        <v>0</v>
      </c>
      <c r="S390" s="13" t="n">
        <v>0</v>
      </c>
      <c r="T390" s="13"/>
      <c r="U390" s="11" t="n">
        <f aca="false">O390*4 + P390*2 + MAX(0,N390-O390-P390)*1 + Q390*0.2 + R390*2 + S390*1 + IF(T390="",0,IF(T390&lt;=10,8,IF(T390&lt;=50,6,IF(T390&lt;=100,4,2))))</f>
        <v>0</v>
      </c>
      <c r="V390" s="7"/>
      <c r="W390" s="12"/>
      <c r="X390" s="13"/>
      <c r="Y390" s="13" t="s">
        <v>1794</v>
      </c>
    </row>
    <row r="391" customFormat="false" ht="15.75" hidden="false" customHeight="true" outlineLevel="0" collapsed="false">
      <c r="A391" s="7" t="s">
        <v>1795</v>
      </c>
      <c r="B391" s="8" t="n">
        <v>1989</v>
      </c>
      <c r="C391" s="8" t="s">
        <v>109</v>
      </c>
      <c r="D391" s="8" t="n">
        <v>127</v>
      </c>
      <c r="E391" s="7" t="s">
        <v>45</v>
      </c>
      <c r="F391" s="8" t="n">
        <v>8.2</v>
      </c>
      <c r="G391" s="8"/>
      <c r="H391" s="9" t="n">
        <v>869081</v>
      </c>
      <c r="I391" s="7" t="s">
        <v>46</v>
      </c>
      <c r="J391" s="7" t="s">
        <v>39</v>
      </c>
      <c r="K391" s="7"/>
      <c r="L391" s="10" t="s">
        <v>192</v>
      </c>
      <c r="M391" s="7" t="s">
        <v>1796</v>
      </c>
      <c r="N391" s="8" t="n">
        <v>1</v>
      </c>
      <c r="O391" s="8" t="n">
        <v>0</v>
      </c>
      <c r="P391" s="8" t="n">
        <v>0</v>
      </c>
      <c r="Q391" s="8" t="n">
        <v>3</v>
      </c>
      <c r="R391" s="8" t="n">
        <v>0</v>
      </c>
      <c r="S391" s="8" t="n">
        <v>0</v>
      </c>
      <c r="T391" s="8"/>
      <c r="U391" s="11" t="n">
        <f aca="false">O391*4 + P391*2 + MAX(0,N391-O391-P391)*1 + Q391*0.2 + R391*2 + S391*1 + IF(T391="",0,IF(T391&lt;=10,8,IF(T391&lt;=50,6,IF(T391&lt;=100,4,2))))</f>
        <v>1.6</v>
      </c>
      <c r="V391" s="7"/>
      <c r="W391" s="12"/>
      <c r="X391" s="13"/>
      <c r="Y391" s="13" t="s">
        <v>1797</v>
      </c>
    </row>
    <row r="392" customFormat="false" ht="15.75" hidden="false" customHeight="true" outlineLevel="0" collapsed="false">
      <c r="A392" s="7" t="s">
        <v>1798</v>
      </c>
      <c r="B392" s="8" t="n">
        <v>1992</v>
      </c>
      <c r="C392" s="8" t="s">
        <v>26</v>
      </c>
      <c r="D392" s="8" t="n">
        <v>120</v>
      </c>
      <c r="E392" s="7" t="s">
        <v>1799</v>
      </c>
      <c r="F392" s="8" t="n">
        <v>7.7</v>
      </c>
      <c r="G392" s="8"/>
      <c r="H392" s="9" t="n">
        <v>3053</v>
      </c>
      <c r="I392" s="7" t="s">
        <v>292</v>
      </c>
      <c r="J392" s="7" t="s">
        <v>47</v>
      </c>
      <c r="K392" s="7"/>
      <c r="L392" s="10"/>
      <c r="M392" s="7" t="s">
        <v>1800</v>
      </c>
      <c r="N392" s="8" t="n">
        <v>0</v>
      </c>
      <c r="O392" s="8" t="n">
        <v>0</v>
      </c>
      <c r="P392" s="8" t="n">
        <v>0</v>
      </c>
      <c r="Q392" s="8" t="n">
        <v>1</v>
      </c>
      <c r="R392" s="8" t="n">
        <v>0</v>
      </c>
      <c r="S392" s="8" t="n">
        <v>0</v>
      </c>
      <c r="T392" s="13"/>
      <c r="U392" s="11" t="n">
        <f aca="false">O392*4 + P392*2 + MAX(0,N392-O392-P392)*1 + Q392*0.2 + R392*2 + S392*1 + IF(T392="",0,IF(T392&lt;=10,8,IF(T392&lt;=50,6,IF(T392&lt;=100,4,2))))</f>
        <v>0.2</v>
      </c>
      <c r="V392" s="7"/>
      <c r="W392" s="12"/>
      <c r="X392" s="13"/>
      <c r="Y392" s="13" t="s">
        <v>1801</v>
      </c>
    </row>
    <row r="393" customFormat="false" ht="15.75" hidden="false" customHeight="true" outlineLevel="0" collapsed="false">
      <c r="A393" s="7" t="s">
        <v>1802</v>
      </c>
      <c r="B393" s="8" t="n">
        <v>1984</v>
      </c>
      <c r="C393" s="8" t="s">
        <v>109</v>
      </c>
      <c r="D393" s="8" t="n">
        <v>145</v>
      </c>
      <c r="E393" s="7" t="s">
        <v>1501</v>
      </c>
      <c r="F393" s="8" t="n">
        <v>8.1</v>
      </c>
      <c r="G393" s="8"/>
      <c r="H393" s="9" t="n">
        <v>143782</v>
      </c>
      <c r="I393" s="7" t="s">
        <v>46</v>
      </c>
      <c r="J393" s="7" t="s">
        <v>47</v>
      </c>
      <c r="K393" s="7" t="s">
        <v>259</v>
      </c>
      <c r="L393" s="10" t="s">
        <v>1803</v>
      </c>
      <c r="M393" s="7" t="s">
        <v>1804</v>
      </c>
      <c r="N393" s="8" t="n">
        <v>0</v>
      </c>
      <c r="O393" s="8" t="n">
        <v>0</v>
      </c>
      <c r="P393" s="8" t="n">
        <v>0</v>
      </c>
      <c r="Q393" s="8" t="n">
        <v>0</v>
      </c>
      <c r="R393" s="8" t="n">
        <v>1</v>
      </c>
      <c r="S393" s="13" t="n">
        <v>0</v>
      </c>
      <c r="T393" s="8" t="n">
        <v>185</v>
      </c>
      <c r="U393" s="11" t="n">
        <f aca="false">O393*4 + P393*2 + MAX(0,N393-O393-P393)*1 + Q393*0.2 + R393*2 + S393*1 + IF(T393="",0,IF(T393&lt;=10,8,IF(T393&lt;=50,6,IF(T393&lt;=100,4,2))))</f>
        <v>4</v>
      </c>
      <c r="V393" s="10" t="s">
        <v>1805</v>
      </c>
      <c r="W393" s="12"/>
      <c r="X393" s="13"/>
      <c r="Y393" s="13" t="s">
        <v>1806</v>
      </c>
    </row>
    <row r="394" customFormat="false" ht="15.75" hidden="false" customHeight="true" outlineLevel="0" collapsed="false">
      <c r="A394" s="7" t="s">
        <v>1807</v>
      </c>
      <c r="B394" s="8" t="n">
        <v>1995</v>
      </c>
      <c r="C394" s="8" t="s">
        <v>26</v>
      </c>
      <c r="D394" s="8" t="n">
        <v>167</v>
      </c>
      <c r="E394" s="7" t="s">
        <v>1808</v>
      </c>
      <c r="F394" s="8" t="n">
        <v>8</v>
      </c>
      <c r="G394" s="8"/>
      <c r="H394" s="9" t="n">
        <v>64449</v>
      </c>
      <c r="I394" s="7" t="s">
        <v>1809</v>
      </c>
      <c r="J394" s="7" t="s">
        <v>38</v>
      </c>
      <c r="K394" s="7" t="s">
        <v>1810</v>
      </c>
      <c r="L394" s="10"/>
      <c r="M394" s="7" t="s">
        <v>1811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1</v>
      </c>
      <c r="S394" s="13" t="n">
        <v>0</v>
      </c>
      <c r="T394" s="13"/>
      <c r="U394" s="11" t="n">
        <f aca="false">O394*4 + P394*2 + MAX(0,N394-O394-P394)*1 + Q394*0.2 + R394*2 + S394*1 + IF(T394="",0,IF(T394&lt;=10,8,IF(T394&lt;=50,6,IF(T394&lt;=100,4,2))))</f>
        <v>2</v>
      </c>
      <c r="V394" s="7"/>
      <c r="W394" s="12"/>
      <c r="X394" s="13"/>
      <c r="Y394" s="13" t="s">
        <v>1812</v>
      </c>
    </row>
    <row r="395" customFormat="false" ht="15.75" hidden="false" customHeight="true" outlineLevel="0" collapsed="false">
      <c r="A395" s="7" t="s">
        <v>1813</v>
      </c>
      <c r="B395" s="8" t="n">
        <v>1990</v>
      </c>
      <c r="C395" s="8" t="s">
        <v>26</v>
      </c>
      <c r="D395" s="8" t="n">
        <v>115</v>
      </c>
      <c r="E395" s="7" t="s">
        <v>861</v>
      </c>
      <c r="F395" s="8" t="n">
        <v>7.7</v>
      </c>
      <c r="G395" s="8"/>
      <c r="H395" s="9" t="n">
        <v>148943</v>
      </c>
      <c r="I395" s="7" t="s">
        <v>46</v>
      </c>
      <c r="J395" s="7" t="s">
        <v>131</v>
      </c>
      <c r="K395" s="7" t="s">
        <v>54</v>
      </c>
      <c r="L395" s="10"/>
      <c r="M395" s="7" t="s">
        <v>1814</v>
      </c>
      <c r="N395" s="8" t="n">
        <v>0</v>
      </c>
      <c r="O395" s="8" t="n">
        <v>0</v>
      </c>
      <c r="P395" s="8" t="n">
        <v>0</v>
      </c>
      <c r="Q395" s="8" t="n">
        <v>0</v>
      </c>
      <c r="R395" s="13" t="n">
        <v>0</v>
      </c>
      <c r="S395" s="13" t="n">
        <v>0</v>
      </c>
      <c r="T395" s="13"/>
      <c r="U395" s="11" t="n">
        <f aca="false">O395*4 + P395*2 + MAX(0,N395-O395-P395)*1 + Q395*0.2 + R395*2 + S395*1 + IF(T395="",0,IF(T395&lt;=10,8,IF(T395&lt;=50,6,IF(T395&lt;=100,4,2))))</f>
        <v>0</v>
      </c>
      <c r="V395" s="7"/>
      <c r="W395" s="12"/>
      <c r="X395" s="13"/>
      <c r="Y395" s="13" t="s">
        <v>1815</v>
      </c>
    </row>
    <row r="396" customFormat="false" ht="15.75" hidden="false" customHeight="true" outlineLevel="0" collapsed="false">
      <c r="A396" s="7" t="s">
        <v>1816</v>
      </c>
      <c r="B396" s="8" t="n">
        <v>1996</v>
      </c>
      <c r="C396" s="8" t="s">
        <v>26</v>
      </c>
      <c r="D396" s="8" t="n">
        <v>98</v>
      </c>
      <c r="E396" s="7" t="s">
        <v>861</v>
      </c>
      <c r="F396" s="8" t="n">
        <v>8.1</v>
      </c>
      <c r="G396" s="8" t="n">
        <v>6</v>
      </c>
      <c r="H396" s="9" t="n">
        <v>797791</v>
      </c>
      <c r="I396" s="7" t="s">
        <v>46</v>
      </c>
      <c r="J396" s="7" t="s">
        <v>131</v>
      </c>
      <c r="K396" s="7" t="s">
        <v>54</v>
      </c>
      <c r="L396" s="10" t="s">
        <v>187</v>
      </c>
      <c r="M396" s="7" t="s">
        <v>1817</v>
      </c>
      <c r="N396" s="8" t="n">
        <v>2</v>
      </c>
      <c r="O396" s="8" t="n">
        <v>0</v>
      </c>
      <c r="P396" s="8" t="n">
        <v>0</v>
      </c>
      <c r="Q396" s="8" t="n">
        <v>7</v>
      </c>
      <c r="R396" s="8" t="n">
        <v>0</v>
      </c>
      <c r="S396" s="8" t="n">
        <v>0</v>
      </c>
      <c r="T396" s="13"/>
      <c r="U396" s="11" t="n">
        <f aca="false">O396*4 + P396*2 + MAX(0,N396-O396-P396)*1 + Q396*0.2 + R396*2 + S396*1 + IF(T396="",0,IF(T396&lt;=10,8,IF(T396&lt;=50,6,IF(T396&lt;=100,4,2))))</f>
        <v>3.4</v>
      </c>
      <c r="V396" s="7"/>
      <c r="W396" s="12"/>
      <c r="X396" s="13"/>
      <c r="Y396" s="13" t="s">
        <v>1818</v>
      </c>
    </row>
    <row r="397" customFormat="false" ht="15.75" hidden="false" customHeight="true" outlineLevel="0" collapsed="false">
      <c r="A397" s="7" t="s">
        <v>1819</v>
      </c>
      <c r="B397" s="8" t="n">
        <v>1993</v>
      </c>
      <c r="C397" s="8" t="s">
        <v>26</v>
      </c>
      <c r="D397" s="8" t="n">
        <v>121</v>
      </c>
      <c r="E397" s="7" t="s">
        <v>1820</v>
      </c>
      <c r="F397" s="8" t="n">
        <v>7.8</v>
      </c>
      <c r="G397" s="8"/>
      <c r="H397" s="9" t="n">
        <v>188667</v>
      </c>
      <c r="I397" s="7" t="s">
        <v>46</v>
      </c>
      <c r="J397" s="7" t="s">
        <v>47</v>
      </c>
      <c r="K397" s="7" t="s">
        <v>54</v>
      </c>
      <c r="L397" s="10" t="s">
        <v>210</v>
      </c>
      <c r="M397" s="7" t="s">
        <v>1821</v>
      </c>
      <c r="N397" s="8" t="n">
        <v>0</v>
      </c>
      <c r="O397" s="8" t="n">
        <v>0</v>
      </c>
      <c r="P397" s="8" t="n">
        <v>0</v>
      </c>
      <c r="Q397" s="8" t="n">
        <v>0</v>
      </c>
      <c r="R397" s="13" t="n">
        <v>0</v>
      </c>
      <c r="S397" s="13" t="n">
        <v>0</v>
      </c>
      <c r="T397" s="13"/>
      <c r="U397" s="11" t="n">
        <f aca="false">O397*4 + P397*2 + MAX(0,N397-O397-P397)*1 + Q397*0.2 + R397*2 + S397*1 + IF(T397="",0,IF(T397&lt;=10,8,IF(T397&lt;=50,6,IF(T397&lt;=100,4,2))))</f>
        <v>0</v>
      </c>
      <c r="V397" s="7"/>
      <c r="W397" s="12"/>
      <c r="X397" s="13"/>
      <c r="Y397" s="13" t="s">
        <v>1822</v>
      </c>
    </row>
    <row r="398" customFormat="false" ht="15.75" hidden="false" customHeight="true" outlineLevel="0" collapsed="false">
      <c r="A398" s="7" t="s">
        <v>1823</v>
      </c>
      <c r="B398" s="8" t="n">
        <v>1987</v>
      </c>
      <c r="C398" s="8" t="s">
        <v>109</v>
      </c>
      <c r="D398" s="8" t="n">
        <v>104</v>
      </c>
      <c r="E398" s="7" t="s">
        <v>1824</v>
      </c>
      <c r="F398" s="8" t="n">
        <v>8</v>
      </c>
      <c r="G398" s="8"/>
      <c r="H398" s="9" t="n">
        <v>38808</v>
      </c>
      <c r="I398" s="7" t="s">
        <v>219</v>
      </c>
      <c r="J398" s="7" t="s">
        <v>154</v>
      </c>
      <c r="K398" s="7" t="s">
        <v>47</v>
      </c>
      <c r="L398" s="10" t="s">
        <v>1439</v>
      </c>
      <c r="M398" s="7" t="s">
        <v>1825</v>
      </c>
      <c r="N398" s="8" t="n">
        <v>0</v>
      </c>
      <c r="O398" s="8" t="n">
        <v>0</v>
      </c>
      <c r="P398" s="8" t="n">
        <v>0</v>
      </c>
      <c r="Q398" s="8" t="n">
        <v>2</v>
      </c>
      <c r="R398" s="8" t="n">
        <v>1</v>
      </c>
      <c r="S398" s="8" t="n">
        <v>0</v>
      </c>
      <c r="T398" s="13"/>
      <c r="U398" s="11" t="n">
        <f aca="false">O398*4 + P398*2 + MAX(0,N398-O398-P398)*1 + Q398*0.2 + R398*2 + S398*1 + IF(T398="",0,IF(T398&lt;=10,8,IF(T398&lt;=50,6,IF(T398&lt;=100,4,2))))</f>
        <v>2.4</v>
      </c>
      <c r="V398" s="7"/>
      <c r="W398" s="12"/>
      <c r="X398" s="13"/>
      <c r="Y398" s="13" t="s">
        <v>1826</v>
      </c>
    </row>
    <row r="399" customFormat="false" ht="15.75" hidden="false" customHeight="true" outlineLevel="0" collapsed="false">
      <c r="A399" s="7" t="s">
        <v>1827</v>
      </c>
      <c r="B399" s="8" t="n">
        <v>1998</v>
      </c>
      <c r="C399" s="8" t="s">
        <v>26</v>
      </c>
      <c r="D399" s="8" t="n">
        <v>101</v>
      </c>
      <c r="E399" s="7" t="s">
        <v>1160</v>
      </c>
      <c r="F399" s="8" t="n">
        <v>8</v>
      </c>
      <c r="G399" s="8"/>
      <c r="H399" s="9" t="n">
        <v>100535</v>
      </c>
      <c r="I399" s="7" t="s">
        <v>437</v>
      </c>
      <c r="J399" s="7" t="s">
        <v>47</v>
      </c>
      <c r="K399" s="7"/>
      <c r="L399" s="10" t="s">
        <v>804</v>
      </c>
      <c r="M399" s="7" t="s">
        <v>1828</v>
      </c>
      <c r="N399" s="8" t="n">
        <v>0</v>
      </c>
      <c r="O399" s="8" t="n">
        <v>0</v>
      </c>
      <c r="P399" s="8" t="n">
        <v>0</v>
      </c>
      <c r="Q399" s="8" t="n">
        <v>0</v>
      </c>
      <c r="R399" s="13" t="n">
        <v>0</v>
      </c>
      <c r="S399" s="13" t="n">
        <v>0</v>
      </c>
      <c r="T399" s="13"/>
      <c r="U399" s="11" t="n">
        <f aca="false">O399*4 + P399*2 + MAX(0,N399-O399-P399)*1 + Q399*0.2 + R399*2 + S399*1 + IF(T399="",0,IF(T399&lt;=10,8,IF(T399&lt;=50,6,IF(T399&lt;=100,4,2))))</f>
        <v>0</v>
      </c>
      <c r="V399" s="7"/>
      <c r="W399" s="12"/>
      <c r="X399" s="13"/>
      <c r="Y399" s="13" t="s">
        <v>1829</v>
      </c>
    </row>
    <row r="400" customFormat="false" ht="15.75" hidden="false" customHeight="true" outlineLevel="0" collapsed="false">
      <c r="A400" s="7" t="s">
        <v>1830</v>
      </c>
      <c r="B400" s="8" t="n">
        <v>1999</v>
      </c>
      <c r="C400" s="8" t="s">
        <v>26</v>
      </c>
      <c r="D400" s="8" t="n">
        <v>112</v>
      </c>
      <c r="E400" s="7" t="s">
        <v>521</v>
      </c>
      <c r="F400" s="8" t="n">
        <v>8</v>
      </c>
      <c r="G400" s="8"/>
      <c r="H400" s="9" t="n">
        <v>109255</v>
      </c>
      <c r="I400" s="7" t="s">
        <v>46</v>
      </c>
      <c r="J400" s="7" t="s">
        <v>47</v>
      </c>
      <c r="K400" s="7" t="s">
        <v>48</v>
      </c>
      <c r="L400" s="10" t="s">
        <v>166</v>
      </c>
      <c r="M400" s="7" t="s">
        <v>1831</v>
      </c>
      <c r="N400" s="8" t="n">
        <v>0</v>
      </c>
      <c r="O400" s="8" t="n">
        <v>0</v>
      </c>
      <c r="P400" s="8" t="n">
        <v>0</v>
      </c>
      <c r="Q400" s="8" t="n">
        <v>1</v>
      </c>
      <c r="R400" s="8" t="n">
        <v>0</v>
      </c>
      <c r="S400" s="8" t="n">
        <v>0</v>
      </c>
      <c r="T400" s="13"/>
      <c r="U400" s="11" t="n">
        <f aca="false">O400*4 + P400*2 + MAX(0,N400-O400-P400)*1 + Q400*0.2 + R400*2 + S400*1 + IF(T400="",0,IF(T400&lt;=10,8,IF(T400&lt;=50,6,IF(T400&lt;=100,4,2))))</f>
        <v>0.2</v>
      </c>
      <c r="V400" s="7"/>
      <c r="W400" s="12"/>
      <c r="X400" s="13"/>
      <c r="Y400" s="13" t="s">
        <v>1832</v>
      </c>
    </row>
    <row r="401" customFormat="false" ht="15.75" hidden="false" customHeight="true" outlineLevel="0" collapsed="false">
      <c r="A401" s="7" t="s">
        <v>1833</v>
      </c>
      <c r="B401" s="8" t="n">
        <v>1993</v>
      </c>
      <c r="C401" s="8" t="s">
        <v>26</v>
      </c>
      <c r="D401" s="8" t="n">
        <v>104</v>
      </c>
      <c r="E401" s="7" t="s">
        <v>388</v>
      </c>
      <c r="F401" s="8" t="n">
        <v>7.3</v>
      </c>
      <c r="G401" s="8"/>
      <c r="H401" s="9" t="n">
        <v>50076</v>
      </c>
      <c r="I401" s="7" t="s">
        <v>46</v>
      </c>
      <c r="J401" s="7" t="s">
        <v>30</v>
      </c>
      <c r="K401" s="7" t="s">
        <v>125</v>
      </c>
      <c r="L401" s="10" t="s">
        <v>205</v>
      </c>
      <c r="M401" s="7" t="s">
        <v>1834</v>
      </c>
      <c r="N401" s="8" t="n">
        <v>0</v>
      </c>
      <c r="O401" s="8" t="n">
        <v>0</v>
      </c>
      <c r="P401" s="8" t="n">
        <v>0</v>
      </c>
      <c r="Q401" s="8" t="n">
        <v>0</v>
      </c>
      <c r="R401" s="13" t="n">
        <v>0</v>
      </c>
      <c r="S401" s="13" t="n">
        <v>0</v>
      </c>
      <c r="T401" s="13"/>
      <c r="U401" s="11" t="n">
        <f aca="false">O401*4 + P401*2 + MAX(0,N401-O401-P401)*1 + Q401*0.2 + R401*2 + S401*1 + IF(T401="",0,IF(T401&lt;=10,8,IF(T401&lt;=50,6,IF(T401&lt;=100,4,2))))</f>
        <v>0</v>
      </c>
      <c r="V401" s="7"/>
      <c r="W401" s="12"/>
      <c r="X401" s="13"/>
      <c r="Y401" s="13" t="s">
        <v>1835</v>
      </c>
    </row>
    <row r="402" customFormat="false" ht="15.75" hidden="false" customHeight="true" outlineLevel="0" collapsed="false">
      <c r="A402" s="7" t="s">
        <v>1836</v>
      </c>
      <c r="B402" s="8" t="n">
        <v>1982</v>
      </c>
      <c r="C402" s="8" t="s">
        <v>109</v>
      </c>
      <c r="D402" s="8" t="n">
        <v>122</v>
      </c>
      <c r="E402" s="7" t="s">
        <v>1837</v>
      </c>
      <c r="F402" s="8" t="n">
        <v>7.7</v>
      </c>
      <c r="G402" s="8"/>
      <c r="H402" s="9" t="n">
        <v>24567</v>
      </c>
      <c r="I402" s="7" t="s">
        <v>46</v>
      </c>
      <c r="J402" s="7" t="s">
        <v>47</v>
      </c>
      <c r="K402" s="7" t="s">
        <v>48</v>
      </c>
      <c r="L402" s="10"/>
      <c r="M402" s="7" t="s">
        <v>1838</v>
      </c>
      <c r="N402" s="8" t="n">
        <v>1</v>
      </c>
      <c r="O402" s="8" t="n">
        <v>0</v>
      </c>
      <c r="P402" s="8" t="n">
        <v>0</v>
      </c>
      <c r="Q402" s="8" t="n">
        <v>4</v>
      </c>
      <c r="R402" s="8" t="n">
        <v>1</v>
      </c>
      <c r="S402" s="8" t="n">
        <v>0</v>
      </c>
      <c r="T402" s="13"/>
      <c r="U402" s="11" t="n">
        <f aca="false">O402*4 + P402*2 + MAX(0,N402-O402-P402)*1 + Q402*0.2 + R402*2 + S402*1 + IF(T402="",0,IF(T402&lt;=10,8,IF(T402&lt;=50,6,IF(T402&lt;=100,4,2))))</f>
        <v>3.8</v>
      </c>
      <c r="V402" s="7"/>
      <c r="W402" s="12"/>
      <c r="X402" s="13"/>
      <c r="Y402" s="13" t="s">
        <v>1839</v>
      </c>
    </row>
    <row r="403" customFormat="false" ht="15.75" hidden="false" customHeight="true" outlineLevel="0" collapsed="false">
      <c r="A403" s="7" t="s">
        <v>1840</v>
      </c>
      <c r="B403" s="8" t="n">
        <v>1986</v>
      </c>
      <c r="C403" s="8" t="s">
        <v>109</v>
      </c>
      <c r="D403" s="8" t="n">
        <v>107</v>
      </c>
      <c r="E403" s="7" t="s">
        <v>388</v>
      </c>
      <c r="F403" s="8" t="n">
        <v>7.8</v>
      </c>
      <c r="G403" s="8"/>
      <c r="H403" s="9" t="n">
        <v>82030</v>
      </c>
      <c r="I403" s="7" t="s">
        <v>46</v>
      </c>
      <c r="J403" s="7" t="s">
        <v>30</v>
      </c>
      <c r="K403" s="7" t="s">
        <v>47</v>
      </c>
      <c r="L403" s="10" t="s">
        <v>187</v>
      </c>
      <c r="M403" s="7" t="s">
        <v>1841</v>
      </c>
      <c r="N403" s="8" t="n">
        <v>3</v>
      </c>
      <c r="O403" s="8" t="n">
        <v>0</v>
      </c>
      <c r="P403" s="8" t="n">
        <v>0</v>
      </c>
      <c r="Q403" s="8" t="n">
        <v>7</v>
      </c>
      <c r="R403" s="8" t="n">
        <v>0</v>
      </c>
      <c r="S403" s="8" t="n">
        <v>1</v>
      </c>
      <c r="T403" s="13"/>
      <c r="U403" s="11" t="n">
        <f aca="false">O403*4 + P403*2 + MAX(0,N403-O403-P403)*1 + Q403*0.2 + R403*2 + S403*1 + IF(T403="",0,IF(T403&lt;=10,8,IF(T403&lt;=50,6,IF(T403&lt;=100,4,2))))</f>
        <v>5.4</v>
      </c>
      <c r="V403" s="7"/>
      <c r="W403" s="12"/>
      <c r="X403" s="13"/>
      <c r="Y403" s="13" t="s">
        <v>1842</v>
      </c>
    </row>
    <row r="404" customFormat="false" ht="15.75" hidden="false" customHeight="true" outlineLevel="0" collapsed="false">
      <c r="A404" s="7" t="s">
        <v>1843</v>
      </c>
      <c r="B404" s="8" t="n">
        <v>1994</v>
      </c>
      <c r="C404" s="8" t="s">
        <v>26</v>
      </c>
      <c r="D404" s="8" t="n">
        <v>99</v>
      </c>
      <c r="E404" s="7" t="s">
        <v>774</v>
      </c>
      <c r="F404" s="8" t="n">
        <v>8</v>
      </c>
      <c r="G404" s="8"/>
      <c r="H404" s="9" t="n">
        <v>116574</v>
      </c>
      <c r="I404" s="7" t="s">
        <v>219</v>
      </c>
      <c r="J404" s="7" t="s">
        <v>29</v>
      </c>
      <c r="K404" s="7" t="s">
        <v>125</v>
      </c>
      <c r="L404" s="10" t="s">
        <v>205</v>
      </c>
      <c r="M404" s="7" t="s">
        <v>1844</v>
      </c>
      <c r="N404" s="8" t="n">
        <v>0</v>
      </c>
      <c r="O404" s="8" t="n">
        <v>0</v>
      </c>
      <c r="P404" s="8" t="n">
        <v>0</v>
      </c>
      <c r="Q404" s="8" t="n">
        <v>3</v>
      </c>
      <c r="R404" s="8" t="n">
        <v>0</v>
      </c>
      <c r="S404" s="8" t="n">
        <v>0</v>
      </c>
      <c r="T404" s="13"/>
      <c r="U404" s="11" t="n">
        <f aca="false">O404*4 + P404*2 + MAX(0,N404-O404-P404)*1 + Q404*0.2 + R404*2 + S404*1 + IF(T404="",0,IF(T404&lt;=10,8,IF(T404&lt;=50,6,IF(T404&lt;=100,4,2))))</f>
        <v>0.6</v>
      </c>
      <c r="V404" s="7"/>
      <c r="W404" s="12"/>
      <c r="X404" s="13"/>
      <c r="Y404" s="13" t="s">
        <v>1845</v>
      </c>
    </row>
    <row r="405" customFormat="false" ht="15.75" hidden="false" customHeight="true" outlineLevel="0" collapsed="false">
      <c r="A405" s="7" t="s">
        <v>1846</v>
      </c>
      <c r="B405" s="8" t="n">
        <v>1981</v>
      </c>
      <c r="C405" s="8" t="s">
        <v>109</v>
      </c>
      <c r="D405" s="8" t="n">
        <v>149</v>
      </c>
      <c r="E405" s="7" t="s">
        <v>257</v>
      </c>
      <c r="F405" s="8" t="n">
        <v>8.3</v>
      </c>
      <c r="G405" s="8"/>
      <c r="H405" s="9" t="n">
        <v>289801</v>
      </c>
      <c r="I405" s="7" t="s">
        <v>258</v>
      </c>
      <c r="J405" s="7" t="s">
        <v>154</v>
      </c>
      <c r="K405" s="7" t="s">
        <v>47</v>
      </c>
      <c r="L405" s="10"/>
      <c r="M405" s="7" t="s">
        <v>1847</v>
      </c>
      <c r="N405" s="8" t="n">
        <v>0</v>
      </c>
      <c r="O405" s="8" t="n">
        <v>0</v>
      </c>
      <c r="P405" s="8" t="n">
        <v>0</v>
      </c>
      <c r="Q405" s="8" t="n">
        <v>6</v>
      </c>
      <c r="R405" s="8" t="n">
        <v>0</v>
      </c>
      <c r="S405" s="8" t="n">
        <v>0</v>
      </c>
      <c r="T405" s="13"/>
      <c r="U405" s="11" t="n">
        <f aca="false">O405*4 + P405*2 + MAX(0,N405-O405-P405)*1 + Q405*0.2 + R405*2 + S405*1 + IF(T405="",0,IF(T405&lt;=10,8,IF(T405&lt;=50,6,IF(T405&lt;=100,4,2))))</f>
        <v>1.2</v>
      </c>
      <c r="V405" s="7"/>
      <c r="W405" s="12"/>
      <c r="X405" s="13"/>
      <c r="Y405" s="13" t="s">
        <v>1848</v>
      </c>
    </row>
    <row r="406" customFormat="false" ht="15.75" hidden="false" customHeight="true" outlineLevel="0" collapsed="false">
      <c r="A406" s="7" t="s">
        <v>1849</v>
      </c>
      <c r="B406" s="8" t="n">
        <v>1978</v>
      </c>
      <c r="C406" s="8" t="s">
        <v>61</v>
      </c>
      <c r="D406" s="8" t="n">
        <v>121</v>
      </c>
      <c r="E406" s="7" t="s">
        <v>1850</v>
      </c>
      <c r="F406" s="8" t="n">
        <v>7.5</v>
      </c>
      <c r="G406" s="8"/>
      <c r="H406" s="9" t="n">
        <v>95414</v>
      </c>
      <c r="I406" s="7" t="s">
        <v>280</v>
      </c>
      <c r="J406" s="7" t="s">
        <v>47</v>
      </c>
      <c r="K406" s="7" t="s">
        <v>54</v>
      </c>
      <c r="L406" s="10" t="s">
        <v>238</v>
      </c>
      <c r="M406" s="7" t="s">
        <v>1851</v>
      </c>
      <c r="N406" s="8" t="n">
        <v>2</v>
      </c>
      <c r="O406" s="8" t="n">
        <v>0</v>
      </c>
      <c r="P406" s="8" t="n">
        <v>0</v>
      </c>
      <c r="Q406" s="8" t="n">
        <v>6</v>
      </c>
      <c r="R406" s="8" t="n">
        <v>0</v>
      </c>
      <c r="S406" s="8" t="n">
        <v>1</v>
      </c>
      <c r="T406" s="13"/>
      <c r="U406" s="11" t="n">
        <f aca="false">O406*4 + P406*2 + MAX(0,N406-O406-P406)*1 + Q406*0.2 + R406*2 + S406*1 + IF(T406="",0,IF(T406&lt;=10,8,IF(T406&lt;=50,6,IF(T406&lt;=100,4,2))))</f>
        <v>4.2</v>
      </c>
      <c r="V406" s="7"/>
      <c r="W406" s="12"/>
      <c r="X406" s="13"/>
      <c r="Y406" s="13" t="s">
        <v>1852</v>
      </c>
    </row>
    <row r="407" customFormat="false" ht="15.75" hidden="false" customHeight="true" outlineLevel="0" collapsed="false">
      <c r="A407" s="7" t="s">
        <v>1853</v>
      </c>
      <c r="B407" s="8" t="n">
        <v>1983</v>
      </c>
      <c r="C407" s="8" t="s">
        <v>109</v>
      </c>
      <c r="D407" s="8" t="n">
        <v>95</v>
      </c>
      <c r="E407" s="7" t="s">
        <v>1854</v>
      </c>
      <c r="F407" s="8" t="n">
        <v>7.8</v>
      </c>
      <c r="G407" s="8"/>
      <c r="H407" s="9" t="n">
        <v>7459</v>
      </c>
      <c r="I407" s="7" t="s">
        <v>232</v>
      </c>
      <c r="J407" s="7" t="s">
        <v>29</v>
      </c>
      <c r="K407" s="7" t="s">
        <v>125</v>
      </c>
      <c r="L407" s="10" t="s">
        <v>1222</v>
      </c>
      <c r="M407" s="7" t="s">
        <v>1855</v>
      </c>
      <c r="N407" s="8" t="n">
        <v>0</v>
      </c>
      <c r="O407" s="8" t="n">
        <v>0</v>
      </c>
      <c r="P407" s="8" t="n">
        <v>0</v>
      </c>
      <c r="Q407" s="8" t="n">
        <v>0</v>
      </c>
      <c r="R407" s="13" t="n">
        <v>0</v>
      </c>
      <c r="S407" s="13" t="n">
        <v>0</v>
      </c>
      <c r="T407" s="13"/>
      <c r="U407" s="11" t="n">
        <f aca="false">O407*4 + P407*2 + MAX(0,N407-O407-P407)*1 + Q407*0.2 + R407*2 + S407*1 + IF(T407="",0,IF(T407&lt;=10,8,IF(T407&lt;=50,6,IF(T407&lt;=100,4,2))))</f>
        <v>0</v>
      </c>
      <c r="V407" s="7"/>
      <c r="W407" s="12"/>
      <c r="X407" s="13"/>
      <c r="Y407" s="13" t="s">
        <v>1856</v>
      </c>
    </row>
    <row r="408" customFormat="false" ht="15.75" hidden="false" customHeight="true" outlineLevel="0" collapsed="false">
      <c r="A408" s="7" t="s">
        <v>1857</v>
      </c>
      <c r="B408" s="8" t="n">
        <v>1993</v>
      </c>
      <c r="C408" s="8" t="s">
        <v>26</v>
      </c>
      <c r="D408" s="8" t="n">
        <v>76</v>
      </c>
      <c r="E408" s="7" t="s">
        <v>1858</v>
      </c>
      <c r="F408" s="8" t="n">
        <v>7.9</v>
      </c>
      <c r="G408" s="8"/>
      <c r="H408" s="9" t="n">
        <v>414249</v>
      </c>
      <c r="I408" s="7" t="s">
        <v>46</v>
      </c>
      <c r="J408" s="7" t="s">
        <v>579</v>
      </c>
      <c r="K408" s="7" t="s">
        <v>259</v>
      </c>
      <c r="L408" s="10" t="s">
        <v>177</v>
      </c>
      <c r="M408" s="7" t="s">
        <v>1859</v>
      </c>
      <c r="N408" s="8" t="n">
        <v>0</v>
      </c>
      <c r="O408" s="8" t="n">
        <v>0</v>
      </c>
      <c r="P408" s="8" t="n">
        <v>0</v>
      </c>
      <c r="Q408" s="8" t="n">
        <v>1</v>
      </c>
      <c r="R408" s="8" t="n">
        <v>0</v>
      </c>
      <c r="S408" s="8" t="n">
        <v>0</v>
      </c>
      <c r="T408" s="13"/>
      <c r="U408" s="11" t="n">
        <f aca="false">O408*4 + P408*2 + MAX(0,N408-O408-P408)*1 + Q408*0.2 + R408*2 + S408*1 + IF(T408="",0,IF(T408&lt;=10,8,IF(T408&lt;=50,6,IF(T408&lt;=100,4,2))))</f>
        <v>0.2</v>
      </c>
      <c r="V408" s="7"/>
      <c r="W408" s="12"/>
      <c r="X408" s="13"/>
      <c r="Y408" s="13" t="s">
        <v>1860</v>
      </c>
    </row>
    <row r="409" customFormat="false" ht="15.75" hidden="false" customHeight="true" outlineLevel="0" collapsed="false">
      <c r="A409" s="7" t="s">
        <v>1861</v>
      </c>
      <c r="B409" s="8" t="n">
        <v>1996</v>
      </c>
      <c r="C409" s="8" t="s">
        <v>26</v>
      </c>
      <c r="D409" s="8" t="n">
        <v>136</v>
      </c>
      <c r="E409" s="7" t="s">
        <v>1862</v>
      </c>
      <c r="F409" s="8" t="n">
        <v>8</v>
      </c>
      <c r="G409" s="8"/>
      <c r="H409" s="9" t="n">
        <v>50684</v>
      </c>
      <c r="I409" s="7" t="s">
        <v>280</v>
      </c>
      <c r="J409" s="7" t="s">
        <v>30</v>
      </c>
      <c r="K409" s="7" t="s">
        <v>47</v>
      </c>
      <c r="L409" s="10" t="s">
        <v>1863</v>
      </c>
      <c r="M409" s="7" t="s">
        <v>1864</v>
      </c>
      <c r="N409" s="8" t="n">
        <v>0</v>
      </c>
      <c r="O409" s="8" t="n">
        <v>0</v>
      </c>
      <c r="P409" s="8" t="n">
        <v>0</v>
      </c>
      <c r="Q409" s="8" t="n">
        <v>5</v>
      </c>
      <c r="R409" s="8" t="n">
        <v>1</v>
      </c>
      <c r="S409" s="8" t="n">
        <v>0</v>
      </c>
      <c r="T409" s="13"/>
      <c r="U409" s="11" t="n">
        <f aca="false">O409*4 + P409*2 + MAX(0,N409-O409-P409)*1 + Q409*0.2 + R409*2 + S409*1 + IF(T409="",0,IF(T409&lt;=10,8,IF(T409&lt;=50,6,IF(T409&lt;=100,4,2))))</f>
        <v>3</v>
      </c>
      <c r="V409" s="7"/>
      <c r="W409" s="12"/>
      <c r="X409" s="13"/>
      <c r="Y409" s="13" t="s">
        <v>1865</v>
      </c>
    </row>
    <row r="410" customFormat="false" ht="15.75" hidden="false" customHeight="true" outlineLevel="0" collapsed="false">
      <c r="A410" s="7" t="s">
        <v>1866</v>
      </c>
      <c r="B410" s="8" t="n">
        <v>1986</v>
      </c>
      <c r="C410" s="8" t="s">
        <v>109</v>
      </c>
      <c r="D410" s="8" t="n">
        <v>120</v>
      </c>
      <c r="E410" s="7" t="s">
        <v>1132</v>
      </c>
      <c r="F410" s="8" t="n">
        <v>8</v>
      </c>
      <c r="G410" s="8"/>
      <c r="H410" s="9" t="n">
        <v>475588</v>
      </c>
      <c r="I410" s="7" t="s">
        <v>46</v>
      </c>
      <c r="J410" s="7" t="s">
        <v>154</v>
      </c>
      <c r="K410" s="7" t="s">
        <v>328</v>
      </c>
      <c r="L410" s="10" t="s">
        <v>187</v>
      </c>
      <c r="M410" s="7" t="s">
        <v>1867</v>
      </c>
      <c r="N410" s="8" t="n">
        <v>4</v>
      </c>
      <c r="O410" s="8" t="n">
        <v>1</v>
      </c>
      <c r="P410" s="8" t="n">
        <v>1</v>
      </c>
      <c r="Q410" s="8" t="n">
        <v>8</v>
      </c>
      <c r="R410" s="8" t="n">
        <v>0</v>
      </c>
      <c r="S410" s="8" t="n">
        <v>1</v>
      </c>
      <c r="T410" s="13"/>
      <c r="U410" s="11" t="n">
        <f aca="false">O410*4 + P410*2 + MAX(0,N410-O410-P410)*1 + Q410*0.2 + R410*2 + S410*1 + IF(T410="",0,IF(T410&lt;=10,8,IF(T410&lt;=50,6,IF(T410&lt;=100,4,2))))</f>
        <v>10.6</v>
      </c>
      <c r="V410" s="7"/>
      <c r="W410" s="12"/>
      <c r="X410" s="13"/>
      <c r="Y410" s="13" t="s">
        <v>1868</v>
      </c>
    </row>
    <row r="411" customFormat="false" ht="15.75" hidden="false" customHeight="true" outlineLevel="0" collapsed="false">
      <c r="A411" s="7" t="s">
        <v>1869</v>
      </c>
      <c r="B411" s="8" t="n">
        <v>1984</v>
      </c>
      <c r="C411" s="8" t="s">
        <v>109</v>
      </c>
      <c r="D411" s="8" t="n">
        <v>160</v>
      </c>
      <c r="E411" s="7" t="s">
        <v>1870</v>
      </c>
      <c r="F411" s="8" t="n">
        <v>8.4</v>
      </c>
      <c r="G411" s="8"/>
      <c r="H411" s="9" t="n">
        <v>471816</v>
      </c>
      <c r="I411" s="7" t="s">
        <v>46</v>
      </c>
      <c r="J411" s="7" t="s">
        <v>90</v>
      </c>
      <c r="K411" s="7" t="s">
        <v>48</v>
      </c>
      <c r="L411" s="10" t="s">
        <v>166</v>
      </c>
      <c r="M411" s="7" t="s">
        <v>1871</v>
      </c>
      <c r="N411" s="8" t="n">
        <v>8</v>
      </c>
      <c r="O411" s="8" t="n">
        <v>1</v>
      </c>
      <c r="P411" s="8" t="n">
        <v>1</v>
      </c>
      <c r="Q411" s="8" t="n">
        <v>11</v>
      </c>
      <c r="R411" s="8" t="n">
        <v>0</v>
      </c>
      <c r="S411" s="8" t="n">
        <v>1</v>
      </c>
      <c r="T411" s="13"/>
      <c r="U411" s="11" t="n">
        <f aca="false">O411*4 + P411*2 + MAX(0,N411-O411-P411)*1 + Q411*0.2 + R411*2 + S411*1 + IF(T411="",0,IF(T411&lt;=10,8,IF(T411&lt;=50,6,IF(T411&lt;=100,4,2))))</f>
        <v>15.2</v>
      </c>
      <c r="V411" s="7"/>
      <c r="W411" s="12"/>
      <c r="X411" s="13"/>
      <c r="Y411" s="13" t="s">
        <v>1872</v>
      </c>
    </row>
    <row r="412" customFormat="false" ht="15.75" hidden="false" customHeight="true" outlineLevel="0" collapsed="false">
      <c r="A412" s="7" t="s">
        <v>1873</v>
      </c>
      <c r="B412" s="8" t="n">
        <v>1986</v>
      </c>
      <c r="C412" s="8" t="s">
        <v>109</v>
      </c>
      <c r="D412" s="8" t="n">
        <v>134</v>
      </c>
      <c r="E412" s="7" t="s">
        <v>1874</v>
      </c>
      <c r="F412" s="8" t="n">
        <v>7.5</v>
      </c>
      <c r="G412" s="8"/>
      <c r="H412" s="9" t="n">
        <v>2027</v>
      </c>
      <c r="I412" s="7" t="s">
        <v>232</v>
      </c>
      <c r="J412" s="7" t="s">
        <v>30</v>
      </c>
      <c r="K412" s="7" t="s">
        <v>47</v>
      </c>
      <c r="L412" s="10" t="s">
        <v>1078</v>
      </c>
      <c r="M412" s="7" t="s">
        <v>1875</v>
      </c>
      <c r="N412" s="8" t="n">
        <v>0</v>
      </c>
      <c r="O412" s="8" t="n">
        <v>0</v>
      </c>
      <c r="P412" s="8" t="n">
        <v>0</v>
      </c>
      <c r="Q412" s="8" t="n">
        <v>0</v>
      </c>
      <c r="R412" s="13" t="n">
        <v>0</v>
      </c>
      <c r="S412" s="13" t="n">
        <v>0</v>
      </c>
      <c r="T412" s="13"/>
      <c r="U412" s="11" t="n">
        <f aca="false">O412*4 + P412*2 + MAX(0,N412-O412-P412)*1 + Q412*0.2 + R412*2 + S412*1 + IF(T412="",0,IF(T412&lt;=10,8,IF(T412&lt;=50,6,IF(T412&lt;=100,4,2))))</f>
        <v>0</v>
      </c>
      <c r="V412" s="7"/>
      <c r="W412" s="12"/>
      <c r="X412" s="13"/>
      <c r="Y412" s="13" t="s">
        <v>1876</v>
      </c>
    </row>
    <row r="413" customFormat="false" ht="15.75" hidden="false" customHeight="true" outlineLevel="0" collapsed="false">
      <c r="A413" s="7" t="s">
        <v>1877</v>
      </c>
      <c r="B413" s="8" t="n">
        <v>1988</v>
      </c>
      <c r="C413" s="8" t="s">
        <v>109</v>
      </c>
      <c r="D413" s="8" t="n">
        <v>86</v>
      </c>
      <c r="E413" s="7" t="s">
        <v>1646</v>
      </c>
      <c r="F413" s="8" t="n">
        <v>8.1</v>
      </c>
      <c r="G413" s="8"/>
      <c r="H413" s="9" t="n">
        <v>437602</v>
      </c>
      <c r="I413" s="7" t="s">
        <v>124</v>
      </c>
      <c r="J413" s="7" t="s">
        <v>579</v>
      </c>
      <c r="K413" s="7" t="s">
        <v>39</v>
      </c>
      <c r="L413" s="10" t="s">
        <v>238</v>
      </c>
      <c r="M413" s="7" t="s">
        <v>1878</v>
      </c>
      <c r="N413" s="8" t="n">
        <v>0</v>
      </c>
      <c r="O413" s="8" t="n">
        <v>0</v>
      </c>
      <c r="P413" s="8" t="n">
        <v>0</v>
      </c>
      <c r="Q413" s="8" t="n">
        <v>0</v>
      </c>
      <c r="R413" s="13" t="n">
        <v>0</v>
      </c>
      <c r="S413" s="13" t="n">
        <v>0</v>
      </c>
      <c r="T413" s="8" t="n">
        <v>72</v>
      </c>
      <c r="U413" s="11" t="n">
        <f aca="false">O413*4 + P413*2 + MAX(0,N413-O413-P413)*1 + Q413*0.2 + R413*2 + S413*1 + IF(T413="",0,IF(T413&lt;=10,8,IF(T413&lt;=50,6,IF(T413&lt;=100,4,2))))</f>
        <v>4</v>
      </c>
      <c r="V413" s="10" t="s">
        <v>1879</v>
      </c>
      <c r="W413" s="12"/>
      <c r="X413" s="13"/>
      <c r="Y413" s="13" t="s">
        <v>1880</v>
      </c>
    </row>
    <row r="414" customFormat="false" ht="15.75" hidden="false" customHeight="true" outlineLevel="0" collapsed="false">
      <c r="A414" s="7" t="s">
        <v>1881</v>
      </c>
      <c r="B414" s="8" t="n">
        <v>1995</v>
      </c>
      <c r="C414" s="8" t="s">
        <v>26</v>
      </c>
      <c r="D414" s="8" t="n">
        <v>112</v>
      </c>
      <c r="E414" s="7" t="s">
        <v>1882</v>
      </c>
      <c r="F414" s="8" t="n">
        <v>7.4</v>
      </c>
      <c r="G414" s="8"/>
      <c r="H414" s="9" t="n">
        <v>38925</v>
      </c>
      <c r="I414" s="7" t="s">
        <v>46</v>
      </c>
      <c r="J414" s="7" t="s">
        <v>30</v>
      </c>
      <c r="K414" s="7" t="s">
        <v>47</v>
      </c>
      <c r="L414" s="10" t="s">
        <v>205</v>
      </c>
      <c r="M414" s="7" t="s">
        <v>1883</v>
      </c>
      <c r="N414" s="8" t="n">
        <v>0</v>
      </c>
      <c r="O414" s="8" t="n">
        <v>0</v>
      </c>
      <c r="P414" s="8" t="n">
        <v>0</v>
      </c>
      <c r="Q414" s="8" t="n">
        <v>0</v>
      </c>
      <c r="R414" s="13" t="n">
        <v>0</v>
      </c>
      <c r="S414" s="13" t="n">
        <v>0</v>
      </c>
      <c r="T414" s="13"/>
      <c r="U414" s="11" t="n">
        <f aca="false">O414*4 + P414*2 + MAX(0,N414-O414-P414)*1 + Q414*0.2 + R414*2 + S414*1 + IF(T414="",0,IF(T414&lt;=10,8,IF(T414&lt;=50,6,IF(T414&lt;=100,4,2))))</f>
        <v>0</v>
      </c>
      <c r="V414" s="7"/>
      <c r="W414" s="12"/>
      <c r="X414" s="13"/>
      <c r="Y414" s="13" t="s">
        <v>1884</v>
      </c>
    </row>
    <row r="415" customFormat="false" ht="15.75" hidden="false" customHeight="true" outlineLevel="0" collapsed="false">
      <c r="A415" s="7" t="s">
        <v>1885</v>
      </c>
      <c r="B415" s="8" t="n">
        <v>1999</v>
      </c>
      <c r="C415" s="8" t="s">
        <v>26</v>
      </c>
      <c r="D415" s="8" t="n">
        <v>101</v>
      </c>
      <c r="E415" s="7" t="s">
        <v>1886</v>
      </c>
      <c r="F415" s="8" t="n">
        <v>7.5</v>
      </c>
      <c r="G415" s="8"/>
      <c r="H415" s="9" t="n">
        <v>4009</v>
      </c>
      <c r="I415" s="7" t="s">
        <v>232</v>
      </c>
      <c r="J415" s="7" t="s">
        <v>47</v>
      </c>
      <c r="K415" s="7"/>
      <c r="L415" s="10" t="s">
        <v>478</v>
      </c>
      <c r="M415" s="7" t="s">
        <v>1887</v>
      </c>
      <c r="N415" s="8" t="n">
        <v>0</v>
      </c>
      <c r="O415" s="8" t="n">
        <v>0</v>
      </c>
      <c r="P415" s="8" t="n">
        <v>0</v>
      </c>
      <c r="Q415" s="8" t="n">
        <v>0</v>
      </c>
      <c r="R415" s="13" t="n">
        <v>0</v>
      </c>
      <c r="S415" s="13" t="n">
        <v>0</v>
      </c>
      <c r="T415" s="13"/>
      <c r="U415" s="11" t="n">
        <f aca="false">O415*4 + P415*2 + MAX(0,N415-O415-P415)*1 + Q415*0.2 + R415*2 + S415*1 + IF(T415="",0,IF(T415&lt;=10,8,IF(T415&lt;=50,6,IF(T415&lt;=100,4,2))))</f>
        <v>0</v>
      </c>
      <c r="V415" s="7"/>
      <c r="W415" s="12"/>
      <c r="X415" s="13"/>
      <c r="Y415" s="13" t="s">
        <v>1888</v>
      </c>
    </row>
    <row r="416" customFormat="false" ht="15.75" hidden="false" customHeight="true" outlineLevel="0" collapsed="false">
      <c r="A416" s="7" t="s">
        <v>1889</v>
      </c>
      <c r="B416" s="8" t="n">
        <v>1989</v>
      </c>
      <c r="C416" s="8" t="s">
        <v>109</v>
      </c>
      <c r="D416" s="8" t="n">
        <v>128</v>
      </c>
      <c r="E416" s="7" t="s">
        <v>503</v>
      </c>
      <c r="F416" s="8" t="n">
        <v>8.1</v>
      </c>
      <c r="G416" s="8"/>
      <c r="H416" s="9" t="n">
        <v>664493</v>
      </c>
      <c r="I416" s="7" t="s">
        <v>46</v>
      </c>
      <c r="J416" s="7" t="s">
        <v>30</v>
      </c>
      <c r="K416" s="7" t="s">
        <v>47</v>
      </c>
      <c r="L416" s="10" t="s">
        <v>1890</v>
      </c>
      <c r="M416" s="7" t="s">
        <v>1891</v>
      </c>
      <c r="N416" s="8" t="n">
        <v>1</v>
      </c>
      <c r="O416" s="8" t="n">
        <v>0</v>
      </c>
      <c r="P416" s="8" t="n">
        <v>0</v>
      </c>
      <c r="Q416" s="8" t="n">
        <v>4</v>
      </c>
      <c r="R416" s="8" t="n">
        <v>0</v>
      </c>
      <c r="S416" s="8" t="n">
        <v>0</v>
      </c>
      <c r="T416" s="13"/>
      <c r="U416" s="11" t="n">
        <f aca="false">O416*4 + P416*2 + MAX(0,N416-O416-P416)*1 + Q416*0.2 + R416*2 + S416*1 + IF(T416="",0,IF(T416&lt;=10,8,IF(T416&lt;=50,6,IF(T416&lt;=100,4,2))))</f>
        <v>1.8</v>
      </c>
      <c r="V416" s="7"/>
      <c r="W416" s="12"/>
      <c r="X416" s="13"/>
      <c r="Y416" s="13" t="s">
        <v>1892</v>
      </c>
    </row>
    <row r="417" customFormat="false" ht="15.75" hidden="false" customHeight="true" outlineLevel="0" collapsed="false">
      <c r="A417" s="7" t="s">
        <v>1893</v>
      </c>
      <c r="B417" s="8" t="n">
        <v>1999</v>
      </c>
      <c r="C417" s="8" t="s">
        <v>26</v>
      </c>
      <c r="D417" s="8" t="n">
        <v>107</v>
      </c>
      <c r="E417" s="7" t="s">
        <v>1894</v>
      </c>
      <c r="F417" s="8" t="n">
        <v>8.2</v>
      </c>
      <c r="G417" s="8" t="n">
        <v>8</v>
      </c>
      <c r="H417" s="9" t="n">
        <v>1155668</v>
      </c>
      <c r="I417" s="7" t="s">
        <v>46</v>
      </c>
      <c r="J417" s="7" t="s">
        <v>131</v>
      </c>
      <c r="K417" s="7" t="s">
        <v>125</v>
      </c>
      <c r="L417" s="10" t="s">
        <v>1895</v>
      </c>
      <c r="M417" s="7" t="s">
        <v>1896</v>
      </c>
      <c r="N417" s="8" t="n">
        <v>0</v>
      </c>
      <c r="O417" s="8" t="n">
        <v>0</v>
      </c>
      <c r="P417" s="8" t="n">
        <v>0</v>
      </c>
      <c r="Q417" s="8" t="n">
        <v>6</v>
      </c>
      <c r="R417" s="8" t="n">
        <v>0</v>
      </c>
      <c r="S417" s="8" t="n">
        <v>0</v>
      </c>
      <c r="T417" s="8"/>
      <c r="U417" s="11" t="n">
        <f aca="false">O417*4 + P417*2 + MAX(0,N417-O417-P417)*1 + Q417*0.2 + R417*2 + S417*1 + IF(T417="",0,IF(T417&lt;=10,8,IF(T417&lt;=50,6,IF(T417&lt;=100,4,2))))</f>
        <v>1.2</v>
      </c>
      <c r="V417" s="7"/>
      <c r="W417" s="12"/>
      <c r="X417" s="13"/>
      <c r="Y417" s="13" t="s">
        <v>1897</v>
      </c>
    </row>
    <row r="418" customFormat="false" ht="15.75" hidden="false" customHeight="true" outlineLevel="0" collapsed="false">
      <c r="A418" s="7" t="s">
        <v>1898</v>
      </c>
      <c r="B418" s="8" t="n">
        <v>1997</v>
      </c>
      <c r="C418" s="8" t="s">
        <v>26</v>
      </c>
      <c r="D418" s="8" t="n">
        <v>96</v>
      </c>
      <c r="E418" s="7" t="s">
        <v>388</v>
      </c>
      <c r="F418" s="8" t="n">
        <v>7.3</v>
      </c>
      <c r="G418" s="8"/>
      <c r="H418" s="9" t="n">
        <v>50742</v>
      </c>
      <c r="I418" s="7" t="s">
        <v>46</v>
      </c>
      <c r="J418" s="7" t="s">
        <v>30</v>
      </c>
      <c r="K418" s="7"/>
      <c r="L418" s="10" t="s">
        <v>1899</v>
      </c>
      <c r="M418" s="7" t="s">
        <v>1900</v>
      </c>
      <c r="N418" s="8" t="n">
        <v>0</v>
      </c>
      <c r="O418" s="8" t="n">
        <v>0</v>
      </c>
      <c r="P418" s="8" t="n">
        <v>0</v>
      </c>
      <c r="Q418" s="8" t="n">
        <v>1</v>
      </c>
      <c r="R418" s="8" t="n">
        <v>0</v>
      </c>
      <c r="S418" s="8" t="n">
        <v>0</v>
      </c>
      <c r="T418" s="13"/>
      <c r="U418" s="11" t="n">
        <f aca="false">O418*4 + P418*2 + MAX(0,N418-O418-P418)*1 + Q418*0.2 + R418*2 + S418*1 + IF(T418="",0,IF(T418&lt;=10,8,IF(T418&lt;=50,6,IF(T418&lt;=100,4,2))))</f>
        <v>0.2</v>
      </c>
      <c r="V418" s="7"/>
      <c r="W418" s="12"/>
      <c r="X418" s="13"/>
      <c r="Y418" s="13" t="s">
        <v>1901</v>
      </c>
    </row>
    <row r="419" customFormat="false" ht="15.75" hidden="false" customHeight="true" outlineLevel="0" collapsed="false">
      <c r="A419" s="7" t="s">
        <v>1902</v>
      </c>
      <c r="B419" s="8" t="n">
        <v>1998</v>
      </c>
      <c r="C419" s="8" t="s">
        <v>26</v>
      </c>
      <c r="D419" s="8" t="n">
        <v>110</v>
      </c>
      <c r="E419" s="7" t="s">
        <v>1903</v>
      </c>
      <c r="F419" s="8" t="n">
        <v>8</v>
      </c>
      <c r="G419" s="8"/>
      <c r="H419" s="9" t="n">
        <v>51335</v>
      </c>
      <c r="I419" s="7" t="s">
        <v>139</v>
      </c>
      <c r="J419" s="7" t="s">
        <v>47</v>
      </c>
      <c r="K419" s="7"/>
      <c r="L419" s="10" t="s">
        <v>252</v>
      </c>
      <c r="M419" s="7" t="s">
        <v>1904</v>
      </c>
      <c r="N419" s="8" t="n">
        <v>0</v>
      </c>
      <c r="O419" s="8" t="n">
        <v>0</v>
      </c>
      <c r="P419" s="8" t="n">
        <v>0</v>
      </c>
      <c r="Q419" s="8" t="n">
        <v>2</v>
      </c>
      <c r="R419" s="8" t="n">
        <v>1</v>
      </c>
      <c r="S419" s="8" t="n">
        <v>0</v>
      </c>
      <c r="T419" s="13"/>
      <c r="U419" s="11" t="n">
        <f aca="false">O419*4 + P419*2 + MAX(0,N419-O419-P419)*1 + Q419*0.2 + R419*2 + S419*1 + IF(T419="",0,IF(T419&lt;=10,8,IF(T419&lt;=50,6,IF(T419&lt;=100,4,2))))</f>
        <v>2.4</v>
      </c>
      <c r="V419" s="7"/>
      <c r="W419" s="12"/>
      <c r="X419" s="13"/>
      <c r="Y419" s="13" t="s">
        <v>1905</v>
      </c>
    </row>
    <row r="420" customFormat="false" ht="15.75" hidden="false" customHeight="true" outlineLevel="0" collapsed="false">
      <c r="A420" s="7" t="s">
        <v>1906</v>
      </c>
      <c r="B420" s="8" t="n">
        <v>1988</v>
      </c>
      <c r="C420" s="8" t="s">
        <v>109</v>
      </c>
      <c r="D420" s="8" t="n">
        <v>119</v>
      </c>
      <c r="E420" s="7" t="s">
        <v>899</v>
      </c>
      <c r="F420" s="8" t="n">
        <v>7.5</v>
      </c>
      <c r="G420" s="8"/>
      <c r="H420" s="9" t="n">
        <v>80555</v>
      </c>
      <c r="I420" s="7" t="s">
        <v>280</v>
      </c>
      <c r="J420" s="7" t="s">
        <v>29</v>
      </c>
      <c r="K420" s="7" t="s">
        <v>47</v>
      </c>
      <c r="L420" s="10"/>
      <c r="M420" s="7" t="s">
        <v>1907</v>
      </c>
      <c r="N420" s="8" t="n">
        <v>3</v>
      </c>
      <c r="O420" s="8" t="n">
        <v>0</v>
      </c>
      <c r="P420" s="8" t="n">
        <v>0</v>
      </c>
      <c r="Q420" s="8" t="n">
        <v>7</v>
      </c>
      <c r="R420" s="8" t="n">
        <v>0</v>
      </c>
      <c r="S420" s="8" t="n">
        <v>0</v>
      </c>
      <c r="T420" s="13"/>
      <c r="U420" s="11" t="n">
        <f aca="false">O420*4 + P420*2 + MAX(0,N420-O420-P420)*1 + Q420*0.2 + R420*2 + S420*1 + IF(T420="",0,IF(T420&lt;=10,8,IF(T420&lt;=50,6,IF(T420&lt;=100,4,2))))</f>
        <v>4.4</v>
      </c>
      <c r="V420" s="7"/>
      <c r="W420" s="12"/>
      <c r="X420" s="13"/>
      <c r="Y420" s="13" t="s">
        <v>1908</v>
      </c>
    </row>
    <row r="421" customFormat="false" ht="15.75" hidden="false" customHeight="true" outlineLevel="0" collapsed="false">
      <c r="A421" s="7" t="s">
        <v>1909</v>
      </c>
      <c r="B421" s="8" t="n">
        <v>1979</v>
      </c>
      <c r="C421" s="8" t="s">
        <v>61</v>
      </c>
      <c r="D421" s="8" t="n">
        <v>112</v>
      </c>
      <c r="E421" s="7" t="s">
        <v>1910</v>
      </c>
      <c r="F421" s="8" t="n">
        <v>7.5</v>
      </c>
      <c r="G421" s="8"/>
      <c r="H421" s="9" t="n">
        <v>165982</v>
      </c>
      <c r="I421" s="7" t="s">
        <v>46</v>
      </c>
      <c r="J421" s="7" t="s">
        <v>47</v>
      </c>
      <c r="K421" s="7" t="s">
        <v>54</v>
      </c>
      <c r="L421" s="10"/>
      <c r="M421" s="7" t="s">
        <v>1911</v>
      </c>
      <c r="N421" s="8" t="n">
        <v>0</v>
      </c>
      <c r="O421" s="8" t="n">
        <v>0</v>
      </c>
      <c r="P421" s="8" t="n">
        <v>0</v>
      </c>
      <c r="Q421" s="8" t="n">
        <v>0</v>
      </c>
      <c r="R421" s="13" t="n">
        <v>0</v>
      </c>
      <c r="S421" s="13" t="n">
        <v>0</v>
      </c>
      <c r="T421" s="13"/>
      <c r="U421" s="11" t="n">
        <f aca="false">O421*4 + P421*2 + MAX(0,N421-O421-P421)*1 + Q421*0.2 + R421*2 + S421*1 + IF(T421="",0,IF(T421&lt;=10,8,IF(T421&lt;=50,6,IF(T421&lt;=100,4,2))))</f>
        <v>0</v>
      </c>
      <c r="V421" s="7"/>
      <c r="W421" s="12"/>
      <c r="X421" s="13"/>
      <c r="Y421" s="13" t="s">
        <v>1912</v>
      </c>
    </row>
    <row r="422" customFormat="false" ht="15.75" hidden="false" customHeight="true" outlineLevel="0" collapsed="false">
      <c r="A422" s="7" t="s">
        <v>1913</v>
      </c>
      <c r="B422" s="8" t="n">
        <v>1988</v>
      </c>
      <c r="C422" s="8" t="s">
        <v>109</v>
      </c>
      <c r="D422" s="8" t="n">
        <v>124</v>
      </c>
      <c r="E422" s="7" t="s">
        <v>1914</v>
      </c>
      <c r="F422" s="8" t="n">
        <v>8</v>
      </c>
      <c r="G422" s="8"/>
      <c r="H422" s="9" t="n">
        <v>229927</v>
      </c>
      <c r="I422" s="7" t="s">
        <v>124</v>
      </c>
      <c r="J422" s="7" t="s">
        <v>579</v>
      </c>
      <c r="K422" s="7" t="s">
        <v>953</v>
      </c>
      <c r="L422" s="10" t="s">
        <v>1686</v>
      </c>
      <c r="M422" s="7" t="s">
        <v>1915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13" t="n">
        <v>0</v>
      </c>
      <c r="T422" s="8"/>
      <c r="U422" s="11" t="n">
        <f aca="false">O422*4 + P422*2 + MAX(0,N422-O422-P422)*1 + Q422*0.2 + R422*2 + S422*1 + IF(T422="",0,IF(T422&lt;=10,8,IF(T422&lt;=50,6,IF(T422&lt;=100,4,2))))</f>
        <v>0</v>
      </c>
      <c r="V422" s="7" t="s">
        <v>1916</v>
      </c>
      <c r="W422" s="12" t="s">
        <v>579</v>
      </c>
      <c r="X422" s="13"/>
      <c r="Y422" s="13" t="s">
        <v>1917</v>
      </c>
    </row>
    <row r="423" customFormat="false" ht="15.75" hidden="false" customHeight="true" outlineLevel="0" collapsed="false">
      <c r="A423" s="7" t="s">
        <v>1918</v>
      </c>
      <c r="B423" s="8" t="n">
        <v>1983</v>
      </c>
      <c r="C423" s="8" t="s">
        <v>109</v>
      </c>
      <c r="D423" s="8" t="n">
        <v>79</v>
      </c>
      <c r="E423" s="7" t="s">
        <v>388</v>
      </c>
      <c r="F423" s="8" t="n">
        <v>7.6</v>
      </c>
      <c r="G423" s="8"/>
      <c r="H423" s="9" t="n">
        <v>46240</v>
      </c>
      <c r="I423" s="7" t="s">
        <v>46</v>
      </c>
      <c r="J423" s="7" t="s">
        <v>30</v>
      </c>
      <c r="K423" s="7"/>
      <c r="L423" s="10"/>
      <c r="M423" s="7" t="s">
        <v>1919</v>
      </c>
      <c r="N423" s="8" t="n">
        <v>0</v>
      </c>
      <c r="O423" s="8" t="n">
        <v>0</v>
      </c>
      <c r="P423" s="8" t="n">
        <v>0</v>
      </c>
      <c r="Q423" s="8" t="n">
        <v>2</v>
      </c>
      <c r="R423" s="8" t="n">
        <v>0</v>
      </c>
      <c r="S423" s="8" t="n">
        <v>0</v>
      </c>
      <c r="T423" s="13"/>
      <c r="U423" s="11" t="n">
        <f aca="false">O423*4 + P423*2 + MAX(0,N423-O423-P423)*1 + Q423*0.2 + R423*2 + S423*1 + IF(T423="",0,IF(T423&lt;=10,8,IF(T423&lt;=50,6,IF(T423&lt;=100,4,2))))</f>
        <v>0.4</v>
      </c>
      <c r="V423" s="7"/>
      <c r="W423" s="12"/>
      <c r="X423" s="13"/>
      <c r="Y423" s="13" t="s">
        <v>1920</v>
      </c>
    </row>
    <row r="424" customFormat="false" ht="15.75" hidden="false" customHeight="true" outlineLevel="0" collapsed="false">
      <c r="A424" s="7" t="s">
        <v>1921</v>
      </c>
      <c r="B424" s="8" t="n">
        <v>1994</v>
      </c>
      <c r="C424" s="8" t="s">
        <v>26</v>
      </c>
      <c r="D424" s="8" t="n">
        <v>110</v>
      </c>
      <c r="E424" s="7" t="s">
        <v>1922</v>
      </c>
      <c r="F424" s="8" t="n">
        <v>8.5</v>
      </c>
      <c r="G424" s="8" t="n">
        <v>8</v>
      </c>
      <c r="H424" s="9" t="n">
        <v>1361181</v>
      </c>
      <c r="I424" s="7" t="s">
        <v>219</v>
      </c>
      <c r="J424" s="7" t="s">
        <v>112</v>
      </c>
      <c r="K424" s="7" t="s">
        <v>54</v>
      </c>
      <c r="L424" s="10"/>
      <c r="M424" s="7" t="s">
        <v>1923</v>
      </c>
      <c r="N424" s="8" t="n">
        <v>0</v>
      </c>
      <c r="O424" s="8" t="n">
        <v>0</v>
      </c>
      <c r="P424" s="8" t="n">
        <v>0</v>
      </c>
      <c r="Q424" s="8" t="n">
        <v>0</v>
      </c>
      <c r="R424" s="8" t="n">
        <v>0</v>
      </c>
      <c r="S424" s="13" t="n">
        <v>0</v>
      </c>
      <c r="T424" s="8"/>
      <c r="U424" s="11" t="n">
        <f aca="false">O424*4 + P424*2 + MAX(0,N424-O424-P424)*1 + Q424*0.2 + R424*2 + S424*1 + IF(T424="",0,IF(T424&lt;=10,8,IF(T424&lt;=50,6,IF(T424&lt;=100,4,2))))</f>
        <v>0</v>
      </c>
      <c r="V424" s="7"/>
      <c r="W424" s="12"/>
      <c r="X424" s="13"/>
      <c r="Y424" s="13" t="s">
        <v>1924</v>
      </c>
    </row>
    <row r="425" customFormat="false" ht="15.75" hidden="false" customHeight="true" outlineLevel="0" collapsed="false">
      <c r="A425" s="7" t="s">
        <v>1925</v>
      </c>
      <c r="B425" s="8" t="n">
        <v>1988</v>
      </c>
      <c r="C425" s="8" t="s">
        <v>109</v>
      </c>
      <c r="D425" s="8" t="n">
        <v>128</v>
      </c>
      <c r="E425" s="7" t="s">
        <v>1850</v>
      </c>
      <c r="F425" s="8" t="n">
        <v>7.8</v>
      </c>
      <c r="G425" s="8"/>
      <c r="H425" s="9" t="n">
        <v>128357</v>
      </c>
      <c r="I425" s="7" t="s">
        <v>46</v>
      </c>
      <c r="J425" s="7" t="s">
        <v>47</v>
      </c>
      <c r="K425" s="7" t="s">
        <v>54</v>
      </c>
      <c r="L425" s="10" t="s">
        <v>187</v>
      </c>
      <c r="M425" s="7" t="s">
        <v>1926</v>
      </c>
      <c r="N425" s="8" t="n">
        <v>1</v>
      </c>
      <c r="O425" s="8" t="n">
        <v>0</v>
      </c>
      <c r="P425" s="8" t="n">
        <v>0</v>
      </c>
      <c r="Q425" s="8" t="n">
        <v>7</v>
      </c>
      <c r="R425" s="8" t="n">
        <v>0</v>
      </c>
      <c r="S425" s="8" t="n">
        <v>0</v>
      </c>
      <c r="T425" s="13"/>
      <c r="U425" s="11" t="n">
        <f aca="false">O425*4 + P425*2 + MAX(0,N425-O425-P425)*1 + Q425*0.2 + R425*2 + S425*1 + IF(T425="",0,IF(T425&lt;=10,8,IF(T425&lt;=50,6,IF(T425&lt;=100,4,2))))</f>
        <v>2.4</v>
      </c>
      <c r="V425" s="7"/>
      <c r="W425" s="12"/>
      <c r="X425" s="13"/>
      <c r="Y425" s="13" t="s">
        <v>1927</v>
      </c>
    </row>
    <row r="426" customFormat="false" ht="15.75" hidden="false" customHeight="true" outlineLevel="0" collapsed="false">
      <c r="A426" s="7" t="s">
        <v>1928</v>
      </c>
      <c r="B426" s="8" t="n">
        <v>1985</v>
      </c>
      <c r="C426" s="8" t="s">
        <v>109</v>
      </c>
      <c r="D426" s="8" t="n">
        <v>82</v>
      </c>
      <c r="E426" s="7" t="s">
        <v>388</v>
      </c>
      <c r="F426" s="8" t="n">
        <v>7.6</v>
      </c>
      <c r="G426" s="8"/>
      <c r="H426" s="9" t="n">
        <v>58358</v>
      </c>
      <c r="I426" s="7" t="s">
        <v>46</v>
      </c>
      <c r="J426" s="7" t="s">
        <v>38</v>
      </c>
      <c r="K426" s="7" t="s">
        <v>29</v>
      </c>
      <c r="L426" s="10" t="s">
        <v>187</v>
      </c>
      <c r="M426" s="7" t="s">
        <v>1929</v>
      </c>
      <c r="N426" s="8" t="n">
        <v>0</v>
      </c>
      <c r="O426" s="8" t="n">
        <v>0</v>
      </c>
      <c r="P426" s="8" t="n">
        <v>0</v>
      </c>
      <c r="Q426" s="8" t="n">
        <v>1</v>
      </c>
      <c r="R426" s="8" t="n">
        <v>0</v>
      </c>
      <c r="S426" s="8" t="n">
        <v>0</v>
      </c>
      <c r="T426" s="13"/>
      <c r="U426" s="11" t="n">
        <f aca="false">O426*4 + P426*2 + MAX(0,N426-O426-P426)*1 + Q426*0.2 + R426*2 + S426*1 + IF(T426="",0,IF(T426&lt;=10,8,IF(T426&lt;=50,6,IF(T426&lt;=100,4,2))))</f>
        <v>0.2</v>
      </c>
      <c r="V426" s="7"/>
      <c r="W426" s="12"/>
      <c r="X426" s="13"/>
      <c r="Y426" s="13" t="s">
        <v>1930</v>
      </c>
    </row>
    <row r="427" customFormat="false" ht="15.75" hidden="false" customHeight="true" outlineLevel="0" collapsed="false">
      <c r="A427" s="7" t="s">
        <v>1931</v>
      </c>
      <c r="B427" s="8" t="n">
        <v>1992</v>
      </c>
      <c r="C427" s="8" t="s">
        <v>26</v>
      </c>
      <c r="D427" s="8" t="n">
        <v>128</v>
      </c>
      <c r="E427" s="7" t="s">
        <v>1932</v>
      </c>
      <c r="F427" s="8" t="n">
        <v>7.4</v>
      </c>
      <c r="G427" s="8"/>
      <c r="H427" s="9" t="n">
        <v>269972</v>
      </c>
      <c r="I427" s="7" t="s">
        <v>46</v>
      </c>
      <c r="J427" s="7" t="s">
        <v>147</v>
      </c>
      <c r="K427" s="7" t="s">
        <v>38</v>
      </c>
      <c r="L427" s="10" t="s">
        <v>210</v>
      </c>
      <c r="M427" s="7" t="s">
        <v>1933</v>
      </c>
      <c r="N427" s="8" t="n">
        <v>3</v>
      </c>
      <c r="O427" s="8" t="n">
        <v>0</v>
      </c>
      <c r="P427" s="8" t="n">
        <v>0</v>
      </c>
      <c r="Q427" s="8" t="n">
        <v>4</v>
      </c>
      <c r="R427" s="8" t="n">
        <v>0</v>
      </c>
      <c r="S427" s="8" t="n">
        <v>0</v>
      </c>
      <c r="T427" s="13"/>
      <c r="U427" s="11" t="n">
        <f aca="false">O427*4 + P427*2 + MAX(0,N427-O427-P427)*1 + Q427*0.2 + R427*2 + S427*1 + IF(T427="",0,IF(T427&lt;=10,8,IF(T427&lt;=50,6,IF(T427&lt;=100,4,2))))</f>
        <v>3.8</v>
      </c>
      <c r="V427" s="7"/>
      <c r="W427" s="12"/>
      <c r="X427" s="13"/>
      <c r="Y427" s="13" t="s">
        <v>1934</v>
      </c>
    </row>
    <row r="428" customFormat="false" ht="15.75" hidden="false" customHeight="true" outlineLevel="0" collapsed="false">
      <c r="A428" s="7" t="s">
        <v>1935</v>
      </c>
      <c r="B428" s="8" t="n">
        <v>1997</v>
      </c>
      <c r="C428" s="8" t="s">
        <v>26</v>
      </c>
      <c r="D428" s="8" t="n">
        <v>139</v>
      </c>
      <c r="E428" s="7" t="s">
        <v>1355</v>
      </c>
      <c r="F428" s="8" t="n">
        <v>7.7</v>
      </c>
      <c r="G428" s="8"/>
      <c r="H428" s="9" t="n">
        <v>339462</v>
      </c>
      <c r="I428" s="7" t="s">
        <v>46</v>
      </c>
      <c r="J428" s="7" t="s">
        <v>29</v>
      </c>
      <c r="K428" s="7" t="s">
        <v>30</v>
      </c>
      <c r="L428" s="10" t="s">
        <v>1936</v>
      </c>
      <c r="M428" s="7" t="s">
        <v>1937</v>
      </c>
      <c r="N428" s="8" t="n">
        <v>2</v>
      </c>
      <c r="O428" s="8" t="n">
        <v>0</v>
      </c>
      <c r="P428" s="8" t="n">
        <v>0</v>
      </c>
      <c r="Q428" s="8" t="n">
        <v>7</v>
      </c>
      <c r="R428" s="8" t="n">
        <v>0</v>
      </c>
      <c r="S428" s="8" t="n">
        <v>1</v>
      </c>
      <c r="T428" s="13"/>
      <c r="U428" s="11" t="n">
        <f aca="false">O428*4 + P428*2 + MAX(0,N428-O428-P428)*1 + Q428*0.2 + R428*2 + S428*1 + IF(T428="",0,IF(T428&lt;=10,8,IF(T428&lt;=50,6,IF(T428&lt;=100,4,2))))</f>
        <v>4.4</v>
      </c>
      <c r="V428" s="7"/>
      <c r="W428" s="12"/>
      <c r="X428" s="13"/>
      <c r="Y428" s="13" t="s">
        <v>1938</v>
      </c>
    </row>
    <row r="429" customFormat="false" ht="15.75" hidden="false" customHeight="true" outlineLevel="0" collapsed="false">
      <c r="A429" s="7" t="s">
        <v>1939</v>
      </c>
      <c r="B429" s="8" t="n">
        <v>1998</v>
      </c>
      <c r="C429" s="8" t="s">
        <v>26</v>
      </c>
      <c r="D429" s="8" t="n">
        <v>127</v>
      </c>
      <c r="E429" s="7" t="s">
        <v>1808</v>
      </c>
      <c r="F429" s="8" t="n">
        <v>8</v>
      </c>
      <c r="G429" s="8"/>
      <c r="H429" s="9" t="n">
        <v>59098</v>
      </c>
      <c r="I429" s="7" t="s">
        <v>1940</v>
      </c>
      <c r="J429" s="7" t="s">
        <v>29</v>
      </c>
      <c r="K429" s="7" t="s">
        <v>54</v>
      </c>
      <c r="L429" s="10"/>
      <c r="M429" s="7" t="s">
        <v>1941</v>
      </c>
      <c r="N429" s="8" t="n">
        <v>0</v>
      </c>
      <c r="O429" s="8" t="n">
        <v>0</v>
      </c>
      <c r="P429" s="8" t="n">
        <v>0</v>
      </c>
      <c r="Q429" s="8" t="n">
        <v>0</v>
      </c>
      <c r="R429" s="13" t="n">
        <v>0</v>
      </c>
      <c r="S429" s="13" t="n">
        <v>0</v>
      </c>
      <c r="T429" s="13"/>
      <c r="U429" s="11" t="n">
        <f aca="false">O429*4 + P429*2 + MAX(0,N429-O429-P429)*1 + Q429*0.2 + R429*2 + S429*1 + IF(T429="",0,IF(T429&lt;=10,8,IF(T429&lt;=50,6,IF(T429&lt;=100,4,2))))</f>
        <v>0</v>
      </c>
      <c r="V429" s="7"/>
      <c r="W429" s="12"/>
      <c r="X429" s="13"/>
      <c r="Y429" s="13" t="s">
        <v>1942</v>
      </c>
    </row>
    <row r="430" customFormat="false" ht="15.75" hidden="false" customHeight="true" outlineLevel="0" collapsed="false">
      <c r="A430" s="7" t="s">
        <v>1943</v>
      </c>
      <c r="B430" s="8" t="n">
        <v>1999</v>
      </c>
      <c r="C430" s="8" t="s">
        <v>26</v>
      </c>
      <c r="D430" s="8" t="n">
        <v>188</v>
      </c>
      <c r="E430" s="7" t="s">
        <v>1192</v>
      </c>
      <c r="F430" s="8" t="n">
        <v>8</v>
      </c>
      <c r="G430" s="8"/>
      <c r="H430" s="9" t="n">
        <v>352029</v>
      </c>
      <c r="I430" s="7" t="s">
        <v>46</v>
      </c>
      <c r="J430" s="7" t="s">
        <v>47</v>
      </c>
      <c r="K430" s="7"/>
      <c r="L430" s="10" t="s">
        <v>1944</v>
      </c>
      <c r="M430" s="7" t="s">
        <v>1945</v>
      </c>
      <c r="N430" s="8" t="n">
        <v>0</v>
      </c>
      <c r="O430" s="8" t="n">
        <v>0</v>
      </c>
      <c r="P430" s="8" t="n">
        <v>0</v>
      </c>
      <c r="Q430" s="8" t="n">
        <v>3</v>
      </c>
      <c r="R430" s="8" t="n">
        <v>1</v>
      </c>
      <c r="S430" s="8" t="n">
        <v>0</v>
      </c>
      <c r="T430" s="8" t="n">
        <v>185</v>
      </c>
      <c r="U430" s="11" t="n">
        <f aca="false">O430*4 + P430*2 + MAX(0,N430-O430-P430)*1 + Q430*0.2 + R430*2 + S430*1 + IF(T430="",0,IF(T430&lt;=10,8,IF(T430&lt;=50,6,IF(T430&lt;=100,4,2))))</f>
        <v>4.6</v>
      </c>
      <c r="V430" s="10" t="s">
        <v>1946</v>
      </c>
      <c r="W430" s="12"/>
      <c r="X430" s="13"/>
      <c r="Y430" s="13" t="s">
        <v>1947</v>
      </c>
    </row>
    <row r="431" customFormat="false" ht="15.75" hidden="false" customHeight="true" outlineLevel="0" collapsed="false">
      <c r="A431" s="7" t="s">
        <v>1948</v>
      </c>
      <c r="B431" s="8" t="n">
        <v>1984</v>
      </c>
      <c r="C431" s="8" t="s">
        <v>109</v>
      </c>
      <c r="D431" s="8" t="n">
        <v>141</v>
      </c>
      <c r="E431" s="7" t="s">
        <v>1949</v>
      </c>
      <c r="F431" s="8" t="n">
        <v>7.8</v>
      </c>
      <c r="G431" s="8"/>
      <c r="H431" s="9" t="n">
        <v>64143</v>
      </c>
      <c r="I431" s="7" t="s">
        <v>280</v>
      </c>
      <c r="J431" s="7" t="s">
        <v>47</v>
      </c>
      <c r="K431" s="7" t="s">
        <v>48</v>
      </c>
      <c r="L431" s="10"/>
      <c r="M431" s="7" t="s">
        <v>1950</v>
      </c>
      <c r="N431" s="8" t="n">
        <v>3</v>
      </c>
      <c r="O431" s="8" t="n">
        <v>0</v>
      </c>
      <c r="P431" s="8" t="n">
        <v>0</v>
      </c>
      <c r="Q431" s="8" t="n">
        <v>7</v>
      </c>
      <c r="R431" s="8" t="n">
        <v>0</v>
      </c>
      <c r="S431" s="8" t="n">
        <v>0</v>
      </c>
      <c r="T431" s="13"/>
      <c r="U431" s="11" t="n">
        <f aca="false">O431*4 + P431*2 + MAX(0,N431-O431-P431)*1 + Q431*0.2 + R431*2 + S431*1 + IF(T431="",0,IF(T431&lt;=10,8,IF(T431&lt;=50,6,IF(T431&lt;=100,4,2))))</f>
        <v>4.4</v>
      </c>
      <c r="V431" s="7"/>
      <c r="W431" s="12"/>
      <c r="X431" s="13"/>
      <c r="Y431" s="13" t="s">
        <v>1951</v>
      </c>
    </row>
    <row r="432" customFormat="false" ht="15.75" hidden="false" customHeight="true" outlineLevel="0" collapsed="false">
      <c r="A432" s="7" t="s">
        <v>1952</v>
      </c>
      <c r="B432" s="8" t="n">
        <v>1992</v>
      </c>
      <c r="C432" s="8" t="s">
        <v>26</v>
      </c>
      <c r="D432" s="8" t="n">
        <v>108</v>
      </c>
      <c r="E432" s="7" t="s">
        <v>388</v>
      </c>
      <c r="F432" s="8" t="n">
        <v>7.5</v>
      </c>
      <c r="G432" s="8"/>
      <c r="H432" s="9" t="n">
        <v>33129</v>
      </c>
      <c r="I432" s="7" t="s">
        <v>46</v>
      </c>
      <c r="J432" s="7" t="s">
        <v>29</v>
      </c>
      <c r="K432" s="7" t="s">
        <v>30</v>
      </c>
      <c r="L432" s="10" t="s">
        <v>205</v>
      </c>
      <c r="M432" s="7" t="s">
        <v>1953</v>
      </c>
      <c r="N432" s="8" t="n">
        <v>0</v>
      </c>
      <c r="O432" s="8" t="n">
        <v>0</v>
      </c>
      <c r="P432" s="8" t="n">
        <v>0</v>
      </c>
      <c r="Q432" s="8" t="n">
        <v>2</v>
      </c>
      <c r="R432" s="8" t="n">
        <v>0</v>
      </c>
      <c r="S432" s="8" t="n">
        <v>0</v>
      </c>
      <c r="T432" s="13"/>
      <c r="U432" s="11" t="n">
        <f aca="false">O432*4 + P432*2 + MAX(0,N432-O432-P432)*1 + Q432*0.2 + R432*2 + S432*1 + IF(T432="",0,IF(T432&lt;=10,8,IF(T432&lt;=50,6,IF(T432&lt;=100,4,2))))</f>
        <v>0.4</v>
      </c>
      <c r="V432" s="7"/>
      <c r="W432" s="12"/>
      <c r="X432" s="13"/>
      <c r="Y432" s="13" t="s">
        <v>1954</v>
      </c>
    </row>
    <row r="433" customFormat="false" ht="15.75" hidden="false" customHeight="true" outlineLevel="0" collapsed="false">
      <c r="A433" s="7" t="s">
        <v>1955</v>
      </c>
      <c r="B433" s="8" t="n">
        <v>1993</v>
      </c>
      <c r="C433" s="8" t="s">
        <v>26</v>
      </c>
      <c r="D433" s="8" t="n">
        <v>134</v>
      </c>
      <c r="E433" s="7" t="s">
        <v>1956</v>
      </c>
      <c r="F433" s="8" t="n">
        <v>7.8</v>
      </c>
      <c r="G433" s="8"/>
      <c r="H433" s="9" t="n">
        <v>93829</v>
      </c>
      <c r="I433" s="7" t="s">
        <v>280</v>
      </c>
      <c r="J433" s="7" t="s">
        <v>29</v>
      </c>
      <c r="K433" s="7" t="s">
        <v>47</v>
      </c>
      <c r="L433" s="10" t="s">
        <v>210</v>
      </c>
      <c r="M433" s="7" t="s">
        <v>1957</v>
      </c>
      <c r="N433" s="8" t="n">
        <v>0</v>
      </c>
      <c r="O433" s="8" t="n">
        <v>0</v>
      </c>
      <c r="P433" s="8" t="n">
        <v>0</v>
      </c>
      <c r="Q433" s="8" t="n">
        <v>8</v>
      </c>
      <c r="R433" s="8" t="n">
        <v>0</v>
      </c>
      <c r="S433" s="8" t="n">
        <v>0</v>
      </c>
      <c r="T433" s="13"/>
      <c r="U433" s="11" t="n">
        <f aca="false">O433*4 + P433*2 + MAX(0,N433-O433-P433)*1 + Q433*0.2 + R433*2 + S433*1 + IF(T433="",0,IF(T433&lt;=10,8,IF(T433&lt;=50,6,IF(T433&lt;=100,4,2))))</f>
        <v>1.6</v>
      </c>
      <c r="V433" s="7"/>
      <c r="W433" s="12"/>
      <c r="X433" s="13"/>
      <c r="Y433" s="13" t="s">
        <v>1958</v>
      </c>
    </row>
    <row r="434" customFormat="false" ht="15.75" hidden="false" customHeight="true" outlineLevel="0" collapsed="false">
      <c r="A434" s="7" t="s">
        <v>1959</v>
      </c>
      <c r="B434" s="8" t="n">
        <v>1997</v>
      </c>
      <c r="C434" s="8" t="s">
        <v>26</v>
      </c>
      <c r="D434" s="8" t="n">
        <v>123</v>
      </c>
      <c r="E434" s="7" t="s">
        <v>1799</v>
      </c>
      <c r="F434" s="8" t="n">
        <v>7.6</v>
      </c>
      <c r="G434" s="8"/>
      <c r="H434" s="9" t="n">
        <v>5154</v>
      </c>
      <c r="I434" s="7" t="s">
        <v>292</v>
      </c>
      <c r="J434" s="7" t="s">
        <v>47</v>
      </c>
      <c r="K434" s="7"/>
      <c r="L434" s="10" t="s">
        <v>1960</v>
      </c>
      <c r="M434" s="7" t="s">
        <v>1961</v>
      </c>
      <c r="N434" s="8" t="n">
        <v>0</v>
      </c>
      <c r="O434" s="8" t="n">
        <v>0</v>
      </c>
      <c r="P434" s="8" t="n">
        <v>0</v>
      </c>
      <c r="Q434" s="8" t="n">
        <v>0</v>
      </c>
      <c r="R434" s="13" t="n">
        <v>0</v>
      </c>
      <c r="S434" s="13" t="n">
        <v>0</v>
      </c>
      <c r="T434" s="13"/>
      <c r="U434" s="11" t="n">
        <f aca="false">O434*4 + P434*2 + MAX(0,N434-O434-P434)*1 + Q434*0.2 + R434*2 + S434*1 + IF(T434="",0,IF(T434&lt;=10,8,IF(T434&lt;=50,6,IF(T434&lt;=100,4,2))))</f>
        <v>0</v>
      </c>
      <c r="V434" s="7"/>
      <c r="W434" s="12"/>
      <c r="X434" s="13"/>
      <c r="Y434" s="13" t="s">
        <v>1962</v>
      </c>
    </row>
    <row r="435" customFormat="false" ht="15.75" hidden="false" customHeight="true" outlineLevel="0" collapsed="false">
      <c r="A435" s="7" t="s">
        <v>1963</v>
      </c>
      <c r="B435" s="8" t="n">
        <v>1995</v>
      </c>
      <c r="C435" s="8" t="s">
        <v>26</v>
      </c>
      <c r="D435" s="8" t="n">
        <v>135</v>
      </c>
      <c r="E435" s="7" t="s">
        <v>74</v>
      </c>
      <c r="F435" s="8" t="n">
        <v>7.6</v>
      </c>
      <c r="G435" s="8"/>
      <c r="H435" s="9" t="n">
        <v>97622</v>
      </c>
      <c r="I435" s="7" t="s">
        <v>46</v>
      </c>
      <c r="J435" s="7" t="s">
        <v>29</v>
      </c>
      <c r="K435" s="7" t="s">
        <v>47</v>
      </c>
      <c r="L435" s="10" t="s">
        <v>210</v>
      </c>
      <c r="M435" s="7" t="s">
        <v>1964</v>
      </c>
      <c r="N435" s="8" t="n">
        <v>0</v>
      </c>
      <c r="O435" s="8" t="n">
        <v>0</v>
      </c>
      <c r="P435" s="8" t="n">
        <v>0</v>
      </c>
      <c r="Q435" s="8" t="n">
        <v>1</v>
      </c>
      <c r="R435" s="8" t="n">
        <v>0</v>
      </c>
      <c r="S435" s="8" t="n">
        <v>0</v>
      </c>
      <c r="T435" s="13"/>
      <c r="U435" s="11" t="n">
        <f aca="false">O435*4 + P435*2 + MAX(0,N435-O435-P435)*1 + Q435*0.2 + R435*2 + S435*1 + IF(T435="",0,IF(T435&lt;=10,8,IF(T435&lt;=50,6,IF(T435&lt;=100,4,2))))</f>
        <v>0.2</v>
      </c>
      <c r="V435" s="7"/>
      <c r="W435" s="12"/>
      <c r="X435" s="13"/>
      <c r="Y435" s="13" t="s">
        <v>1965</v>
      </c>
    </row>
    <row r="436" customFormat="false" ht="15.75" hidden="false" customHeight="true" outlineLevel="0" collapsed="false">
      <c r="A436" s="7" t="s">
        <v>1966</v>
      </c>
      <c r="B436" s="8" t="n">
        <v>1991</v>
      </c>
      <c r="C436" s="8" t="s">
        <v>26</v>
      </c>
      <c r="D436" s="8" t="n">
        <v>189</v>
      </c>
      <c r="E436" s="7" t="s">
        <v>1132</v>
      </c>
      <c r="F436" s="8" t="n">
        <v>8</v>
      </c>
      <c r="G436" s="8"/>
      <c r="H436" s="9" t="n">
        <v>182954</v>
      </c>
      <c r="I436" s="7" t="s">
        <v>46</v>
      </c>
      <c r="J436" s="7" t="s">
        <v>131</v>
      </c>
      <c r="K436" s="7" t="s">
        <v>453</v>
      </c>
      <c r="L436" s="10" t="s">
        <v>177</v>
      </c>
      <c r="M436" s="7" t="s">
        <v>1967</v>
      </c>
      <c r="N436" s="8" t="n">
        <v>2</v>
      </c>
      <c r="O436" s="8" t="n">
        <v>0</v>
      </c>
      <c r="P436" s="8" t="n">
        <v>0</v>
      </c>
      <c r="Q436" s="8" t="n">
        <v>8</v>
      </c>
      <c r="R436" s="8" t="n">
        <v>0</v>
      </c>
      <c r="S436" s="8" t="n">
        <v>0</v>
      </c>
      <c r="T436" s="13"/>
      <c r="U436" s="11" t="n">
        <f aca="false">O436*4 + P436*2 + MAX(0,N436-O436-P436)*1 + Q436*0.2 + R436*2 + S436*1 + IF(T436="",0,IF(T436&lt;=10,8,IF(T436&lt;=50,6,IF(T436&lt;=100,4,2))))</f>
        <v>3.6</v>
      </c>
      <c r="V436" s="7"/>
      <c r="W436" s="12"/>
      <c r="X436" s="13"/>
      <c r="Y436" s="13" t="s">
        <v>1968</v>
      </c>
    </row>
    <row r="437" customFormat="false" ht="15.75" hidden="false" customHeight="true" outlineLevel="0" collapsed="false">
      <c r="A437" s="7" t="s">
        <v>1969</v>
      </c>
      <c r="B437" s="8" t="n">
        <v>1991</v>
      </c>
      <c r="C437" s="8" t="s">
        <v>26</v>
      </c>
      <c r="D437" s="8" t="n">
        <v>137</v>
      </c>
      <c r="E437" s="7" t="s">
        <v>110</v>
      </c>
      <c r="F437" s="8" t="n">
        <v>8.6</v>
      </c>
      <c r="G437" s="8"/>
      <c r="H437" s="9" t="n">
        <v>1295044</v>
      </c>
      <c r="I437" s="7" t="s">
        <v>46</v>
      </c>
      <c r="J437" s="7" t="s">
        <v>111</v>
      </c>
      <c r="K437" s="7" t="s">
        <v>112</v>
      </c>
      <c r="L437" s="10" t="s">
        <v>1936</v>
      </c>
      <c r="M437" s="7" t="s">
        <v>1970</v>
      </c>
      <c r="N437" s="8" t="n">
        <v>4</v>
      </c>
      <c r="O437" s="8" t="n">
        <v>0</v>
      </c>
      <c r="P437" s="8" t="n">
        <v>0</v>
      </c>
      <c r="Q437" s="8" t="n">
        <v>6</v>
      </c>
      <c r="R437" s="8" t="n">
        <v>0</v>
      </c>
      <c r="S437" s="8" t="n">
        <v>0</v>
      </c>
      <c r="T437" s="13"/>
      <c r="U437" s="11" t="n">
        <f aca="false">O437*4 + P437*2 + MAX(0,N437-O437-P437)*1 + Q437*0.2 + R437*2 + S437*1 + IF(T437="",0,IF(T437&lt;=10,8,IF(T437&lt;=50,6,IF(T437&lt;=100,4,2))))</f>
        <v>5.2</v>
      </c>
      <c r="V437" s="7"/>
      <c r="W437" s="12"/>
      <c r="X437" s="13"/>
      <c r="Y437" s="13" t="s">
        <v>1971</v>
      </c>
    </row>
    <row r="438" customFormat="false" ht="15.75" hidden="false" customHeight="true" outlineLevel="0" collapsed="false">
      <c r="A438" s="7" t="s">
        <v>1972</v>
      </c>
      <c r="B438" s="8" t="n">
        <v>1982</v>
      </c>
      <c r="C438" s="8" t="s">
        <v>109</v>
      </c>
      <c r="D438" s="8" t="n">
        <v>115</v>
      </c>
      <c r="E438" s="7" t="s">
        <v>45</v>
      </c>
      <c r="F438" s="8" t="n">
        <v>7.9</v>
      </c>
      <c r="G438" s="8"/>
      <c r="H438" s="9" t="n">
        <v>475265</v>
      </c>
      <c r="I438" s="7" t="s">
        <v>46</v>
      </c>
      <c r="J438" s="7" t="s">
        <v>111</v>
      </c>
      <c r="K438" s="7" t="s">
        <v>259</v>
      </c>
      <c r="L438" s="10" t="s">
        <v>1973</v>
      </c>
      <c r="M438" s="7" t="s">
        <v>1974</v>
      </c>
      <c r="N438" s="8" t="n">
        <v>4</v>
      </c>
      <c r="O438" s="8" t="n">
        <v>0</v>
      </c>
      <c r="P438" s="8" t="n">
        <v>0</v>
      </c>
      <c r="Q438" s="8" t="n">
        <v>9</v>
      </c>
      <c r="R438" s="8" t="n">
        <v>0</v>
      </c>
      <c r="S438" s="8" t="n">
        <v>1</v>
      </c>
      <c r="T438" s="13"/>
      <c r="U438" s="11" t="n">
        <f aca="false">O438*4 + P438*2 + MAX(0,N438-O438-P438)*1 + Q438*0.2 + R438*2 + S438*1 + IF(T438="",0,IF(T438&lt;=10,8,IF(T438&lt;=50,6,IF(T438&lt;=100,4,2))))</f>
        <v>6.8</v>
      </c>
      <c r="V438" s="7"/>
      <c r="W438" s="12"/>
      <c r="X438" s="13"/>
      <c r="Y438" s="13" t="s">
        <v>1975</v>
      </c>
    </row>
    <row r="439" customFormat="false" ht="15.75" hidden="false" customHeight="true" outlineLevel="0" collapsed="false">
      <c r="A439" s="7" t="s">
        <v>1976</v>
      </c>
      <c r="B439" s="8" t="n">
        <v>1994</v>
      </c>
      <c r="C439" s="8" t="s">
        <v>26</v>
      </c>
      <c r="D439" s="8" t="n">
        <v>98</v>
      </c>
      <c r="E439" s="7" t="s">
        <v>388</v>
      </c>
      <c r="F439" s="8" t="n">
        <v>7.4</v>
      </c>
      <c r="G439" s="8"/>
      <c r="H439" s="9" t="n">
        <v>43395</v>
      </c>
      <c r="I439" s="7" t="s">
        <v>46</v>
      </c>
      <c r="J439" s="7" t="s">
        <v>30</v>
      </c>
      <c r="K439" s="7" t="s">
        <v>54</v>
      </c>
      <c r="L439" s="10" t="s">
        <v>1977</v>
      </c>
      <c r="M439" s="7" t="s">
        <v>1978</v>
      </c>
      <c r="N439" s="8" t="n">
        <v>1</v>
      </c>
      <c r="O439" s="8" t="n">
        <v>0</v>
      </c>
      <c r="P439" s="8" t="n">
        <v>0</v>
      </c>
      <c r="Q439" s="8" t="n">
        <v>7</v>
      </c>
      <c r="R439" s="8" t="n">
        <v>0</v>
      </c>
      <c r="S439" s="8" t="n">
        <v>0</v>
      </c>
      <c r="T439" s="13"/>
      <c r="U439" s="11" t="n">
        <f aca="false">O439*4 + P439*2 + MAX(0,N439-O439-P439)*1 + Q439*0.2 + R439*2 + S439*1 + IF(T439="",0,IF(T439&lt;=10,8,IF(T439&lt;=50,6,IF(T439&lt;=100,4,2))))</f>
        <v>2.4</v>
      </c>
      <c r="V439" s="7"/>
      <c r="W439" s="12"/>
      <c r="X439" s="13"/>
      <c r="Y439" s="13" t="s">
        <v>1979</v>
      </c>
    </row>
    <row r="440" customFormat="false" ht="15.75" hidden="false" customHeight="true" outlineLevel="0" collapsed="false">
      <c r="A440" s="7" t="s">
        <v>1980</v>
      </c>
      <c r="B440" s="8" t="n">
        <v>1996</v>
      </c>
      <c r="C440" s="8" t="s">
        <v>26</v>
      </c>
      <c r="D440" s="8" t="n">
        <v>153</v>
      </c>
      <c r="E440" s="7" t="s">
        <v>436</v>
      </c>
      <c r="F440" s="8" t="n">
        <v>7.8</v>
      </c>
      <c r="G440" s="8"/>
      <c r="H440" s="9" t="n">
        <v>76439</v>
      </c>
      <c r="I440" s="7" t="s">
        <v>437</v>
      </c>
      <c r="J440" s="7" t="s">
        <v>47</v>
      </c>
      <c r="K440" s="7"/>
      <c r="L440" s="10"/>
      <c r="M440" s="7" t="s">
        <v>1981</v>
      </c>
      <c r="N440" s="8" t="n">
        <v>0</v>
      </c>
      <c r="O440" s="8" t="n">
        <v>0</v>
      </c>
      <c r="P440" s="8" t="n">
        <v>0</v>
      </c>
      <c r="Q440" s="8" t="n">
        <v>1</v>
      </c>
      <c r="R440" s="8" t="n">
        <v>0</v>
      </c>
      <c r="S440" s="8" t="n">
        <v>0</v>
      </c>
      <c r="T440" s="13"/>
      <c r="U440" s="11" t="n">
        <f aca="false">O440*4 + P440*2 + MAX(0,N440-O440-P440)*1 + Q440*0.2 + R440*2 + S440*1 + IF(T440="",0,IF(T440&lt;=10,8,IF(T440&lt;=50,6,IF(T440&lt;=100,4,2))))</f>
        <v>0.2</v>
      </c>
      <c r="V440" s="7"/>
      <c r="W440" s="12"/>
      <c r="X440" s="13"/>
      <c r="Y440" s="13" t="s">
        <v>1982</v>
      </c>
    </row>
    <row r="441" customFormat="false" ht="15.75" hidden="false" customHeight="true" outlineLevel="0" collapsed="false">
      <c r="A441" s="7" t="s">
        <v>1983</v>
      </c>
      <c r="B441" s="8" t="n">
        <v>1990</v>
      </c>
      <c r="C441" s="8" t="s">
        <v>26</v>
      </c>
      <c r="D441" s="8" t="n">
        <v>107</v>
      </c>
      <c r="E441" s="7" t="s">
        <v>469</v>
      </c>
      <c r="F441" s="8" t="n">
        <v>7.8</v>
      </c>
      <c r="G441" s="8"/>
      <c r="H441" s="9" t="n">
        <v>268199</v>
      </c>
      <c r="I441" s="7" t="s">
        <v>46</v>
      </c>
      <c r="J441" s="7" t="s">
        <v>131</v>
      </c>
      <c r="K441" s="7" t="s">
        <v>47</v>
      </c>
      <c r="L441" s="10" t="s">
        <v>1984</v>
      </c>
      <c r="M441" s="7" t="s">
        <v>1985</v>
      </c>
      <c r="N441" s="8" t="n">
        <v>1</v>
      </c>
      <c r="O441" s="8" t="n">
        <v>0</v>
      </c>
      <c r="P441" s="8" t="n">
        <v>0</v>
      </c>
      <c r="Q441" s="8" t="n">
        <v>1</v>
      </c>
      <c r="R441" s="8" t="n">
        <v>0</v>
      </c>
      <c r="S441" s="8" t="n">
        <v>0</v>
      </c>
      <c r="T441" s="13"/>
      <c r="U441" s="11" t="n">
        <f aca="false">O441*4 + P441*2 + MAX(0,N441-O441-P441)*1 + Q441*0.2 + R441*2 + S441*1 + IF(T441="",0,IF(T441&lt;=10,8,IF(T441&lt;=50,6,IF(T441&lt;=100,4,2))))</f>
        <v>1.2</v>
      </c>
      <c r="V441" s="7"/>
      <c r="W441" s="12"/>
      <c r="X441" s="13"/>
      <c r="Y441" s="13" t="s">
        <v>1986</v>
      </c>
    </row>
    <row r="442" customFormat="false" ht="15.75" hidden="false" customHeight="true" outlineLevel="0" collapsed="false">
      <c r="A442" s="7" t="s">
        <v>1987</v>
      </c>
      <c r="B442" s="8" t="n">
        <v>2001</v>
      </c>
      <c r="C442" s="8" t="s">
        <v>35</v>
      </c>
      <c r="D442" s="8" t="n">
        <v>178</v>
      </c>
      <c r="E442" s="7" t="s">
        <v>36</v>
      </c>
      <c r="F442" s="8" t="n">
        <v>8.9</v>
      </c>
      <c r="G442" s="8" t="n">
        <v>9</v>
      </c>
      <c r="H442" s="9" t="n">
        <v>2227926</v>
      </c>
      <c r="I442" s="7" t="s">
        <v>1988</v>
      </c>
      <c r="J442" s="7" t="s">
        <v>38</v>
      </c>
      <c r="K442" s="7" t="s">
        <v>39</v>
      </c>
      <c r="L442" s="10" t="s">
        <v>40</v>
      </c>
      <c r="M442" s="7" t="s">
        <v>1989</v>
      </c>
      <c r="N442" s="8" t="n">
        <v>4</v>
      </c>
      <c r="O442" s="8" t="n">
        <v>0</v>
      </c>
      <c r="P442" s="8" t="n">
        <v>0</v>
      </c>
      <c r="Q442" s="8" t="n">
        <v>13</v>
      </c>
      <c r="R442" s="8" t="n">
        <v>0</v>
      </c>
      <c r="S442" s="8" t="n">
        <v>0</v>
      </c>
      <c r="T442" s="8"/>
      <c r="U442" s="11" t="n">
        <f aca="false">O442*4 + P442*2 + MAX(0,N442-O442-P442)*1 + Q442*0.2 + R442*2 + S442*1 + IF(T442="",0,IF(T442&lt;=10,8,IF(T442&lt;=50,6,IF(T442&lt;=100,4,2))))</f>
        <v>6.6</v>
      </c>
      <c r="V442" s="7" t="s">
        <v>1990</v>
      </c>
      <c r="W442" s="12" t="s">
        <v>201</v>
      </c>
      <c r="X442" s="13"/>
      <c r="Y442" s="13" t="s">
        <v>1991</v>
      </c>
    </row>
    <row r="443" customFormat="false" ht="15.75" hidden="false" customHeight="true" outlineLevel="0" collapsed="false">
      <c r="A443" s="7" t="s">
        <v>1992</v>
      </c>
      <c r="B443" s="8" t="n">
        <v>2000</v>
      </c>
      <c r="C443" s="8" t="s">
        <v>35</v>
      </c>
      <c r="D443" s="8" t="n">
        <v>155</v>
      </c>
      <c r="E443" s="7" t="s">
        <v>1074</v>
      </c>
      <c r="F443" s="8" t="n">
        <v>8.5</v>
      </c>
      <c r="G443" s="8" t="n">
        <v>9</v>
      </c>
      <c r="H443" s="9" t="n">
        <v>1872889</v>
      </c>
      <c r="I443" s="7" t="s">
        <v>359</v>
      </c>
      <c r="J443" s="7" t="s">
        <v>112</v>
      </c>
      <c r="K443" s="7" t="s">
        <v>39</v>
      </c>
      <c r="L443" s="10" t="s">
        <v>1993</v>
      </c>
      <c r="M443" s="7" t="s">
        <v>1994</v>
      </c>
      <c r="N443" s="8" t="n">
        <v>5</v>
      </c>
      <c r="O443" s="8" t="n">
        <v>1</v>
      </c>
      <c r="P443" s="8" t="n">
        <v>0</v>
      </c>
      <c r="Q443" s="8" t="n">
        <v>12</v>
      </c>
      <c r="R443" s="8" t="n">
        <v>0</v>
      </c>
      <c r="S443" s="8" t="n">
        <v>1</v>
      </c>
      <c r="T443" s="8"/>
      <c r="U443" s="11" t="n">
        <f aca="false">O443*4 + P443*2 + MAX(0,N443-O443-P443)*1 + Q443*0.2 + R443*2 + S443*1 + IF(T443="",0,IF(T443&lt;=10,8,IF(T443&lt;=50,6,IF(T443&lt;=100,4,2))))</f>
        <v>11.4</v>
      </c>
      <c r="V443" s="7"/>
      <c r="W443" s="12"/>
      <c r="X443" s="13"/>
      <c r="Y443" s="13" t="s">
        <v>1995</v>
      </c>
    </row>
    <row r="444" customFormat="false" ht="15.75" hidden="false" customHeight="true" outlineLevel="0" collapsed="false">
      <c r="A444" s="7" t="s">
        <v>1996</v>
      </c>
      <c r="B444" s="8" t="n">
        <v>2003</v>
      </c>
      <c r="C444" s="8" t="s">
        <v>35</v>
      </c>
      <c r="D444" s="8" t="n">
        <v>111</v>
      </c>
      <c r="E444" s="7" t="s">
        <v>53</v>
      </c>
      <c r="F444" s="8" t="n">
        <v>8.2</v>
      </c>
      <c r="G444" s="8" t="n">
        <v>9</v>
      </c>
      <c r="H444" s="9" t="n">
        <v>1319953</v>
      </c>
      <c r="I444" s="7" t="s">
        <v>46</v>
      </c>
      <c r="J444" s="7" t="s">
        <v>131</v>
      </c>
      <c r="K444" s="7" t="s">
        <v>54</v>
      </c>
      <c r="L444" s="10" t="s">
        <v>847</v>
      </c>
      <c r="M444" s="7" t="s">
        <v>1997</v>
      </c>
      <c r="N444" s="8" t="n">
        <v>0</v>
      </c>
      <c r="O444" s="8" t="n">
        <v>0</v>
      </c>
      <c r="P444" s="8" t="n">
        <v>0</v>
      </c>
      <c r="Q444" s="8" t="n">
        <v>0</v>
      </c>
      <c r="R444" s="8" t="n">
        <v>0</v>
      </c>
      <c r="S444" s="13" t="n">
        <v>0</v>
      </c>
      <c r="T444" s="8"/>
      <c r="U444" s="11" t="n">
        <f aca="false">O444*4 + P444*2 + MAX(0,N444-O444-P444)*1 + Q444*0.2 + R444*2 + S444*1 + IF(T444="",0,IF(T444&lt;=10,8,IF(T444&lt;=50,6,IF(T444&lt;=100,4,2))))</f>
        <v>0</v>
      </c>
      <c r="V444" s="7"/>
      <c r="W444" s="12"/>
      <c r="X444" s="13"/>
      <c r="Y444" s="13" t="s">
        <v>1998</v>
      </c>
    </row>
    <row r="445" customFormat="false" ht="15.75" hidden="false" customHeight="true" outlineLevel="0" collapsed="false">
      <c r="A445" s="7" t="s">
        <v>1999</v>
      </c>
      <c r="B445" s="8" t="n">
        <v>2002</v>
      </c>
      <c r="C445" s="8" t="s">
        <v>35</v>
      </c>
      <c r="D445" s="8" t="n">
        <v>179</v>
      </c>
      <c r="E445" s="7" t="s">
        <v>36</v>
      </c>
      <c r="F445" s="8" t="n">
        <v>8.8</v>
      </c>
      <c r="G445" s="8" t="n">
        <v>10</v>
      </c>
      <c r="H445" s="9" t="n">
        <v>1975971</v>
      </c>
      <c r="I445" s="7" t="s">
        <v>1988</v>
      </c>
      <c r="J445" s="7" t="s">
        <v>38</v>
      </c>
      <c r="K445" s="7" t="s">
        <v>39</v>
      </c>
      <c r="L445" s="10" t="s">
        <v>40</v>
      </c>
      <c r="M445" s="7" t="s">
        <v>2000</v>
      </c>
      <c r="N445" s="8" t="n">
        <v>2</v>
      </c>
      <c r="O445" s="8" t="n">
        <v>0</v>
      </c>
      <c r="P445" s="8" t="n">
        <v>0</v>
      </c>
      <c r="Q445" s="8" t="n">
        <v>6</v>
      </c>
      <c r="R445" s="8" t="n">
        <v>0</v>
      </c>
      <c r="S445" s="8" t="n">
        <v>0</v>
      </c>
      <c r="T445" s="8"/>
      <c r="U445" s="11" t="n">
        <f aca="false">O445*4 + P445*2 + MAX(0,N445-O445-P445)*1 + Q445*0.2 + R445*2 + S445*1 + IF(T445="",0,IF(T445&lt;=10,8,IF(T445&lt;=50,6,IF(T445&lt;=100,4,2))))</f>
        <v>3.2</v>
      </c>
      <c r="V445" s="10" t="s">
        <v>2001</v>
      </c>
      <c r="W445" s="12"/>
      <c r="X445" s="8" t="n">
        <v>20</v>
      </c>
      <c r="Y445" s="8" t="s">
        <v>2002</v>
      </c>
    </row>
    <row r="446" customFormat="false" ht="15.75" hidden="false" customHeight="true" outlineLevel="0" collapsed="false">
      <c r="A446" s="7" t="s">
        <v>2003</v>
      </c>
      <c r="B446" s="8" t="n">
        <v>2009</v>
      </c>
      <c r="C446" s="8" t="s">
        <v>35</v>
      </c>
      <c r="D446" s="8" t="n">
        <v>162</v>
      </c>
      <c r="E446" s="7" t="s">
        <v>110</v>
      </c>
      <c r="F446" s="8" t="n">
        <v>7.9</v>
      </c>
      <c r="G446" s="8" t="n">
        <v>8</v>
      </c>
      <c r="H446" s="9" t="n">
        <v>1511596</v>
      </c>
      <c r="I446" s="7" t="s">
        <v>153</v>
      </c>
      <c r="J446" s="7" t="s">
        <v>38</v>
      </c>
      <c r="K446" s="7" t="s">
        <v>2004</v>
      </c>
      <c r="L446" s="10" t="s">
        <v>177</v>
      </c>
      <c r="M446" s="7" t="s">
        <v>2005</v>
      </c>
      <c r="N446" s="8" t="n">
        <v>3</v>
      </c>
      <c r="O446" s="8" t="n">
        <v>0</v>
      </c>
      <c r="P446" s="8" t="n">
        <v>0</v>
      </c>
      <c r="Q446" s="8" t="n">
        <v>9</v>
      </c>
      <c r="R446" s="8" t="n">
        <v>0</v>
      </c>
      <c r="S446" s="8" t="n">
        <v>1</v>
      </c>
      <c r="T446" s="8"/>
      <c r="U446" s="11" t="n">
        <f aca="false">O446*4 + P446*2 + MAX(0,N446-O446-P446)*1 + Q446*0.2 + R446*2 + S446*1 + IF(T446="",0,IF(T446&lt;=10,8,IF(T446&lt;=50,6,IF(T446&lt;=100,4,2))))</f>
        <v>5.8</v>
      </c>
      <c r="V446" s="7"/>
      <c r="W446" s="12"/>
      <c r="X446" s="13"/>
      <c r="Y446" s="13" t="s">
        <v>2006</v>
      </c>
    </row>
    <row r="447" customFormat="false" ht="15.75" hidden="false" customHeight="true" outlineLevel="0" collapsed="false">
      <c r="A447" s="7" t="s">
        <v>2007</v>
      </c>
      <c r="B447" s="8" t="n">
        <v>2010</v>
      </c>
      <c r="C447" s="8" t="s">
        <v>176</v>
      </c>
      <c r="D447" s="8" t="n">
        <v>148</v>
      </c>
      <c r="E447" s="7" t="s">
        <v>979</v>
      </c>
      <c r="F447" s="8" t="n">
        <v>8.8</v>
      </c>
      <c r="G447" s="8" t="n">
        <v>9</v>
      </c>
      <c r="H447" s="9" t="n">
        <v>2854677</v>
      </c>
      <c r="I447" s="7" t="s">
        <v>359</v>
      </c>
      <c r="J447" s="7" t="s">
        <v>111</v>
      </c>
      <c r="K447" s="7" t="s">
        <v>131</v>
      </c>
      <c r="L447" s="10" t="s">
        <v>104</v>
      </c>
      <c r="M447" s="7" t="s">
        <v>2008</v>
      </c>
      <c r="N447" s="8" t="n">
        <v>4</v>
      </c>
      <c r="O447" s="8" t="n">
        <v>0</v>
      </c>
      <c r="P447" s="8" t="n">
        <v>0</v>
      </c>
      <c r="Q447" s="8" t="n">
        <v>8</v>
      </c>
      <c r="R447" s="8" t="n">
        <v>0</v>
      </c>
      <c r="S447" s="8" t="n">
        <v>0</v>
      </c>
      <c r="T447" s="8"/>
      <c r="U447" s="11" t="n">
        <f aca="false">O447*4 + P447*2 + MAX(0,N447-O447-P447)*1 + Q447*0.2 + R447*2 + S447*1 + IF(T447="",0,IF(T447&lt;=10,8,IF(T447&lt;=50,6,IF(T447&lt;=100,4,2))))</f>
        <v>5.6</v>
      </c>
      <c r="V447" s="7"/>
      <c r="W447" s="12"/>
      <c r="X447" s="13"/>
      <c r="Y447" s="13" t="s">
        <v>2009</v>
      </c>
    </row>
    <row r="448" customFormat="false" ht="15.75" hidden="false" customHeight="true" outlineLevel="0" collapsed="false">
      <c r="A448" s="7" t="s">
        <v>2010</v>
      </c>
      <c r="B448" s="8" t="n">
        <v>2009</v>
      </c>
      <c r="C448" s="8" t="s">
        <v>35</v>
      </c>
      <c r="D448" s="8" t="n">
        <v>153</v>
      </c>
      <c r="E448" s="7" t="s">
        <v>53</v>
      </c>
      <c r="F448" s="8" t="n">
        <v>8.4</v>
      </c>
      <c r="G448" s="8" t="n">
        <v>9</v>
      </c>
      <c r="H448" s="9" t="n">
        <v>1809428</v>
      </c>
      <c r="I448" s="7" t="s">
        <v>2011</v>
      </c>
      <c r="J448" s="7" t="s">
        <v>154</v>
      </c>
      <c r="K448" s="7" t="s">
        <v>47</v>
      </c>
      <c r="L448" s="10" t="s">
        <v>113</v>
      </c>
      <c r="M448" s="7" t="s">
        <v>2012</v>
      </c>
      <c r="N448" s="8" t="n">
        <v>1</v>
      </c>
      <c r="O448" s="8" t="n">
        <v>0</v>
      </c>
      <c r="P448" s="8" t="n">
        <v>0</v>
      </c>
      <c r="Q448" s="8" t="n">
        <v>8</v>
      </c>
      <c r="R448" s="8" t="n">
        <v>0</v>
      </c>
      <c r="S448" s="8" t="n">
        <v>0</v>
      </c>
      <c r="T448" s="8"/>
      <c r="U448" s="11" t="n">
        <f aca="false">O448*4 + P448*2 + MAX(0,N448-O448-P448)*1 + Q448*0.2 + R448*2 + S448*1 + IF(T448="",0,IF(T448&lt;=10,8,IF(T448&lt;=50,6,IF(T448&lt;=100,4,2))))</f>
        <v>2.6</v>
      </c>
      <c r="V448" s="10" t="s">
        <v>2013</v>
      </c>
      <c r="W448" s="12"/>
      <c r="X448" s="8" t="n">
        <v>111</v>
      </c>
      <c r="Y448" s="8" t="s">
        <v>2014</v>
      </c>
    </row>
    <row r="449" customFormat="false" ht="15.75" hidden="false" customHeight="true" outlineLevel="0" collapsed="false">
      <c r="A449" s="7" t="s">
        <v>2015</v>
      </c>
      <c r="B449" s="8" t="n">
        <v>2001</v>
      </c>
      <c r="C449" s="8" t="s">
        <v>35</v>
      </c>
      <c r="D449" s="8" t="n">
        <v>122</v>
      </c>
      <c r="E449" s="7" t="s">
        <v>2016</v>
      </c>
      <c r="F449" s="8" t="n">
        <v>8.2</v>
      </c>
      <c r="G449" s="8" t="n">
        <v>8</v>
      </c>
      <c r="H449" s="9" t="n">
        <v>844969</v>
      </c>
      <c r="I449" s="7" t="s">
        <v>2017</v>
      </c>
      <c r="J449" s="7" t="s">
        <v>29</v>
      </c>
      <c r="K449" s="7" t="s">
        <v>30</v>
      </c>
      <c r="L449" s="10"/>
      <c r="M449" s="7" t="s">
        <v>2018</v>
      </c>
      <c r="N449" s="8" t="n">
        <v>0</v>
      </c>
      <c r="O449" s="8" t="n">
        <v>0</v>
      </c>
      <c r="P449" s="8" t="n">
        <v>0</v>
      </c>
      <c r="Q449" s="8" t="n">
        <v>5</v>
      </c>
      <c r="R449" s="8" t="n">
        <v>0</v>
      </c>
      <c r="S449" s="8" t="n">
        <v>0</v>
      </c>
      <c r="T449" s="8"/>
      <c r="U449" s="11" t="n">
        <f aca="false">O449*4 + P449*2 + MAX(0,N449-O449-P449)*1 + Q449*0.2 + R449*2 + S449*1 + IF(T449="",0,IF(T449&lt;=10,8,IF(T449&lt;=50,6,IF(T449&lt;=100,4,2))))</f>
        <v>1</v>
      </c>
      <c r="V449" s="7"/>
      <c r="W449" s="12"/>
      <c r="X449" s="13"/>
      <c r="Y449" s="13" t="s">
        <v>2019</v>
      </c>
    </row>
    <row r="450" customFormat="false" ht="15.75" hidden="false" customHeight="true" outlineLevel="0" collapsed="false">
      <c r="A450" s="7" t="s">
        <v>2020</v>
      </c>
      <c r="B450" s="8" t="n">
        <v>2001</v>
      </c>
      <c r="C450" s="8" t="s">
        <v>35</v>
      </c>
      <c r="D450" s="8" t="n">
        <v>90</v>
      </c>
      <c r="E450" s="7" t="s">
        <v>2021</v>
      </c>
      <c r="F450" s="8" t="n">
        <v>7.9</v>
      </c>
      <c r="G450" s="8" t="n">
        <v>8</v>
      </c>
      <c r="H450" s="9" t="n">
        <v>818475</v>
      </c>
      <c r="I450" s="7" t="s">
        <v>46</v>
      </c>
      <c r="J450" s="7" t="s">
        <v>579</v>
      </c>
      <c r="K450" s="7" t="s">
        <v>2022</v>
      </c>
      <c r="L450" s="10" t="s">
        <v>2023</v>
      </c>
      <c r="M450" s="7" t="s">
        <v>2024</v>
      </c>
      <c r="N450" s="8" t="n">
        <v>1</v>
      </c>
      <c r="O450" s="8" t="n">
        <v>0</v>
      </c>
      <c r="P450" s="8" t="n">
        <v>0</v>
      </c>
      <c r="Q450" s="8" t="n">
        <v>2</v>
      </c>
      <c r="R450" s="8" t="n">
        <v>0</v>
      </c>
      <c r="S450" s="8" t="n">
        <v>0</v>
      </c>
      <c r="T450" s="13"/>
      <c r="U450" s="11" t="n">
        <f aca="false">O450*4 + P450*2 + MAX(0,N450-O450-P450)*1 + Q450*0.2 + R450*2 + S450*1 + IF(T450="",0,IF(T450&lt;=10,8,IF(T450&lt;=50,6,IF(T450&lt;=100,4,2))))</f>
        <v>1.4</v>
      </c>
      <c r="V450" s="7"/>
      <c r="W450" s="12"/>
      <c r="X450" s="13"/>
      <c r="Y450" s="13" t="s">
        <v>2025</v>
      </c>
    </row>
    <row r="451" customFormat="false" ht="15.75" hidden="false" customHeight="true" outlineLevel="0" collapsed="false">
      <c r="A451" s="7" t="s">
        <v>2026</v>
      </c>
      <c r="B451" s="8" t="n">
        <v>2008</v>
      </c>
      <c r="C451" s="8" t="s">
        <v>35</v>
      </c>
      <c r="D451" s="8" t="n">
        <v>152</v>
      </c>
      <c r="E451" s="7" t="s">
        <v>979</v>
      </c>
      <c r="F451" s="8" t="n">
        <v>9.1</v>
      </c>
      <c r="G451" s="8" t="n">
        <v>9</v>
      </c>
      <c r="H451" s="9" t="n">
        <v>3210849</v>
      </c>
      <c r="I451" s="7" t="s">
        <v>359</v>
      </c>
      <c r="J451" s="7" t="s">
        <v>131</v>
      </c>
      <c r="K451" s="7" t="s">
        <v>54</v>
      </c>
      <c r="L451" s="10" t="s">
        <v>2027</v>
      </c>
      <c r="M451" s="7" t="s">
        <v>2028</v>
      </c>
      <c r="N451" s="8" t="n">
        <v>2</v>
      </c>
      <c r="O451" s="8" t="n">
        <v>0</v>
      </c>
      <c r="P451" s="8" t="n">
        <v>0</v>
      </c>
      <c r="Q451" s="8" t="n">
        <v>8</v>
      </c>
      <c r="R451" s="8" t="n">
        <v>0</v>
      </c>
      <c r="S451" s="8" t="n">
        <v>0</v>
      </c>
      <c r="T451" s="8"/>
      <c r="U451" s="11" t="n">
        <f aca="false">O451*4 + P451*2 + MAX(0,N451-O451-P451)*1 + Q451*0.2 + R451*2 + S451*1 + IF(T451="",0,IF(T451&lt;=10,8,IF(T451&lt;=50,6,IF(T451&lt;=100,4,2))))</f>
        <v>3.6</v>
      </c>
      <c r="V451" s="10" t="s">
        <v>2029</v>
      </c>
      <c r="W451" s="12"/>
      <c r="X451" s="8" t="n">
        <v>59</v>
      </c>
      <c r="Y451" s="8" t="s">
        <v>2030</v>
      </c>
    </row>
    <row r="452" customFormat="false" ht="15.75" hidden="false" customHeight="true" outlineLevel="0" collapsed="false">
      <c r="A452" s="7" t="s">
        <v>2031</v>
      </c>
      <c r="B452" s="8" t="n">
        <v>2003</v>
      </c>
      <c r="C452" s="8" t="s">
        <v>35</v>
      </c>
      <c r="D452" s="8" t="n">
        <v>143</v>
      </c>
      <c r="E452" s="7" t="s">
        <v>2032</v>
      </c>
      <c r="F452" s="8" t="n">
        <v>8.1</v>
      </c>
      <c r="G452" s="8" t="n">
        <v>9</v>
      </c>
      <c r="H452" s="9" t="n">
        <v>1340407</v>
      </c>
      <c r="I452" s="7" t="s">
        <v>46</v>
      </c>
      <c r="J452" s="7" t="s">
        <v>38</v>
      </c>
      <c r="K452" s="7" t="s">
        <v>112</v>
      </c>
      <c r="L452" s="10" t="s">
        <v>177</v>
      </c>
      <c r="M452" s="7" t="s">
        <v>2033</v>
      </c>
      <c r="N452" s="8" t="n">
        <v>0</v>
      </c>
      <c r="O452" s="8" t="n">
        <v>0</v>
      </c>
      <c r="P452" s="8" t="n">
        <v>0</v>
      </c>
      <c r="Q452" s="8" t="n">
        <v>5</v>
      </c>
      <c r="R452" s="8" t="n">
        <v>0</v>
      </c>
      <c r="S452" s="8" t="n">
        <v>0</v>
      </c>
      <c r="T452" s="8"/>
      <c r="U452" s="11" t="n">
        <f aca="false">O452*4 + P452*2 + MAX(0,N452-O452-P452)*1 + Q452*0.2 + R452*2 + S452*1 + IF(T452="",0,IF(T452&lt;=10,8,IF(T452&lt;=50,6,IF(T452&lt;=100,4,2))))</f>
        <v>1</v>
      </c>
      <c r="V452" s="7"/>
      <c r="W452" s="12"/>
      <c r="X452" s="13"/>
      <c r="Y452" s="13" t="s">
        <v>2034</v>
      </c>
    </row>
    <row r="453" customFormat="false" ht="15.75" hidden="false" customHeight="true" outlineLevel="0" collapsed="false">
      <c r="A453" s="7" t="s">
        <v>2035</v>
      </c>
      <c r="B453" s="8" t="n">
        <v>2001</v>
      </c>
      <c r="C453" s="8" t="s">
        <v>35</v>
      </c>
      <c r="D453" s="8" t="n">
        <v>104</v>
      </c>
      <c r="E453" s="7" t="s">
        <v>231</v>
      </c>
      <c r="F453" s="8" t="n">
        <v>7.6</v>
      </c>
      <c r="G453" s="8" t="n">
        <v>9</v>
      </c>
      <c r="H453" s="9" t="n">
        <v>430339</v>
      </c>
      <c r="I453" s="7" t="s">
        <v>2036</v>
      </c>
      <c r="J453" s="7" t="s">
        <v>147</v>
      </c>
      <c r="K453" s="7" t="s">
        <v>125</v>
      </c>
      <c r="L453" s="10" t="s">
        <v>2037</v>
      </c>
      <c r="M453" s="7" t="s">
        <v>2038</v>
      </c>
      <c r="N453" s="8" t="n">
        <v>0</v>
      </c>
      <c r="O453" s="8" t="n">
        <v>0</v>
      </c>
      <c r="P453" s="8" t="n">
        <v>0</v>
      </c>
      <c r="Q453" s="8" t="n">
        <v>0</v>
      </c>
      <c r="R453" s="13" t="n">
        <v>0</v>
      </c>
      <c r="S453" s="13" t="n">
        <v>0</v>
      </c>
      <c r="T453" s="13"/>
      <c r="U453" s="11" t="n">
        <f aca="false">O453*4 + P453*2 + MAX(0,N453-O453-P453)*1 + Q453*0.2 + R453*2 + S453*1 + IF(T453="",0,IF(T453&lt;=10,8,IF(T453&lt;=50,6,IF(T453&lt;=100,4,2))))</f>
        <v>0</v>
      </c>
      <c r="V453" s="7"/>
      <c r="W453" s="12"/>
      <c r="X453" s="13"/>
      <c r="Y453" s="13" t="s">
        <v>2039</v>
      </c>
    </row>
    <row r="454" customFormat="false" ht="15.75" hidden="false" customHeight="true" outlineLevel="0" collapsed="false">
      <c r="A454" s="7" t="s">
        <v>2040</v>
      </c>
      <c r="B454" s="8" t="n">
        <v>2000</v>
      </c>
      <c r="C454" s="8" t="s">
        <v>35</v>
      </c>
      <c r="D454" s="8" t="n">
        <v>113</v>
      </c>
      <c r="E454" s="7" t="s">
        <v>979</v>
      </c>
      <c r="F454" s="8" t="n">
        <v>8.4</v>
      </c>
      <c r="G454" s="8" t="n">
        <v>8</v>
      </c>
      <c r="H454" s="9" t="n">
        <v>1452903</v>
      </c>
      <c r="I454" s="7" t="s">
        <v>46</v>
      </c>
      <c r="J454" s="7" t="s">
        <v>131</v>
      </c>
      <c r="K454" s="7" t="s">
        <v>483</v>
      </c>
      <c r="L454" s="10" t="s">
        <v>2041</v>
      </c>
      <c r="M454" s="7" t="s">
        <v>2042</v>
      </c>
      <c r="N454" s="8" t="n">
        <v>0</v>
      </c>
      <c r="O454" s="8" t="n">
        <v>0</v>
      </c>
      <c r="P454" s="8" t="n">
        <v>0</v>
      </c>
      <c r="Q454" s="8" t="n">
        <v>2</v>
      </c>
      <c r="R454" s="8" t="n">
        <v>0</v>
      </c>
      <c r="S454" s="8" t="n">
        <v>0</v>
      </c>
      <c r="T454" s="8"/>
      <c r="U454" s="11" t="n">
        <f aca="false">O454*4 + P454*2 + MAX(0,N454-O454-P454)*1 + Q454*0.2 + R454*2 + S454*1 + IF(T454="",0,IF(T454&lt;=10,8,IF(T454&lt;=50,6,IF(T454&lt;=100,4,2))))</f>
        <v>0.4</v>
      </c>
      <c r="V454" s="7"/>
      <c r="W454" s="12"/>
      <c r="X454" s="13"/>
      <c r="Y454" s="13" t="s">
        <v>2043</v>
      </c>
    </row>
    <row r="455" customFormat="false" ht="15.75" hidden="false" customHeight="true" outlineLevel="0" collapsed="false">
      <c r="A455" s="7" t="n">
        <v>300</v>
      </c>
      <c r="B455" s="8" t="n">
        <v>2006</v>
      </c>
      <c r="C455" s="8" t="s">
        <v>35</v>
      </c>
      <c r="D455" s="8" t="n">
        <v>117</v>
      </c>
      <c r="E455" s="7" t="s">
        <v>2044</v>
      </c>
      <c r="F455" s="8" t="n">
        <v>7.6</v>
      </c>
      <c r="G455" s="8" t="n">
        <v>8</v>
      </c>
      <c r="H455" s="9" t="n">
        <v>919316</v>
      </c>
      <c r="I455" s="7" t="s">
        <v>46</v>
      </c>
      <c r="J455" s="7" t="s">
        <v>112</v>
      </c>
      <c r="K455" s="7" t="s">
        <v>47</v>
      </c>
      <c r="L455" s="10" t="s">
        <v>587</v>
      </c>
      <c r="M455" s="7" t="s">
        <v>2045</v>
      </c>
      <c r="N455" s="8" t="n">
        <v>0</v>
      </c>
      <c r="O455" s="8" t="n">
        <v>0</v>
      </c>
      <c r="P455" s="8" t="n">
        <v>0</v>
      </c>
      <c r="Q455" s="8" t="n">
        <v>0</v>
      </c>
      <c r="R455" s="8" t="n">
        <v>0</v>
      </c>
      <c r="S455" s="13" t="n">
        <v>0</v>
      </c>
      <c r="T455" s="8"/>
      <c r="U455" s="11" t="n">
        <f aca="false">O455*4 + P455*2 + MAX(0,N455-O455-P455)*1 + Q455*0.2 + R455*2 + S455*1 + IF(T455="",0,IF(T455&lt;=10,8,IF(T455&lt;=50,6,IF(T455&lt;=100,4,2))))</f>
        <v>0</v>
      </c>
      <c r="V455" s="7"/>
      <c r="W455" s="12"/>
      <c r="X455" s="13"/>
      <c r="Y455" s="13" t="s">
        <v>2046</v>
      </c>
    </row>
    <row r="456" customFormat="false" ht="15.75" hidden="false" customHeight="true" outlineLevel="0" collapsed="false">
      <c r="A456" s="7" t="s">
        <v>2047</v>
      </c>
      <c r="B456" s="8" t="n">
        <v>2001</v>
      </c>
      <c r="C456" s="8" t="s">
        <v>35</v>
      </c>
      <c r="D456" s="8" t="n">
        <v>92</v>
      </c>
      <c r="E456" s="7" t="s">
        <v>2048</v>
      </c>
      <c r="F456" s="8" t="n">
        <v>8.1</v>
      </c>
      <c r="G456" s="8" t="n">
        <v>8</v>
      </c>
      <c r="H456" s="9" t="n">
        <v>1086986</v>
      </c>
      <c r="I456" s="7" t="s">
        <v>46</v>
      </c>
      <c r="J456" s="7" t="s">
        <v>579</v>
      </c>
      <c r="K456" s="7" t="s">
        <v>39</v>
      </c>
      <c r="L456" s="10" t="s">
        <v>177</v>
      </c>
      <c r="M456" s="7" t="s">
        <v>2049</v>
      </c>
      <c r="N456" s="8" t="n">
        <v>1</v>
      </c>
      <c r="O456" s="8" t="n">
        <v>0</v>
      </c>
      <c r="P456" s="8" t="n">
        <v>0</v>
      </c>
      <c r="Q456" s="8" t="n">
        <v>4</v>
      </c>
      <c r="R456" s="8" t="n">
        <v>0</v>
      </c>
      <c r="S456" s="8" t="n">
        <v>0</v>
      </c>
      <c r="T456" s="8"/>
      <c r="U456" s="11" t="n">
        <f aca="false">O456*4 + P456*2 + MAX(0,N456-O456-P456)*1 + Q456*0.2 + R456*2 + S456*1 + IF(T456="",0,IF(T456&lt;=10,8,IF(T456&lt;=50,6,IF(T456&lt;=100,4,2))))</f>
        <v>1.8</v>
      </c>
      <c r="V456" s="7"/>
      <c r="W456" s="12"/>
      <c r="X456" s="13"/>
      <c r="Y456" s="13" t="s">
        <v>2050</v>
      </c>
    </row>
    <row r="457" customFormat="false" ht="15.75" hidden="false" customHeight="true" outlineLevel="0" collapsed="false">
      <c r="A457" s="7" t="s">
        <v>2051</v>
      </c>
      <c r="B457" s="8" t="n">
        <v>2009</v>
      </c>
      <c r="C457" s="8" t="s">
        <v>35</v>
      </c>
      <c r="D457" s="8" t="n">
        <v>96</v>
      </c>
      <c r="E457" s="7" t="s">
        <v>2052</v>
      </c>
      <c r="F457" s="8" t="n">
        <v>8.3</v>
      </c>
      <c r="G457" s="8" t="n">
        <v>8</v>
      </c>
      <c r="H457" s="9" t="n">
        <v>1250598</v>
      </c>
      <c r="I457" s="7" t="s">
        <v>46</v>
      </c>
      <c r="J457" s="7" t="s">
        <v>579</v>
      </c>
      <c r="K457" s="7" t="s">
        <v>39</v>
      </c>
      <c r="L457" s="10" t="s">
        <v>177</v>
      </c>
      <c r="M457" s="7" t="s">
        <v>2053</v>
      </c>
      <c r="N457" s="8" t="n">
        <v>2</v>
      </c>
      <c r="O457" s="8" t="n">
        <v>0</v>
      </c>
      <c r="P457" s="8" t="n">
        <v>0</v>
      </c>
      <c r="Q457" s="8" t="n">
        <v>5</v>
      </c>
      <c r="R457" s="8" t="n">
        <v>0</v>
      </c>
      <c r="S457" s="8" t="n">
        <v>0</v>
      </c>
      <c r="T457" s="8"/>
      <c r="U457" s="11" t="n">
        <f aca="false">O457*4 + P457*2 + MAX(0,N457-O457-P457)*1 + Q457*0.2 + R457*2 + S457*1 + IF(T457="",0,IF(T457&lt;=10,8,IF(T457&lt;=50,6,IF(T457&lt;=100,4,2))))</f>
        <v>3</v>
      </c>
      <c r="V457" s="7"/>
      <c r="W457" s="12"/>
      <c r="X457" s="13"/>
      <c r="Y457" s="13" t="s">
        <v>2054</v>
      </c>
    </row>
    <row r="458" customFormat="false" ht="15.75" hidden="false" customHeight="true" outlineLevel="0" collapsed="false">
      <c r="A458" s="7" t="s">
        <v>2055</v>
      </c>
      <c r="B458" s="8" t="n">
        <v>2003</v>
      </c>
      <c r="C458" s="8" t="s">
        <v>35</v>
      </c>
      <c r="D458" s="8" t="n">
        <v>100</v>
      </c>
      <c r="E458" s="7" t="s">
        <v>2056</v>
      </c>
      <c r="F458" s="8" t="n">
        <v>8.2</v>
      </c>
      <c r="G458" s="8" t="n">
        <v>7</v>
      </c>
      <c r="H458" s="9" t="n">
        <v>1220683</v>
      </c>
      <c r="I458" s="7" t="s">
        <v>46</v>
      </c>
      <c r="J458" s="7" t="s">
        <v>579</v>
      </c>
      <c r="K458" s="7" t="s">
        <v>39</v>
      </c>
      <c r="L458" s="10" t="s">
        <v>177</v>
      </c>
      <c r="M458" s="7" t="s">
        <v>2057</v>
      </c>
      <c r="N458" s="8" t="n">
        <v>1</v>
      </c>
      <c r="O458" s="8" t="n">
        <v>0</v>
      </c>
      <c r="P458" s="8" t="n">
        <v>0</v>
      </c>
      <c r="Q458" s="8" t="n">
        <v>4</v>
      </c>
      <c r="R458" s="8" t="n">
        <v>0</v>
      </c>
      <c r="S458" s="8" t="n">
        <v>0</v>
      </c>
      <c r="T458" s="8"/>
      <c r="U458" s="11" t="n">
        <f aca="false">O458*4 + P458*2 + MAX(0,N458-O458-P458)*1 + Q458*0.2 + R458*2 + S458*1 + IF(T458="",0,IF(T458&lt;=10,8,IF(T458&lt;=50,6,IF(T458&lt;=100,4,2))))</f>
        <v>1.8</v>
      </c>
      <c r="V458" s="7"/>
      <c r="W458" s="12"/>
      <c r="X458" s="13"/>
      <c r="Y458" s="13" t="s">
        <v>2058</v>
      </c>
    </row>
    <row r="459" customFormat="false" ht="15.75" hidden="false" customHeight="true" outlineLevel="0" collapsed="false">
      <c r="A459" s="7" t="s">
        <v>2059</v>
      </c>
      <c r="B459" s="8" t="n">
        <v>2004</v>
      </c>
      <c r="C459" s="8" t="s">
        <v>35</v>
      </c>
      <c r="D459" s="8" t="n">
        <v>137</v>
      </c>
      <c r="E459" s="7" t="s">
        <v>53</v>
      </c>
      <c r="F459" s="8" t="n">
        <v>8</v>
      </c>
      <c r="G459" s="8" t="n">
        <v>9</v>
      </c>
      <c r="H459" s="9" t="n">
        <v>877276</v>
      </c>
      <c r="I459" s="7" t="s">
        <v>46</v>
      </c>
      <c r="J459" s="7" t="s">
        <v>131</v>
      </c>
      <c r="K459" s="7" t="s">
        <v>54</v>
      </c>
      <c r="L459" s="10" t="s">
        <v>847</v>
      </c>
      <c r="M459" s="7" t="s">
        <v>2060</v>
      </c>
      <c r="N459" s="8" t="n">
        <v>0</v>
      </c>
      <c r="O459" s="8" t="n">
        <v>0</v>
      </c>
      <c r="P459" s="8" t="n">
        <v>0</v>
      </c>
      <c r="Q459" s="8" t="n">
        <v>0</v>
      </c>
      <c r="R459" s="8" t="n">
        <v>0</v>
      </c>
      <c r="S459" s="13" t="n">
        <v>0</v>
      </c>
      <c r="T459" s="8"/>
      <c r="U459" s="11" t="n">
        <f aca="false">O459*4 + P459*2 + MAX(0,N459-O459-P459)*1 + Q459*0.2 + R459*2 + S459*1 + IF(T459="",0,IF(T459&lt;=10,8,IF(T459&lt;=50,6,IF(T459&lt;=100,4,2))))</f>
        <v>0</v>
      </c>
      <c r="V459" s="7"/>
      <c r="W459" s="12"/>
      <c r="X459" s="13"/>
      <c r="Y459" s="13" t="s">
        <v>2061</v>
      </c>
    </row>
    <row r="460" customFormat="false" ht="15.75" hidden="false" customHeight="true" outlineLevel="0" collapsed="false">
      <c r="A460" s="7" t="s">
        <v>2062</v>
      </c>
      <c r="B460" s="8" t="n">
        <v>2003</v>
      </c>
      <c r="C460" s="8" t="s">
        <v>35</v>
      </c>
      <c r="D460" s="8" t="n">
        <v>138</v>
      </c>
      <c r="E460" s="7" t="s">
        <v>74</v>
      </c>
      <c r="F460" s="8" t="n">
        <v>7.9</v>
      </c>
      <c r="G460" s="8" t="n">
        <v>8</v>
      </c>
      <c r="H460" s="9" t="n">
        <v>528474</v>
      </c>
      <c r="I460" s="7" t="s">
        <v>46</v>
      </c>
      <c r="J460" s="7" t="s">
        <v>47</v>
      </c>
      <c r="K460" s="7" t="s">
        <v>54</v>
      </c>
      <c r="L460" s="10" t="s">
        <v>238</v>
      </c>
      <c r="M460" s="7" t="s">
        <v>2063</v>
      </c>
      <c r="N460" s="8" t="n">
        <v>2</v>
      </c>
      <c r="O460" s="8" t="n">
        <v>0</v>
      </c>
      <c r="P460" s="8" t="n">
        <v>0</v>
      </c>
      <c r="Q460" s="8" t="n">
        <v>6</v>
      </c>
      <c r="R460" s="8" t="n">
        <v>0</v>
      </c>
      <c r="S460" s="8" t="n">
        <v>0</v>
      </c>
      <c r="T460" s="8"/>
      <c r="U460" s="11" t="n">
        <f aca="false">O460*4 + P460*2 + MAX(0,N460-O460-P460)*1 + Q460*0.2 + R460*2 + S460*1 + IF(T460="",0,IF(T460&lt;=10,8,IF(T460&lt;=50,6,IF(T460&lt;=100,4,2))))</f>
        <v>3.2</v>
      </c>
      <c r="V460" s="10" t="s">
        <v>2064</v>
      </c>
      <c r="W460" s="12"/>
      <c r="X460" s="8" t="n">
        <v>30</v>
      </c>
      <c r="Y460" s="8" t="s">
        <v>2065</v>
      </c>
    </row>
    <row r="461" customFormat="false" ht="15.75" hidden="false" customHeight="true" outlineLevel="0" collapsed="false">
      <c r="A461" s="7" t="s">
        <v>2066</v>
      </c>
      <c r="B461" s="8" t="n">
        <v>2006</v>
      </c>
      <c r="C461" s="8" t="s">
        <v>35</v>
      </c>
      <c r="D461" s="8" t="n">
        <v>151</v>
      </c>
      <c r="E461" s="7" t="s">
        <v>165</v>
      </c>
      <c r="F461" s="8" t="n">
        <v>8.5</v>
      </c>
      <c r="G461" s="8" t="n">
        <v>9</v>
      </c>
      <c r="H461" s="9" t="n">
        <v>1571262</v>
      </c>
      <c r="I461" s="7" t="s">
        <v>2067</v>
      </c>
      <c r="J461" s="7" t="s">
        <v>131</v>
      </c>
      <c r="K461" s="7" t="s">
        <v>54</v>
      </c>
      <c r="L461" s="10"/>
      <c r="M461" s="7" t="s">
        <v>2068</v>
      </c>
      <c r="N461" s="8" t="n">
        <v>4</v>
      </c>
      <c r="O461" s="8" t="n">
        <v>1</v>
      </c>
      <c r="P461" s="8" t="n">
        <v>1</v>
      </c>
      <c r="Q461" s="8" t="n">
        <v>5</v>
      </c>
      <c r="R461" s="8" t="n">
        <v>0</v>
      </c>
      <c r="S461" s="8" t="n">
        <v>0</v>
      </c>
      <c r="T461" s="8"/>
      <c r="U461" s="11" t="n">
        <f aca="false">O461*4 + P461*2 + MAX(0,N461-O461-P461)*1 + Q461*0.2 + R461*2 + S461*1 + IF(T461="",0,IF(T461&lt;=10,8,IF(T461&lt;=50,6,IF(T461&lt;=100,4,2))))</f>
        <v>9</v>
      </c>
      <c r="V461" s="7"/>
      <c r="W461" s="12"/>
      <c r="X461" s="13"/>
      <c r="Y461" s="13" t="s">
        <v>2069</v>
      </c>
    </row>
    <row r="462" customFormat="false" ht="15.75" hidden="false" customHeight="true" outlineLevel="0" collapsed="false">
      <c r="A462" s="7" t="s">
        <v>2070</v>
      </c>
      <c r="B462" s="8" t="n">
        <v>2000</v>
      </c>
      <c r="C462" s="8" t="s">
        <v>35</v>
      </c>
      <c r="D462" s="8" t="n">
        <v>102</v>
      </c>
      <c r="E462" s="7" t="s">
        <v>1196</v>
      </c>
      <c r="F462" s="8" t="n">
        <v>8.2</v>
      </c>
      <c r="G462" s="8" t="n">
        <v>8</v>
      </c>
      <c r="H462" s="9" t="n">
        <v>982830</v>
      </c>
      <c r="I462" s="7" t="s">
        <v>359</v>
      </c>
      <c r="J462" s="7" t="s">
        <v>30</v>
      </c>
      <c r="K462" s="7" t="s">
        <v>54</v>
      </c>
      <c r="L462" s="10"/>
      <c r="M462" s="7" t="s">
        <v>2071</v>
      </c>
      <c r="N462" s="8" t="n">
        <v>0</v>
      </c>
      <c r="O462" s="8" t="n">
        <v>0</v>
      </c>
      <c r="P462" s="8" t="n">
        <v>0</v>
      </c>
      <c r="Q462" s="8" t="n">
        <v>0</v>
      </c>
      <c r="R462" s="8" t="n">
        <v>0</v>
      </c>
      <c r="S462" s="13" t="n">
        <v>0</v>
      </c>
      <c r="T462" s="8"/>
      <c r="U462" s="11" t="n">
        <f aca="false">O462*4 + P462*2 + MAX(0,N462-O462-P462)*1 + Q462*0.2 + R462*2 + S462*1 + IF(T462="",0,IF(T462&lt;=10,8,IF(T462&lt;=50,6,IF(T462&lt;=100,4,2))))</f>
        <v>0</v>
      </c>
      <c r="V462" s="7"/>
      <c r="W462" s="12"/>
      <c r="X462" s="13"/>
      <c r="Y462" s="13" t="s">
        <v>2072</v>
      </c>
    </row>
    <row r="463" customFormat="false" ht="15.75" hidden="false" customHeight="true" outlineLevel="0" collapsed="false">
      <c r="A463" s="7" t="s">
        <v>2073</v>
      </c>
      <c r="B463" s="8" t="n">
        <v>2008</v>
      </c>
      <c r="C463" s="8" t="s">
        <v>35</v>
      </c>
      <c r="D463" s="8" t="n">
        <v>120</v>
      </c>
      <c r="E463" s="7" t="s">
        <v>2074</v>
      </c>
      <c r="F463" s="8" t="n">
        <v>8</v>
      </c>
      <c r="G463" s="8" t="n">
        <v>7</v>
      </c>
      <c r="H463" s="9" t="n">
        <v>913792</v>
      </c>
      <c r="I463" s="7" t="s">
        <v>2075</v>
      </c>
      <c r="J463" s="7" t="s">
        <v>29</v>
      </c>
      <c r="K463" s="7" t="s">
        <v>54</v>
      </c>
      <c r="L463" s="10" t="s">
        <v>507</v>
      </c>
      <c r="M463" s="7" t="s">
        <v>2076</v>
      </c>
      <c r="N463" s="8" t="n">
        <v>8</v>
      </c>
      <c r="O463" s="8" t="n">
        <v>1</v>
      </c>
      <c r="P463" s="8" t="n">
        <v>1</v>
      </c>
      <c r="Q463" s="8" t="n">
        <v>10</v>
      </c>
      <c r="R463" s="8" t="n">
        <v>0</v>
      </c>
      <c r="S463" s="8" t="n">
        <v>1</v>
      </c>
      <c r="T463" s="8"/>
      <c r="U463" s="11" t="n">
        <f aca="false">O463*4 + P463*2 + MAX(0,N463-O463-P463)*1 + Q463*0.2 + R463*2 + S463*1 + IF(T463="",0,IF(T463&lt;=10,8,IF(T463&lt;=50,6,IF(T463&lt;=100,4,2))))</f>
        <v>15</v>
      </c>
      <c r="V463" s="7"/>
      <c r="W463" s="12"/>
      <c r="X463" s="13"/>
      <c r="Y463" s="13" t="s">
        <v>2077</v>
      </c>
    </row>
    <row r="464" customFormat="false" ht="15.75" hidden="false" customHeight="true" outlineLevel="0" collapsed="false">
      <c r="A464" s="7" t="s">
        <v>2078</v>
      </c>
      <c r="B464" s="8" t="n">
        <v>2003</v>
      </c>
      <c r="C464" s="8" t="s">
        <v>35</v>
      </c>
      <c r="D464" s="8" t="n">
        <v>125</v>
      </c>
      <c r="E464" s="7" t="s">
        <v>561</v>
      </c>
      <c r="F464" s="8" t="n">
        <v>7.9</v>
      </c>
      <c r="G464" s="8" t="n">
        <v>6</v>
      </c>
      <c r="H464" s="9" t="n">
        <v>479160</v>
      </c>
      <c r="I464" s="7" t="s">
        <v>46</v>
      </c>
      <c r="J464" s="7" t="s">
        <v>38</v>
      </c>
      <c r="K464" s="7" t="s">
        <v>259</v>
      </c>
      <c r="L464" s="10" t="s">
        <v>210</v>
      </c>
      <c r="M464" s="7" t="s">
        <v>2079</v>
      </c>
      <c r="N464" s="8" t="n">
        <v>0</v>
      </c>
      <c r="O464" s="8" t="n">
        <v>0</v>
      </c>
      <c r="P464" s="8" t="n">
        <v>0</v>
      </c>
      <c r="Q464" s="8" t="n">
        <v>1</v>
      </c>
      <c r="R464" s="8" t="n">
        <v>0</v>
      </c>
      <c r="S464" s="8" t="n">
        <v>0</v>
      </c>
      <c r="T464" s="13"/>
      <c r="U464" s="11" t="n">
        <f aca="false">O464*4 + P464*2 + MAX(0,N464-O464-P464)*1 + Q464*0.2 + R464*2 + S464*1 + IF(T464="",0,IF(T464&lt;=10,8,IF(T464&lt;=50,6,IF(T464&lt;=100,4,2))))</f>
        <v>0.2</v>
      </c>
      <c r="V464" s="7"/>
      <c r="W464" s="12"/>
      <c r="X464" s="13"/>
      <c r="Y464" s="13" t="s">
        <v>2080</v>
      </c>
    </row>
    <row r="465" customFormat="false" ht="15.75" hidden="false" customHeight="true" outlineLevel="0" collapsed="false">
      <c r="A465" s="7" t="s">
        <v>2081</v>
      </c>
      <c r="B465" s="8" t="n">
        <v>2005</v>
      </c>
      <c r="C465" s="8" t="s">
        <v>35</v>
      </c>
      <c r="D465" s="8" t="n">
        <v>132</v>
      </c>
      <c r="E465" s="7" t="s">
        <v>2082</v>
      </c>
      <c r="F465" s="8" t="n">
        <v>8.1</v>
      </c>
      <c r="G465" s="8" t="n">
        <v>7</v>
      </c>
      <c r="H465" s="9" t="n">
        <v>1253367</v>
      </c>
      <c r="I465" s="7" t="s">
        <v>2083</v>
      </c>
      <c r="J465" s="7" t="s">
        <v>111</v>
      </c>
      <c r="K465" s="7" t="s">
        <v>112</v>
      </c>
      <c r="L465" s="10"/>
      <c r="M465" s="7" t="s">
        <v>2084</v>
      </c>
      <c r="N465" s="8" t="n">
        <v>0</v>
      </c>
      <c r="O465" s="8" t="n">
        <v>0</v>
      </c>
      <c r="P465" s="8" t="n">
        <v>0</v>
      </c>
      <c r="Q465" s="8" t="n">
        <v>0</v>
      </c>
      <c r="R465" s="8" t="n">
        <v>0</v>
      </c>
      <c r="S465" s="13" t="n">
        <v>0</v>
      </c>
      <c r="T465" s="8"/>
      <c r="U465" s="11" t="n">
        <f aca="false">O465*4 + P465*2 + MAX(0,N465-O465-P465)*1 + Q465*0.2 + R465*2 + S465*1 + IF(T465="",0,IF(T465&lt;=10,8,IF(T465&lt;=50,6,IF(T465&lt;=100,4,2))))</f>
        <v>0</v>
      </c>
      <c r="V465" s="7"/>
      <c r="W465" s="12"/>
      <c r="X465" s="13"/>
      <c r="Y465" s="13" t="s">
        <v>2085</v>
      </c>
    </row>
    <row r="466" customFormat="false" ht="15.75" hidden="false" customHeight="true" outlineLevel="0" collapsed="false">
      <c r="A466" s="7" t="s">
        <v>2086</v>
      </c>
      <c r="B466" s="8" t="n">
        <v>2004</v>
      </c>
      <c r="C466" s="8" t="s">
        <v>35</v>
      </c>
      <c r="D466" s="8" t="n">
        <v>93</v>
      </c>
      <c r="E466" s="7" t="s">
        <v>2087</v>
      </c>
      <c r="F466" s="8" t="n">
        <v>7.4</v>
      </c>
      <c r="G466" s="8" t="n">
        <v>8</v>
      </c>
      <c r="H466" s="9" t="n">
        <v>561444</v>
      </c>
      <c r="I466" s="7" t="s">
        <v>46</v>
      </c>
      <c r="J466" s="7" t="s">
        <v>579</v>
      </c>
      <c r="K466" s="7" t="s">
        <v>82</v>
      </c>
      <c r="L466" s="10" t="s">
        <v>2023</v>
      </c>
      <c r="M466" s="7" t="s">
        <v>2088</v>
      </c>
      <c r="N466" s="8" t="n">
        <v>0</v>
      </c>
      <c r="O466" s="8" t="n">
        <v>0</v>
      </c>
      <c r="P466" s="8" t="n">
        <v>0</v>
      </c>
      <c r="Q466" s="8" t="n">
        <v>2</v>
      </c>
      <c r="R466" s="8" t="n">
        <v>0</v>
      </c>
      <c r="S466" s="8" t="n">
        <v>0</v>
      </c>
      <c r="T466" s="13"/>
      <c r="U466" s="11" t="n">
        <f aca="false">O466*4 + P466*2 + MAX(0,N466-O466-P466)*1 + Q466*0.2 + R466*2 + S466*1 + IF(T466="",0,IF(T466&lt;=10,8,IF(T466&lt;=50,6,IF(T466&lt;=100,4,2))))</f>
        <v>0.4</v>
      </c>
      <c r="V466" s="7"/>
      <c r="W466" s="12"/>
      <c r="X466" s="13"/>
      <c r="Y466" s="13" t="s">
        <v>2089</v>
      </c>
    </row>
    <row r="467" customFormat="false" ht="15.75" hidden="false" customHeight="true" outlineLevel="0" collapsed="false">
      <c r="A467" s="7" t="s">
        <v>2090</v>
      </c>
      <c r="B467" s="8" t="n">
        <v>2008</v>
      </c>
      <c r="C467" s="8" t="s">
        <v>35</v>
      </c>
      <c r="D467" s="8" t="n">
        <v>98</v>
      </c>
      <c r="E467" s="7" t="s">
        <v>2091</v>
      </c>
      <c r="F467" s="8" t="n">
        <v>8.4</v>
      </c>
      <c r="G467" s="8" t="n">
        <v>7</v>
      </c>
      <c r="H467" s="9" t="n">
        <v>1336027</v>
      </c>
      <c r="I467" s="7" t="s">
        <v>46</v>
      </c>
      <c r="J467" s="7" t="s">
        <v>579</v>
      </c>
      <c r="K467" s="7" t="s">
        <v>259</v>
      </c>
      <c r="L467" s="10" t="s">
        <v>177</v>
      </c>
      <c r="M467" s="7" t="s">
        <v>2092</v>
      </c>
      <c r="N467" s="8" t="n">
        <v>1</v>
      </c>
      <c r="O467" s="8" t="n">
        <v>0</v>
      </c>
      <c r="P467" s="8" t="n">
        <v>0</v>
      </c>
      <c r="Q467" s="8" t="n">
        <v>6</v>
      </c>
      <c r="R467" s="8" t="n">
        <v>0</v>
      </c>
      <c r="S467" s="8" t="n">
        <v>0</v>
      </c>
      <c r="T467" s="8"/>
      <c r="U467" s="11" t="n">
        <f aca="false">O467*4 + P467*2 + MAX(0,N467-O467-P467)*1 + Q467*0.2 + R467*2 + S467*1 + IF(T467="",0,IF(T467&lt;=10,8,IF(T467&lt;=50,6,IF(T467&lt;=100,4,2))))</f>
        <v>2.2</v>
      </c>
      <c r="V467" s="7"/>
      <c r="W467" s="12"/>
      <c r="X467" s="13"/>
      <c r="Y467" s="13" t="s">
        <v>2093</v>
      </c>
    </row>
    <row r="468" customFormat="false" ht="15.75" hidden="false" customHeight="true" outlineLevel="0" collapsed="false">
      <c r="A468" s="7" t="s">
        <v>2094</v>
      </c>
      <c r="B468" s="8" t="n">
        <v>2010</v>
      </c>
      <c r="C468" s="8" t="s">
        <v>176</v>
      </c>
      <c r="D468" s="8" t="n">
        <v>138</v>
      </c>
      <c r="E468" s="7" t="s">
        <v>165</v>
      </c>
      <c r="F468" s="8" t="n">
        <v>8.2</v>
      </c>
      <c r="G468" s="8" t="n">
        <v>9</v>
      </c>
      <c r="H468" s="9" t="n">
        <v>1673711</v>
      </c>
      <c r="I468" s="7" t="s">
        <v>46</v>
      </c>
      <c r="J468" s="7" t="s">
        <v>131</v>
      </c>
      <c r="K468" s="7" t="s">
        <v>125</v>
      </c>
      <c r="L468" s="10" t="s">
        <v>972</v>
      </c>
      <c r="M468" s="7" t="s">
        <v>2095</v>
      </c>
      <c r="N468" s="8" t="n">
        <v>0</v>
      </c>
      <c r="O468" s="8" t="n">
        <v>0</v>
      </c>
      <c r="P468" s="8" t="n">
        <v>0</v>
      </c>
      <c r="Q468" s="8" t="n">
        <v>0</v>
      </c>
      <c r="R468" s="8" t="n">
        <v>0</v>
      </c>
      <c r="S468" s="13" t="n">
        <v>0</v>
      </c>
      <c r="T468" s="8"/>
      <c r="U468" s="11" t="n">
        <f aca="false">O468*4 + P468*2 + MAX(0,N468-O468-P468)*1 + Q468*0.2 + R468*2 + S468*1 + IF(T468="",0,IF(T468&lt;=10,8,IF(T468&lt;=50,6,IF(T468&lt;=100,4,2))))</f>
        <v>0</v>
      </c>
      <c r="V468" s="7"/>
      <c r="W468" s="12"/>
      <c r="X468" s="13"/>
      <c r="Y468" s="13" t="s">
        <v>2096</v>
      </c>
    </row>
    <row r="469" customFormat="false" ht="15.75" hidden="false" customHeight="true" outlineLevel="0" collapsed="false">
      <c r="A469" s="7" t="s">
        <v>2097</v>
      </c>
      <c r="B469" s="8" t="n">
        <v>2008</v>
      </c>
      <c r="C469" s="8" t="s">
        <v>35</v>
      </c>
      <c r="D469" s="8" t="n">
        <v>166</v>
      </c>
      <c r="E469" s="7" t="s">
        <v>225</v>
      </c>
      <c r="F469" s="8" t="n">
        <v>7.8</v>
      </c>
      <c r="G469" s="8" t="n">
        <v>8</v>
      </c>
      <c r="H469" s="9" t="n">
        <v>752033</v>
      </c>
      <c r="I469" s="7" t="s">
        <v>46</v>
      </c>
      <c r="J469" s="7" t="s">
        <v>38</v>
      </c>
      <c r="K469" s="7" t="s">
        <v>29</v>
      </c>
      <c r="L469" s="10" t="s">
        <v>210</v>
      </c>
      <c r="M469" s="7" t="s">
        <v>2098</v>
      </c>
      <c r="N469" s="8" t="n">
        <v>3</v>
      </c>
      <c r="O469" s="8" t="n">
        <v>0</v>
      </c>
      <c r="P469" s="8" t="n">
        <v>0</v>
      </c>
      <c r="Q469" s="8" t="n">
        <v>13</v>
      </c>
      <c r="R469" s="8" t="n">
        <v>0</v>
      </c>
      <c r="S469" s="8" t="n">
        <v>0</v>
      </c>
      <c r="T469" s="13"/>
      <c r="U469" s="11" t="n">
        <f aca="false">O469*4 + P469*2 + MAX(0,N469-O469-P469)*1 + Q469*0.2 + R469*2 + S469*1 + IF(T469="",0,IF(T469&lt;=10,8,IF(T469&lt;=50,6,IF(T469&lt;=100,4,2))))</f>
        <v>5.6</v>
      </c>
      <c r="V469" s="7"/>
      <c r="W469" s="12"/>
      <c r="X469" s="13"/>
      <c r="Y469" s="13" t="s">
        <v>2099</v>
      </c>
    </row>
    <row r="470" customFormat="false" ht="15.75" hidden="false" customHeight="true" outlineLevel="0" collapsed="false">
      <c r="A470" s="7" t="s">
        <v>2100</v>
      </c>
      <c r="B470" s="8" t="n">
        <v>2005</v>
      </c>
      <c r="C470" s="8" t="s">
        <v>35</v>
      </c>
      <c r="D470" s="8" t="n">
        <v>124</v>
      </c>
      <c r="E470" s="7" t="s">
        <v>388</v>
      </c>
      <c r="F470" s="8" t="n">
        <v>7.6</v>
      </c>
      <c r="G470" s="8" t="n">
        <v>8</v>
      </c>
      <c r="H470" s="9" t="n">
        <v>240025</v>
      </c>
      <c r="I470" s="7" t="s">
        <v>2101</v>
      </c>
      <c r="J470" s="7" t="s">
        <v>131</v>
      </c>
      <c r="K470" s="7" t="s">
        <v>29</v>
      </c>
      <c r="L470" s="10" t="s">
        <v>2102</v>
      </c>
      <c r="M470" s="10" t="s">
        <v>2103</v>
      </c>
      <c r="N470" s="8" t="n">
        <v>0</v>
      </c>
      <c r="O470" s="8" t="n">
        <v>0</v>
      </c>
      <c r="P470" s="8" t="n">
        <v>0</v>
      </c>
      <c r="Q470" s="8" t="n">
        <v>1</v>
      </c>
      <c r="R470" s="8" t="n">
        <v>0</v>
      </c>
      <c r="S470" s="8" t="n">
        <v>0</v>
      </c>
      <c r="T470" s="8"/>
      <c r="U470" s="11" t="n">
        <f aca="false">O470*4 + P470*2 + MAX(0,N470-O470-P470)*1 + Q470*0.2 + R470*2 + S470*1 + IF(T470="",0,IF(T470&lt;=10,8,IF(T470&lt;=50,6,IF(T470&lt;=100,4,2))))</f>
        <v>0.2</v>
      </c>
      <c r="V470" s="7"/>
      <c r="W470" s="12"/>
      <c r="X470" s="13"/>
      <c r="Y470" s="13" t="s">
        <v>2104</v>
      </c>
    </row>
    <row r="471" customFormat="false" ht="15.75" hidden="false" customHeight="true" outlineLevel="0" collapsed="false">
      <c r="A471" s="7" t="s">
        <v>2105</v>
      </c>
      <c r="B471" s="8" t="n">
        <v>2009</v>
      </c>
      <c r="C471" s="8" t="s">
        <v>35</v>
      </c>
      <c r="D471" s="8" t="n">
        <v>113</v>
      </c>
      <c r="E471" s="7" t="s">
        <v>2106</v>
      </c>
      <c r="F471" s="8" t="n">
        <v>7.6</v>
      </c>
      <c r="G471" s="8" t="n">
        <v>7</v>
      </c>
      <c r="H471" s="9" t="n">
        <v>74274</v>
      </c>
      <c r="I471" s="7" t="s">
        <v>2107</v>
      </c>
      <c r="J471" s="7" t="s">
        <v>112</v>
      </c>
      <c r="K471" s="7" t="s">
        <v>54</v>
      </c>
      <c r="L471" s="10" t="s">
        <v>507</v>
      </c>
      <c r="M471" s="10" t="s">
        <v>2108</v>
      </c>
      <c r="N471" s="8" t="n">
        <v>0</v>
      </c>
      <c r="O471" s="8" t="n">
        <v>0</v>
      </c>
      <c r="P471" s="8" t="n">
        <v>0</v>
      </c>
      <c r="Q471" s="8" t="n">
        <v>0</v>
      </c>
      <c r="R471" s="13" t="n">
        <v>0</v>
      </c>
      <c r="S471" s="13" t="n">
        <v>0</v>
      </c>
      <c r="T471" s="13"/>
      <c r="U471" s="11" t="n">
        <f aca="false">O471*4 + P471*2 + MAX(0,N471-O471-P471)*1 + Q471*0.2 + R471*2 + S471*1 + IF(T471="",0,IF(T471&lt;=10,8,IF(T471&lt;=50,6,IF(T471&lt;=100,4,2))))</f>
        <v>0</v>
      </c>
      <c r="V471" s="7"/>
      <c r="W471" s="12"/>
      <c r="X471" s="13"/>
      <c r="Y471" s="13" t="s">
        <v>2109</v>
      </c>
    </row>
    <row r="472" customFormat="false" ht="15.75" hidden="false" customHeight="true" outlineLevel="0" collapsed="false">
      <c r="A472" s="7" t="s">
        <v>2110</v>
      </c>
      <c r="B472" s="8" t="n">
        <v>2002</v>
      </c>
      <c r="C472" s="8" t="s">
        <v>35</v>
      </c>
      <c r="D472" s="8" t="n">
        <v>81</v>
      </c>
      <c r="E472" s="7" t="s">
        <v>2111</v>
      </c>
      <c r="F472" s="8" t="n">
        <v>7.5</v>
      </c>
      <c r="G472" s="8" t="n">
        <v>8</v>
      </c>
      <c r="H472" s="9" t="n">
        <v>570202</v>
      </c>
      <c r="I472" s="7" t="s">
        <v>46</v>
      </c>
      <c r="J472" s="7"/>
      <c r="K472" s="12"/>
      <c r="L472" s="10" t="s">
        <v>177</v>
      </c>
      <c r="M472" s="7" t="s">
        <v>2112</v>
      </c>
      <c r="N472" s="8" t="n">
        <v>0</v>
      </c>
      <c r="O472" s="8" t="n">
        <v>0</v>
      </c>
      <c r="P472" s="8" t="n">
        <v>0</v>
      </c>
      <c r="Q472" s="8" t="n">
        <v>0</v>
      </c>
      <c r="R472" s="13" t="n">
        <v>0</v>
      </c>
      <c r="S472" s="13" t="n">
        <v>0</v>
      </c>
      <c r="T472" s="13"/>
      <c r="U472" s="11" t="n">
        <f aca="false">O472*4 + P472*2 + MAX(0,N472-O472-P472)*1 + Q472*0.2 + R472*2 + S472*1 + IF(T472="",0,IF(T472&lt;=10,8,IF(T472&lt;=50,6,IF(T472&lt;=100,4,2))))</f>
        <v>0</v>
      </c>
      <c r="V472" s="7"/>
      <c r="W472" s="12"/>
      <c r="X472" s="13"/>
      <c r="Y472" s="13" t="s">
        <v>2113</v>
      </c>
    </row>
    <row r="473" customFormat="false" ht="15.75" hidden="false" customHeight="true" outlineLevel="0" collapsed="false">
      <c r="A473" s="7" t="s">
        <v>2114</v>
      </c>
      <c r="B473" s="8" t="n">
        <v>2006</v>
      </c>
      <c r="C473" s="8" t="s">
        <v>35</v>
      </c>
      <c r="D473" s="8" t="n">
        <v>118</v>
      </c>
      <c r="E473" s="7" t="s">
        <v>1657</v>
      </c>
      <c r="F473" s="8" t="n">
        <v>8.2</v>
      </c>
      <c r="G473" s="8" t="n">
        <v>6</v>
      </c>
      <c r="H473" s="9" t="n">
        <v>751190</v>
      </c>
      <c r="I473" s="7" t="s">
        <v>2115</v>
      </c>
      <c r="J473" s="7" t="s">
        <v>154</v>
      </c>
      <c r="K473" s="7" t="s">
        <v>38</v>
      </c>
      <c r="L473" s="10"/>
      <c r="M473" s="7" t="s">
        <v>2116</v>
      </c>
      <c r="N473" s="8" t="n">
        <v>3</v>
      </c>
      <c r="O473" s="8" t="n">
        <v>0</v>
      </c>
      <c r="P473" s="8" t="n">
        <v>0</v>
      </c>
      <c r="Q473" s="8" t="n">
        <v>6</v>
      </c>
      <c r="R473" s="8" t="n">
        <v>0</v>
      </c>
      <c r="S473" s="8" t="n">
        <v>0</v>
      </c>
      <c r="T473" s="8"/>
      <c r="U473" s="11" t="n">
        <f aca="false">O473*4 + P473*2 + MAX(0,N473-O473-P473)*1 + Q473*0.2 + R473*2 + S473*1 + IF(T473="",0,IF(T473&lt;=10,8,IF(T473&lt;=50,6,IF(T473&lt;=100,4,2))))</f>
        <v>4.2</v>
      </c>
      <c r="V473" s="10" t="s">
        <v>2117</v>
      </c>
      <c r="W473" s="12"/>
      <c r="X473" s="8" t="n">
        <v>128</v>
      </c>
      <c r="Y473" s="8" t="s">
        <v>2118</v>
      </c>
    </row>
    <row r="474" customFormat="false" ht="15.75" hidden="false" customHeight="true" outlineLevel="0" collapsed="false">
      <c r="A474" s="7" t="s">
        <v>2119</v>
      </c>
      <c r="B474" s="8" t="n">
        <v>2012</v>
      </c>
      <c r="C474" s="8" t="s">
        <v>176</v>
      </c>
      <c r="D474" s="8" t="n">
        <v>165</v>
      </c>
      <c r="E474" s="7" t="s">
        <v>53</v>
      </c>
      <c r="F474" s="8" t="n">
        <v>8.5</v>
      </c>
      <c r="G474" s="8" t="n">
        <v>9</v>
      </c>
      <c r="H474" s="9" t="n">
        <v>1905249</v>
      </c>
      <c r="I474" s="7" t="s">
        <v>46</v>
      </c>
      <c r="J474" s="7" t="s">
        <v>268</v>
      </c>
      <c r="K474" s="7" t="s">
        <v>47</v>
      </c>
      <c r="L474" s="10"/>
      <c r="M474" s="7" t="s">
        <v>2120</v>
      </c>
      <c r="N474" s="8" t="n">
        <v>2</v>
      </c>
      <c r="O474" s="8" t="n">
        <v>0</v>
      </c>
      <c r="P474" s="8" t="n">
        <v>0</v>
      </c>
      <c r="Q474" s="8" t="n">
        <v>5</v>
      </c>
      <c r="R474" s="8" t="n">
        <v>0</v>
      </c>
      <c r="S474" s="8" t="n">
        <v>0</v>
      </c>
      <c r="T474" s="8"/>
      <c r="U474" s="11" t="n">
        <f aca="false">O474*4 + P474*2 + MAX(0,N474-O474-P474)*1 + Q474*0.2 + R474*2 + S474*1 + IF(T474="",0,IF(T474&lt;=10,8,IF(T474&lt;=50,6,IF(T474&lt;=100,4,2))))</f>
        <v>3</v>
      </c>
      <c r="V474" s="7"/>
      <c r="W474" s="12"/>
      <c r="X474" s="13"/>
      <c r="Y474" s="13" t="s">
        <v>2121</v>
      </c>
    </row>
    <row r="475" customFormat="false" ht="15.75" hidden="false" customHeight="true" outlineLevel="0" collapsed="false">
      <c r="A475" s="7" t="s">
        <v>2122</v>
      </c>
      <c r="B475" s="8" t="n">
        <v>2010</v>
      </c>
      <c r="C475" s="8" t="s">
        <v>176</v>
      </c>
      <c r="D475" s="8" t="n">
        <v>103</v>
      </c>
      <c r="E475" s="7" t="s">
        <v>2123</v>
      </c>
      <c r="F475" s="8" t="n">
        <v>8.3</v>
      </c>
      <c r="G475" s="8" t="n">
        <v>8</v>
      </c>
      <c r="H475" s="9" t="n">
        <v>986001</v>
      </c>
      <c r="I475" s="7" t="s">
        <v>46</v>
      </c>
      <c r="J475" s="7" t="s">
        <v>579</v>
      </c>
      <c r="K475" s="7" t="s">
        <v>2124</v>
      </c>
      <c r="L475" s="10" t="s">
        <v>177</v>
      </c>
      <c r="M475" s="7" t="s">
        <v>2125</v>
      </c>
      <c r="N475" s="8" t="n">
        <v>2</v>
      </c>
      <c r="O475" s="8" t="n">
        <v>0</v>
      </c>
      <c r="P475" s="8" t="n">
        <v>0</v>
      </c>
      <c r="Q475" s="8" t="n">
        <v>5</v>
      </c>
      <c r="R475" s="8" t="n">
        <v>0</v>
      </c>
      <c r="S475" s="8" t="n">
        <v>0</v>
      </c>
      <c r="T475" s="8"/>
      <c r="U475" s="11" t="n">
        <f aca="false">O475*4 + P475*2 + MAX(0,N475-O475-P475)*1 + Q475*0.2 + R475*2 + S475*1 + IF(T475="",0,IF(T475&lt;=10,8,IF(T475&lt;=50,6,IF(T475&lt;=100,4,2))))</f>
        <v>3</v>
      </c>
      <c r="V475" s="10" t="s">
        <v>2126</v>
      </c>
      <c r="W475" s="12"/>
      <c r="X475" s="8" t="n">
        <v>35</v>
      </c>
      <c r="Y475" s="8" t="s">
        <v>2127</v>
      </c>
    </row>
    <row r="476" customFormat="false" ht="15.75" hidden="false" customHeight="true" outlineLevel="0" collapsed="false">
      <c r="A476" s="7" t="s">
        <v>2128</v>
      </c>
      <c r="B476" s="8" t="n">
        <v>2001</v>
      </c>
      <c r="C476" s="8" t="s">
        <v>35</v>
      </c>
      <c r="D476" s="8" t="n">
        <v>124</v>
      </c>
      <c r="E476" s="7" t="s">
        <v>1646</v>
      </c>
      <c r="F476" s="8" t="n">
        <v>8.6</v>
      </c>
      <c r="G476" s="8" t="n">
        <v>8</v>
      </c>
      <c r="H476" s="9" t="n">
        <v>980093</v>
      </c>
      <c r="I476" s="7" t="s">
        <v>124</v>
      </c>
      <c r="J476" s="7" t="s">
        <v>579</v>
      </c>
      <c r="K476" s="7" t="s">
        <v>259</v>
      </c>
      <c r="L476" s="10" t="s">
        <v>238</v>
      </c>
      <c r="M476" s="7" t="s">
        <v>2129</v>
      </c>
      <c r="N476" s="8" t="n">
        <v>1</v>
      </c>
      <c r="O476" s="8" t="n">
        <v>0</v>
      </c>
      <c r="P476" s="8" t="n">
        <v>0</v>
      </c>
      <c r="Q476" s="8" t="n">
        <v>1</v>
      </c>
      <c r="R476" s="8" t="n">
        <v>1</v>
      </c>
      <c r="S476" s="8" t="n">
        <v>0</v>
      </c>
      <c r="T476" s="8" t="n">
        <v>75</v>
      </c>
      <c r="U476" s="11" t="n">
        <f aca="false">O476*4 + P476*2 + MAX(0,N476-O476-P476)*1 + Q476*0.2 + R476*2 + S476*1 + IF(T476="",0,IF(T476&lt;=10,8,IF(T476&lt;=50,6,IF(T476&lt;=100,4,2))))</f>
        <v>7.2</v>
      </c>
      <c r="V476" s="7" t="s">
        <v>2130</v>
      </c>
      <c r="W476" s="12" t="s">
        <v>579</v>
      </c>
      <c r="X476" s="8" t="n">
        <v>5</v>
      </c>
      <c r="Y476" s="8" t="s">
        <v>2131</v>
      </c>
    </row>
    <row r="477" customFormat="false" ht="15.75" hidden="false" customHeight="true" outlineLevel="0" collapsed="false">
      <c r="A477" s="7" t="s">
        <v>2132</v>
      </c>
      <c r="B477" s="8" t="n">
        <v>2007</v>
      </c>
      <c r="C477" s="8" t="s">
        <v>35</v>
      </c>
      <c r="D477" s="8" t="n">
        <v>122</v>
      </c>
      <c r="E477" s="7" t="s">
        <v>2133</v>
      </c>
      <c r="F477" s="8" t="n">
        <v>8.2</v>
      </c>
      <c r="G477" s="8" t="n">
        <v>7</v>
      </c>
      <c r="H477" s="9" t="n">
        <v>1207046</v>
      </c>
      <c r="I477" s="7" t="s">
        <v>46</v>
      </c>
      <c r="J477" s="7" t="s">
        <v>131</v>
      </c>
      <c r="K477" s="7" t="s">
        <v>54</v>
      </c>
      <c r="L477" s="10"/>
      <c r="M477" s="7" t="s">
        <v>2134</v>
      </c>
      <c r="N477" s="8" t="n">
        <v>4</v>
      </c>
      <c r="O477" s="8" t="n">
        <v>1</v>
      </c>
      <c r="P477" s="8" t="n">
        <v>1</v>
      </c>
      <c r="Q477" s="8" t="n">
        <v>8</v>
      </c>
      <c r="R477" s="8" t="n">
        <v>0</v>
      </c>
      <c r="S477" s="8" t="n">
        <v>0</v>
      </c>
      <c r="T477" s="8"/>
      <c r="U477" s="11" t="n">
        <f aca="false">O477*4 + P477*2 + MAX(0,N477-O477-P477)*1 + Q477*0.2 + R477*2 + S477*1 + IF(T477="",0,IF(T477&lt;=10,8,IF(T477&lt;=50,6,IF(T477&lt;=100,4,2))))</f>
        <v>9.6</v>
      </c>
      <c r="V477" s="10" t="s">
        <v>2135</v>
      </c>
      <c r="W477" s="12"/>
      <c r="X477" s="8" t="n">
        <v>56</v>
      </c>
      <c r="Y477" s="8" t="s">
        <v>2136</v>
      </c>
    </row>
    <row r="478" customFormat="false" ht="15.75" hidden="false" customHeight="true" outlineLevel="0" collapsed="false">
      <c r="A478" s="7" t="s">
        <v>2137</v>
      </c>
      <c r="B478" s="8" t="n">
        <v>2011</v>
      </c>
      <c r="C478" s="8" t="s">
        <v>176</v>
      </c>
      <c r="D478" s="8" t="n">
        <v>112</v>
      </c>
      <c r="E478" s="7" t="s">
        <v>2138</v>
      </c>
      <c r="F478" s="8" t="n">
        <v>8.5</v>
      </c>
      <c r="G478" s="8" t="n">
        <v>9</v>
      </c>
      <c r="H478" s="9" t="n">
        <v>1037907</v>
      </c>
      <c r="I478" s="7" t="s">
        <v>219</v>
      </c>
      <c r="J478" s="7" t="s">
        <v>30</v>
      </c>
      <c r="K478" s="7" t="s">
        <v>47</v>
      </c>
      <c r="L478" s="10" t="s">
        <v>1048</v>
      </c>
      <c r="M478" s="7" t="s">
        <v>2139</v>
      </c>
      <c r="N478" s="8" t="n">
        <v>0</v>
      </c>
      <c r="O478" s="8" t="n">
        <v>0</v>
      </c>
      <c r="P478" s="8" t="n">
        <v>0</v>
      </c>
      <c r="Q478" s="8" t="n">
        <v>0</v>
      </c>
      <c r="R478" s="8" t="n">
        <v>0</v>
      </c>
      <c r="S478" s="13" t="n">
        <v>0</v>
      </c>
      <c r="T478" s="8"/>
      <c r="U478" s="11" t="n">
        <f aca="false">O478*4 + P478*2 + MAX(0,N478-O478-P478)*1 + Q478*0.2 + R478*2 + S478*1 + IF(T478="",0,IF(T478&lt;=10,8,IF(T478&lt;=50,6,IF(T478&lt;=100,4,2))))</f>
        <v>0</v>
      </c>
      <c r="V478" s="7"/>
      <c r="W478" s="12"/>
      <c r="X478" s="13"/>
      <c r="Y478" s="13" t="s">
        <v>2140</v>
      </c>
    </row>
    <row r="479" customFormat="false" ht="15.75" hidden="false" customHeight="true" outlineLevel="0" collapsed="false">
      <c r="A479" s="7" t="s">
        <v>2141</v>
      </c>
      <c r="B479" s="8" t="n">
        <v>2005</v>
      </c>
      <c r="C479" s="8" t="s">
        <v>35</v>
      </c>
      <c r="D479" s="8" t="n">
        <v>140</v>
      </c>
      <c r="E479" s="7" t="s">
        <v>979</v>
      </c>
      <c r="F479" s="8" t="n">
        <v>8.2</v>
      </c>
      <c r="G479" s="8" t="n">
        <v>8</v>
      </c>
      <c r="H479" s="9" t="n">
        <v>1736370</v>
      </c>
      <c r="I479" s="7" t="s">
        <v>359</v>
      </c>
      <c r="J479" s="7"/>
      <c r="K479" s="7" t="s">
        <v>54</v>
      </c>
      <c r="L479" s="10" t="s">
        <v>2027</v>
      </c>
      <c r="M479" s="7" t="s">
        <v>2142</v>
      </c>
      <c r="N479" s="8" t="n">
        <v>0</v>
      </c>
      <c r="O479" s="8" t="n">
        <v>0</v>
      </c>
      <c r="P479" s="8" t="n">
        <v>0</v>
      </c>
      <c r="Q479" s="8" t="n">
        <v>1</v>
      </c>
      <c r="R479" s="8" t="n">
        <v>0</v>
      </c>
      <c r="S479" s="8" t="n">
        <v>0</v>
      </c>
      <c r="T479" s="8"/>
      <c r="U479" s="11" t="n">
        <f aca="false">O479*4 + P479*2 + MAX(0,N479-O479-P479)*1 + Q479*0.2 + R479*2 + S479*1 + IF(T479="",0,IF(T479&lt;=10,8,IF(T479&lt;=50,6,IF(T479&lt;=100,4,2))))</f>
        <v>0.2</v>
      </c>
      <c r="V479" s="7"/>
      <c r="W479" s="12"/>
      <c r="X479" s="13"/>
      <c r="Y479" s="13" t="s">
        <v>2143</v>
      </c>
    </row>
    <row r="480" customFormat="false" ht="15.75" hidden="false" customHeight="true" outlineLevel="0" collapsed="false">
      <c r="A480" s="7" t="s">
        <v>2144</v>
      </c>
      <c r="B480" s="8" t="n">
        <v>2006</v>
      </c>
      <c r="C480" s="8" t="s">
        <v>35</v>
      </c>
      <c r="D480" s="8" t="n">
        <v>101</v>
      </c>
      <c r="E480" s="7" t="s">
        <v>2145</v>
      </c>
      <c r="F480" s="8" t="n">
        <v>7.8</v>
      </c>
      <c r="G480" s="8" t="n">
        <v>8</v>
      </c>
      <c r="H480" s="9" t="n">
        <v>563874</v>
      </c>
      <c r="I480" s="7" t="s">
        <v>46</v>
      </c>
      <c r="J480" s="7" t="s">
        <v>30</v>
      </c>
      <c r="K480" s="7" t="s">
        <v>47</v>
      </c>
      <c r="L480" s="10" t="s">
        <v>177</v>
      </c>
      <c r="M480" s="7" t="s">
        <v>2146</v>
      </c>
      <c r="N480" s="8" t="n">
        <v>2</v>
      </c>
      <c r="O480" s="8" t="n">
        <v>0</v>
      </c>
      <c r="P480" s="8" t="n">
        <v>0</v>
      </c>
      <c r="Q480" s="8" t="n">
        <v>4</v>
      </c>
      <c r="R480" s="8" t="n">
        <v>0</v>
      </c>
      <c r="S480" s="8" t="n">
        <v>0</v>
      </c>
      <c r="T480" s="13"/>
      <c r="U480" s="11" t="n">
        <f aca="false">O480*4 + P480*2 + MAX(0,N480-O480-P480)*1 + Q480*0.2 + R480*2 + S480*1 + IF(T480="",0,IF(T480&lt;=10,8,IF(T480&lt;=50,6,IF(T480&lt;=100,4,2))))</f>
        <v>2.8</v>
      </c>
      <c r="V480" s="7"/>
      <c r="W480" s="12"/>
      <c r="X480" s="13"/>
      <c r="Y480" s="13" t="s">
        <v>2147</v>
      </c>
    </row>
    <row r="481" customFormat="false" ht="15.75" hidden="false" customHeight="true" outlineLevel="0" collapsed="false">
      <c r="A481" s="7" t="s">
        <v>2148</v>
      </c>
      <c r="B481" s="8" t="n">
        <v>2004</v>
      </c>
      <c r="C481" s="8" t="s">
        <v>35</v>
      </c>
      <c r="D481" s="8" t="n">
        <v>112</v>
      </c>
      <c r="E481" s="7" t="s">
        <v>2149</v>
      </c>
      <c r="F481" s="8" t="n">
        <v>7.7</v>
      </c>
      <c r="G481" s="8" t="n">
        <v>8</v>
      </c>
      <c r="H481" s="9" t="n">
        <v>463630</v>
      </c>
      <c r="I481" s="7" t="s">
        <v>2011</v>
      </c>
      <c r="J481" s="7" t="s">
        <v>131</v>
      </c>
      <c r="K481" s="7" t="s">
        <v>54</v>
      </c>
      <c r="L481" s="10" t="s">
        <v>507</v>
      </c>
      <c r="M481" s="7" t="s">
        <v>2150</v>
      </c>
      <c r="N481" s="8" t="n">
        <v>3</v>
      </c>
      <c r="O481" s="8" t="n">
        <v>1</v>
      </c>
      <c r="P481" s="8" t="n">
        <v>0</v>
      </c>
      <c r="Q481" s="8" t="n">
        <v>6</v>
      </c>
      <c r="R481" s="8" t="n">
        <v>0</v>
      </c>
      <c r="S481" s="8" t="n">
        <v>0</v>
      </c>
      <c r="T481" s="13"/>
      <c r="U481" s="11" t="n">
        <f aca="false">O481*4 + P481*2 + MAX(0,N481-O481-P481)*1 + Q481*0.2 + R481*2 + S481*1 + IF(T481="",0,IF(T481&lt;=10,8,IF(T481&lt;=50,6,IF(T481&lt;=100,4,2))))</f>
        <v>7.2</v>
      </c>
      <c r="V481" s="7"/>
      <c r="W481" s="12"/>
      <c r="X481" s="13"/>
      <c r="Y481" s="13" t="s">
        <v>2151</v>
      </c>
    </row>
    <row r="482" customFormat="false" ht="15.75" hidden="false" customHeight="true" outlineLevel="0" collapsed="false">
      <c r="A482" s="7" t="s">
        <v>2152</v>
      </c>
      <c r="B482" s="8" t="n">
        <v>2002</v>
      </c>
      <c r="C482" s="8" t="s">
        <v>35</v>
      </c>
      <c r="D482" s="8" t="n">
        <v>119</v>
      </c>
      <c r="E482" s="7" t="s">
        <v>2153</v>
      </c>
      <c r="F482" s="8" t="n">
        <v>7.8</v>
      </c>
      <c r="G482" s="8" t="n">
        <v>8</v>
      </c>
      <c r="H482" s="9" t="n">
        <v>618436</v>
      </c>
      <c r="I482" s="7"/>
      <c r="J482" s="7"/>
      <c r="K482" s="12"/>
      <c r="L482" s="10" t="s">
        <v>2154</v>
      </c>
      <c r="M482" s="10" t="s">
        <v>2155</v>
      </c>
      <c r="N482" s="8" t="n">
        <v>0</v>
      </c>
      <c r="O482" s="8" t="n">
        <v>0</v>
      </c>
      <c r="P482" s="8" t="n">
        <v>0</v>
      </c>
      <c r="Q482" s="8" t="n">
        <v>0</v>
      </c>
      <c r="R482" s="13" t="n">
        <v>0</v>
      </c>
      <c r="S482" s="13" t="n">
        <v>0</v>
      </c>
      <c r="T482" s="13"/>
      <c r="U482" s="11" t="n">
        <f aca="false">O482*4 + P482*2 + MAX(0,N482-O482-P482)*1 + Q482*0.2 + R482*2 + S482*1 + IF(T482="",0,IF(T482&lt;=10,8,IF(T482&lt;=50,6,IF(T482&lt;=100,4,2))))</f>
        <v>0</v>
      </c>
      <c r="V482" s="7"/>
      <c r="W482" s="12"/>
      <c r="X482" s="13"/>
      <c r="Y482" s="13" t="s">
        <v>2156</v>
      </c>
    </row>
    <row r="483" customFormat="false" ht="15.75" hidden="false" customHeight="true" outlineLevel="0" collapsed="false">
      <c r="A483" s="7" t="s">
        <v>2157</v>
      </c>
      <c r="B483" s="8" t="n">
        <v>2004</v>
      </c>
      <c r="C483" s="8" t="s">
        <v>35</v>
      </c>
      <c r="D483" s="8" t="n">
        <v>103</v>
      </c>
      <c r="E483" s="7" t="s">
        <v>2158</v>
      </c>
      <c r="F483" s="8" t="n">
        <v>7.6</v>
      </c>
      <c r="G483" s="8" t="n">
        <v>8</v>
      </c>
      <c r="H483" s="9" t="n">
        <v>515184</v>
      </c>
      <c r="I483" s="7" t="s">
        <v>46</v>
      </c>
      <c r="J483" s="7" t="s">
        <v>147</v>
      </c>
      <c r="K483" s="7" t="s">
        <v>125</v>
      </c>
      <c r="L483" s="10" t="s">
        <v>161</v>
      </c>
      <c r="M483" s="7" t="s">
        <v>2159</v>
      </c>
      <c r="N483" s="8" t="n">
        <v>0</v>
      </c>
      <c r="O483" s="8" t="n">
        <v>0</v>
      </c>
      <c r="P483" s="8" t="n">
        <v>0</v>
      </c>
      <c r="Q483" s="8" t="n">
        <v>0</v>
      </c>
      <c r="R483" s="13" t="n">
        <v>0</v>
      </c>
      <c r="S483" s="13" t="n">
        <v>0</v>
      </c>
      <c r="T483" s="13"/>
      <c r="U483" s="11" t="n">
        <f aca="false">O483*4 + P483*2 + MAX(0,N483-O483-P483)*1 + Q483*0.2 + R483*2 + S483*1 + IF(T483="",0,IF(T483&lt;=10,8,IF(T483&lt;=50,6,IF(T483&lt;=100,4,2))))</f>
        <v>0</v>
      </c>
      <c r="V483" s="7"/>
      <c r="W483" s="12"/>
      <c r="X483" s="13"/>
      <c r="Y483" s="13" t="s">
        <v>2160</v>
      </c>
    </row>
    <row r="484" customFormat="false" ht="15.75" hidden="false" customHeight="true" outlineLevel="0" collapsed="false">
      <c r="A484" s="7" t="s">
        <v>2161</v>
      </c>
      <c r="B484" s="8" t="n">
        <v>2004</v>
      </c>
      <c r="C484" s="8" t="s">
        <v>35</v>
      </c>
      <c r="D484" s="8" t="n">
        <v>108</v>
      </c>
      <c r="E484" s="7" t="s">
        <v>2162</v>
      </c>
      <c r="F484" s="8" t="n">
        <v>8.3</v>
      </c>
      <c r="G484" s="8" t="n">
        <v>7</v>
      </c>
      <c r="H484" s="9" t="n">
        <v>1192001</v>
      </c>
      <c r="I484" s="7" t="s">
        <v>46</v>
      </c>
      <c r="J484" s="7" t="s">
        <v>111</v>
      </c>
      <c r="K484" s="7" t="s">
        <v>29</v>
      </c>
      <c r="L484" s="10" t="s">
        <v>220</v>
      </c>
      <c r="M484" s="7" t="s">
        <v>2163</v>
      </c>
      <c r="N484" s="8" t="n">
        <v>1</v>
      </c>
      <c r="O484" s="8" t="n">
        <v>0</v>
      </c>
      <c r="P484" s="8" t="n">
        <v>0</v>
      </c>
      <c r="Q484" s="8" t="n">
        <v>2</v>
      </c>
      <c r="R484" s="8" t="n">
        <v>0</v>
      </c>
      <c r="S484" s="8" t="n">
        <v>0</v>
      </c>
      <c r="T484" s="8"/>
      <c r="U484" s="11" t="n">
        <f aca="false">O484*4 + P484*2 + MAX(0,N484-O484-P484)*1 + Q484*0.2 + R484*2 + S484*1 + IF(T484="",0,IF(T484&lt;=10,8,IF(T484&lt;=50,6,IF(T484&lt;=100,4,2))))</f>
        <v>1.4</v>
      </c>
      <c r="V484" s="10" t="s">
        <v>2164</v>
      </c>
      <c r="W484" s="12"/>
      <c r="X484" s="8" t="n">
        <v>53</v>
      </c>
      <c r="Y484" s="8" t="s">
        <v>2165</v>
      </c>
    </row>
    <row r="485" customFormat="false" ht="15.75" hidden="false" customHeight="true" outlineLevel="0" collapsed="false">
      <c r="A485" s="7" t="s">
        <v>2166</v>
      </c>
      <c r="B485" s="8" t="n">
        <v>2004</v>
      </c>
      <c r="C485" s="8" t="s">
        <v>35</v>
      </c>
      <c r="D485" s="8" t="n">
        <v>113</v>
      </c>
      <c r="E485" s="7" t="s">
        <v>2167</v>
      </c>
      <c r="F485" s="8" t="n">
        <v>7.6</v>
      </c>
      <c r="G485" s="8" t="n">
        <v>7</v>
      </c>
      <c r="H485" s="9" t="n">
        <v>559135</v>
      </c>
      <c r="I485" s="7" t="s">
        <v>2168</v>
      </c>
      <c r="J485" s="7" t="s">
        <v>111</v>
      </c>
      <c r="K485" s="7" t="s">
        <v>131</v>
      </c>
      <c r="L485" s="10" t="s">
        <v>113</v>
      </c>
      <c r="M485" s="7" t="s">
        <v>2169</v>
      </c>
      <c r="N485" s="8" t="n">
        <v>0</v>
      </c>
      <c r="O485" s="8" t="n">
        <v>0</v>
      </c>
      <c r="P485" s="8" t="n">
        <v>0</v>
      </c>
      <c r="Q485" s="8" t="n">
        <v>0</v>
      </c>
      <c r="R485" s="13" t="n">
        <v>0</v>
      </c>
      <c r="S485" s="13" t="n">
        <v>0</v>
      </c>
      <c r="T485" s="13"/>
      <c r="U485" s="11" t="n">
        <f aca="false">O485*4 + P485*2 + MAX(0,N485-O485-P485)*1 + Q485*0.2 + R485*2 + S485*1 + IF(T485="",0,IF(T485&lt;=10,8,IF(T485&lt;=50,6,IF(T485&lt;=100,4,2))))</f>
        <v>0</v>
      </c>
      <c r="V485" s="7"/>
      <c r="W485" s="12"/>
      <c r="X485" s="13"/>
      <c r="Y485" s="13" t="s">
        <v>2170</v>
      </c>
    </row>
    <row r="486" customFormat="false" ht="15.75" hidden="false" customHeight="true" outlineLevel="0" collapsed="false">
      <c r="A486" s="7" t="s">
        <v>2171</v>
      </c>
      <c r="B486" s="8" t="n">
        <v>2014</v>
      </c>
      <c r="C486" s="8" t="s">
        <v>176</v>
      </c>
      <c r="D486" s="8" t="n">
        <v>169</v>
      </c>
      <c r="E486" s="7" t="s">
        <v>979</v>
      </c>
      <c r="F486" s="8" t="n">
        <v>8.7</v>
      </c>
      <c r="G486" s="8" t="n">
        <v>9</v>
      </c>
      <c r="H486" s="9" t="n">
        <v>2610364</v>
      </c>
      <c r="I486" s="7" t="s">
        <v>2172</v>
      </c>
      <c r="J486" s="7" t="s">
        <v>111</v>
      </c>
      <c r="K486" s="7" t="s">
        <v>852</v>
      </c>
      <c r="L486" s="10" t="s">
        <v>69</v>
      </c>
      <c r="M486" s="7" t="s">
        <v>2173</v>
      </c>
      <c r="N486" s="8" t="n">
        <v>1</v>
      </c>
      <c r="O486" s="8" t="n">
        <v>0</v>
      </c>
      <c r="P486" s="8" t="n">
        <v>0</v>
      </c>
      <c r="Q486" s="8" t="n">
        <v>5</v>
      </c>
      <c r="R486" s="8" t="n">
        <v>0</v>
      </c>
      <c r="S486" s="8" t="n">
        <v>0</v>
      </c>
      <c r="T486" s="8"/>
      <c r="U486" s="11" t="n">
        <f aca="false">O486*4 + P486*2 + MAX(0,N486-O486-P486)*1 + Q486*0.2 + R486*2 + S486*1 + IF(T486="",0,IF(T486&lt;=10,8,IF(T486&lt;=50,6,IF(T486&lt;=100,4,2))))</f>
        <v>2</v>
      </c>
      <c r="V486" s="10" t="s">
        <v>2174</v>
      </c>
      <c r="W486" s="12"/>
      <c r="X486" s="8" t="n">
        <v>10</v>
      </c>
      <c r="Y486" s="8" t="s">
        <v>2175</v>
      </c>
    </row>
    <row r="487" customFormat="false" ht="15.75" hidden="false" customHeight="true" outlineLevel="0" collapsed="false">
      <c r="A487" s="7" t="s">
        <v>2176</v>
      </c>
      <c r="B487" s="8" t="n">
        <v>2013</v>
      </c>
      <c r="C487" s="8" t="s">
        <v>176</v>
      </c>
      <c r="D487" s="8" t="n">
        <v>180</v>
      </c>
      <c r="E487" s="7" t="s">
        <v>165</v>
      </c>
      <c r="F487" s="8" t="n">
        <v>8.2</v>
      </c>
      <c r="G487" s="8" t="n">
        <v>9</v>
      </c>
      <c r="H487" s="9" t="n">
        <v>1815990</v>
      </c>
      <c r="I487" s="7" t="s">
        <v>46</v>
      </c>
      <c r="J487" s="7" t="s">
        <v>30</v>
      </c>
      <c r="K487" s="7" t="s">
        <v>54</v>
      </c>
      <c r="L487" s="10" t="s">
        <v>113</v>
      </c>
      <c r="M487" s="7" t="s">
        <v>2177</v>
      </c>
      <c r="N487" s="8" t="n">
        <v>0</v>
      </c>
      <c r="O487" s="8" t="n">
        <v>0</v>
      </c>
      <c r="P487" s="8" t="n">
        <v>0</v>
      </c>
      <c r="Q487" s="8" t="n">
        <v>5</v>
      </c>
      <c r="R487" s="8" t="n">
        <v>0</v>
      </c>
      <c r="S487" s="8" t="n">
        <v>0</v>
      </c>
      <c r="T487" s="8"/>
      <c r="U487" s="11" t="n">
        <f aca="false">O487*4 + P487*2 + MAX(0,N487-O487-P487)*1 + Q487*0.2 + R487*2 + S487*1 + IF(T487="",0,IF(T487&lt;=10,8,IF(T487&lt;=50,6,IF(T487&lt;=100,4,2))))</f>
        <v>1</v>
      </c>
      <c r="V487" s="10" t="s">
        <v>2178</v>
      </c>
      <c r="W487" s="12"/>
      <c r="X487" s="8" t="n">
        <v>9</v>
      </c>
      <c r="Y487" s="8" t="s">
        <v>2179</v>
      </c>
    </row>
    <row r="488" customFormat="false" ht="15.75" hidden="false" customHeight="true" outlineLevel="0" collapsed="false">
      <c r="A488" s="7" t="s">
        <v>2180</v>
      </c>
      <c r="B488" s="8" t="n">
        <v>2005</v>
      </c>
      <c r="C488" s="8" t="s">
        <v>35</v>
      </c>
      <c r="D488" s="8" t="n">
        <v>140</v>
      </c>
      <c r="E488" s="7" t="s">
        <v>2181</v>
      </c>
      <c r="F488" s="8" t="n">
        <v>7.7</v>
      </c>
      <c r="G488" s="8" t="n">
        <v>10</v>
      </c>
      <c r="H488" s="9" t="n">
        <v>931034</v>
      </c>
      <c r="I488" s="7" t="s">
        <v>46</v>
      </c>
      <c r="J488" s="7" t="s">
        <v>38</v>
      </c>
      <c r="K488" s="7" t="s">
        <v>112</v>
      </c>
      <c r="L488" s="10" t="s">
        <v>177</v>
      </c>
      <c r="M488" s="7" t="s">
        <v>2182</v>
      </c>
      <c r="N488" s="8" t="n">
        <v>0</v>
      </c>
      <c r="O488" s="8" t="n">
        <v>0</v>
      </c>
      <c r="P488" s="8" t="n">
        <v>0</v>
      </c>
      <c r="Q488" s="8" t="n">
        <v>1</v>
      </c>
      <c r="R488" s="8" t="n">
        <v>0</v>
      </c>
      <c r="S488" s="8" t="n">
        <v>0</v>
      </c>
      <c r="T488" s="8"/>
      <c r="U488" s="11" t="n">
        <f aca="false">O488*4 + P488*2 + MAX(0,N488-O488-P488)*1 + Q488*0.2 + R488*2 + S488*1 + IF(T488="",0,IF(T488&lt;=10,8,IF(T488&lt;=50,6,IF(T488&lt;=100,4,2))))</f>
        <v>0.2</v>
      </c>
      <c r="V488" s="7"/>
      <c r="W488" s="12"/>
      <c r="X488" s="13"/>
      <c r="Y488" s="13" t="s">
        <v>2183</v>
      </c>
    </row>
    <row r="489" customFormat="false" ht="15.75" hidden="false" customHeight="true" outlineLevel="0" collapsed="false">
      <c r="A489" s="7" t="s">
        <v>2184</v>
      </c>
      <c r="B489" s="8" t="n">
        <v>2003</v>
      </c>
      <c r="C489" s="8" t="s">
        <v>35</v>
      </c>
      <c r="D489" s="8" t="n">
        <v>102</v>
      </c>
      <c r="E489" s="7" t="s">
        <v>2185</v>
      </c>
      <c r="F489" s="8" t="n">
        <v>7.7</v>
      </c>
      <c r="G489" s="8" t="n">
        <v>6</v>
      </c>
      <c r="H489" s="9" t="n">
        <v>533498</v>
      </c>
      <c r="I489" s="7" t="s">
        <v>2186</v>
      </c>
      <c r="J489" s="7" t="s">
        <v>30</v>
      </c>
      <c r="K489" s="7" t="s">
        <v>47</v>
      </c>
      <c r="L489" s="10"/>
      <c r="M489" s="7" t="s">
        <v>2187</v>
      </c>
      <c r="N489" s="8" t="n">
        <v>1</v>
      </c>
      <c r="O489" s="8" t="n">
        <v>0</v>
      </c>
      <c r="P489" s="8" t="n">
        <v>0</v>
      </c>
      <c r="Q489" s="8" t="n">
        <v>4</v>
      </c>
      <c r="R489" s="8" t="n">
        <v>0</v>
      </c>
      <c r="S489" s="8" t="n">
        <v>1</v>
      </c>
      <c r="T489" s="8"/>
      <c r="U489" s="11" t="n">
        <f aca="false">O489*4 + P489*2 + MAX(0,N489-O489-P489)*1 + Q489*0.2 + R489*2 + S489*1 + IF(T489="",0,IF(T489&lt;=10,8,IF(T489&lt;=50,6,IF(T489&lt;=100,4,2))))</f>
        <v>2.8</v>
      </c>
      <c r="V489" s="10" t="s">
        <v>2188</v>
      </c>
      <c r="W489" s="12"/>
      <c r="X489" s="8" t="n">
        <v>83</v>
      </c>
      <c r="Y489" s="8" t="s">
        <v>2189</v>
      </c>
    </row>
    <row r="490" customFormat="false" ht="15.75" hidden="false" customHeight="true" outlineLevel="0" collapsed="false">
      <c r="A490" s="7" t="s">
        <v>2190</v>
      </c>
      <c r="B490" s="8" t="n">
        <v>2007</v>
      </c>
      <c r="C490" s="8" t="s">
        <v>35</v>
      </c>
      <c r="D490" s="8" t="n">
        <v>111</v>
      </c>
      <c r="E490" s="7" t="s">
        <v>1351</v>
      </c>
      <c r="F490" s="8" t="n">
        <v>8.1</v>
      </c>
      <c r="G490" s="8" t="n">
        <v>7</v>
      </c>
      <c r="H490" s="9" t="n">
        <v>960346</v>
      </c>
      <c r="I490" s="7" t="s">
        <v>46</v>
      </c>
      <c r="J490" s="7" t="s">
        <v>579</v>
      </c>
      <c r="K490" s="7" t="s">
        <v>259</v>
      </c>
      <c r="L490" s="10" t="s">
        <v>177</v>
      </c>
      <c r="M490" s="7" t="s">
        <v>2191</v>
      </c>
      <c r="N490" s="8" t="n">
        <v>1</v>
      </c>
      <c r="O490" s="8" t="n">
        <v>0</v>
      </c>
      <c r="P490" s="8" t="n">
        <v>0</v>
      </c>
      <c r="Q490" s="8" t="n">
        <v>5</v>
      </c>
      <c r="R490" s="8" t="n">
        <v>0</v>
      </c>
      <c r="S490" s="8" t="n">
        <v>0</v>
      </c>
      <c r="T490" s="8"/>
      <c r="U490" s="11" t="n">
        <f aca="false">O490*4 + P490*2 + MAX(0,N490-O490-P490)*1 + Q490*0.2 + R490*2 + S490*1 + IF(T490="",0,IF(T490&lt;=10,8,IF(T490&lt;=50,6,IF(T490&lt;=100,4,2))))</f>
        <v>2</v>
      </c>
      <c r="V490" s="10" t="s">
        <v>2192</v>
      </c>
      <c r="W490" s="12"/>
      <c r="X490" s="8" t="n">
        <v>135</v>
      </c>
      <c r="Y490" s="8" t="s">
        <v>2193</v>
      </c>
    </row>
    <row r="491" customFormat="false" ht="15.75" hidden="false" customHeight="true" outlineLevel="0" collapsed="false">
      <c r="A491" s="7" t="s">
        <v>2194</v>
      </c>
      <c r="B491" s="8" t="n">
        <v>2012</v>
      </c>
      <c r="C491" s="8" t="s">
        <v>176</v>
      </c>
      <c r="D491" s="8" t="n">
        <v>164</v>
      </c>
      <c r="E491" s="7" t="s">
        <v>979</v>
      </c>
      <c r="F491" s="8" t="n">
        <v>8.4</v>
      </c>
      <c r="G491" s="8" t="n">
        <v>7</v>
      </c>
      <c r="H491" s="9" t="n">
        <v>2019035</v>
      </c>
      <c r="I491" s="7" t="s">
        <v>46</v>
      </c>
      <c r="J491" s="7" t="s">
        <v>131</v>
      </c>
      <c r="K491" s="7" t="s">
        <v>54</v>
      </c>
      <c r="L491" s="10" t="s">
        <v>2195</v>
      </c>
      <c r="M491" s="7" t="s">
        <v>2196</v>
      </c>
      <c r="N491" s="8" t="n">
        <v>0</v>
      </c>
      <c r="O491" s="8" t="n">
        <v>0</v>
      </c>
      <c r="P491" s="8" t="n">
        <v>0</v>
      </c>
      <c r="Q491" s="8" t="n">
        <v>0</v>
      </c>
      <c r="R491" s="8" t="n">
        <v>0</v>
      </c>
      <c r="S491" s="13" t="n">
        <v>0</v>
      </c>
      <c r="T491" s="8"/>
      <c r="U491" s="11" t="n">
        <f aca="false">O491*4 + P491*2 + MAX(0,N491-O491-P491)*1 + Q491*0.2 + R491*2 + S491*1 + IF(T491="",0,IF(T491&lt;=10,8,IF(T491&lt;=50,6,IF(T491&lt;=100,4,2))))</f>
        <v>0</v>
      </c>
      <c r="V491" s="7"/>
      <c r="W491" s="12"/>
      <c r="X491" s="13"/>
      <c r="Y491" s="13" t="s">
        <v>2197</v>
      </c>
    </row>
    <row r="492" customFormat="false" ht="15.75" hidden="false" customHeight="true" outlineLevel="0" collapsed="false">
      <c r="A492" s="7" t="s">
        <v>2198</v>
      </c>
      <c r="B492" s="8" t="n">
        <v>2005</v>
      </c>
      <c r="C492" s="8" t="s">
        <v>35</v>
      </c>
      <c r="D492" s="8" t="n">
        <v>77</v>
      </c>
      <c r="E492" s="7" t="s">
        <v>2199</v>
      </c>
      <c r="F492" s="8" t="n">
        <v>7.4</v>
      </c>
      <c r="G492" s="8" t="n">
        <v>6</v>
      </c>
      <c r="H492" s="9" t="n">
        <v>331014</v>
      </c>
      <c r="I492" s="7" t="s">
        <v>46</v>
      </c>
      <c r="J492" s="7" t="s">
        <v>579</v>
      </c>
      <c r="K492" s="7" t="s">
        <v>30</v>
      </c>
      <c r="L492" s="10"/>
      <c r="M492" s="7" t="s">
        <v>2200</v>
      </c>
      <c r="N492" s="8" t="n">
        <v>0</v>
      </c>
      <c r="O492" s="8" t="n">
        <v>0</v>
      </c>
      <c r="P492" s="8" t="n">
        <v>0</v>
      </c>
      <c r="Q492" s="8" t="n">
        <v>1</v>
      </c>
      <c r="R492" s="8" t="n">
        <v>0</v>
      </c>
      <c r="S492" s="8" t="n">
        <v>0</v>
      </c>
      <c r="T492" s="13"/>
      <c r="U492" s="11" t="n">
        <f aca="false">O492*4 + P492*2 + MAX(0,N492-O492-P492)*1 + Q492*0.2 + R492*2 + S492*1 + IF(T492="",0,IF(T492&lt;=10,8,IF(T492&lt;=50,6,IF(T492&lt;=100,4,2))))</f>
        <v>0.2</v>
      </c>
      <c r="V492" s="7"/>
      <c r="W492" s="12"/>
      <c r="X492" s="13"/>
      <c r="Y492" s="13" t="s">
        <v>2201</v>
      </c>
    </row>
    <row r="493" customFormat="false" ht="15.75" hidden="false" customHeight="true" outlineLevel="0" collapsed="false">
      <c r="A493" s="7" t="s">
        <v>2202</v>
      </c>
      <c r="B493" s="8" t="n">
        <v>2006</v>
      </c>
      <c r="C493" s="8" t="s">
        <v>35</v>
      </c>
      <c r="D493" s="8" t="n">
        <v>110</v>
      </c>
      <c r="E493" s="7" t="s">
        <v>2203</v>
      </c>
      <c r="F493" s="8" t="n">
        <v>7.5</v>
      </c>
      <c r="G493" s="8" t="n">
        <v>7</v>
      </c>
      <c r="H493" s="9" t="n">
        <v>406185</v>
      </c>
      <c r="I493" s="7" t="s">
        <v>2204</v>
      </c>
      <c r="J493" s="7" t="s">
        <v>38</v>
      </c>
      <c r="K493" s="7" t="s">
        <v>125</v>
      </c>
      <c r="L493" s="10" t="s">
        <v>161</v>
      </c>
      <c r="M493" s="7" t="s">
        <v>2205</v>
      </c>
      <c r="N493" s="8" t="n">
        <v>0</v>
      </c>
      <c r="O493" s="8" t="n">
        <v>0</v>
      </c>
      <c r="P493" s="8" t="n">
        <v>0</v>
      </c>
      <c r="Q493" s="8" t="n">
        <v>1</v>
      </c>
      <c r="R493" s="8" t="n">
        <v>0</v>
      </c>
      <c r="S493" s="8" t="n">
        <v>0</v>
      </c>
      <c r="T493" s="13"/>
      <c r="U493" s="11" t="n">
        <f aca="false">O493*4 + P493*2 + MAX(0,N493-O493-P493)*1 + Q493*0.2 + R493*2 + S493*1 + IF(T493="",0,IF(T493&lt;=10,8,IF(T493&lt;=50,6,IF(T493&lt;=100,4,2))))</f>
        <v>0.2</v>
      </c>
      <c r="V493" s="7"/>
      <c r="W493" s="12"/>
      <c r="X493" s="13"/>
      <c r="Y493" s="13" t="s">
        <v>2206</v>
      </c>
    </row>
    <row r="494" customFormat="false" ht="15.75" hidden="false" customHeight="true" outlineLevel="0" collapsed="false">
      <c r="A494" s="7" t="s">
        <v>2207</v>
      </c>
      <c r="B494" s="8" t="n">
        <v>2004</v>
      </c>
      <c r="C494" s="8" t="s">
        <v>35</v>
      </c>
      <c r="D494" s="8" t="n">
        <v>115</v>
      </c>
      <c r="E494" s="7" t="s">
        <v>1351</v>
      </c>
      <c r="F494" s="8" t="n">
        <v>8</v>
      </c>
      <c r="G494" s="8" t="n">
        <v>7</v>
      </c>
      <c r="H494" s="9" t="n">
        <v>912797</v>
      </c>
      <c r="I494" s="7" t="s">
        <v>46</v>
      </c>
      <c r="J494" s="7" t="s">
        <v>579</v>
      </c>
      <c r="K494" s="7" t="s">
        <v>112</v>
      </c>
      <c r="L494" s="10" t="s">
        <v>177</v>
      </c>
      <c r="M494" s="7" t="s">
        <v>2208</v>
      </c>
      <c r="N494" s="8" t="n">
        <v>2</v>
      </c>
      <c r="O494" s="8" t="n">
        <v>0</v>
      </c>
      <c r="P494" s="8" t="n">
        <v>0</v>
      </c>
      <c r="Q494" s="8" t="n">
        <v>4</v>
      </c>
      <c r="R494" s="8" t="n">
        <v>0</v>
      </c>
      <c r="S494" s="8" t="n">
        <v>0</v>
      </c>
      <c r="T494" s="8"/>
      <c r="U494" s="11" t="n">
        <f aca="false">O494*4 + P494*2 + MAX(0,N494-O494-P494)*1 + Q494*0.2 + R494*2 + S494*1 + IF(T494="",0,IF(T494&lt;=10,8,IF(T494&lt;=50,6,IF(T494&lt;=100,4,2))))</f>
        <v>2.8</v>
      </c>
      <c r="V494" s="7"/>
      <c r="W494" s="12"/>
      <c r="X494" s="13"/>
      <c r="Y494" s="13" t="s">
        <v>2209</v>
      </c>
    </row>
    <row r="495" customFormat="false" ht="15.75" hidden="false" customHeight="true" outlineLevel="0" collapsed="false">
      <c r="A495" s="7" t="s">
        <v>2210</v>
      </c>
      <c r="B495" s="8" t="n">
        <v>2006</v>
      </c>
      <c r="C495" s="8" t="s">
        <v>35</v>
      </c>
      <c r="D495" s="8" t="n">
        <v>130</v>
      </c>
      <c r="E495" s="7" t="s">
        <v>979</v>
      </c>
      <c r="F495" s="8" t="n">
        <v>8.5</v>
      </c>
      <c r="G495" s="8" t="n">
        <v>8</v>
      </c>
      <c r="H495" s="9" t="n">
        <v>1615609</v>
      </c>
      <c r="I495" s="7" t="s">
        <v>46</v>
      </c>
      <c r="J495" s="7" t="s">
        <v>111</v>
      </c>
      <c r="K495" s="7" t="s">
        <v>125</v>
      </c>
      <c r="L495" s="10" t="s">
        <v>113</v>
      </c>
      <c r="M495" s="7" t="s">
        <v>2211</v>
      </c>
      <c r="N495" s="8" t="n">
        <v>0</v>
      </c>
      <c r="O495" s="8" t="n">
        <v>0</v>
      </c>
      <c r="P495" s="8" t="n">
        <v>0</v>
      </c>
      <c r="Q495" s="8" t="n">
        <v>2</v>
      </c>
      <c r="R495" s="8" t="n">
        <v>0</v>
      </c>
      <c r="S495" s="8" t="n">
        <v>0</v>
      </c>
      <c r="T495" s="8"/>
      <c r="U495" s="11" t="n">
        <f aca="false">O495*4 + P495*2 + MAX(0,N495-O495-P495)*1 + Q495*0.2 + R495*2 + S495*1 + IF(T495="",0,IF(T495&lt;=10,8,IF(T495&lt;=50,6,IF(T495&lt;=100,4,2))))</f>
        <v>0.4</v>
      </c>
      <c r="V495" s="7"/>
      <c r="W495" s="12"/>
      <c r="X495" s="13"/>
      <c r="Y495" s="13" t="s">
        <v>2212</v>
      </c>
    </row>
    <row r="496" customFormat="false" ht="15.75" hidden="false" customHeight="true" outlineLevel="0" collapsed="false">
      <c r="A496" s="7" t="s">
        <v>2213</v>
      </c>
      <c r="B496" s="8" t="n">
        <v>2001</v>
      </c>
      <c r="C496" s="8" t="s">
        <v>35</v>
      </c>
      <c r="D496" s="8" t="n">
        <v>116</v>
      </c>
      <c r="E496" s="7" t="s">
        <v>489</v>
      </c>
      <c r="F496" s="8" t="n">
        <v>7.7</v>
      </c>
      <c r="G496" s="8" t="n">
        <v>7</v>
      </c>
      <c r="H496" s="9" t="n">
        <v>680198</v>
      </c>
      <c r="I496" s="7" t="s">
        <v>46</v>
      </c>
      <c r="J496" s="7" t="s">
        <v>131</v>
      </c>
      <c r="K496" s="7" t="s">
        <v>54</v>
      </c>
      <c r="L496" s="10" t="s">
        <v>2214</v>
      </c>
      <c r="M496" s="7" t="s">
        <v>2215</v>
      </c>
      <c r="N496" s="8" t="n">
        <v>0</v>
      </c>
      <c r="O496" s="8" t="n">
        <v>0</v>
      </c>
      <c r="P496" s="8" t="n">
        <v>0</v>
      </c>
      <c r="Q496" s="8" t="n">
        <v>0</v>
      </c>
      <c r="R496" s="13" t="n">
        <v>0</v>
      </c>
      <c r="S496" s="13" t="n">
        <v>0</v>
      </c>
      <c r="T496" s="13"/>
      <c r="U496" s="11" t="n">
        <f aca="false">O496*4 + P496*2 + MAX(0,N496-O496-P496)*1 + Q496*0.2 + R496*2 + S496*1 + IF(T496="",0,IF(T496&lt;=10,8,IF(T496&lt;=50,6,IF(T496&lt;=100,4,2))))</f>
        <v>0</v>
      </c>
      <c r="V496" s="7"/>
      <c r="W496" s="12"/>
      <c r="X496" s="13"/>
      <c r="Y496" s="13" t="s">
        <v>2216</v>
      </c>
    </row>
    <row r="497" customFormat="false" ht="15.75" hidden="false" customHeight="true" outlineLevel="0" collapsed="false">
      <c r="A497" s="7" t="s">
        <v>2217</v>
      </c>
      <c r="B497" s="8" t="n">
        <v>2002</v>
      </c>
      <c r="C497" s="8" t="s">
        <v>35</v>
      </c>
      <c r="D497" s="8" t="n">
        <v>141</v>
      </c>
      <c r="E497" s="7" t="s">
        <v>45</v>
      </c>
      <c r="F497" s="8" t="n">
        <v>8.1</v>
      </c>
      <c r="G497" s="8" t="n">
        <v>8</v>
      </c>
      <c r="H497" s="9" t="n">
        <v>1258124</v>
      </c>
      <c r="I497" s="7" t="s">
        <v>46</v>
      </c>
      <c r="J497" s="7" t="s">
        <v>47</v>
      </c>
      <c r="K497" s="7" t="s">
        <v>54</v>
      </c>
      <c r="L497" s="10" t="s">
        <v>55</v>
      </c>
      <c r="M497" s="7" t="s">
        <v>2218</v>
      </c>
      <c r="N497" s="8" t="n">
        <v>0</v>
      </c>
      <c r="O497" s="8" t="n">
        <v>0</v>
      </c>
      <c r="P497" s="8" t="n">
        <v>0</v>
      </c>
      <c r="Q497" s="8" t="n">
        <v>2</v>
      </c>
      <c r="R497" s="8" t="n">
        <v>0</v>
      </c>
      <c r="S497" s="8" t="n">
        <v>0</v>
      </c>
      <c r="T497" s="8"/>
      <c r="U497" s="11" t="n">
        <f aca="false">O497*4 + P497*2 + MAX(0,N497-O497-P497)*1 + Q497*0.2 + R497*2 + S497*1 + IF(T497="",0,IF(T497&lt;=10,8,IF(T497&lt;=50,6,IF(T497&lt;=100,4,2))))</f>
        <v>0.4</v>
      </c>
      <c r="V497" s="7"/>
      <c r="W497" s="12"/>
      <c r="X497" s="13"/>
      <c r="Y497" s="13" t="s">
        <v>2219</v>
      </c>
    </row>
    <row r="498" customFormat="false" ht="15.75" hidden="false" customHeight="true" outlineLevel="0" collapsed="false">
      <c r="A498" s="7" t="s">
        <v>2220</v>
      </c>
      <c r="B498" s="8" t="n">
        <v>2000</v>
      </c>
      <c r="C498" s="8" t="s">
        <v>35</v>
      </c>
      <c r="D498" s="8" t="n">
        <v>143</v>
      </c>
      <c r="E498" s="7" t="s">
        <v>327</v>
      </c>
      <c r="F498" s="8" t="n">
        <v>7.8</v>
      </c>
      <c r="G498" s="8" t="n">
        <v>7</v>
      </c>
      <c r="H498" s="9" t="n">
        <v>694187</v>
      </c>
      <c r="I498" s="7" t="s">
        <v>46</v>
      </c>
      <c r="J498" s="7" t="s">
        <v>39</v>
      </c>
      <c r="K498" s="7" t="s">
        <v>29</v>
      </c>
      <c r="L498" s="10"/>
      <c r="M498" s="7" t="s">
        <v>2221</v>
      </c>
      <c r="N498" s="8" t="n">
        <v>0</v>
      </c>
      <c r="O498" s="8" t="n">
        <v>0</v>
      </c>
      <c r="P498" s="8" t="n">
        <v>0</v>
      </c>
      <c r="Q498" s="8" t="n">
        <v>2</v>
      </c>
      <c r="R498" s="8" t="n">
        <v>0</v>
      </c>
      <c r="S498" s="8" t="n">
        <v>0</v>
      </c>
      <c r="T498" s="13"/>
      <c r="U498" s="11" t="n">
        <f aca="false">O498*4 + P498*2 + MAX(0,N498-O498-P498)*1 + Q498*0.2 + R498*2 + S498*1 + IF(T498="",0,IF(T498&lt;=10,8,IF(T498&lt;=50,6,IF(T498&lt;=100,4,2))))</f>
        <v>0.4</v>
      </c>
      <c r="V498" s="7"/>
      <c r="W498" s="12"/>
      <c r="X498" s="13"/>
      <c r="Y498" s="13" t="s">
        <v>2222</v>
      </c>
    </row>
    <row r="499" customFormat="false" ht="15.75" hidden="false" customHeight="true" outlineLevel="0" collapsed="false">
      <c r="A499" s="7" t="s">
        <v>2223</v>
      </c>
      <c r="B499" s="8" t="n">
        <v>2003</v>
      </c>
      <c r="C499" s="8" t="s">
        <v>35</v>
      </c>
      <c r="D499" s="8" t="n">
        <v>124</v>
      </c>
      <c r="E499" s="7" t="s">
        <v>301</v>
      </c>
      <c r="F499" s="8" t="n">
        <v>7.6</v>
      </c>
      <c r="G499" s="8" t="n">
        <v>7</v>
      </c>
      <c r="H499" s="9" t="n">
        <v>253218</v>
      </c>
      <c r="I499" s="7" t="s">
        <v>46</v>
      </c>
      <c r="J499" s="7" t="s">
        <v>131</v>
      </c>
      <c r="K499" s="7" t="s">
        <v>54</v>
      </c>
      <c r="L499" s="10"/>
      <c r="M499" s="10" t="s">
        <v>2224</v>
      </c>
      <c r="N499" s="8" t="n">
        <v>0</v>
      </c>
      <c r="O499" s="8" t="n">
        <v>0</v>
      </c>
      <c r="P499" s="8" t="n">
        <v>0</v>
      </c>
      <c r="Q499" s="8" t="n">
        <v>2</v>
      </c>
      <c r="R499" s="8" t="n">
        <v>0</v>
      </c>
      <c r="S499" s="8" t="n">
        <v>0</v>
      </c>
      <c r="T499" s="13"/>
      <c r="U499" s="11" t="n">
        <f aca="false">O499*4 + P499*2 + MAX(0,N499-O499-P499)*1 + Q499*0.2 + R499*2 + S499*1 + IF(T499="",0,IF(T499&lt;=10,8,IF(T499&lt;=50,6,IF(T499&lt;=100,4,2))))</f>
        <v>0.4</v>
      </c>
      <c r="V499" s="7"/>
      <c r="W499" s="12"/>
      <c r="X499" s="13"/>
      <c r="Y499" s="13" t="s">
        <v>2225</v>
      </c>
    </row>
    <row r="500" customFormat="false" ht="15.75" hidden="false" customHeight="true" outlineLevel="0" collapsed="false">
      <c r="A500" s="7" t="s">
        <v>2226</v>
      </c>
      <c r="B500" s="8" t="n">
        <v>2011</v>
      </c>
      <c r="C500" s="8" t="s">
        <v>176</v>
      </c>
      <c r="D500" s="8" t="n">
        <v>100</v>
      </c>
      <c r="E500" s="7" t="s">
        <v>2227</v>
      </c>
      <c r="F500" s="8" t="n">
        <v>7.8</v>
      </c>
      <c r="G500" s="8" t="n">
        <v>6</v>
      </c>
      <c r="H500" s="9" t="n">
        <v>771121</v>
      </c>
      <c r="I500" s="7" t="s">
        <v>46</v>
      </c>
      <c r="J500" s="7" t="s">
        <v>112</v>
      </c>
      <c r="K500" s="7" t="s">
        <v>47</v>
      </c>
      <c r="L500" s="10" t="s">
        <v>1280</v>
      </c>
      <c r="M500" s="7" t="s">
        <v>2228</v>
      </c>
      <c r="N500" s="8" t="n">
        <v>0</v>
      </c>
      <c r="O500" s="8" t="n">
        <v>0</v>
      </c>
      <c r="P500" s="8" t="n">
        <v>0</v>
      </c>
      <c r="Q500" s="8" t="n">
        <v>1</v>
      </c>
      <c r="R500" s="8" t="n">
        <v>0</v>
      </c>
      <c r="S500" s="8" t="n">
        <v>0</v>
      </c>
      <c r="T500" s="8"/>
      <c r="U500" s="11" t="n">
        <f aca="false">O500*4 + P500*2 + MAX(0,N500-O500-P500)*1 + Q500*0.2 + R500*2 + S500*1 + IF(T500="",0,IF(T500&lt;=10,8,IF(T500&lt;=50,6,IF(T500&lt;=100,4,2))))</f>
        <v>0.2</v>
      </c>
      <c r="V500" s="10" t="s">
        <v>2229</v>
      </c>
      <c r="W500" s="12"/>
      <c r="X500" s="8" t="n">
        <v>24</v>
      </c>
      <c r="Y500" s="8" t="s">
        <v>2230</v>
      </c>
    </row>
    <row r="501" customFormat="false" ht="15.75" hidden="false" customHeight="true" outlineLevel="0" collapsed="false">
      <c r="A501" s="7" t="s">
        <v>2231</v>
      </c>
      <c r="B501" s="8" t="n">
        <v>2004</v>
      </c>
      <c r="C501" s="8" t="s">
        <v>35</v>
      </c>
      <c r="D501" s="8" t="n">
        <v>123</v>
      </c>
      <c r="E501" s="7" t="s">
        <v>2232</v>
      </c>
      <c r="F501" s="8" t="n">
        <v>7.8</v>
      </c>
      <c r="G501" s="8" t="n">
        <v>8</v>
      </c>
      <c r="H501" s="9" t="n">
        <v>698939</v>
      </c>
      <c r="I501" s="7" t="s">
        <v>46</v>
      </c>
      <c r="J501" s="7" t="s">
        <v>29</v>
      </c>
      <c r="K501" s="7" t="s">
        <v>47</v>
      </c>
      <c r="L501" s="10" t="s">
        <v>113</v>
      </c>
      <c r="M501" s="7" t="s">
        <v>2233</v>
      </c>
      <c r="N501" s="8" t="n">
        <v>0</v>
      </c>
      <c r="O501" s="8" t="n">
        <v>0</v>
      </c>
      <c r="P501" s="8" t="n">
        <v>0</v>
      </c>
      <c r="Q501" s="8" t="n">
        <v>0</v>
      </c>
      <c r="R501" s="13" t="n">
        <v>0</v>
      </c>
      <c r="S501" s="13" t="n">
        <v>0</v>
      </c>
      <c r="T501" s="13"/>
      <c r="U501" s="11" t="n">
        <f aca="false">O501*4 + P501*2 + MAX(0,N501-O501-P501)*1 + Q501*0.2 + R501*2 + S501*1 + IF(T501="",0,IF(T501&lt;=10,8,IF(T501&lt;=50,6,IF(T501&lt;=100,4,2))))</f>
        <v>0</v>
      </c>
      <c r="V501" s="7"/>
      <c r="W501" s="12"/>
      <c r="X501" s="13"/>
      <c r="Y501" s="13" t="s">
        <v>2234</v>
      </c>
    </row>
    <row r="502" customFormat="false" ht="15.75" hidden="false" customHeight="true" outlineLevel="0" collapsed="false">
      <c r="A502" s="7" t="s">
        <v>2235</v>
      </c>
      <c r="B502" s="8" t="n">
        <v>2012</v>
      </c>
      <c r="C502" s="8" t="s">
        <v>176</v>
      </c>
      <c r="D502" s="8" t="n">
        <v>169</v>
      </c>
      <c r="E502" s="7" t="s">
        <v>36</v>
      </c>
      <c r="F502" s="8" t="n">
        <v>7.8</v>
      </c>
      <c r="G502" s="8" t="n">
        <v>7</v>
      </c>
      <c r="H502" s="9" t="n">
        <v>934530</v>
      </c>
      <c r="I502" s="7" t="s">
        <v>1988</v>
      </c>
      <c r="J502" s="7" t="s">
        <v>38</v>
      </c>
      <c r="K502" s="7" t="s">
        <v>39</v>
      </c>
      <c r="L502" s="10" t="s">
        <v>2236</v>
      </c>
      <c r="M502" s="7" t="s">
        <v>2237</v>
      </c>
      <c r="N502" s="8" t="n">
        <v>0</v>
      </c>
      <c r="O502" s="8" t="n">
        <v>0</v>
      </c>
      <c r="P502" s="8" t="n">
        <v>0</v>
      </c>
      <c r="Q502" s="8" t="n">
        <v>3</v>
      </c>
      <c r="R502" s="8" t="n">
        <v>0</v>
      </c>
      <c r="S502" s="8" t="n">
        <v>0</v>
      </c>
      <c r="T502" s="8"/>
      <c r="U502" s="11" t="n">
        <f aca="false">O502*4 + P502*2 + MAX(0,N502-O502-P502)*1 + Q502*0.2 + R502*2 + S502*1 + IF(T502="",0,IF(T502&lt;=10,8,IF(T502&lt;=50,6,IF(T502&lt;=100,4,2))))</f>
        <v>0.6</v>
      </c>
      <c r="V502" s="7"/>
      <c r="W502" s="12"/>
      <c r="X502" s="13"/>
      <c r="Y502" s="13" t="s">
        <v>2238</v>
      </c>
    </row>
    <row r="503" customFormat="false" ht="15.75" hidden="false" customHeight="true" outlineLevel="0" collapsed="false">
      <c r="A503" s="7" t="s">
        <v>2239</v>
      </c>
      <c r="B503" s="8" t="n">
        <v>2015</v>
      </c>
      <c r="C503" s="8" t="s">
        <v>176</v>
      </c>
      <c r="D503" s="8" t="n">
        <v>95</v>
      </c>
      <c r="E503" s="7" t="s">
        <v>2240</v>
      </c>
      <c r="F503" s="8" t="n">
        <v>8.1</v>
      </c>
      <c r="G503" s="8" t="n">
        <v>8</v>
      </c>
      <c r="H503" s="9" t="n">
        <v>928457</v>
      </c>
      <c r="I503" s="7" t="s">
        <v>46</v>
      </c>
      <c r="J503" s="7" t="s">
        <v>579</v>
      </c>
      <c r="K503" s="7" t="s">
        <v>39</v>
      </c>
      <c r="L503" s="10" t="s">
        <v>177</v>
      </c>
      <c r="M503" s="7" t="s">
        <v>2241</v>
      </c>
      <c r="N503" s="8" t="n">
        <v>1</v>
      </c>
      <c r="O503" s="8" t="n">
        <v>0</v>
      </c>
      <c r="P503" s="8" t="n">
        <v>0</v>
      </c>
      <c r="Q503" s="8" t="n">
        <v>2</v>
      </c>
      <c r="R503" s="8" t="n">
        <v>0</v>
      </c>
      <c r="S503" s="8" t="n">
        <v>0</v>
      </c>
      <c r="T503" s="8"/>
      <c r="U503" s="11" t="n">
        <f aca="false">O503*4 + P503*2 + MAX(0,N503-O503-P503)*1 + Q503*0.2 + R503*2 + S503*1 + IF(T503="",0,IF(T503&lt;=10,8,IF(T503&lt;=50,6,IF(T503&lt;=100,4,2))))</f>
        <v>1.4</v>
      </c>
      <c r="V503" s="7"/>
      <c r="W503" s="12"/>
      <c r="X503" s="13"/>
      <c r="Y503" s="13" t="s">
        <v>2242</v>
      </c>
    </row>
    <row r="504" customFormat="false" ht="15.75" hidden="false" customHeight="true" outlineLevel="0" collapsed="false">
      <c r="A504" s="7" t="s">
        <v>2243</v>
      </c>
      <c r="B504" s="8" t="n">
        <v>2002</v>
      </c>
      <c r="C504" s="8" t="s">
        <v>35</v>
      </c>
      <c r="D504" s="8" t="n">
        <v>117</v>
      </c>
      <c r="E504" s="7" t="s">
        <v>2244</v>
      </c>
      <c r="F504" s="8" t="n">
        <v>7.6</v>
      </c>
      <c r="G504" s="8" t="n">
        <v>9</v>
      </c>
      <c r="H504" s="9" t="n">
        <v>302241</v>
      </c>
      <c r="I504" s="7" t="s">
        <v>46</v>
      </c>
      <c r="J504" s="7" t="s">
        <v>131</v>
      </c>
      <c r="K504" s="7" t="s">
        <v>54</v>
      </c>
      <c r="L504" s="10" t="s">
        <v>552</v>
      </c>
      <c r="M504" s="7" t="s">
        <v>2245</v>
      </c>
      <c r="N504" s="8" t="n">
        <v>1</v>
      </c>
      <c r="O504" s="8" t="n">
        <v>0</v>
      </c>
      <c r="P504" s="8" t="n">
        <v>0</v>
      </c>
      <c r="Q504" s="8" t="n">
        <v>6</v>
      </c>
      <c r="R504" s="8" t="n">
        <v>0</v>
      </c>
      <c r="S504" s="8" t="n">
        <v>0</v>
      </c>
      <c r="T504" s="13"/>
      <c r="U504" s="11" t="n">
        <f aca="false">O504*4 + P504*2 + MAX(0,N504-O504-P504)*1 + Q504*0.2 + R504*2 + S504*1 + IF(T504="",0,IF(T504&lt;=10,8,IF(T504&lt;=50,6,IF(T504&lt;=100,4,2))))</f>
        <v>2.2</v>
      </c>
      <c r="V504" s="7"/>
      <c r="W504" s="12"/>
      <c r="X504" s="13"/>
      <c r="Y504" s="13" t="s">
        <v>2246</v>
      </c>
    </row>
    <row r="505" customFormat="false" ht="15.75" hidden="false" customHeight="true" outlineLevel="0" collapsed="false">
      <c r="A505" s="7" t="s">
        <v>2247</v>
      </c>
      <c r="B505" s="8" t="n">
        <v>2008</v>
      </c>
      <c r="C505" s="8" t="s">
        <v>35</v>
      </c>
      <c r="D505" s="8" t="n">
        <v>107</v>
      </c>
      <c r="E505" s="7" t="s">
        <v>2248</v>
      </c>
      <c r="F505" s="8" t="n">
        <v>7.6</v>
      </c>
      <c r="G505" s="8" t="n">
        <v>7</v>
      </c>
      <c r="H505" s="9" t="n">
        <v>122554</v>
      </c>
      <c r="I505" s="7" t="s">
        <v>258</v>
      </c>
      <c r="J505" s="7" t="s">
        <v>131</v>
      </c>
      <c r="K505" s="7" t="s">
        <v>47</v>
      </c>
      <c r="L505" s="10" t="s">
        <v>260</v>
      </c>
      <c r="M505" s="10" t="s">
        <v>2249</v>
      </c>
      <c r="N505" s="8" t="n">
        <v>0</v>
      </c>
      <c r="O505" s="8" t="n">
        <v>0</v>
      </c>
      <c r="P505" s="8" t="n">
        <v>0</v>
      </c>
      <c r="Q505" s="8" t="n">
        <v>0</v>
      </c>
      <c r="R505" s="13" t="n">
        <v>0</v>
      </c>
      <c r="S505" s="13" t="n">
        <v>0</v>
      </c>
      <c r="T505" s="13"/>
      <c r="U505" s="11" t="n">
        <f aca="false">O505*4 + P505*2 + MAX(0,N505-O505-P505)*1 + Q505*0.2 + R505*2 + S505*1 + IF(T505="",0,IF(T505&lt;=10,8,IF(T505&lt;=50,6,IF(T505&lt;=100,4,2))))</f>
        <v>0</v>
      </c>
      <c r="V505" s="7"/>
      <c r="W505" s="12"/>
      <c r="X505" s="13"/>
      <c r="Y505" s="13" t="s">
        <v>2250</v>
      </c>
    </row>
    <row r="506" customFormat="false" ht="15.75" hidden="false" customHeight="true" outlineLevel="0" collapsed="false">
      <c r="A506" s="7" t="s">
        <v>2251</v>
      </c>
      <c r="B506" s="8" t="n">
        <v>2006</v>
      </c>
      <c r="C506" s="8" t="s">
        <v>35</v>
      </c>
      <c r="D506" s="8" t="n">
        <v>117</v>
      </c>
      <c r="E506" s="7" t="s">
        <v>2252</v>
      </c>
      <c r="F506" s="8" t="n">
        <v>8</v>
      </c>
      <c r="G506" s="8" t="n">
        <v>8</v>
      </c>
      <c r="H506" s="9" t="n">
        <v>628211</v>
      </c>
      <c r="I506" s="7" t="s">
        <v>46</v>
      </c>
      <c r="J506" s="7" t="s">
        <v>47</v>
      </c>
      <c r="K506" s="7" t="s">
        <v>48</v>
      </c>
      <c r="L506" s="10"/>
      <c r="M506" s="7" t="s">
        <v>2253</v>
      </c>
      <c r="N506" s="8" t="n">
        <v>0</v>
      </c>
      <c r="O506" s="8" t="n">
        <v>0</v>
      </c>
      <c r="P506" s="8" t="n">
        <v>0</v>
      </c>
      <c r="Q506" s="8" t="n">
        <v>1</v>
      </c>
      <c r="R506" s="8" t="n">
        <v>0</v>
      </c>
      <c r="S506" s="8" t="n">
        <v>0</v>
      </c>
      <c r="T506" s="13"/>
      <c r="U506" s="11" t="n">
        <f aca="false">O506*4 + P506*2 + MAX(0,N506-O506-P506)*1 + Q506*0.2 + R506*2 + S506*1 + IF(T506="",0,IF(T506&lt;=10,8,IF(T506&lt;=50,6,IF(T506&lt;=100,4,2))))</f>
        <v>0.2</v>
      </c>
      <c r="V506" s="7"/>
      <c r="W506" s="12"/>
      <c r="X506" s="13"/>
      <c r="Y506" s="13" t="s">
        <v>2254</v>
      </c>
    </row>
    <row r="507" customFormat="false" ht="15.75" hidden="false" customHeight="true" outlineLevel="0" collapsed="false">
      <c r="A507" s="7" t="s">
        <v>2255</v>
      </c>
      <c r="B507" s="8" t="n">
        <v>2001</v>
      </c>
      <c r="C507" s="8" t="s">
        <v>35</v>
      </c>
      <c r="D507" s="8" t="n">
        <v>131</v>
      </c>
      <c r="E507" s="7" t="s">
        <v>1557</v>
      </c>
      <c r="F507" s="8" t="n">
        <v>7.5</v>
      </c>
      <c r="G507" s="8" t="n">
        <v>8</v>
      </c>
      <c r="H507" s="9" t="n">
        <v>295078</v>
      </c>
      <c r="I507" s="7" t="s">
        <v>2256</v>
      </c>
      <c r="J507" s="7" t="s">
        <v>154</v>
      </c>
      <c r="K507" s="7" t="s">
        <v>112</v>
      </c>
      <c r="L507" s="10" t="s">
        <v>1936</v>
      </c>
      <c r="M507" s="7" t="s">
        <v>2257</v>
      </c>
      <c r="N507" s="8" t="n">
        <v>0</v>
      </c>
      <c r="O507" s="8" t="n">
        <v>0</v>
      </c>
      <c r="P507" s="8" t="n">
        <v>0</v>
      </c>
      <c r="Q507" s="8" t="n">
        <v>0</v>
      </c>
      <c r="R507" s="13" t="n">
        <v>0</v>
      </c>
      <c r="S507" s="13" t="n">
        <v>0</v>
      </c>
      <c r="T507" s="13"/>
      <c r="U507" s="11" t="n">
        <f aca="false">O507*4 + P507*2 + MAX(0,N507-O507-P507)*1 + Q507*0.2 + R507*2 + S507*1 + IF(T507="",0,IF(T507&lt;=10,8,IF(T507&lt;=50,6,IF(T507&lt;=100,4,2))))</f>
        <v>0</v>
      </c>
      <c r="V507" s="7"/>
      <c r="W507" s="12"/>
      <c r="X507" s="13"/>
      <c r="Y507" s="13" t="s">
        <v>2258</v>
      </c>
    </row>
    <row r="508" customFormat="false" ht="15.75" hidden="false" customHeight="true" outlineLevel="0" collapsed="false">
      <c r="A508" s="7" t="s">
        <v>2259</v>
      </c>
      <c r="B508" s="8" t="n">
        <v>2001</v>
      </c>
      <c r="C508" s="8" t="s">
        <v>35</v>
      </c>
      <c r="D508" s="8" t="n">
        <v>113</v>
      </c>
      <c r="E508" s="7" t="s">
        <v>2260</v>
      </c>
      <c r="F508" s="8" t="n">
        <v>8</v>
      </c>
      <c r="G508" s="8" t="n">
        <v>7</v>
      </c>
      <c r="H508" s="9" t="n">
        <v>917460</v>
      </c>
      <c r="I508" s="7" t="s">
        <v>46</v>
      </c>
      <c r="J508" s="7" t="s">
        <v>111</v>
      </c>
      <c r="K508" s="7" t="s">
        <v>125</v>
      </c>
      <c r="L508" s="10" t="s">
        <v>2261</v>
      </c>
      <c r="M508" s="7" t="s">
        <v>2262</v>
      </c>
      <c r="N508" s="8" t="n">
        <v>0</v>
      </c>
      <c r="O508" s="8" t="n">
        <v>0</v>
      </c>
      <c r="P508" s="8" t="n">
        <v>0</v>
      </c>
      <c r="Q508" s="8" t="n">
        <v>0</v>
      </c>
      <c r="R508" s="8" t="n">
        <v>0</v>
      </c>
      <c r="S508" s="13" t="n">
        <v>0</v>
      </c>
      <c r="T508" s="8"/>
      <c r="U508" s="11" t="n">
        <f aca="false">O508*4 + P508*2 + MAX(0,N508-O508-P508)*1 + Q508*0.2 + R508*2 + S508*1 + IF(T508="",0,IF(T508&lt;=10,8,IF(T508&lt;=50,6,IF(T508&lt;=100,4,2))))</f>
        <v>0</v>
      </c>
      <c r="V508" s="10" t="s">
        <v>2263</v>
      </c>
      <c r="W508" s="12"/>
      <c r="X508" s="8" t="n">
        <v>137</v>
      </c>
      <c r="Y508" s="8" t="s">
        <v>2264</v>
      </c>
    </row>
    <row r="509" customFormat="false" ht="15.75" hidden="false" customHeight="true" outlineLevel="0" collapsed="false">
      <c r="A509" s="7" t="s">
        <v>2265</v>
      </c>
      <c r="B509" s="8" t="n">
        <v>2007</v>
      </c>
      <c r="C509" s="8" t="s">
        <v>35</v>
      </c>
      <c r="D509" s="8" t="n">
        <v>115</v>
      </c>
      <c r="E509" s="7" t="s">
        <v>2266</v>
      </c>
      <c r="F509" s="8" t="n">
        <v>8</v>
      </c>
      <c r="G509" s="8" t="n">
        <v>7</v>
      </c>
      <c r="H509" s="9" t="n">
        <v>687344</v>
      </c>
      <c r="I509" s="7" t="s">
        <v>2011</v>
      </c>
      <c r="J509" s="7" t="s">
        <v>131</v>
      </c>
      <c r="K509" s="7" t="s">
        <v>125</v>
      </c>
      <c r="L509" s="10" t="s">
        <v>507</v>
      </c>
      <c r="M509" s="7" t="s">
        <v>2267</v>
      </c>
      <c r="N509" s="8" t="n">
        <v>3</v>
      </c>
      <c r="O509" s="8" t="n">
        <v>0</v>
      </c>
      <c r="P509" s="8" t="n">
        <v>0</v>
      </c>
      <c r="Q509" s="8" t="n">
        <v>3</v>
      </c>
      <c r="R509" s="8" t="n">
        <v>0</v>
      </c>
      <c r="S509" s="8" t="n">
        <v>0</v>
      </c>
      <c r="T509" s="13"/>
      <c r="U509" s="11" t="n">
        <f aca="false">O509*4 + P509*2 + MAX(0,N509-O509-P509)*1 + Q509*0.2 + R509*2 + S509*1 + IF(T509="",0,IF(T509&lt;=10,8,IF(T509&lt;=50,6,IF(T509&lt;=100,4,2))))</f>
        <v>3.6</v>
      </c>
      <c r="V509" s="7"/>
      <c r="W509" s="12"/>
      <c r="X509" s="13"/>
      <c r="Y509" s="13" t="s">
        <v>2268</v>
      </c>
    </row>
    <row r="510" customFormat="false" ht="15.75" hidden="false" customHeight="true" outlineLevel="0" collapsed="false">
      <c r="A510" s="7" t="s">
        <v>2269</v>
      </c>
      <c r="B510" s="8" t="n">
        <v>2011</v>
      </c>
      <c r="C510" s="8" t="s">
        <v>176</v>
      </c>
      <c r="D510" s="8" t="n">
        <v>94</v>
      </c>
      <c r="E510" s="7" t="s">
        <v>388</v>
      </c>
      <c r="F510" s="8" t="n">
        <v>7.6</v>
      </c>
      <c r="G510" s="8" t="n">
        <v>7</v>
      </c>
      <c r="H510" s="9" t="n">
        <v>473286</v>
      </c>
      <c r="I510" s="7" t="s">
        <v>2270</v>
      </c>
      <c r="J510" s="7" t="s">
        <v>38</v>
      </c>
      <c r="K510" s="7" t="s">
        <v>2271</v>
      </c>
      <c r="L510" s="10" t="s">
        <v>113</v>
      </c>
      <c r="M510" s="7" t="s">
        <v>2272</v>
      </c>
      <c r="N510" s="8" t="n">
        <v>1</v>
      </c>
      <c r="O510" s="8" t="n">
        <v>0</v>
      </c>
      <c r="P510" s="8" t="n">
        <v>0</v>
      </c>
      <c r="Q510" s="8" t="n">
        <v>4</v>
      </c>
      <c r="R510" s="8" t="n">
        <v>0</v>
      </c>
      <c r="S510" s="8" t="n">
        <v>0</v>
      </c>
      <c r="T510" s="13"/>
      <c r="U510" s="11" t="n">
        <f aca="false">O510*4 + P510*2 + MAX(0,N510-O510-P510)*1 + Q510*0.2 + R510*2 + S510*1 + IF(T510="",0,IF(T510&lt;=10,8,IF(T510&lt;=50,6,IF(T510&lt;=100,4,2))))</f>
        <v>1.8</v>
      </c>
      <c r="V510" s="7"/>
      <c r="W510" s="12"/>
      <c r="X510" s="13"/>
      <c r="Y510" s="13" t="s">
        <v>2273</v>
      </c>
    </row>
    <row r="511" customFormat="false" ht="15.75" hidden="false" customHeight="true" outlineLevel="0" collapsed="false">
      <c r="A511" s="7" t="s">
        <v>2274</v>
      </c>
      <c r="B511" s="8" t="n">
        <v>2013</v>
      </c>
      <c r="C511" s="8" t="s">
        <v>176</v>
      </c>
      <c r="D511" s="8" t="n">
        <v>126</v>
      </c>
      <c r="E511" s="7" t="s">
        <v>2275</v>
      </c>
      <c r="F511" s="8" t="n">
        <v>8</v>
      </c>
      <c r="G511" s="8" t="n">
        <v>8</v>
      </c>
      <c r="H511" s="9" t="n">
        <v>731781</v>
      </c>
      <c r="I511" s="7" t="s">
        <v>2276</v>
      </c>
      <c r="J511" s="7" t="s">
        <v>111</v>
      </c>
      <c r="K511" s="7" t="s">
        <v>852</v>
      </c>
      <c r="L511" s="10" t="s">
        <v>205</v>
      </c>
      <c r="M511" s="7" t="s">
        <v>2277</v>
      </c>
      <c r="N511" s="8" t="n">
        <v>1</v>
      </c>
      <c r="O511" s="8" t="n">
        <v>0</v>
      </c>
      <c r="P511" s="8" t="n">
        <v>0</v>
      </c>
      <c r="Q511" s="8" t="n">
        <v>5</v>
      </c>
      <c r="R511" s="8" t="n">
        <v>0</v>
      </c>
      <c r="S511" s="8" t="n">
        <v>0</v>
      </c>
      <c r="T511" s="13"/>
      <c r="U511" s="11" t="n">
        <f aca="false">O511*4 + P511*2 + MAX(0,N511-O511-P511)*1 + Q511*0.2 + R511*2 + S511*1 + IF(T511="",0,IF(T511&lt;=10,8,IF(T511&lt;=50,6,IF(T511&lt;=100,4,2))))</f>
        <v>2</v>
      </c>
      <c r="V511" s="7"/>
      <c r="W511" s="12"/>
      <c r="X511" s="13"/>
      <c r="Y511" s="13" t="s">
        <v>2278</v>
      </c>
    </row>
    <row r="512" customFormat="false" ht="15.75" hidden="false" customHeight="true" outlineLevel="0" collapsed="false">
      <c r="A512" s="7" t="s">
        <v>2279</v>
      </c>
      <c r="B512" s="8" t="n">
        <v>2012</v>
      </c>
      <c r="C512" s="8" t="s">
        <v>176</v>
      </c>
      <c r="D512" s="8" t="n">
        <v>120</v>
      </c>
      <c r="E512" s="7" t="s">
        <v>2280</v>
      </c>
      <c r="F512" s="8" t="n">
        <v>7.7</v>
      </c>
      <c r="G512" s="8" t="n">
        <v>7</v>
      </c>
      <c r="H512" s="9" t="n">
        <v>671140</v>
      </c>
      <c r="I512" s="7" t="s">
        <v>46</v>
      </c>
      <c r="J512" s="7" t="s">
        <v>47</v>
      </c>
      <c r="K512" s="7" t="s">
        <v>48</v>
      </c>
      <c r="L512" s="10" t="s">
        <v>972</v>
      </c>
      <c r="M512" s="7" t="s">
        <v>2281</v>
      </c>
      <c r="N512" s="8" t="n">
        <v>3</v>
      </c>
      <c r="O512" s="8" t="n">
        <v>1</v>
      </c>
      <c r="P512" s="8" t="n">
        <v>0</v>
      </c>
      <c r="Q512" s="8" t="n">
        <v>7</v>
      </c>
      <c r="R512" s="8" t="n">
        <v>0</v>
      </c>
      <c r="S512" s="8" t="n">
        <v>1</v>
      </c>
      <c r="T512" s="13"/>
      <c r="U512" s="11" t="n">
        <f aca="false">O512*4 + P512*2 + MAX(0,N512-O512-P512)*1 + Q512*0.2 + R512*2 + S512*1 + IF(T512="",0,IF(T512&lt;=10,8,IF(T512&lt;=50,6,IF(T512&lt;=100,4,2))))</f>
        <v>8.4</v>
      </c>
      <c r="V512" s="7"/>
      <c r="W512" s="12"/>
      <c r="X512" s="13"/>
      <c r="Y512" s="13" t="s">
        <v>2282</v>
      </c>
    </row>
    <row r="513" customFormat="false" ht="15.75" hidden="false" customHeight="true" outlineLevel="0" collapsed="false">
      <c r="A513" s="7" t="s">
        <v>2283</v>
      </c>
      <c r="B513" s="8" t="n">
        <v>2007</v>
      </c>
      <c r="C513" s="8" t="s">
        <v>35</v>
      </c>
      <c r="D513" s="8" t="n">
        <v>157</v>
      </c>
      <c r="E513" s="7" t="s">
        <v>1074</v>
      </c>
      <c r="F513" s="8" t="n">
        <v>7.8</v>
      </c>
      <c r="G513" s="8" t="n">
        <v>9</v>
      </c>
      <c r="H513" s="9" t="n">
        <v>491618</v>
      </c>
      <c r="I513" s="7" t="s">
        <v>359</v>
      </c>
      <c r="J513" s="7" t="s">
        <v>47</v>
      </c>
      <c r="K513" s="7" t="s">
        <v>103</v>
      </c>
      <c r="L513" s="10" t="s">
        <v>636</v>
      </c>
      <c r="M513" s="7" t="s">
        <v>2284</v>
      </c>
      <c r="N513" s="8" t="n">
        <v>0</v>
      </c>
      <c r="O513" s="8" t="n">
        <v>0</v>
      </c>
      <c r="P513" s="8" t="n">
        <v>0</v>
      </c>
      <c r="Q513" s="8" t="n">
        <v>2</v>
      </c>
      <c r="R513" s="8" t="n">
        <v>0</v>
      </c>
      <c r="S513" s="8" t="n">
        <v>0</v>
      </c>
      <c r="T513" s="13"/>
      <c r="U513" s="11" t="n">
        <f aca="false">O513*4 + P513*2 + MAX(0,N513-O513-P513)*1 + Q513*0.2 + R513*2 + S513*1 + IF(T513="",0,IF(T513&lt;=10,8,IF(T513&lt;=50,6,IF(T513&lt;=100,4,2))))</f>
        <v>0.4</v>
      </c>
      <c r="V513" s="7"/>
      <c r="W513" s="12"/>
      <c r="X513" s="13"/>
      <c r="Y513" s="13" t="s">
        <v>2285</v>
      </c>
    </row>
    <row r="514" customFormat="false" ht="15.75" hidden="false" customHeight="true" outlineLevel="0" collapsed="false">
      <c r="A514" s="7" t="s">
        <v>2286</v>
      </c>
      <c r="B514" s="8" t="n">
        <v>2006</v>
      </c>
      <c r="C514" s="8" t="s">
        <v>35</v>
      </c>
      <c r="D514" s="8" t="n">
        <v>143</v>
      </c>
      <c r="E514" s="7" t="s">
        <v>1653</v>
      </c>
      <c r="F514" s="8" t="n">
        <v>8</v>
      </c>
      <c r="G514" s="8" t="n">
        <v>7</v>
      </c>
      <c r="H514" s="9" t="n">
        <v>629521</v>
      </c>
      <c r="I514" s="7" t="s">
        <v>2011</v>
      </c>
      <c r="J514" s="7" t="s">
        <v>131</v>
      </c>
      <c r="K514" s="7" t="s">
        <v>39</v>
      </c>
      <c r="L514" s="10" t="s">
        <v>507</v>
      </c>
      <c r="M514" s="7" t="s">
        <v>2287</v>
      </c>
      <c r="N514" s="8" t="n">
        <v>0</v>
      </c>
      <c r="O514" s="8" t="n">
        <v>0</v>
      </c>
      <c r="P514" s="8" t="n">
        <v>0</v>
      </c>
      <c r="Q514" s="8" t="n">
        <v>5</v>
      </c>
      <c r="R514" s="8" t="n">
        <v>0</v>
      </c>
      <c r="S514" s="8" t="n">
        <v>0</v>
      </c>
      <c r="T514" s="13"/>
      <c r="U514" s="11" t="n">
        <f aca="false">O514*4 + P514*2 + MAX(0,N514-O514-P514)*1 + Q514*0.2 + R514*2 + S514*1 + IF(T514="",0,IF(T514&lt;=10,8,IF(T514&lt;=50,6,IF(T514&lt;=100,4,2))))</f>
        <v>1</v>
      </c>
      <c r="V514" s="7"/>
      <c r="W514" s="12"/>
      <c r="X514" s="13"/>
      <c r="Y514" s="13" t="s">
        <v>2288</v>
      </c>
    </row>
    <row r="515" customFormat="false" ht="15.75" hidden="false" customHeight="true" outlineLevel="0" collapsed="false">
      <c r="A515" s="7" t="s">
        <v>2289</v>
      </c>
      <c r="B515" s="8" t="n">
        <v>2014</v>
      </c>
      <c r="C515" s="8" t="s">
        <v>176</v>
      </c>
      <c r="D515" s="8" t="n">
        <v>119</v>
      </c>
      <c r="E515" s="7" t="s">
        <v>301</v>
      </c>
      <c r="F515" s="8" t="n">
        <v>7.7</v>
      </c>
      <c r="G515" s="8" t="n">
        <v>8</v>
      </c>
      <c r="H515" s="9" t="n">
        <v>701908</v>
      </c>
      <c r="I515" s="7" t="s">
        <v>46</v>
      </c>
      <c r="J515" s="7" t="s">
        <v>30</v>
      </c>
      <c r="K515" s="7" t="s">
        <v>47</v>
      </c>
      <c r="L515" s="10" t="s">
        <v>2290</v>
      </c>
      <c r="M515" s="7" t="s">
        <v>2291</v>
      </c>
      <c r="N515" s="8" t="n">
        <v>4</v>
      </c>
      <c r="O515" s="8" t="n">
        <v>1</v>
      </c>
      <c r="P515" s="8" t="n">
        <v>1</v>
      </c>
      <c r="Q515" s="8" t="n">
        <v>9</v>
      </c>
      <c r="R515" s="8" t="n">
        <v>0</v>
      </c>
      <c r="S515" s="8" t="n">
        <v>0</v>
      </c>
      <c r="T515" s="13"/>
      <c r="U515" s="11" t="n">
        <f aca="false">O515*4 + P515*2 + MAX(0,N515-O515-P515)*1 + Q515*0.2 + R515*2 + S515*1 + IF(T515="",0,IF(T515&lt;=10,8,IF(T515&lt;=50,6,IF(T515&lt;=100,4,2))))</f>
        <v>9.8</v>
      </c>
      <c r="V515" s="7"/>
      <c r="W515" s="12"/>
      <c r="X515" s="13"/>
      <c r="Y515" s="13" t="s">
        <v>2292</v>
      </c>
    </row>
    <row r="516" customFormat="false" ht="15.75" hidden="false" customHeight="true" outlineLevel="0" collapsed="false">
      <c r="A516" s="7" t="s">
        <v>2293</v>
      </c>
      <c r="B516" s="8" t="n">
        <v>2019</v>
      </c>
      <c r="C516" s="8" t="s">
        <v>176</v>
      </c>
      <c r="D516" s="8" t="n">
        <v>122</v>
      </c>
      <c r="E516" s="7" t="s">
        <v>2294</v>
      </c>
      <c r="F516" s="8" t="n">
        <v>8.3</v>
      </c>
      <c r="G516" s="8" t="n">
        <v>9</v>
      </c>
      <c r="H516" s="9" t="n">
        <v>1716768</v>
      </c>
      <c r="I516" s="7" t="s">
        <v>2168</v>
      </c>
      <c r="J516" s="7" t="s">
        <v>47</v>
      </c>
      <c r="K516" s="7"/>
      <c r="L516" s="10" t="s">
        <v>2295</v>
      </c>
      <c r="M516" s="7" t="s">
        <v>2296</v>
      </c>
      <c r="N516" s="8" t="n">
        <v>2</v>
      </c>
      <c r="O516" s="8" t="n">
        <v>0</v>
      </c>
      <c r="P516" s="8" t="n">
        <v>0</v>
      </c>
      <c r="Q516" s="8" t="n">
        <v>11</v>
      </c>
      <c r="R516" s="8" t="n">
        <v>1</v>
      </c>
      <c r="S516" s="8" t="n">
        <v>0</v>
      </c>
      <c r="T516" s="8"/>
      <c r="U516" s="11" t="n">
        <f aca="false">O516*4 + P516*2 + MAX(0,N516-O516-P516)*1 + Q516*0.2 + R516*2 + S516*1 + IF(T516="",0,IF(T516&lt;=10,8,IF(T516&lt;=50,6,IF(T516&lt;=100,4,2))))</f>
        <v>6.2</v>
      </c>
      <c r="V516" s="7"/>
      <c r="W516" s="12"/>
      <c r="X516" s="13"/>
      <c r="Y516" s="13" t="s">
        <v>2297</v>
      </c>
    </row>
    <row r="517" customFormat="false" ht="15.75" hidden="false" customHeight="true" outlineLevel="0" collapsed="false">
      <c r="A517" s="7" t="s">
        <v>2298</v>
      </c>
      <c r="B517" s="8" t="n">
        <v>2014</v>
      </c>
      <c r="C517" s="8" t="s">
        <v>176</v>
      </c>
      <c r="D517" s="8" t="n">
        <v>99</v>
      </c>
      <c r="E517" s="7" t="s">
        <v>1200</v>
      </c>
      <c r="F517" s="8" t="n">
        <v>8.1</v>
      </c>
      <c r="G517" s="8" t="n">
        <v>6</v>
      </c>
      <c r="H517" s="9" t="n">
        <v>983214</v>
      </c>
      <c r="I517" s="7" t="s">
        <v>838</v>
      </c>
      <c r="J517" s="7" t="s">
        <v>30</v>
      </c>
      <c r="K517" s="7" t="s">
        <v>47</v>
      </c>
      <c r="L517" s="10" t="s">
        <v>2299</v>
      </c>
      <c r="M517" s="7" t="s">
        <v>2300</v>
      </c>
      <c r="N517" s="8" t="n">
        <v>4</v>
      </c>
      <c r="O517" s="8" t="n">
        <v>0</v>
      </c>
      <c r="P517" s="8" t="n">
        <v>0</v>
      </c>
      <c r="Q517" s="8" t="n">
        <v>9</v>
      </c>
      <c r="R517" s="8" t="n">
        <v>0</v>
      </c>
      <c r="S517" s="8" t="n">
        <v>1</v>
      </c>
      <c r="T517" s="8"/>
      <c r="U517" s="11" t="n">
        <f aca="false">O517*4 + P517*2 + MAX(0,N517-O517-P517)*1 + Q517*0.2 + R517*2 + S517*1 + IF(T517="",0,IF(T517&lt;=10,8,IF(T517&lt;=50,6,IF(T517&lt;=100,4,2))))</f>
        <v>6.8</v>
      </c>
      <c r="V517" s="7"/>
      <c r="W517" s="12"/>
      <c r="X517" s="13"/>
      <c r="Y517" s="13" t="s">
        <v>2301</v>
      </c>
    </row>
    <row r="518" customFormat="false" ht="15.75" hidden="false" customHeight="true" outlineLevel="0" collapsed="false">
      <c r="A518" s="7" t="s">
        <v>2302</v>
      </c>
      <c r="B518" s="8" t="n">
        <v>2015</v>
      </c>
      <c r="C518" s="8" t="s">
        <v>176</v>
      </c>
      <c r="D518" s="8" t="n">
        <v>156</v>
      </c>
      <c r="E518" s="7" t="s">
        <v>301</v>
      </c>
      <c r="F518" s="8" t="n">
        <v>8</v>
      </c>
      <c r="G518" s="8" t="n">
        <v>9</v>
      </c>
      <c r="H518" s="9" t="n">
        <v>957958</v>
      </c>
      <c r="I518" s="7" t="s">
        <v>2303</v>
      </c>
      <c r="J518" s="7" t="s">
        <v>268</v>
      </c>
      <c r="K518" s="7" t="s">
        <v>112</v>
      </c>
      <c r="L518" s="10" t="s">
        <v>1895</v>
      </c>
      <c r="M518" s="7" t="s">
        <v>2304</v>
      </c>
      <c r="N518" s="8" t="n">
        <v>3</v>
      </c>
      <c r="O518" s="8" t="n">
        <v>0</v>
      </c>
      <c r="P518" s="8" t="n">
        <v>1</v>
      </c>
      <c r="Q518" s="8" t="n">
        <v>12</v>
      </c>
      <c r="R518" s="8" t="n">
        <v>0</v>
      </c>
      <c r="S518" s="8" t="n">
        <v>1</v>
      </c>
      <c r="T518" s="8"/>
      <c r="U518" s="11" t="n">
        <f aca="false">O518*4 + P518*2 + MAX(0,N518-O518-P518)*1 + Q518*0.2 + R518*2 + S518*1 + IF(T518="",0,IF(T518&lt;=10,8,IF(T518&lt;=50,6,IF(T518&lt;=100,4,2))))</f>
        <v>7.4</v>
      </c>
      <c r="V518" s="7"/>
      <c r="W518" s="12"/>
      <c r="X518" s="13"/>
      <c r="Y518" s="13" t="s">
        <v>2305</v>
      </c>
    </row>
    <row r="519" customFormat="false" ht="15.75" hidden="false" customHeight="true" outlineLevel="0" collapsed="false">
      <c r="A519" s="7" t="s">
        <v>2306</v>
      </c>
      <c r="B519" s="8" t="n">
        <v>2003</v>
      </c>
      <c r="C519" s="8" t="s">
        <v>35</v>
      </c>
      <c r="D519" s="8" t="n">
        <v>120</v>
      </c>
      <c r="E519" s="7" t="s">
        <v>2307</v>
      </c>
      <c r="F519" s="8" t="n">
        <v>8.3</v>
      </c>
      <c r="G519" s="8" t="n">
        <v>8</v>
      </c>
      <c r="H519" s="9" t="n">
        <v>728408</v>
      </c>
      <c r="I519" s="7" t="s">
        <v>430</v>
      </c>
      <c r="J519" s="7" t="s">
        <v>112</v>
      </c>
      <c r="K519" s="7" t="s">
        <v>125</v>
      </c>
      <c r="L519" s="10" t="s">
        <v>2308</v>
      </c>
      <c r="M519" s="7" t="s">
        <v>2309</v>
      </c>
      <c r="N519" s="8" t="n">
        <v>0</v>
      </c>
      <c r="O519" s="8" t="n">
        <v>0</v>
      </c>
      <c r="P519" s="8" t="n">
        <v>0</v>
      </c>
      <c r="Q519" s="8" t="n">
        <v>0</v>
      </c>
      <c r="R519" s="8" t="n">
        <v>0</v>
      </c>
      <c r="S519" s="13" t="n">
        <v>0</v>
      </c>
      <c r="T519" s="8"/>
      <c r="U519" s="11" t="n">
        <f aca="false">O519*4 + P519*2 + MAX(0,N519-O519-P519)*1 + Q519*0.2 + R519*2 + S519*1 + IF(T519="",0,IF(T519&lt;=10,8,IF(T519&lt;=50,6,IF(T519&lt;=100,4,2))))</f>
        <v>0</v>
      </c>
      <c r="V519" s="10" t="s">
        <v>2310</v>
      </c>
      <c r="W519" s="12"/>
      <c r="X519" s="8" t="n">
        <v>125</v>
      </c>
      <c r="Y519" s="8" t="s">
        <v>2311</v>
      </c>
    </row>
    <row r="520" customFormat="false" ht="15.75" hidden="false" customHeight="true" outlineLevel="0" collapsed="false">
      <c r="A520" s="7" t="s">
        <v>2312</v>
      </c>
      <c r="B520" s="8" t="n">
        <v>2014</v>
      </c>
      <c r="C520" s="8" t="s">
        <v>176</v>
      </c>
      <c r="D520" s="8" t="n">
        <v>105</v>
      </c>
      <c r="E520" s="7" t="s">
        <v>2313</v>
      </c>
      <c r="F520" s="8" t="n">
        <v>7.2</v>
      </c>
      <c r="G520" s="8" t="n">
        <v>6</v>
      </c>
      <c r="H520" s="9" t="n">
        <v>39280</v>
      </c>
      <c r="I520" s="7" t="s">
        <v>232</v>
      </c>
      <c r="J520" s="7" t="s">
        <v>131</v>
      </c>
      <c r="K520" s="7" t="s">
        <v>464</v>
      </c>
      <c r="L520" s="10" t="s">
        <v>2314</v>
      </c>
      <c r="M520" s="10" t="s">
        <v>2315</v>
      </c>
      <c r="N520" s="8" t="n">
        <v>0</v>
      </c>
      <c r="O520" s="8" t="n">
        <v>0</v>
      </c>
      <c r="P520" s="8" t="n">
        <v>0</v>
      </c>
      <c r="Q520" s="8" t="n">
        <v>0</v>
      </c>
      <c r="R520" s="13" t="n">
        <v>0</v>
      </c>
      <c r="S520" s="13" t="n">
        <v>0</v>
      </c>
      <c r="T520" s="13"/>
      <c r="U520" s="11" t="n">
        <f aca="false">O520*4 + P520*2 + MAX(0,N520-O520-P520)*1 + Q520*0.2 + R520*2 + S520*1 + IF(T520="",0,IF(T520&lt;=10,8,IF(T520&lt;=50,6,IF(T520&lt;=100,4,2))))</f>
        <v>0</v>
      </c>
      <c r="V520" s="7"/>
      <c r="W520" s="12"/>
      <c r="X520" s="13"/>
      <c r="Y520" s="13" t="s">
        <v>2316</v>
      </c>
    </row>
    <row r="521" customFormat="false" ht="15.75" hidden="false" customHeight="true" outlineLevel="0" collapsed="false">
      <c r="A521" s="7" t="s">
        <v>2317</v>
      </c>
      <c r="B521" s="8" t="n">
        <v>2006</v>
      </c>
      <c r="C521" s="8" t="s">
        <v>35</v>
      </c>
      <c r="D521" s="8" t="n">
        <v>121</v>
      </c>
      <c r="E521" s="7" t="s">
        <v>349</v>
      </c>
      <c r="F521" s="8" t="n">
        <v>7.6</v>
      </c>
      <c r="G521" s="8" t="n">
        <v>7</v>
      </c>
      <c r="H521" s="9" t="n">
        <v>113472</v>
      </c>
      <c r="I521" s="7" t="s">
        <v>232</v>
      </c>
      <c r="J521" s="7" t="s">
        <v>30</v>
      </c>
      <c r="K521" s="7" t="s">
        <v>47</v>
      </c>
      <c r="L521" s="10" t="s">
        <v>587</v>
      </c>
      <c r="M521" s="10" t="s">
        <v>2318</v>
      </c>
      <c r="N521" s="8" t="n">
        <v>0</v>
      </c>
      <c r="O521" s="8" t="n">
        <v>0</v>
      </c>
      <c r="P521" s="8" t="n">
        <v>0</v>
      </c>
      <c r="Q521" s="8" t="n">
        <v>1</v>
      </c>
      <c r="R521" s="8" t="n">
        <v>0</v>
      </c>
      <c r="S521" s="8" t="n">
        <v>0</v>
      </c>
      <c r="T521" s="13"/>
      <c r="U521" s="11" t="n">
        <f aca="false">O521*4 + P521*2 + MAX(0,N521-O521-P521)*1 + Q521*0.2 + R521*2 + S521*1 + IF(T521="",0,IF(T521&lt;=10,8,IF(T521&lt;=50,6,IF(T521&lt;=100,4,2))))</f>
        <v>0.2</v>
      </c>
      <c r="V521" s="7"/>
      <c r="W521" s="12"/>
      <c r="X521" s="13"/>
      <c r="Y521" s="13" t="s">
        <v>2319</v>
      </c>
    </row>
    <row r="522" customFormat="false" ht="15.75" hidden="false" customHeight="true" outlineLevel="0" collapsed="false">
      <c r="A522" s="7" t="s">
        <v>2320</v>
      </c>
      <c r="B522" s="8" t="n">
        <v>2006</v>
      </c>
      <c r="C522" s="8" t="s">
        <v>35</v>
      </c>
      <c r="D522" s="8" t="n">
        <v>139</v>
      </c>
      <c r="E522" s="7" t="s">
        <v>971</v>
      </c>
      <c r="F522" s="8" t="n">
        <v>7.9</v>
      </c>
      <c r="G522" s="8" t="n">
        <v>9</v>
      </c>
      <c r="H522" s="9" t="n">
        <v>363043</v>
      </c>
      <c r="I522" s="7" t="s">
        <v>46</v>
      </c>
      <c r="J522" s="7" t="s">
        <v>112</v>
      </c>
      <c r="K522" s="7" t="s">
        <v>39</v>
      </c>
      <c r="L522" s="10"/>
      <c r="M522" s="7" t="s">
        <v>2321</v>
      </c>
      <c r="N522" s="8" t="n">
        <v>0</v>
      </c>
      <c r="O522" s="8" t="n">
        <v>0</v>
      </c>
      <c r="P522" s="8" t="n">
        <v>0</v>
      </c>
      <c r="Q522" s="8" t="n">
        <v>3</v>
      </c>
      <c r="R522" s="8" t="n">
        <v>0</v>
      </c>
      <c r="S522" s="8" t="n">
        <v>0</v>
      </c>
      <c r="T522" s="13"/>
      <c r="U522" s="11" t="n">
        <f aca="false">O522*4 + P522*2 + MAX(0,N522-O522-P522)*1 + Q522*0.2 + R522*2 + S522*1 + IF(T522="",0,IF(T522&lt;=10,8,IF(T522&lt;=50,6,IF(T522&lt;=100,4,2))))</f>
        <v>0.6</v>
      </c>
      <c r="V522" s="7"/>
      <c r="W522" s="12"/>
      <c r="X522" s="13"/>
      <c r="Y522" s="13" t="s">
        <v>2322</v>
      </c>
    </row>
    <row r="523" customFormat="false" ht="15.75" hidden="false" customHeight="true" outlineLevel="0" collapsed="false">
      <c r="A523" s="7" t="s">
        <v>2323</v>
      </c>
      <c r="B523" s="8" t="n">
        <v>2006</v>
      </c>
      <c r="C523" s="8" t="s">
        <v>35</v>
      </c>
      <c r="D523" s="8" t="n">
        <v>109</v>
      </c>
      <c r="E523" s="7" t="s">
        <v>2324</v>
      </c>
      <c r="F523" s="8" t="n">
        <v>7.9</v>
      </c>
      <c r="G523" s="8" t="n">
        <v>7</v>
      </c>
      <c r="H523" s="9" t="n">
        <v>570005</v>
      </c>
      <c r="I523" s="7" t="s">
        <v>359</v>
      </c>
      <c r="J523" s="7" t="s">
        <v>111</v>
      </c>
      <c r="K523" s="7" t="s">
        <v>131</v>
      </c>
      <c r="L523" s="10" t="s">
        <v>210</v>
      </c>
      <c r="M523" s="7" t="s">
        <v>2325</v>
      </c>
      <c r="N523" s="8" t="n">
        <v>0</v>
      </c>
      <c r="O523" s="8" t="n">
        <v>0</v>
      </c>
      <c r="P523" s="8" t="n">
        <v>0</v>
      </c>
      <c r="Q523" s="8" t="n">
        <v>3</v>
      </c>
      <c r="R523" s="8" t="n">
        <v>0</v>
      </c>
      <c r="S523" s="8" t="n">
        <v>0</v>
      </c>
      <c r="T523" s="8"/>
      <c r="U523" s="11" t="n">
        <f aca="false">O523*4 + P523*2 + MAX(0,N523-O523-P523)*1 + Q523*0.2 + R523*2 + S523*1 + IF(T523="",0,IF(T523&lt;=10,8,IF(T523&lt;=50,6,IF(T523&lt;=100,4,2))))</f>
        <v>0.6</v>
      </c>
      <c r="V523" s="10" t="s">
        <v>2326</v>
      </c>
      <c r="W523" s="12"/>
      <c r="X523" s="8" t="n">
        <v>105</v>
      </c>
      <c r="Y523" s="8" t="s">
        <v>2327</v>
      </c>
    </row>
    <row r="524" customFormat="false" ht="15.75" hidden="false" customHeight="true" outlineLevel="0" collapsed="false">
      <c r="A524" s="7" t="s">
        <v>2328</v>
      </c>
      <c r="B524" s="8" t="n">
        <v>2015</v>
      </c>
      <c r="C524" s="8" t="s">
        <v>176</v>
      </c>
      <c r="D524" s="8" t="n">
        <v>120</v>
      </c>
      <c r="E524" s="7" t="s">
        <v>2329</v>
      </c>
      <c r="F524" s="8" t="n">
        <v>8.1</v>
      </c>
      <c r="G524" s="8" t="n">
        <v>7</v>
      </c>
      <c r="H524" s="9" t="n">
        <v>1216805</v>
      </c>
      <c r="I524" s="7" t="s">
        <v>2330</v>
      </c>
      <c r="J524" s="7" t="s">
        <v>111</v>
      </c>
      <c r="K524" s="7" t="s">
        <v>112</v>
      </c>
      <c r="L524" s="10" t="s">
        <v>155</v>
      </c>
      <c r="M524" s="7" t="s">
        <v>2331</v>
      </c>
      <c r="N524" s="8" t="n">
        <v>6</v>
      </c>
      <c r="O524" s="8" t="n">
        <v>0</v>
      </c>
      <c r="P524" s="8" t="n">
        <v>0</v>
      </c>
      <c r="Q524" s="8" t="n">
        <v>10</v>
      </c>
      <c r="R524" s="8" t="n">
        <v>0</v>
      </c>
      <c r="S524" s="8" t="n">
        <v>0</v>
      </c>
      <c r="T524" s="8" t="n">
        <v>196</v>
      </c>
      <c r="U524" s="11" t="n">
        <f aca="false">O524*4 + P524*2 + MAX(0,N524-O524-P524)*1 + Q524*0.2 + R524*2 + S524*1 + IF(T524="",0,IF(T524&lt;=10,8,IF(T524&lt;=50,6,IF(T524&lt;=100,4,2))))</f>
        <v>10</v>
      </c>
      <c r="V524" s="7" t="s">
        <v>2332</v>
      </c>
      <c r="W524" s="12" t="s">
        <v>735</v>
      </c>
      <c r="X524" s="8" t="n">
        <v>1</v>
      </c>
      <c r="Y524" s="8" t="s">
        <v>2333</v>
      </c>
    </row>
    <row r="525" customFormat="false" ht="15.75" hidden="false" customHeight="true" outlineLevel="0" collapsed="false">
      <c r="A525" s="7" t="s">
        <v>2334</v>
      </c>
      <c r="B525" s="8" t="n">
        <v>2014</v>
      </c>
      <c r="C525" s="8" t="s">
        <v>176</v>
      </c>
      <c r="D525" s="8" t="n">
        <v>122</v>
      </c>
      <c r="E525" s="7" t="s">
        <v>2335</v>
      </c>
      <c r="F525" s="8" t="n">
        <v>8.1</v>
      </c>
      <c r="G525" s="8" t="n">
        <v>8</v>
      </c>
      <c r="H525" s="9" t="n">
        <v>240656</v>
      </c>
      <c r="I525" s="7" t="s">
        <v>2336</v>
      </c>
      <c r="J525" s="7" t="s">
        <v>131</v>
      </c>
      <c r="K525" s="7" t="s">
        <v>1140</v>
      </c>
      <c r="L525" s="10" t="s">
        <v>205</v>
      </c>
      <c r="M525" s="10" t="s">
        <v>2337</v>
      </c>
      <c r="N525" s="8" t="n">
        <v>0</v>
      </c>
      <c r="O525" s="8" t="n">
        <v>0</v>
      </c>
      <c r="P525" s="8" t="n">
        <v>0</v>
      </c>
      <c r="Q525" s="8" t="n">
        <v>1</v>
      </c>
      <c r="R525" s="8" t="n">
        <v>0</v>
      </c>
      <c r="S525" s="8" t="n">
        <v>0</v>
      </c>
      <c r="T525" s="13"/>
      <c r="U525" s="11" t="n">
        <f aca="false">O525*4 + P525*2 + MAX(0,N525-O525-P525)*1 + Q525*0.2 + R525*2 + S525*1 + IF(T525="",0,IF(T525&lt;=10,8,IF(T525&lt;=50,6,IF(T525&lt;=100,4,2))))</f>
        <v>0.2</v>
      </c>
      <c r="V525" s="7"/>
      <c r="W525" s="12"/>
      <c r="X525" s="13"/>
      <c r="Y525" s="13" t="s">
        <v>2338</v>
      </c>
    </row>
    <row r="526" customFormat="false" ht="15.75" hidden="false" customHeight="true" outlineLevel="0" collapsed="false">
      <c r="A526" s="7" t="s">
        <v>2339</v>
      </c>
      <c r="B526" s="8" t="n">
        <v>2016</v>
      </c>
      <c r="C526" s="8" t="s">
        <v>176</v>
      </c>
      <c r="D526" s="8" t="n">
        <v>116</v>
      </c>
      <c r="E526" s="7" t="s">
        <v>1110</v>
      </c>
      <c r="F526" s="8" t="n">
        <v>7.9</v>
      </c>
      <c r="G526" s="8" t="n">
        <v>5</v>
      </c>
      <c r="H526" s="9" t="n">
        <v>875148</v>
      </c>
      <c r="I526" s="7" t="s">
        <v>46</v>
      </c>
      <c r="J526" s="7" t="s">
        <v>111</v>
      </c>
      <c r="K526" s="7" t="s">
        <v>125</v>
      </c>
      <c r="L526" s="10" t="s">
        <v>238</v>
      </c>
      <c r="M526" s="7" t="s">
        <v>2340</v>
      </c>
      <c r="N526" s="8" t="n">
        <v>1</v>
      </c>
      <c r="O526" s="8" t="n">
        <v>0</v>
      </c>
      <c r="P526" s="8" t="n">
        <v>0</v>
      </c>
      <c r="Q526" s="8" t="n">
        <v>8</v>
      </c>
      <c r="R526" s="8" t="n">
        <v>0</v>
      </c>
      <c r="S526" s="8" t="n">
        <v>0</v>
      </c>
      <c r="T526" s="8"/>
      <c r="U526" s="11" t="n">
        <f aca="false">O526*4 + P526*2 + MAX(0,N526-O526-P526)*1 + Q526*0.2 + R526*2 + S526*1 + IF(T526="",0,IF(T526&lt;=10,8,IF(T526&lt;=50,6,IF(T526&lt;=100,4,2))))</f>
        <v>2.6</v>
      </c>
      <c r="V526" s="10" t="s">
        <v>2341</v>
      </c>
      <c r="W526" s="12"/>
      <c r="X526" s="8" t="n">
        <v>107</v>
      </c>
      <c r="Y526" s="8" t="s">
        <v>2342</v>
      </c>
    </row>
    <row r="527" customFormat="false" ht="15.75" hidden="false" customHeight="true" outlineLevel="0" collapsed="false">
      <c r="A527" s="7" t="s">
        <v>2343</v>
      </c>
      <c r="B527" s="8" t="n">
        <v>2012</v>
      </c>
      <c r="C527" s="8" t="s">
        <v>176</v>
      </c>
      <c r="D527" s="8" t="n">
        <v>127</v>
      </c>
      <c r="E527" s="7" t="s">
        <v>497</v>
      </c>
      <c r="F527" s="8" t="n">
        <v>7.9</v>
      </c>
      <c r="G527" s="8" t="n">
        <v>7</v>
      </c>
      <c r="H527" s="9" t="n">
        <v>704240</v>
      </c>
      <c r="I527" s="7" t="s">
        <v>2344</v>
      </c>
      <c r="J527" s="7" t="s">
        <v>38</v>
      </c>
      <c r="K527" s="7" t="s">
        <v>39</v>
      </c>
      <c r="L527" s="10" t="s">
        <v>177</v>
      </c>
      <c r="M527" s="7" t="s">
        <v>2345</v>
      </c>
      <c r="N527" s="8" t="n">
        <v>4</v>
      </c>
      <c r="O527" s="8" t="n">
        <v>0</v>
      </c>
      <c r="P527" s="8" t="n">
        <v>1</v>
      </c>
      <c r="Q527" s="8" t="n">
        <v>11</v>
      </c>
      <c r="R527" s="8" t="n">
        <v>0</v>
      </c>
      <c r="S527" s="8" t="n">
        <v>0</v>
      </c>
      <c r="T527" s="13"/>
      <c r="U527" s="11" t="n">
        <f aca="false">O527*4 + P527*2 + MAX(0,N527-O527-P527)*1 + Q527*0.2 + R527*2 + S527*1 + IF(T527="",0,IF(T527&lt;=10,8,IF(T527&lt;=50,6,IF(T527&lt;=100,4,2))))</f>
        <v>7.2</v>
      </c>
      <c r="V527" s="7"/>
      <c r="W527" s="12"/>
      <c r="X527" s="13"/>
      <c r="Y527" s="13" t="s">
        <v>2346</v>
      </c>
    </row>
    <row r="528" customFormat="false" ht="15.75" hidden="false" customHeight="true" outlineLevel="0" collapsed="false">
      <c r="A528" s="7" t="s">
        <v>2347</v>
      </c>
      <c r="B528" s="8" t="n">
        <v>2004</v>
      </c>
      <c r="C528" s="8" t="s">
        <v>35</v>
      </c>
      <c r="D528" s="8" t="n">
        <v>108</v>
      </c>
      <c r="E528" s="7" t="s">
        <v>2266</v>
      </c>
      <c r="F528" s="8" t="n">
        <v>7.7</v>
      </c>
      <c r="G528" s="8" t="n">
        <v>8</v>
      </c>
      <c r="H528" s="9" t="n">
        <v>516620</v>
      </c>
      <c r="I528" s="7" t="s">
        <v>2011</v>
      </c>
      <c r="J528" s="7" t="s">
        <v>131</v>
      </c>
      <c r="K528" s="7" t="s">
        <v>125</v>
      </c>
      <c r="L528" s="10" t="s">
        <v>507</v>
      </c>
      <c r="M528" s="7" t="s">
        <v>2348</v>
      </c>
      <c r="N528" s="8" t="n">
        <v>0</v>
      </c>
      <c r="O528" s="8" t="n">
        <v>0</v>
      </c>
      <c r="P528" s="8" t="n">
        <v>0</v>
      </c>
      <c r="Q528" s="8" t="n">
        <v>0</v>
      </c>
      <c r="R528" s="13" t="n">
        <v>0</v>
      </c>
      <c r="S528" s="13" t="n">
        <v>0</v>
      </c>
      <c r="T528" s="13"/>
      <c r="U528" s="11" t="n">
        <f aca="false">O528*4 + P528*2 + MAX(0,N528-O528-P528)*1 + Q528*0.2 + R528*2 + S528*1 + IF(T528="",0,IF(T528&lt;=10,8,IF(T528&lt;=50,6,IF(T528&lt;=100,4,2))))</f>
        <v>0</v>
      </c>
      <c r="V528" s="7"/>
      <c r="W528" s="12"/>
      <c r="X528" s="13"/>
      <c r="Y528" s="13" t="s">
        <v>2349</v>
      </c>
    </row>
    <row r="529" customFormat="false" ht="15.75" hidden="false" customHeight="true" outlineLevel="0" collapsed="false">
      <c r="A529" s="7" t="s">
        <v>2350</v>
      </c>
      <c r="B529" s="8" t="n">
        <v>2011</v>
      </c>
      <c r="C529" s="8" t="s">
        <v>176</v>
      </c>
      <c r="D529" s="8" t="n">
        <v>130</v>
      </c>
      <c r="E529" s="7" t="s">
        <v>2351</v>
      </c>
      <c r="F529" s="8" t="n">
        <v>8.1</v>
      </c>
      <c r="G529" s="8" t="n">
        <v>7</v>
      </c>
      <c r="H529" s="9" t="n">
        <v>1058192</v>
      </c>
      <c r="I529" s="7" t="s">
        <v>359</v>
      </c>
      <c r="J529" s="7" t="s">
        <v>38</v>
      </c>
      <c r="K529" s="7" t="s">
        <v>259</v>
      </c>
      <c r="L529" s="10" t="s">
        <v>55</v>
      </c>
      <c r="M529" s="7" t="s">
        <v>2352</v>
      </c>
      <c r="N529" s="8" t="n">
        <v>0</v>
      </c>
      <c r="O529" s="8" t="n">
        <v>0</v>
      </c>
      <c r="P529" s="8" t="n">
        <v>0</v>
      </c>
      <c r="Q529" s="8" t="n">
        <v>3</v>
      </c>
      <c r="R529" s="8" t="n">
        <v>0</v>
      </c>
      <c r="S529" s="8" t="n">
        <v>0</v>
      </c>
      <c r="T529" s="8"/>
      <c r="U529" s="11" t="n">
        <f aca="false">O529*4 + P529*2 + MAX(0,N529-O529-P529)*1 + Q529*0.2 + R529*2 + S529*1 + IF(T529="",0,IF(T529&lt;=10,8,IF(T529&lt;=50,6,IF(T529&lt;=100,4,2))))</f>
        <v>0.6</v>
      </c>
      <c r="V529" s="7"/>
      <c r="W529" s="12"/>
      <c r="X529" s="13"/>
      <c r="Y529" s="13" t="s">
        <v>2353</v>
      </c>
    </row>
    <row r="530" customFormat="false" ht="15.75" hidden="false" customHeight="true" outlineLevel="0" collapsed="false">
      <c r="A530" s="7" t="s">
        <v>2354</v>
      </c>
      <c r="B530" s="8" t="n">
        <v>2014</v>
      </c>
      <c r="C530" s="8" t="s">
        <v>176</v>
      </c>
      <c r="D530" s="8" t="n">
        <v>106</v>
      </c>
      <c r="E530" s="7" t="s">
        <v>2355</v>
      </c>
      <c r="F530" s="8" t="n">
        <v>8.5</v>
      </c>
      <c r="G530" s="8" t="n">
        <v>8</v>
      </c>
      <c r="H530" s="9" t="n">
        <v>1174256</v>
      </c>
      <c r="I530" s="7" t="s">
        <v>46</v>
      </c>
      <c r="J530" s="7" t="s">
        <v>90</v>
      </c>
      <c r="K530" s="7" t="s">
        <v>47</v>
      </c>
      <c r="L530" s="10"/>
      <c r="M530" s="7" t="s">
        <v>2356</v>
      </c>
      <c r="N530" s="8" t="n">
        <v>3</v>
      </c>
      <c r="O530" s="8" t="n">
        <v>0</v>
      </c>
      <c r="P530" s="8" t="n">
        <v>0</v>
      </c>
      <c r="Q530" s="8" t="n">
        <v>5</v>
      </c>
      <c r="R530" s="8" t="n">
        <v>0</v>
      </c>
      <c r="S530" s="8" t="n">
        <v>0</v>
      </c>
      <c r="T530" s="8"/>
      <c r="U530" s="11" t="n">
        <f aca="false">O530*4 + P530*2 + MAX(0,N530-O530-P530)*1 + Q530*0.2 + R530*2 + S530*1 + IF(T530="",0,IF(T530&lt;=10,8,IF(T530&lt;=50,6,IF(T530&lt;=100,4,2))))</f>
        <v>4</v>
      </c>
      <c r="V530" s="7"/>
      <c r="W530" s="12"/>
      <c r="X530" s="13"/>
      <c r="Y530" s="13" t="s">
        <v>2357</v>
      </c>
    </row>
    <row r="531" customFormat="false" ht="15.75" hidden="false" customHeight="true" outlineLevel="0" collapsed="false">
      <c r="A531" s="7" t="s">
        <v>2358</v>
      </c>
      <c r="B531" s="8" t="n">
        <v>2019</v>
      </c>
      <c r="C531" s="8" t="s">
        <v>176</v>
      </c>
      <c r="D531" s="8" t="n">
        <v>132</v>
      </c>
      <c r="E531" s="7" t="s">
        <v>429</v>
      </c>
      <c r="F531" s="8" t="n">
        <v>8.5</v>
      </c>
      <c r="G531" s="8" t="n">
        <v>9</v>
      </c>
      <c r="H531" s="9" t="n">
        <v>1186742</v>
      </c>
      <c r="I531" s="7" t="s">
        <v>430</v>
      </c>
      <c r="J531" s="7" t="s">
        <v>131</v>
      </c>
      <c r="K531" s="7" t="s">
        <v>47</v>
      </c>
      <c r="L531" s="10" t="s">
        <v>113</v>
      </c>
      <c r="M531" s="7" t="s">
        <v>2359</v>
      </c>
      <c r="N531" s="8" t="n">
        <v>4</v>
      </c>
      <c r="O531" s="8" t="n">
        <v>1</v>
      </c>
      <c r="P531" s="8" t="n">
        <v>1</v>
      </c>
      <c r="Q531" s="8" t="n">
        <v>6</v>
      </c>
      <c r="R531" s="8" t="n">
        <v>1</v>
      </c>
      <c r="S531" s="8" t="n">
        <v>0</v>
      </c>
      <c r="T531" s="8" t="n">
        <v>90</v>
      </c>
      <c r="U531" s="11" t="n">
        <f aca="false">O531*4 + P531*2 + MAX(0,N531-O531-P531)*1 + Q531*0.2 + R531*2 + S531*1 + IF(T531="",0,IF(T531&lt;=10,8,IF(T531&lt;=50,6,IF(T531&lt;=100,4,2))))</f>
        <v>15.2</v>
      </c>
      <c r="V531" s="10" t="s">
        <v>2360</v>
      </c>
      <c r="W531" s="12"/>
      <c r="X531" s="8" t="n">
        <v>25</v>
      </c>
      <c r="Y531" s="8" t="s">
        <v>2361</v>
      </c>
    </row>
    <row r="532" customFormat="false" ht="15.75" hidden="false" customHeight="true" outlineLevel="0" collapsed="false">
      <c r="A532" s="7" t="s">
        <v>2362</v>
      </c>
      <c r="B532" s="8" t="n">
        <v>2015</v>
      </c>
      <c r="C532" s="8" t="s">
        <v>176</v>
      </c>
      <c r="D532" s="8" t="n">
        <v>144</v>
      </c>
      <c r="E532" s="7" t="s">
        <v>1074</v>
      </c>
      <c r="F532" s="8" t="n">
        <v>8</v>
      </c>
      <c r="G532" s="8" t="n">
        <v>8</v>
      </c>
      <c r="H532" s="9" t="n">
        <v>1025064</v>
      </c>
      <c r="I532" s="7" t="s">
        <v>46</v>
      </c>
      <c r="J532" s="7" t="s">
        <v>111</v>
      </c>
      <c r="K532" s="7" t="s">
        <v>39</v>
      </c>
      <c r="L532" s="10" t="s">
        <v>177</v>
      </c>
      <c r="M532" s="7" t="s">
        <v>2363</v>
      </c>
      <c r="N532" s="8" t="n">
        <v>0</v>
      </c>
      <c r="O532" s="8" t="n">
        <v>0</v>
      </c>
      <c r="P532" s="8" t="n">
        <v>0</v>
      </c>
      <c r="Q532" s="8" t="n">
        <v>7</v>
      </c>
      <c r="R532" s="8" t="n">
        <v>0</v>
      </c>
      <c r="S532" s="8" t="n">
        <v>1</v>
      </c>
      <c r="T532" s="8"/>
      <c r="U532" s="11" t="n">
        <f aca="false">O532*4 + P532*2 + MAX(0,N532-O532-P532)*1 + Q532*0.2 + R532*2 + S532*1 + IF(T532="",0,IF(T532&lt;=10,8,IF(T532&lt;=50,6,IF(T532&lt;=100,4,2))))</f>
        <v>2.4</v>
      </c>
      <c r="V532" s="7"/>
      <c r="W532" s="12"/>
      <c r="X532" s="13"/>
      <c r="Y532" s="13" t="s">
        <v>2364</v>
      </c>
    </row>
    <row r="533" customFormat="false" ht="15.75" hidden="false" customHeight="true" outlineLevel="0" collapsed="false">
      <c r="A533" s="7" t="s">
        <v>2365</v>
      </c>
      <c r="B533" s="8" t="n">
        <v>2009</v>
      </c>
      <c r="C533" s="8" t="s">
        <v>35</v>
      </c>
      <c r="D533" s="8" t="n">
        <v>134</v>
      </c>
      <c r="E533" s="7" t="s">
        <v>74</v>
      </c>
      <c r="F533" s="8" t="n">
        <v>7.3</v>
      </c>
      <c r="G533" s="8" t="n">
        <v>6</v>
      </c>
      <c r="H533" s="9" t="n">
        <v>175212</v>
      </c>
      <c r="I533" s="7" t="s">
        <v>46</v>
      </c>
      <c r="J533" s="7" t="s">
        <v>47</v>
      </c>
      <c r="K533" s="7" t="s">
        <v>48</v>
      </c>
      <c r="L533" s="10"/>
      <c r="M533" s="10" t="s">
        <v>2366</v>
      </c>
      <c r="N533" s="8" t="n">
        <v>0</v>
      </c>
      <c r="O533" s="8" t="n">
        <v>0</v>
      </c>
      <c r="P533" s="8" t="n">
        <v>0</v>
      </c>
      <c r="Q533" s="8" t="n">
        <v>2</v>
      </c>
      <c r="R533" s="8" t="n">
        <v>0</v>
      </c>
      <c r="S533" s="8" t="n">
        <v>0</v>
      </c>
      <c r="T533" s="13"/>
      <c r="U533" s="11" t="n">
        <f aca="false">O533*4 + P533*2 + MAX(0,N533-O533-P533)*1 + Q533*0.2 + R533*2 + S533*1 + IF(T533="",0,IF(T533&lt;=10,8,IF(T533&lt;=50,6,IF(T533&lt;=100,4,2))))</f>
        <v>0.4</v>
      </c>
      <c r="V533" s="7"/>
      <c r="W533" s="12"/>
      <c r="X533" s="13"/>
      <c r="Y533" s="13" t="s">
        <v>2367</v>
      </c>
    </row>
    <row r="534" customFormat="false" ht="15.75" hidden="false" customHeight="true" outlineLevel="0" collapsed="false">
      <c r="A534" s="7" t="s">
        <v>2368</v>
      </c>
      <c r="B534" s="8" t="n">
        <v>2008</v>
      </c>
      <c r="C534" s="8" t="s">
        <v>35</v>
      </c>
      <c r="D534" s="8" t="n">
        <v>141</v>
      </c>
      <c r="E534" s="7" t="s">
        <v>74</v>
      </c>
      <c r="F534" s="8" t="n">
        <v>7.7</v>
      </c>
      <c r="G534" s="8" t="n">
        <v>7</v>
      </c>
      <c r="H534" s="9" t="n">
        <v>276096</v>
      </c>
      <c r="I534" s="7" t="s">
        <v>46</v>
      </c>
      <c r="J534" s="7" t="s">
        <v>47</v>
      </c>
      <c r="K534" s="7" t="s">
        <v>54</v>
      </c>
      <c r="L534" s="10"/>
      <c r="M534" s="7" t="s">
        <v>2369</v>
      </c>
      <c r="N534" s="8" t="n">
        <v>0</v>
      </c>
      <c r="O534" s="8" t="n">
        <v>0</v>
      </c>
      <c r="P534" s="8" t="n">
        <v>0</v>
      </c>
      <c r="Q534" s="8" t="n">
        <v>3</v>
      </c>
      <c r="R534" s="8" t="n">
        <v>0</v>
      </c>
      <c r="S534" s="8" t="n">
        <v>0</v>
      </c>
      <c r="T534" s="13"/>
      <c r="U534" s="11" t="n">
        <f aca="false">O534*4 + P534*2 + MAX(0,N534-O534-P534)*1 + Q534*0.2 + R534*2 + S534*1 + IF(T534="",0,IF(T534&lt;=10,8,IF(T534&lt;=50,6,IF(T534&lt;=100,4,2))))</f>
        <v>0.6</v>
      </c>
      <c r="V534" s="7"/>
      <c r="W534" s="12"/>
      <c r="X534" s="13"/>
      <c r="Y534" s="13" t="s">
        <v>2370</v>
      </c>
    </row>
    <row r="535" customFormat="false" ht="15.75" hidden="false" customHeight="true" outlineLevel="0" collapsed="false">
      <c r="A535" s="7" t="s">
        <v>2371</v>
      </c>
      <c r="B535" s="8" t="n">
        <v>2001</v>
      </c>
      <c r="C535" s="8" t="s">
        <v>35</v>
      </c>
      <c r="D535" s="8" t="n">
        <v>122</v>
      </c>
      <c r="E535" s="7" t="s">
        <v>2372</v>
      </c>
      <c r="F535" s="8" t="n">
        <v>7.8</v>
      </c>
      <c r="G535" s="8" t="n">
        <v>8</v>
      </c>
      <c r="H535" s="9" t="n">
        <v>522879</v>
      </c>
      <c r="I535" s="7" t="s">
        <v>2330</v>
      </c>
      <c r="J535" s="7" t="s">
        <v>131</v>
      </c>
      <c r="K535" s="7" t="s">
        <v>54</v>
      </c>
      <c r="L535" s="10" t="s">
        <v>2373</v>
      </c>
      <c r="M535" s="7" t="s">
        <v>2374</v>
      </c>
      <c r="N535" s="8" t="n">
        <v>1</v>
      </c>
      <c r="O535" s="8" t="n">
        <v>0</v>
      </c>
      <c r="P535" s="8" t="n">
        <v>0</v>
      </c>
      <c r="Q535" s="8" t="n">
        <v>2</v>
      </c>
      <c r="R535" s="8" t="n">
        <v>0</v>
      </c>
      <c r="S535" s="8" t="n">
        <v>0</v>
      </c>
      <c r="T535" s="13"/>
      <c r="U535" s="11" t="n">
        <f aca="false">O535*4 + P535*2 + MAX(0,N535-O535-P535)*1 + Q535*0.2 + R535*2 + S535*1 + IF(T535="",0,IF(T535&lt;=10,8,IF(T535&lt;=50,6,IF(T535&lt;=100,4,2))))</f>
        <v>1.4</v>
      </c>
      <c r="V535" s="7"/>
      <c r="W535" s="12"/>
      <c r="X535" s="13"/>
      <c r="Y535" s="13" t="s">
        <v>2375</v>
      </c>
    </row>
    <row r="536" customFormat="false" ht="15.75" hidden="false" customHeight="true" outlineLevel="0" collapsed="false">
      <c r="A536" s="7" t="s">
        <v>2376</v>
      </c>
      <c r="B536" s="8" t="n">
        <v>2015</v>
      </c>
      <c r="C536" s="8" t="s">
        <v>176</v>
      </c>
      <c r="D536" s="8" t="n">
        <v>168</v>
      </c>
      <c r="E536" s="7" t="s">
        <v>53</v>
      </c>
      <c r="F536" s="8" t="n">
        <v>7.8</v>
      </c>
      <c r="G536" s="8" t="n">
        <v>8</v>
      </c>
      <c r="H536" s="9" t="n">
        <v>728342</v>
      </c>
      <c r="I536" s="7" t="s">
        <v>46</v>
      </c>
      <c r="J536" s="7" t="s">
        <v>47</v>
      </c>
      <c r="K536" s="7" t="s">
        <v>54</v>
      </c>
      <c r="L536" s="10" t="s">
        <v>133</v>
      </c>
      <c r="M536" s="7" t="s">
        <v>2377</v>
      </c>
      <c r="N536" s="8" t="n">
        <v>1</v>
      </c>
      <c r="O536" s="8" t="n">
        <v>0</v>
      </c>
      <c r="P536" s="8" t="n">
        <v>0</v>
      </c>
      <c r="Q536" s="8" t="n">
        <v>3</v>
      </c>
      <c r="R536" s="8" t="n">
        <v>0</v>
      </c>
      <c r="S536" s="8" t="n">
        <v>0</v>
      </c>
      <c r="T536" s="8"/>
      <c r="U536" s="11" t="n">
        <f aca="false">O536*4 + P536*2 + MAX(0,N536-O536-P536)*1 + Q536*0.2 + R536*2 + S536*1 + IF(T536="",0,IF(T536&lt;=10,8,IF(T536&lt;=50,6,IF(T536&lt;=100,4,2))))</f>
        <v>1.6</v>
      </c>
      <c r="V536" s="10" t="s">
        <v>2378</v>
      </c>
      <c r="W536" s="12"/>
      <c r="X536" s="8" t="n">
        <v>43</v>
      </c>
      <c r="Y536" s="8" t="s">
        <v>2379</v>
      </c>
    </row>
    <row r="537" customFormat="false" ht="15.75" hidden="false" customHeight="true" outlineLevel="0" collapsed="false">
      <c r="A537" s="7" t="s">
        <v>2380</v>
      </c>
      <c r="B537" s="8" t="n">
        <v>2013</v>
      </c>
      <c r="C537" s="8" t="s">
        <v>176</v>
      </c>
      <c r="D537" s="8" t="n">
        <v>153</v>
      </c>
      <c r="E537" s="7" t="s">
        <v>1110</v>
      </c>
      <c r="F537" s="8" t="n">
        <v>8.2</v>
      </c>
      <c r="G537" s="8" t="n">
        <v>8</v>
      </c>
      <c r="H537" s="9" t="n">
        <v>951917</v>
      </c>
      <c r="I537" s="7" t="s">
        <v>46</v>
      </c>
      <c r="J537" s="7" t="s">
        <v>47</v>
      </c>
      <c r="K537" s="7" t="s">
        <v>54</v>
      </c>
      <c r="L537" s="10" t="s">
        <v>220</v>
      </c>
      <c r="M537" s="7" t="s">
        <v>2381</v>
      </c>
      <c r="N537" s="8" t="n">
        <v>0</v>
      </c>
      <c r="O537" s="8" t="n">
        <v>0</v>
      </c>
      <c r="P537" s="8" t="n">
        <v>0</v>
      </c>
      <c r="Q537" s="8" t="n">
        <v>1</v>
      </c>
      <c r="R537" s="8" t="n">
        <v>0</v>
      </c>
      <c r="S537" s="8" t="n">
        <v>0</v>
      </c>
      <c r="T537" s="8"/>
      <c r="U537" s="11" t="n">
        <f aca="false">O537*4 + P537*2 + MAX(0,N537-O537-P537)*1 + Q537*0.2 + R537*2 + S537*1 + IF(T537="",0,IF(T537&lt;=10,8,IF(T537&lt;=50,6,IF(T537&lt;=100,4,2))))</f>
        <v>0.2</v>
      </c>
      <c r="V537" s="7"/>
      <c r="W537" s="12"/>
      <c r="X537" s="13"/>
      <c r="Y537" s="13" t="s">
        <v>2382</v>
      </c>
    </row>
    <row r="538" customFormat="false" ht="15.75" hidden="false" customHeight="true" outlineLevel="0" collapsed="false">
      <c r="A538" s="7" t="s">
        <v>2383</v>
      </c>
      <c r="B538" s="8" t="n">
        <v>2013</v>
      </c>
      <c r="C538" s="8" t="s">
        <v>176</v>
      </c>
      <c r="D538" s="8" t="n">
        <v>134</v>
      </c>
      <c r="E538" s="7" t="s">
        <v>2384</v>
      </c>
      <c r="F538" s="8" t="n">
        <v>8.1</v>
      </c>
      <c r="G538" s="8" t="n">
        <v>7</v>
      </c>
      <c r="H538" s="9" t="n">
        <v>792430</v>
      </c>
      <c r="I538" s="7" t="s">
        <v>153</v>
      </c>
      <c r="J538" s="7" t="s">
        <v>47</v>
      </c>
      <c r="K538" s="7" t="s">
        <v>48</v>
      </c>
      <c r="L538" s="10" t="s">
        <v>2385</v>
      </c>
      <c r="M538" s="7" t="s">
        <v>2386</v>
      </c>
      <c r="N538" s="8" t="n">
        <v>3</v>
      </c>
      <c r="O538" s="8" t="n">
        <v>1</v>
      </c>
      <c r="P538" s="8" t="n">
        <v>0</v>
      </c>
      <c r="Q538" s="8" t="n">
        <v>9</v>
      </c>
      <c r="R538" s="8" t="n">
        <v>0</v>
      </c>
      <c r="S538" s="8" t="n">
        <v>1</v>
      </c>
      <c r="T538" s="13"/>
      <c r="U538" s="11" t="n">
        <f aca="false">O538*4 + P538*2 + MAX(0,N538-O538-P538)*1 + Q538*0.2 + R538*2 + S538*1 + IF(T538="",0,IF(T538&lt;=10,8,IF(T538&lt;=50,6,IF(T538&lt;=100,4,2))))</f>
        <v>8.8</v>
      </c>
      <c r="V538" s="7"/>
      <c r="W538" s="12"/>
      <c r="X538" s="13"/>
      <c r="Y538" s="13" t="s">
        <v>2387</v>
      </c>
    </row>
    <row r="539" customFormat="false" ht="15.75" hidden="false" customHeight="true" outlineLevel="0" collapsed="false">
      <c r="A539" s="7" t="s">
        <v>2388</v>
      </c>
      <c r="B539" s="8" t="n">
        <v>2004</v>
      </c>
      <c r="C539" s="8" t="s">
        <v>35</v>
      </c>
      <c r="D539" s="8" t="n">
        <v>156</v>
      </c>
      <c r="E539" s="7" t="s">
        <v>2389</v>
      </c>
      <c r="F539" s="8" t="n">
        <v>8.2</v>
      </c>
      <c r="G539" s="8" t="n">
        <v>8</v>
      </c>
      <c r="H539" s="9" t="n">
        <v>402913</v>
      </c>
      <c r="I539" s="7" t="s">
        <v>2390</v>
      </c>
      <c r="J539" s="7" t="s">
        <v>47</v>
      </c>
      <c r="K539" s="7" t="s">
        <v>48</v>
      </c>
      <c r="L539" s="10"/>
      <c r="M539" s="7" t="s">
        <v>2391</v>
      </c>
      <c r="N539" s="8" t="n">
        <v>0</v>
      </c>
      <c r="O539" s="8" t="n">
        <v>0</v>
      </c>
      <c r="P539" s="8" t="n">
        <v>0</v>
      </c>
      <c r="Q539" s="8" t="n">
        <v>1</v>
      </c>
      <c r="R539" s="8" t="n">
        <v>0</v>
      </c>
      <c r="S539" s="8" t="n">
        <v>0</v>
      </c>
      <c r="T539" s="13"/>
      <c r="U539" s="11" t="n">
        <f aca="false">O539*4 + P539*2 + MAX(0,N539-O539-P539)*1 + Q539*0.2 + R539*2 + S539*1 + IF(T539="",0,IF(T539&lt;=10,8,IF(T539&lt;=50,6,IF(T539&lt;=100,4,2))))</f>
        <v>0.2</v>
      </c>
      <c r="V539" s="7"/>
      <c r="W539" s="12"/>
      <c r="X539" s="13"/>
      <c r="Y539" s="13" t="s">
        <v>2392</v>
      </c>
    </row>
    <row r="540" customFormat="false" ht="15.75" hidden="false" customHeight="true" outlineLevel="0" collapsed="false">
      <c r="A540" s="7" t="s">
        <v>2393</v>
      </c>
      <c r="B540" s="8" t="n">
        <v>2008</v>
      </c>
      <c r="C540" s="8" t="s">
        <v>35</v>
      </c>
      <c r="D540" s="8" t="n">
        <v>123</v>
      </c>
      <c r="E540" s="7" t="s">
        <v>2252</v>
      </c>
      <c r="F540" s="8" t="n">
        <v>7.6</v>
      </c>
      <c r="G540" s="8" t="n">
        <v>7</v>
      </c>
      <c r="H540" s="9" t="n">
        <v>327223</v>
      </c>
      <c r="I540" s="7" t="s">
        <v>46</v>
      </c>
      <c r="J540" s="7" t="s">
        <v>131</v>
      </c>
      <c r="K540" s="7" t="s">
        <v>125</v>
      </c>
      <c r="L540" s="10"/>
      <c r="M540" s="7" t="s">
        <v>2394</v>
      </c>
      <c r="N540" s="8" t="n">
        <v>0</v>
      </c>
      <c r="O540" s="8" t="n">
        <v>0</v>
      </c>
      <c r="P540" s="8" t="n">
        <v>0</v>
      </c>
      <c r="Q540" s="8" t="n">
        <v>0</v>
      </c>
      <c r="R540" s="13" t="n">
        <v>0</v>
      </c>
      <c r="S540" s="13" t="n">
        <v>0</v>
      </c>
      <c r="T540" s="13"/>
      <c r="U540" s="11" t="n">
        <f aca="false">O540*4 + P540*2 + MAX(0,N540-O540-P540)*1 + Q540*0.2 + R540*2 + S540*1 + IF(T540="",0,IF(T540&lt;=10,8,IF(T540&lt;=50,6,IF(T540&lt;=100,4,2))))</f>
        <v>0</v>
      </c>
      <c r="V540" s="7"/>
      <c r="W540" s="12"/>
      <c r="X540" s="13"/>
      <c r="Y540" s="13" t="s">
        <v>2395</v>
      </c>
    </row>
    <row r="541" customFormat="false" ht="15.75" hidden="false" customHeight="true" outlineLevel="0" collapsed="false">
      <c r="A541" s="7" t="s">
        <v>2396</v>
      </c>
      <c r="B541" s="8" t="n">
        <v>2004</v>
      </c>
      <c r="C541" s="8" t="s">
        <v>35</v>
      </c>
      <c r="D541" s="8" t="n">
        <v>119</v>
      </c>
      <c r="E541" s="7" t="s">
        <v>1646</v>
      </c>
      <c r="F541" s="8" t="n">
        <v>8.2</v>
      </c>
      <c r="G541" s="8" t="n">
        <v>6</v>
      </c>
      <c r="H541" s="9" t="n">
        <v>519230</v>
      </c>
      <c r="I541" s="7" t="s">
        <v>124</v>
      </c>
      <c r="J541" s="7" t="s">
        <v>579</v>
      </c>
      <c r="K541" s="7" t="s">
        <v>259</v>
      </c>
      <c r="L541" s="10" t="s">
        <v>238</v>
      </c>
      <c r="M541" s="7" t="s">
        <v>2397</v>
      </c>
      <c r="N541" s="8" t="n">
        <v>0</v>
      </c>
      <c r="O541" s="8" t="n">
        <v>0</v>
      </c>
      <c r="P541" s="8" t="n">
        <v>0</v>
      </c>
      <c r="Q541" s="8" t="n">
        <v>1</v>
      </c>
      <c r="R541" s="8" t="n">
        <v>0</v>
      </c>
      <c r="S541" s="8" t="n">
        <v>0</v>
      </c>
      <c r="T541" s="13"/>
      <c r="U541" s="11" t="n">
        <f aca="false">O541*4 + P541*2 + MAX(0,N541-O541-P541)*1 + Q541*0.2 + R541*2 + S541*1 + IF(T541="",0,IF(T541&lt;=10,8,IF(T541&lt;=50,6,IF(T541&lt;=100,4,2))))</f>
        <v>0.2</v>
      </c>
      <c r="V541" s="7"/>
      <c r="W541" s="12"/>
      <c r="X541" s="13"/>
      <c r="Y541" s="13" t="s">
        <v>2398</v>
      </c>
    </row>
    <row r="542" customFormat="false" ht="15.75" hidden="false" customHeight="true" outlineLevel="0" collapsed="false">
      <c r="A542" s="7" t="s">
        <v>2399</v>
      </c>
      <c r="B542" s="8" t="n">
        <v>2016</v>
      </c>
      <c r="C542" s="8" t="s">
        <v>176</v>
      </c>
      <c r="D542" s="8" t="n">
        <v>128</v>
      </c>
      <c r="E542" s="7" t="s">
        <v>2355</v>
      </c>
      <c r="F542" s="8" t="n">
        <v>8</v>
      </c>
      <c r="G542" s="8" t="n">
        <v>10</v>
      </c>
      <c r="H542" s="9" t="n">
        <v>773706</v>
      </c>
      <c r="I542" s="7" t="s">
        <v>46</v>
      </c>
      <c r="J542" s="7" t="s">
        <v>90</v>
      </c>
      <c r="K542" s="7" t="s">
        <v>30</v>
      </c>
      <c r="L542" s="10" t="s">
        <v>2236</v>
      </c>
      <c r="M542" s="7" t="s">
        <v>2400</v>
      </c>
      <c r="N542" s="8" t="n">
        <v>6</v>
      </c>
      <c r="O542" s="8" t="n">
        <v>0</v>
      </c>
      <c r="P542" s="8" t="n">
        <v>1</v>
      </c>
      <c r="Q542" s="8" t="n">
        <v>14</v>
      </c>
      <c r="R542" s="8" t="n">
        <v>0</v>
      </c>
      <c r="S542" s="8" t="n">
        <v>1</v>
      </c>
      <c r="T542" s="13"/>
      <c r="U542" s="11" t="n">
        <f aca="false">O542*4 + P542*2 + MAX(0,N542-O542-P542)*1 + Q542*0.2 + R542*2 + S542*1 + IF(T542="",0,IF(T542&lt;=10,8,IF(T542&lt;=50,6,IF(T542&lt;=100,4,2))))</f>
        <v>10.8</v>
      </c>
      <c r="V542" s="7"/>
      <c r="W542" s="12"/>
      <c r="X542" s="13"/>
      <c r="Y542" s="13" t="s">
        <v>2401</v>
      </c>
    </row>
    <row r="543" customFormat="false" ht="15.75" hidden="false" customHeight="true" outlineLevel="0" collapsed="false">
      <c r="A543" s="7" t="s">
        <v>2402</v>
      </c>
      <c r="B543" s="8" t="n">
        <v>2008</v>
      </c>
      <c r="C543" s="8" t="s">
        <v>35</v>
      </c>
      <c r="D543" s="8" t="n">
        <v>114</v>
      </c>
      <c r="E543" s="7" t="s">
        <v>2403</v>
      </c>
      <c r="F543" s="8" t="n">
        <v>7.8</v>
      </c>
      <c r="G543" s="8" t="n">
        <v>7</v>
      </c>
      <c r="H543" s="9" t="n">
        <v>241239</v>
      </c>
      <c r="I543" s="7" t="s">
        <v>1438</v>
      </c>
      <c r="J543" s="7" t="s">
        <v>147</v>
      </c>
      <c r="K543" s="7" t="s">
        <v>38</v>
      </c>
      <c r="L543" s="10" t="s">
        <v>252</v>
      </c>
      <c r="M543" s="7" t="s">
        <v>2404</v>
      </c>
      <c r="N543" s="8" t="n">
        <v>0</v>
      </c>
      <c r="O543" s="8" t="n">
        <v>0</v>
      </c>
      <c r="P543" s="8" t="n">
        <v>0</v>
      </c>
      <c r="Q543" s="8" t="n">
        <v>0</v>
      </c>
      <c r="R543" s="8" t="n">
        <v>0</v>
      </c>
      <c r="S543" s="13" t="n">
        <v>0</v>
      </c>
      <c r="T543" s="8"/>
      <c r="U543" s="11" t="n">
        <f aca="false">O543*4 + P543*2 + MAX(0,N543-O543-P543)*1 + Q543*0.2 + R543*2 + S543*1 + IF(T543="",0,IF(T543&lt;=10,8,IF(T543&lt;=50,6,IF(T543&lt;=100,4,2))))</f>
        <v>0</v>
      </c>
      <c r="V543" s="10" t="s">
        <v>2405</v>
      </c>
      <c r="W543" s="12"/>
      <c r="X543" s="8" t="n">
        <v>92</v>
      </c>
      <c r="Y543" s="8" t="s">
        <v>2406</v>
      </c>
    </row>
    <row r="544" customFormat="false" ht="15.75" hidden="false" customHeight="true" outlineLevel="0" collapsed="false">
      <c r="A544" s="7" t="s">
        <v>2407</v>
      </c>
      <c r="B544" s="8" t="n">
        <v>2003</v>
      </c>
      <c r="C544" s="8" t="s">
        <v>35</v>
      </c>
      <c r="D544" s="8" t="n">
        <v>138</v>
      </c>
      <c r="E544" s="7" t="s">
        <v>503</v>
      </c>
      <c r="F544" s="8" t="n">
        <v>7.5</v>
      </c>
      <c r="G544" s="8"/>
      <c r="H544" s="9" t="n">
        <v>258421</v>
      </c>
      <c r="I544" s="7" t="s">
        <v>46</v>
      </c>
      <c r="J544" s="7" t="s">
        <v>112</v>
      </c>
      <c r="K544" s="7" t="s">
        <v>39</v>
      </c>
      <c r="L544" s="10" t="s">
        <v>177</v>
      </c>
      <c r="M544" s="7" t="s">
        <v>2408</v>
      </c>
      <c r="N544" s="8" t="n">
        <v>2</v>
      </c>
      <c r="O544" s="8" t="n">
        <v>0</v>
      </c>
      <c r="P544" s="8" t="n">
        <v>0</v>
      </c>
      <c r="Q544" s="8" t="n">
        <v>10</v>
      </c>
      <c r="R544" s="8" t="n">
        <v>0</v>
      </c>
      <c r="S544" s="8" t="n">
        <v>0</v>
      </c>
      <c r="T544" s="8"/>
      <c r="U544" s="11" t="n">
        <f aca="false">O544*4 + P544*2 + MAX(0,N544-O544-P544)*1 + Q544*0.2 + R544*2 + S544*1 + IF(T544="",0,IF(T544&lt;=10,8,IF(T544&lt;=50,6,IF(T544&lt;=100,4,2))))</f>
        <v>4</v>
      </c>
      <c r="V544" s="10" t="s">
        <v>2409</v>
      </c>
      <c r="W544" s="12"/>
      <c r="X544" s="8" t="n">
        <v>8</v>
      </c>
      <c r="Y544" s="8" t="s">
        <v>505</v>
      </c>
    </row>
    <row r="545" customFormat="false" ht="15.75" hidden="false" customHeight="true" outlineLevel="0" collapsed="false">
      <c r="A545" s="7" t="s">
        <v>2410</v>
      </c>
      <c r="B545" s="8" t="n">
        <v>2014</v>
      </c>
      <c r="C545" s="8" t="s">
        <v>176</v>
      </c>
      <c r="D545" s="8" t="n">
        <v>114</v>
      </c>
      <c r="E545" s="7" t="s">
        <v>2411</v>
      </c>
      <c r="F545" s="8" t="n">
        <v>8</v>
      </c>
      <c r="G545" s="8" t="n">
        <v>8</v>
      </c>
      <c r="H545" s="9" t="n">
        <v>883123</v>
      </c>
      <c r="I545" s="7" t="s">
        <v>280</v>
      </c>
      <c r="J545" s="7" t="s">
        <v>131</v>
      </c>
      <c r="K545" s="7" t="s">
        <v>48</v>
      </c>
      <c r="L545" s="10" t="s">
        <v>210</v>
      </c>
      <c r="M545" s="7" t="s">
        <v>2412</v>
      </c>
      <c r="N545" s="8" t="n">
        <v>1</v>
      </c>
      <c r="O545" s="8" t="n">
        <v>0</v>
      </c>
      <c r="P545" s="8" t="n">
        <v>0</v>
      </c>
      <c r="Q545" s="8" t="n">
        <v>8</v>
      </c>
      <c r="R545" s="8" t="n">
        <v>0</v>
      </c>
      <c r="S545" s="8" t="n">
        <v>0</v>
      </c>
      <c r="T545" s="8"/>
      <c r="U545" s="11" t="n">
        <f aca="false">O545*4 + P545*2 + MAX(0,N545-O545-P545)*1 + Q545*0.2 + R545*2 + S545*1 + IF(T545="",0,IF(T545&lt;=10,8,IF(T545&lt;=50,6,IF(T545&lt;=100,4,2))))</f>
        <v>2.6</v>
      </c>
      <c r="V545" s="7"/>
      <c r="W545" s="12"/>
      <c r="X545" s="13"/>
      <c r="Y545" s="13" t="s">
        <v>2413</v>
      </c>
    </row>
    <row r="546" customFormat="false" ht="15.75" hidden="false" customHeight="true" outlineLevel="0" collapsed="false">
      <c r="A546" s="7" t="s">
        <v>2414</v>
      </c>
      <c r="B546" s="8" t="n">
        <v>2007</v>
      </c>
      <c r="C546" s="8" t="s">
        <v>35</v>
      </c>
      <c r="D546" s="8" t="n">
        <v>100</v>
      </c>
      <c r="E546" s="7" t="s">
        <v>1086</v>
      </c>
      <c r="F546" s="8" t="n">
        <v>7.6</v>
      </c>
      <c r="G546" s="8" t="n">
        <v>7</v>
      </c>
      <c r="H546" s="9" t="n">
        <v>279025</v>
      </c>
      <c r="I546" s="7" t="s">
        <v>2415</v>
      </c>
      <c r="J546" s="7" t="s">
        <v>131</v>
      </c>
      <c r="K546" s="7" t="s">
        <v>54</v>
      </c>
      <c r="L546" s="10"/>
      <c r="M546" s="7" t="s">
        <v>2416</v>
      </c>
      <c r="N546" s="8" t="n">
        <v>0</v>
      </c>
      <c r="O546" s="8" t="n">
        <v>0</v>
      </c>
      <c r="P546" s="8" t="n">
        <v>0</v>
      </c>
      <c r="Q546" s="8" t="n">
        <v>1</v>
      </c>
      <c r="R546" s="8" t="n">
        <v>0</v>
      </c>
      <c r="S546" s="8" t="n">
        <v>0</v>
      </c>
      <c r="T546" s="13"/>
      <c r="U546" s="11" t="n">
        <f aca="false">O546*4 + P546*2 + MAX(0,N546-O546-P546)*1 + Q546*0.2 + R546*2 + S546*1 + IF(T546="",0,IF(T546&lt;=10,8,IF(T546&lt;=50,6,IF(T546&lt;=100,4,2))))</f>
        <v>0.2</v>
      </c>
      <c r="V546" s="7"/>
      <c r="W546" s="12"/>
      <c r="X546" s="13"/>
      <c r="Y546" s="13" t="s">
        <v>2417</v>
      </c>
    </row>
    <row r="547" customFormat="false" ht="15.75" hidden="false" customHeight="true" outlineLevel="0" collapsed="false">
      <c r="A547" s="7" t="s">
        <v>2418</v>
      </c>
      <c r="B547" s="8" t="n">
        <v>2006</v>
      </c>
      <c r="C547" s="8" t="s">
        <v>35</v>
      </c>
      <c r="D547" s="8" t="n">
        <v>110</v>
      </c>
      <c r="E547" s="7" t="s">
        <v>2419</v>
      </c>
      <c r="F547" s="8" t="n">
        <v>7.7</v>
      </c>
      <c r="G547" s="8" t="n">
        <v>8</v>
      </c>
      <c r="H547" s="9" t="n">
        <v>340629</v>
      </c>
      <c r="I547" s="7" t="s">
        <v>2011</v>
      </c>
      <c r="J547" s="7" t="s">
        <v>131</v>
      </c>
      <c r="K547" s="7" t="s">
        <v>54</v>
      </c>
      <c r="L547" s="10" t="s">
        <v>2420</v>
      </c>
      <c r="M547" s="7" t="s">
        <v>2421</v>
      </c>
      <c r="N547" s="8" t="n">
        <v>0</v>
      </c>
      <c r="O547" s="8" t="n">
        <v>0</v>
      </c>
      <c r="P547" s="8" t="n">
        <v>0</v>
      </c>
      <c r="Q547" s="8" t="n">
        <v>0</v>
      </c>
      <c r="R547" s="13" t="n">
        <v>0</v>
      </c>
      <c r="S547" s="13" t="n">
        <v>0</v>
      </c>
      <c r="T547" s="13"/>
      <c r="U547" s="11" t="n">
        <f aca="false">O547*4 + P547*2 + MAX(0,N547-O547-P547)*1 + Q547*0.2 + R547*2 + S547*1 + IF(T547="",0,IF(T547&lt;=10,8,IF(T547&lt;=50,6,IF(T547&lt;=100,4,2))))</f>
        <v>0</v>
      </c>
      <c r="V547" s="7"/>
      <c r="W547" s="12"/>
      <c r="X547" s="13"/>
      <c r="Y547" s="13" t="s">
        <v>2422</v>
      </c>
    </row>
    <row r="548" customFormat="false" ht="15.75" hidden="false" customHeight="true" outlineLevel="0" collapsed="false">
      <c r="A548" s="7" t="s">
        <v>2423</v>
      </c>
      <c r="B548" s="8" t="n">
        <v>2019</v>
      </c>
      <c r="C548" s="8" t="s">
        <v>176</v>
      </c>
      <c r="D548" s="8" t="n">
        <v>161</v>
      </c>
      <c r="E548" s="7" t="s">
        <v>53</v>
      </c>
      <c r="F548" s="8" t="n">
        <v>7.6</v>
      </c>
      <c r="G548" s="8" t="n">
        <v>7</v>
      </c>
      <c r="H548" s="9" t="n">
        <v>973555</v>
      </c>
      <c r="I548" s="7" t="s">
        <v>2424</v>
      </c>
      <c r="J548" s="7" t="s">
        <v>30</v>
      </c>
      <c r="K548" s="7" t="s">
        <v>47</v>
      </c>
      <c r="L548" s="10" t="s">
        <v>507</v>
      </c>
      <c r="M548" s="7" t="s">
        <v>2425</v>
      </c>
      <c r="N548" s="8" t="n">
        <v>2</v>
      </c>
      <c r="O548" s="8" t="n">
        <v>0</v>
      </c>
      <c r="P548" s="8" t="n">
        <v>0</v>
      </c>
      <c r="Q548" s="8" t="n">
        <v>10</v>
      </c>
      <c r="R548" s="8" t="n">
        <v>0</v>
      </c>
      <c r="S548" s="8" t="n">
        <v>1</v>
      </c>
      <c r="T548" s="8"/>
      <c r="U548" s="11" t="n">
        <f aca="false">O548*4 + P548*2 + MAX(0,N548-O548-P548)*1 + Q548*0.2 + R548*2 + S548*1 + IF(T548="",0,IF(T548&lt;=10,8,IF(T548&lt;=50,6,IF(T548&lt;=100,4,2))))</f>
        <v>5</v>
      </c>
      <c r="V548" s="10" t="s">
        <v>2426</v>
      </c>
      <c r="W548" s="12"/>
      <c r="X548" s="8" t="n">
        <v>6</v>
      </c>
      <c r="Y548" s="8" t="s">
        <v>2427</v>
      </c>
    </row>
    <row r="549" customFormat="false" ht="15.75" hidden="false" customHeight="true" outlineLevel="0" collapsed="false">
      <c r="A549" s="7" t="s">
        <v>2428</v>
      </c>
      <c r="B549" s="8" t="n">
        <v>2013</v>
      </c>
      <c r="C549" s="8" t="s">
        <v>176</v>
      </c>
      <c r="D549" s="8" t="n">
        <v>117</v>
      </c>
      <c r="E549" s="7" t="s">
        <v>1534</v>
      </c>
      <c r="F549" s="8" t="n">
        <v>7.9</v>
      </c>
      <c r="G549" s="8" t="n">
        <v>8</v>
      </c>
      <c r="H549" s="9" t="n">
        <v>551404</v>
      </c>
      <c r="I549" s="7" t="s">
        <v>46</v>
      </c>
      <c r="J549" s="7" t="s">
        <v>47</v>
      </c>
      <c r="K549" s="7" t="s">
        <v>48</v>
      </c>
      <c r="L549" s="10" t="s">
        <v>166</v>
      </c>
      <c r="M549" s="7" t="s">
        <v>2429</v>
      </c>
      <c r="N549" s="8" t="n">
        <v>3</v>
      </c>
      <c r="O549" s="8" t="n">
        <v>0</v>
      </c>
      <c r="P549" s="8" t="n">
        <v>0</v>
      </c>
      <c r="Q549" s="8" t="n">
        <v>6</v>
      </c>
      <c r="R549" s="8" t="n">
        <v>0</v>
      </c>
      <c r="S549" s="8" t="n">
        <v>0</v>
      </c>
      <c r="T549" s="13"/>
      <c r="U549" s="11" t="n">
        <f aca="false">O549*4 + P549*2 + MAX(0,N549-O549-P549)*1 + Q549*0.2 + R549*2 + S549*1 + IF(T549="",0,IF(T549&lt;=10,8,IF(T549&lt;=50,6,IF(T549&lt;=100,4,2))))</f>
        <v>4.2</v>
      </c>
      <c r="V549" s="7"/>
      <c r="W549" s="12"/>
      <c r="X549" s="13"/>
      <c r="Y549" s="13" t="s">
        <v>2430</v>
      </c>
    </row>
    <row r="550" customFormat="false" ht="15.75" hidden="false" customHeight="true" outlineLevel="0" collapsed="false">
      <c r="A550" s="7" t="s">
        <v>2431</v>
      </c>
      <c r="B550" s="8" t="n">
        <v>2017</v>
      </c>
      <c r="C550" s="8" t="s">
        <v>176</v>
      </c>
      <c r="D550" s="8" t="n">
        <v>106</v>
      </c>
      <c r="E550" s="7" t="s">
        <v>979</v>
      </c>
      <c r="F550" s="8" t="n">
        <v>7.8</v>
      </c>
      <c r="G550" s="8" t="n">
        <v>8</v>
      </c>
      <c r="H550" s="9" t="n">
        <v>822230</v>
      </c>
      <c r="I550" s="7" t="s">
        <v>2432</v>
      </c>
      <c r="J550" s="7" t="s">
        <v>112</v>
      </c>
      <c r="K550" s="7" t="s">
        <v>453</v>
      </c>
      <c r="L550" s="10" t="s">
        <v>2433</v>
      </c>
      <c r="M550" s="7" t="s">
        <v>2434</v>
      </c>
      <c r="N550" s="8" t="n">
        <v>3</v>
      </c>
      <c r="O550" s="8" t="n">
        <v>0</v>
      </c>
      <c r="P550" s="8" t="n">
        <v>0</v>
      </c>
      <c r="Q550" s="8" t="n">
        <v>8</v>
      </c>
      <c r="R550" s="8" t="n">
        <v>0</v>
      </c>
      <c r="S550" s="8" t="n">
        <v>0</v>
      </c>
      <c r="T550" s="8"/>
      <c r="U550" s="11" t="n">
        <f aca="false">O550*4 + P550*2 + MAX(0,N550-O550-P550)*1 + Q550*0.2 + R550*2 + S550*1 + IF(T550="",0,IF(T550&lt;=10,8,IF(T550&lt;=50,6,IF(T550&lt;=100,4,2))))</f>
        <v>4.6</v>
      </c>
      <c r="V550" s="10" t="s">
        <v>2435</v>
      </c>
      <c r="W550" s="12"/>
      <c r="X550" s="8" t="n">
        <v>114</v>
      </c>
      <c r="Y550" s="8" t="s">
        <v>2436</v>
      </c>
    </row>
    <row r="551" customFormat="false" ht="15.75" hidden="false" customHeight="true" outlineLevel="0" collapsed="false">
      <c r="A551" s="7" t="s">
        <v>2437</v>
      </c>
      <c r="B551" s="8" t="n">
        <v>2005</v>
      </c>
      <c r="C551" s="8" t="s">
        <v>35</v>
      </c>
      <c r="D551" s="8" t="n">
        <v>122</v>
      </c>
      <c r="E551" s="7" t="s">
        <v>2438</v>
      </c>
      <c r="F551" s="8" t="n">
        <v>7.6</v>
      </c>
      <c r="G551" s="8" t="n">
        <v>8</v>
      </c>
      <c r="H551" s="9" t="n">
        <v>361733</v>
      </c>
      <c r="I551" s="7" t="s">
        <v>2439</v>
      </c>
      <c r="J551" s="7" t="s">
        <v>47</v>
      </c>
      <c r="K551" s="7" t="s">
        <v>54</v>
      </c>
      <c r="L551" s="10" t="s">
        <v>238</v>
      </c>
      <c r="M551" s="7" t="s">
        <v>2440</v>
      </c>
      <c r="N551" s="8" t="n">
        <v>0</v>
      </c>
      <c r="O551" s="8" t="n">
        <v>0</v>
      </c>
      <c r="P551" s="8" t="n">
        <v>0</v>
      </c>
      <c r="Q551" s="8" t="n">
        <v>0</v>
      </c>
      <c r="R551" s="13" t="n">
        <v>0</v>
      </c>
      <c r="S551" s="13" t="n">
        <v>0</v>
      </c>
      <c r="T551" s="13"/>
      <c r="U551" s="11" t="n">
        <f aca="false">O551*4 + P551*2 + MAX(0,N551-O551-P551)*1 + Q551*0.2 + R551*2 + S551*1 + IF(T551="",0,IF(T551&lt;=10,8,IF(T551&lt;=50,6,IF(T551&lt;=100,4,2))))</f>
        <v>0</v>
      </c>
      <c r="V551" s="7"/>
      <c r="W551" s="12"/>
      <c r="X551" s="13"/>
      <c r="Y551" s="13" t="s">
        <v>2441</v>
      </c>
    </row>
    <row r="552" customFormat="false" ht="15.75" hidden="false" customHeight="true" outlineLevel="0" collapsed="false">
      <c r="A552" s="7" t="s">
        <v>2442</v>
      </c>
      <c r="B552" s="8" t="n">
        <v>2005</v>
      </c>
      <c r="C552" s="8" t="s">
        <v>35</v>
      </c>
      <c r="D552" s="8" t="n">
        <v>164</v>
      </c>
      <c r="E552" s="7" t="s">
        <v>45</v>
      </c>
      <c r="F552" s="8" t="n">
        <v>7.5</v>
      </c>
      <c r="G552" s="8" t="n">
        <v>7</v>
      </c>
      <c r="H552" s="9" t="n">
        <v>255062</v>
      </c>
      <c r="I552" s="7" t="s">
        <v>2443</v>
      </c>
      <c r="J552" s="7" t="s">
        <v>131</v>
      </c>
      <c r="K552" s="7" t="s">
        <v>453</v>
      </c>
      <c r="L552" s="10" t="s">
        <v>636</v>
      </c>
      <c r="M552" s="10" t="s">
        <v>2444</v>
      </c>
      <c r="N552" s="8" t="n">
        <v>0</v>
      </c>
      <c r="O552" s="8" t="n">
        <v>0</v>
      </c>
      <c r="P552" s="8" t="n">
        <v>0</v>
      </c>
      <c r="Q552" s="8" t="n">
        <v>5</v>
      </c>
      <c r="R552" s="8" t="n">
        <v>0</v>
      </c>
      <c r="S552" s="8" t="n">
        <v>0</v>
      </c>
      <c r="T552" s="13"/>
      <c r="U552" s="11" t="n">
        <f aca="false">O552*4 + P552*2 + MAX(0,N552-O552-P552)*1 + Q552*0.2 + R552*2 + S552*1 + IF(T552="",0,IF(T552&lt;=10,8,IF(T552&lt;=50,6,IF(T552&lt;=100,4,2))))</f>
        <v>1</v>
      </c>
      <c r="V552" s="7"/>
      <c r="W552" s="12"/>
      <c r="X552" s="13"/>
      <c r="Y552" s="13" t="s">
        <v>2445</v>
      </c>
    </row>
    <row r="553" customFormat="false" ht="15.75" hidden="false" customHeight="true" outlineLevel="0" collapsed="false">
      <c r="A553" s="7" t="s">
        <v>2446</v>
      </c>
      <c r="B553" s="8" t="n">
        <v>2010</v>
      </c>
      <c r="C553" s="8" t="s">
        <v>176</v>
      </c>
      <c r="D553" s="8" t="n">
        <v>110</v>
      </c>
      <c r="E553" s="7" t="s">
        <v>2133</v>
      </c>
      <c r="F553" s="8" t="n">
        <v>7.6</v>
      </c>
      <c r="G553" s="8" t="n">
        <v>6</v>
      </c>
      <c r="H553" s="9" t="n">
        <v>378529</v>
      </c>
      <c r="I553" s="7"/>
      <c r="J553" s="7" t="s">
        <v>47</v>
      </c>
      <c r="K553" s="12" t="s">
        <v>268</v>
      </c>
      <c r="L553" s="10" t="s">
        <v>210</v>
      </c>
      <c r="M553" s="7" t="s">
        <v>2447</v>
      </c>
      <c r="N553" s="8" t="n">
        <v>0</v>
      </c>
      <c r="O553" s="8" t="n">
        <v>0</v>
      </c>
      <c r="P553" s="8" t="n">
        <v>0</v>
      </c>
      <c r="Q553" s="8" t="n">
        <v>0</v>
      </c>
      <c r="R553" s="13" t="n">
        <v>0</v>
      </c>
      <c r="S553" s="13" t="n">
        <v>0</v>
      </c>
      <c r="T553" s="13"/>
      <c r="U553" s="11" t="n">
        <f aca="false">O553*4 + P553*2 + MAX(0,N553-O553-P553)*1 + Q553*0.2 + R553*2 + S553*1 + IF(T553="",0,IF(T553&lt;=10,8,IF(T553&lt;=50,6,IF(T553&lt;=100,4,2))))</f>
        <v>0</v>
      </c>
      <c r="V553" s="7"/>
      <c r="W553" s="12"/>
      <c r="X553" s="13"/>
      <c r="Y553" s="13" t="s">
        <v>2448</v>
      </c>
    </row>
    <row r="554" customFormat="false" ht="15.75" hidden="false" customHeight="true" outlineLevel="0" collapsed="false">
      <c r="A554" s="7" t="s">
        <v>2449</v>
      </c>
      <c r="B554" s="8" t="n">
        <v>2004</v>
      </c>
      <c r="C554" s="8" t="s">
        <v>35</v>
      </c>
      <c r="D554" s="8" t="n">
        <v>101</v>
      </c>
      <c r="E554" s="7" t="s">
        <v>2450</v>
      </c>
      <c r="F554" s="8" t="n">
        <v>7.6</v>
      </c>
      <c r="G554" s="8" t="n">
        <v>8</v>
      </c>
      <c r="H554" s="9" t="n">
        <v>444985</v>
      </c>
      <c r="I554" s="7" t="s">
        <v>2451</v>
      </c>
      <c r="J554" s="7" t="s">
        <v>131</v>
      </c>
      <c r="K554" s="7" t="s">
        <v>47</v>
      </c>
      <c r="L554" s="10" t="s">
        <v>113</v>
      </c>
      <c r="M554" s="7" t="s">
        <v>2452</v>
      </c>
      <c r="N554" s="8" t="n">
        <v>0</v>
      </c>
      <c r="O554" s="8" t="n">
        <v>0</v>
      </c>
      <c r="P554" s="8" t="n">
        <v>0</v>
      </c>
      <c r="Q554" s="8" t="n">
        <v>0</v>
      </c>
      <c r="R554" s="13" t="n">
        <v>0</v>
      </c>
      <c r="S554" s="13" t="n">
        <v>0</v>
      </c>
      <c r="T554" s="13"/>
      <c r="U554" s="11" t="n">
        <f aca="false">O554*4 + P554*2 + MAX(0,N554-O554-P554)*1 + Q554*0.2 + R554*2 + S554*1 + IF(T554="",0,IF(T554&lt;=10,8,IF(T554&lt;=50,6,IF(T554&lt;=100,4,2))))</f>
        <v>0</v>
      </c>
      <c r="V554" s="7"/>
      <c r="W554" s="12"/>
      <c r="X554" s="13"/>
      <c r="Y554" s="13" t="s">
        <v>2453</v>
      </c>
    </row>
    <row r="555" customFormat="false" ht="15.75" hidden="false" customHeight="true" outlineLevel="0" collapsed="false">
      <c r="A555" s="7" t="s">
        <v>2454</v>
      </c>
      <c r="B555" s="8" t="n">
        <v>2008</v>
      </c>
      <c r="C555" s="8" t="s">
        <v>35</v>
      </c>
      <c r="D555" s="8" t="n">
        <v>114</v>
      </c>
      <c r="E555" s="7" t="s">
        <v>1196</v>
      </c>
      <c r="F555" s="8" t="n">
        <v>7.2</v>
      </c>
      <c r="G555" s="8" t="n">
        <v>7</v>
      </c>
      <c r="H555" s="9" t="n">
        <v>276369</v>
      </c>
      <c r="I555" s="7" t="s">
        <v>280</v>
      </c>
      <c r="J555" s="7" t="s">
        <v>131</v>
      </c>
      <c r="K555" s="7" t="s">
        <v>54</v>
      </c>
      <c r="L555" s="10"/>
      <c r="M555" s="7" t="s">
        <v>2455</v>
      </c>
      <c r="N555" s="8" t="n">
        <v>0</v>
      </c>
      <c r="O555" s="8" t="n">
        <v>0</v>
      </c>
      <c r="P555" s="8" t="n">
        <v>0</v>
      </c>
      <c r="Q555" s="8" t="n">
        <v>0</v>
      </c>
      <c r="R555" s="13" t="n">
        <v>0</v>
      </c>
      <c r="S555" s="13" t="n">
        <v>0</v>
      </c>
      <c r="T555" s="13"/>
      <c r="U555" s="11" t="n">
        <f aca="false">O555*4 + P555*2 + MAX(0,N555-O555-P555)*1 + Q555*0.2 + R555*2 + S555*1 + IF(T555="",0,IF(T555&lt;=10,8,IF(T555&lt;=50,6,IF(T555&lt;=100,4,2))))</f>
        <v>0</v>
      </c>
      <c r="V555" s="7"/>
      <c r="W555" s="12"/>
      <c r="X555" s="13"/>
      <c r="Y555" s="13" t="s">
        <v>2456</v>
      </c>
    </row>
    <row r="556" customFormat="false" ht="15.75" hidden="false" customHeight="true" outlineLevel="0" collapsed="false">
      <c r="A556" s="7" t="s">
        <v>2457</v>
      </c>
      <c r="B556" s="8" t="n">
        <v>2014</v>
      </c>
      <c r="C556" s="8" t="s">
        <v>176</v>
      </c>
      <c r="D556" s="8" t="n">
        <v>108</v>
      </c>
      <c r="E556" s="7" t="s">
        <v>2458</v>
      </c>
      <c r="F556" s="8" t="n">
        <v>7.7</v>
      </c>
      <c r="G556" s="8" t="n">
        <v>8</v>
      </c>
      <c r="H556" s="9" t="n">
        <v>643957</v>
      </c>
      <c r="I556" s="7" t="s">
        <v>280</v>
      </c>
      <c r="J556" s="7" t="s">
        <v>111</v>
      </c>
      <c r="K556" s="7" t="s">
        <v>852</v>
      </c>
      <c r="L556" s="10" t="s">
        <v>220</v>
      </c>
      <c r="M556" s="7" t="s">
        <v>2459</v>
      </c>
      <c r="N556" s="8" t="n">
        <v>1</v>
      </c>
      <c r="O556" s="8" t="n">
        <v>0</v>
      </c>
      <c r="P556" s="8" t="n">
        <v>0</v>
      </c>
      <c r="Q556" s="8" t="n">
        <v>2</v>
      </c>
      <c r="R556" s="8" t="n">
        <v>0</v>
      </c>
      <c r="S556" s="8" t="n">
        <v>0</v>
      </c>
      <c r="T556" s="13"/>
      <c r="U556" s="11" t="n">
        <f aca="false">O556*4 + P556*2 + MAX(0,N556-O556-P556)*1 + Q556*0.2 + R556*2 + S556*1 + IF(T556="",0,IF(T556&lt;=10,8,IF(T556&lt;=50,6,IF(T556&lt;=100,4,2))))</f>
        <v>1.4</v>
      </c>
      <c r="V556" s="7"/>
      <c r="W556" s="12"/>
      <c r="X556" s="13"/>
      <c r="Y556" s="13" t="s">
        <v>2460</v>
      </c>
    </row>
    <row r="557" customFormat="false" ht="15.75" hidden="false" customHeight="true" outlineLevel="0" collapsed="false">
      <c r="A557" s="7" t="s">
        <v>2461</v>
      </c>
      <c r="B557" s="8" t="n">
        <v>2017</v>
      </c>
      <c r="C557" s="8" t="s">
        <v>176</v>
      </c>
      <c r="D557" s="8" t="n">
        <v>115</v>
      </c>
      <c r="E557" s="7" t="s">
        <v>1363</v>
      </c>
      <c r="F557" s="8" t="n">
        <v>8.1</v>
      </c>
      <c r="G557" s="8" t="n">
        <v>8</v>
      </c>
      <c r="H557" s="9" t="n">
        <v>613601</v>
      </c>
      <c r="I557" s="7" t="s">
        <v>359</v>
      </c>
      <c r="J557" s="7" t="s">
        <v>30</v>
      </c>
      <c r="K557" s="7" t="s">
        <v>54</v>
      </c>
      <c r="L557" s="10" t="s">
        <v>2462</v>
      </c>
      <c r="M557" s="7" t="s">
        <v>2463</v>
      </c>
      <c r="N557" s="8" t="n">
        <v>2</v>
      </c>
      <c r="O557" s="8" t="n">
        <v>0</v>
      </c>
      <c r="P557" s="8" t="n">
        <v>0</v>
      </c>
      <c r="Q557" s="8" t="n">
        <v>7</v>
      </c>
      <c r="R557" s="8" t="n">
        <v>0</v>
      </c>
      <c r="S557" s="8" t="n">
        <v>1</v>
      </c>
      <c r="T557" s="13"/>
      <c r="U557" s="11" t="n">
        <f aca="false">O557*4 + P557*2 + MAX(0,N557-O557-P557)*1 + Q557*0.2 + R557*2 + S557*1 + IF(T557="",0,IF(T557&lt;=10,8,IF(T557&lt;=50,6,IF(T557&lt;=100,4,2))))</f>
        <v>4.4</v>
      </c>
      <c r="V557" s="7"/>
      <c r="W557" s="12"/>
      <c r="X557" s="13"/>
      <c r="Y557" s="13" t="s">
        <v>2464</v>
      </c>
    </row>
    <row r="558" customFormat="false" ht="15.75" hidden="false" customHeight="true" outlineLevel="0" collapsed="false">
      <c r="A558" s="7" t="s">
        <v>2465</v>
      </c>
      <c r="B558" s="8" t="n">
        <v>2018</v>
      </c>
      <c r="C558" s="8" t="s">
        <v>176</v>
      </c>
      <c r="D558" s="8" t="n">
        <v>130</v>
      </c>
      <c r="E558" s="7" t="s">
        <v>2466</v>
      </c>
      <c r="F558" s="8" t="n">
        <v>8.2</v>
      </c>
      <c r="G558" s="8" t="n">
        <v>8</v>
      </c>
      <c r="H558" s="9" t="n">
        <v>698802</v>
      </c>
      <c r="I558" s="7" t="s">
        <v>46</v>
      </c>
      <c r="J558" s="7" t="s">
        <v>30</v>
      </c>
      <c r="K558" s="7" t="s">
        <v>48</v>
      </c>
      <c r="L558" s="10" t="s">
        <v>161</v>
      </c>
      <c r="M558" s="7" t="s">
        <v>2467</v>
      </c>
      <c r="N558" s="8" t="n">
        <v>3</v>
      </c>
      <c r="O558" s="8" t="n">
        <v>1</v>
      </c>
      <c r="P558" s="8" t="n">
        <v>0</v>
      </c>
      <c r="Q558" s="8" t="n">
        <v>5</v>
      </c>
      <c r="R558" s="8" t="n">
        <v>0</v>
      </c>
      <c r="S558" s="8" t="n">
        <v>1</v>
      </c>
      <c r="T558" s="13"/>
      <c r="U558" s="11" t="n">
        <f aca="false">O558*4 + P558*2 + MAX(0,N558-O558-P558)*1 + Q558*0.2 + R558*2 + S558*1 + IF(T558="",0,IF(T558&lt;=10,8,IF(T558&lt;=50,6,IF(T558&lt;=100,4,2))))</f>
        <v>8</v>
      </c>
      <c r="V558" s="7"/>
      <c r="W558" s="12"/>
      <c r="X558" s="13"/>
      <c r="Y558" s="13" t="s">
        <v>2468</v>
      </c>
    </row>
    <row r="559" customFormat="false" ht="15.75" hidden="false" customHeight="true" outlineLevel="0" collapsed="false">
      <c r="A559" s="7" t="s">
        <v>2469</v>
      </c>
      <c r="B559" s="8" t="n">
        <v>2009</v>
      </c>
      <c r="C559" s="8" t="s">
        <v>35</v>
      </c>
      <c r="D559" s="8" t="n">
        <v>97</v>
      </c>
      <c r="E559" s="7" t="s">
        <v>2470</v>
      </c>
      <c r="F559" s="8" t="n">
        <v>7.8</v>
      </c>
      <c r="G559" s="8" t="n">
        <v>5</v>
      </c>
      <c r="H559" s="9" t="n">
        <v>397622</v>
      </c>
      <c r="I559" s="7" t="s">
        <v>280</v>
      </c>
      <c r="J559" s="7" t="s">
        <v>111</v>
      </c>
      <c r="K559" s="7" t="s">
        <v>125</v>
      </c>
      <c r="L559" s="10" t="s">
        <v>205</v>
      </c>
      <c r="M559" s="7" t="s">
        <v>2471</v>
      </c>
      <c r="N559" s="8" t="n">
        <v>0</v>
      </c>
      <c r="O559" s="8" t="n">
        <v>0</v>
      </c>
      <c r="P559" s="8" t="n">
        <v>0</v>
      </c>
      <c r="Q559" s="8" t="n">
        <v>0</v>
      </c>
      <c r="R559" s="13" t="n">
        <v>0</v>
      </c>
      <c r="S559" s="13" t="n">
        <v>0</v>
      </c>
      <c r="T559" s="13"/>
      <c r="U559" s="11" t="n">
        <f aca="false">O559*4 + P559*2 + MAX(0,N559-O559-P559)*1 + Q559*0.2 + R559*2 + S559*1 + IF(T559="",0,IF(T559&lt;=10,8,IF(T559&lt;=50,6,IF(T559&lt;=100,4,2))))</f>
        <v>0</v>
      </c>
      <c r="V559" s="7"/>
      <c r="W559" s="12"/>
      <c r="X559" s="13"/>
      <c r="Y559" s="13" t="s">
        <v>2472</v>
      </c>
    </row>
    <row r="560" customFormat="false" ht="15.75" hidden="false" customHeight="true" outlineLevel="0" collapsed="false">
      <c r="A560" s="7" t="n">
        <v>1917</v>
      </c>
      <c r="B560" s="8" t="n">
        <v>2019</v>
      </c>
      <c r="C560" s="8" t="s">
        <v>176</v>
      </c>
      <c r="D560" s="8" t="n">
        <v>119</v>
      </c>
      <c r="E560" s="7" t="s">
        <v>2244</v>
      </c>
      <c r="F560" s="8" t="n">
        <v>8.2</v>
      </c>
      <c r="G560" s="8" t="n">
        <v>8</v>
      </c>
      <c r="H560" s="9" t="n">
        <v>781979</v>
      </c>
      <c r="I560" s="7" t="s">
        <v>2473</v>
      </c>
      <c r="J560" s="7" t="s">
        <v>154</v>
      </c>
      <c r="K560" s="7" t="s">
        <v>47</v>
      </c>
      <c r="L560" s="10" t="s">
        <v>161</v>
      </c>
      <c r="M560" s="7" t="s">
        <v>2474</v>
      </c>
      <c r="N560" s="8" t="n">
        <v>3</v>
      </c>
      <c r="O560" s="8" t="n">
        <v>0</v>
      </c>
      <c r="P560" s="8" t="n">
        <v>0</v>
      </c>
      <c r="Q560" s="8" t="n">
        <v>10</v>
      </c>
      <c r="R560" s="8" t="n">
        <v>0</v>
      </c>
      <c r="S560" s="8" t="n">
        <v>1</v>
      </c>
      <c r="T560" s="13"/>
      <c r="U560" s="11" t="n">
        <f aca="false">O560*4 + P560*2 + MAX(0,N560-O560-P560)*1 + Q560*0.2 + R560*2 + S560*1 + IF(T560="",0,IF(T560&lt;=10,8,IF(T560&lt;=50,6,IF(T560&lt;=100,4,2))))</f>
        <v>6</v>
      </c>
      <c r="V560" s="7"/>
      <c r="W560" s="12"/>
      <c r="X560" s="13"/>
      <c r="Y560" s="13" t="s">
        <v>2475</v>
      </c>
    </row>
    <row r="561" customFormat="false" ht="15.75" hidden="false" customHeight="true" outlineLevel="0" collapsed="false">
      <c r="A561" s="7" t="s">
        <v>2476</v>
      </c>
      <c r="B561" s="8" t="n">
        <v>2006</v>
      </c>
      <c r="C561" s="8" t="s">
        <v>35</v>
      </c>
      <c r="D561" s="8" t="n">
        <v>141</v>
      </c>
      <c r="E561" s="7" t="s">
        <v>74</v>
      </c>
      <c r="F561" s="8" t="n">
        <v>7.8</v>
      </c>
      <c r="G561" s="8" t="n">
        <v>7</v>
      </c>
      <c r="H561" s="9" t="n">
        <v>177851</v>
      </c>
      <c r="I561" s="7" t="s">
        <v>2186</v>
      </c>
      <c r="J561" s="7" t="s">
        <v>112</v>
      </c>
      <c r="K561" s="7" t="s">
        <v>39</v>
      </c>
      <c r="L561" s="10" t="s">
        <v>238</v>
      </c>
      <c r="M561" s="10" t="s">
        <v>2477</v>
      </c>
      <c r="N561" s="8" t="n">
        <v>1</v>
      </c>
      <c r="O561" s="8" t="n">
        <v>0</v>
      </c>
      <c r="P561" s="8" t="n">
        <v>0</v>
      </c>
      <c r="Q561" s="8" t="n">
        <v>4</v>
      </c>
      <c r="R561" s="8" t="n">
        <v>0</v>
      </c>
      <c r="S561" s="8" t="n">
        <v>0</v>
      </c>
      <c r="T561" s="13"/>
      <c r="U561" s="11" t="n">
        <f aca="false">O561*4 + P561*2 + MAX(0,N561-O561-P561)*1 + Q561*0.2 + R561*2 + S561*1 + IF(T561="",0,IF(T561&lt;=10,8,IF(T561&lt;=50,6,IF(T561&lt;=100,4,2))))</f>
        <v>1.8</v>
      </c>
      <c r="V561" s="7"/>
      <c r="W561" s="12"/>
      <c r="X561" s="13"/>
      <c r="Y561" s="13" t="s">
        <v>2478</v>
      </c>
    </row>
    <row r="562" customFormat="false" ht="15.75" hidden="false" customHeight="true" outlineLevel="0" collapsed="false">
      <c r="A562" s="7" t="s">
        <v>2479</v>
      </c>
      <c r="B562" s="8" t="n">
        <v>2004</v>
      </c>
      <c r="C562" s="8" t="s">
        <v>35</v>
      </c>
      <c r="D562" s="8" t="n">
        <v>126</v>
      </c>
      <c r="E562" s="7" t="s">
        <v>1903</v>
      </c>
      <c r="F562" s="8" t="n">
        <v>7.7</v>
      </c>
      <c r="G562" s="8"/>
      <c r="H562" s="9" t="n">
        <v>109648</v>
      </c>
      <c r="I562" s="7" t="s">
        <v>2480</v>
      </c>
      <c r="J562" s="7" t="s">
        <v>39</v>
      </c>
      <c r="K562" s="7" t="s">
        <v>48</v>
      </c>
      <c r="L562" s="10" t="s">
        <v>670</v>
      </c>
      <c r="M562" s="10" t="s">
        <v>2481</v>
      </c>
      <c r="N562" s="8" t="n">
        <v>1</v>
      </c>
      <c r="O562" s="8" t="n">
        <v>0</v>
      </c>
      <c r="P562" s="8" t="n">
        <v>0</v>
      </c>
      <c r="Q562" s="8" t="n">
        <v>2</v>
      </c>
      <c r="R562" s="8" t="n">
        <v>0</v>
      </c>
      <c r="S562" s="8" t="n">
        <v>0</v>
      </c>
      <c r="T562" s="13"/>
      <c r="U562" s="11" t="n">
        <f aca="false">O562*4 + P562*2 + MAX(0,N562-O562-P562)*1 + Q562*0.2 + R562*2 + S562*1 + IF(T562="",0,IF(T562&lt;=10,8,IF(T562&lt;=50,6,IF(T562&lt;=100,4,2))))</f>
        <v>1.4</v>
      </c>
      <c r="V562" s="7"/>
      <c r="W562" s="12"/>
      <c r="X562" s="13"/>
      <c r="Y562" s="13" t="s">
        <v>2482</v>
      </c>
    </row>
    <row r="563" customFormat="false" ht="15.75" hidden="false" customHeight="true" outlineLevel="0" collapsed="false">
      <c r="A563" s="7" t="s">
        <v>2483</v>
      </c>
      <c r="B563" s="8" t="n">
        <v>2018</v>
      </c>
      <c r="C563" s="8" t="s">
        <v>176</v>
      </c>
      <c r="D563" s="8" t="n">
        <v>134</v>
      </c>
      <c r="E563" s="7" t="s">
        <v>2484</v>
      </c>
      <c r="F563" s="8" t="n">
        <v>7.9</v>
      </c>
      <c r="G563" s="8" t="n">
        <v>9</v>
      </c>
      <c r="H563" s="9" t="n">
        <v>652381</v>
      </c>
      <c r="I563" s="7" t="s">
        <v>359</v>
      </c>
      <c r="J563" s="7" t="s">
        <v>90</v>
      </c>
      <c r="K563" s="7" t="s">
        <v>48</v>
      </c>
      <c r="L563" s="10" t="s">
        <v>177</v>
      </c>
      <c r="M563" s="7" t="s">
        <v>2485</v>
      </c>
      <c r="N563" s="8" t="n">
        <v>4</v>
      </c>
      <c r="O563" s="8" t="n">
        <v>0</v>
      </c>
      <c r="P563" s="8" t="n">
        <v>0</v>
      </c>
      <c r="Q563" s="8" t="n">
        <v>5</v>
      </c>
      <c r="R563" s="8" t="n">
        <v>0</v>
      </c>
      <c r="S563" s="8" t="n">
        <v>1</v>
      </c>
      <c r="T563" s="13"/>
      <c r="U563" s="11" t="n">
        <f aca="false">O563*4 + P563*2 + MAX(0,N563-O563-P563)*1 + Q563*0.2 + R563*2 + S563*1 + IF(T563="",0,IF(T563&lt;=10,8,IF(T563&lt;=50,6,IF(T563&lt;=100,4,2))))</f>
        <v>6</v>
      </c>
      <c r="V563" s="7"/>
      <c r="W563" s="12"/>
      <c r="X563" s="13"/>
      <c r="Y563" s="13" t="s">
        <v>2486</v>
      </c>
    </row>
    <row r="564" customFormat="false" ht="15.75" hidden="false" customHeight="true" outlineLevel="0" collapsed="false">
      <c r="A564" s="7" t="s">
        <v>2487</v>
      </c>
      <c r="B564" s="8" t="n">
        <v>2009</v>
      </c>
      <c r="C564" s="8" t="s">
        <v>35</v>
      </c>
      <c r="D564" s="8" t="n">
        <v>100</v>
      </c>
      <c r="E564" s="7" t="s">
        <v>1858</v>
      </c>
      <c r="F564" s="8" t="n">
        <v>7.8</v>
      </c>
      <c r="G564" s="8"/>
      <c r="H564" s="9" t="n">
        <v>304300</v>
      </c>
      <c r="I564" s="7" t="s">
        <v>46</v>
      </c>
      <c r="J564" s="7" t="s">
        <v>579</v>
      </c>
      <c r="K564" s="7" t="s">
        <v>259</v>
      </c>
      <c r="L564" s="10"/>
      <c r="M564" s="7" t="s">
        <v>2488</v>
      </c>
      <c r="N564" s="8" t="n">
        <v>0</v>
      </c>
      <c r="O564" s="8" t="n">
        <v>0</v>
      </c>
      <c r="P564" s="8" t="n">
        <v>0</v>
      </c>
      <c r="Q564" s="8" t="n">
        <v>1</v>
      </c>
      <c r="R564" s="8" t="n">
        <v>0</v>
      </c>
      <c r="S564" s="8" t="n">
        <v>0</v>
      </c>
      <c r="T564" s="13"/>
      <c r="U564" s="11" t="n">
        <f aca="false">O564*4 + P564*2 + MAX(0,N564-O564-P564)*1 + Q564*0.2 + R564*2 + S564*1 + IF(T564="",0,IF(T564&lt;=10,8,IF(T564&lt;=50,6,IF(T564&lt;=100,4,2))))</f>
        <v>0.2</v>
      </c>
      <c r="V564" s="7"/>
      <c r="W564" s="12"/>
      <c r="X564" s="13"/>
      <c r="Y564" s="13" t="s">
        <v>2489</v>
      </c>
    </row>
    <row r="565" customFormat="false" ht="15.75" hidden="false" customHeight="true" outlineLevel="0" collapsed="false">
      <c r="A565" s="7" t="s">
        <v>2490</v>
      </c>
      <c r="B565" s="8" t="n">
        <v>2021</v>
      </c>
      <c r="C565" s="8" t="s">
        <v>378</v>
      </c>
      <c r="D565" s="8" t="n">
        <v>155</v>
      </c>
      <c r="E565" s="7" t="s">
        <v>1110</v>
      </c>
      <c r="F565" s="8" t="n">
        <v>8</v>
      </c>
      <c r="G565" s="8" t="n">
        <v>9</v>
      </c>
      <c r="H565" s="9" t="n">
        <v>1083422</v>
      </c>
      <c r="I565" s="7" t="s">
        <v>46</v>
      </c>
      <c r="J565" s="7" t="s">
        <v>112</v>
      </c>
      <c r="K565" s="7" t="s">
        <v>39</v>
      </c>
      <c r="L565" s="10" t="s">
        <v>104</v>
      </c>
      <c r="M565" s="7" t="s">
        <v>2491</v>
      </c>
      <c r="N565" s="8" t="n">
        <v>6</v>
      </c>
      <c r="O565" s="8" t="n">
        <v>0</v>
      </c>
      <c r="P565" s="8" t="n">
        <v>0</v>
      </c>
      <c r="Q565" s="8" t="n">
        <v>10</v>
      </c>
      <c r="R565" s="8" t="n">
        <v>0</v>
      </c>
      <c r="S565" s="8" t="n">
        <v>0</v>
      </c>
      <c r="T565" s="8"/>
      <c r="U565" s="11" t="n">
        <f aca="false">O565*4 + P565*2 + MAX(0,N565-O565-P565)*1 + Q565*0.2 + R565*2 + S565*1 + IF(T565="",0,IF(T565&lt;=10,8,IF(T565&lt;=50,6,IF(T565&lt;=100,4,2))))</f>
        <v>8</v>
      </c>
      <c r="V565" s="10" t="s">
        <v>2492</v>
      </c>
      <c r="W565" s="12"/>
      <c r="X565" s="8" t="n">
        <v>49</v>
      </c>
      <c r="Y565" s="8" t="s">
        <v>2493</v>
      </c>
    </row>
    <row r="566" customFormat="false" ht="15.75" hidden="false" customHeight="true" outlineLevel="0" collapsed="false">
      <c r="A566" s="7" t="s">
        <v>2494</v>
      </c>
      <c r="B566" s="8" t="n">
        <v>2009</v>
      </c>
      <c r="C566" s="8" t="s">
        <v>35</v>
      </c>
      <c r="D566" s="8" t="n">
        <v>109</v>
      </c>
      <c r="E566" s="7" t="s">
        <v>1706</v>
      </c>
      <c r="F566" s="8" t="n">
        <v>7.4</v>
      </c>
      <c r="G566" s="8" t="n">
        <v>9</v>
      </c>
      <c r="H566" s="9" t="n">
        <v>348030</v>
      </c>
      <c r="I566" s="7" t="s">
        <v>46</v>
      </c>
      <c r="J566" s="7" t="s">
        <v>112</v>
      </c>
      <c r="K566" s="7" t="s">
        <v>54</v>
      </c>
      <c r="L566" s="10"/>
      <c r="M566" s="7" t="s">
        <v>2495</v>
      </c>
      <c r="N566" s="8" t="n">
        <v>0</v>
      </c>
      <c r="O566" s="8" t="n">
        <v>0</v>
      </c>
      <c r="P566" s="8" t="n">
        <v>0</v>
      </c>
      <c r="Q566" s="8" t="n">
        <v>0</v>
      </c>
      <c r="R566" s="13" t="n">
        <v>0</v>
      </c>
      <c r="S566" s="13" t="n">
        <v>0</v>
      </c>
      <c r="T566" s="13"/>
      <c r="U566" s="11" t="n">
        <f aca="false">O566*4 + P566*2 + MAX(0,N566-O566-P566)*1 + Q566*0.2 + R566*2 + S566*1 + IF(T566="",0,IF(T566&lt;=10,8,IF(T566&lt;=50,6,IF(T566&lt;=100,4,2))))</f>
        <v>0</v>
      </c>
      <c r="V566" s="7"/>
      <c r="W566" s="12"/>
      <c r="X566" s="13"/>
      <c r="Y566" s="13" t="s">
        <v>2496</v>
      </c>
    </row>
    <row r="567" customFormat="false" ht="15.75" hidden="false" customHeight="true" outlineLevel="0" collapsed="false">
      <c r="A567" s="7" t="s">
        <v>2497</v>
      </c>
      <c r="B567" s="8" t="n">
        <v>2010</v>
      </c>
      <c r="C567" s="8" t="s">
        <v>176</v>
      </c>
      <c r="D567" s="8" t="n">
        <v>98</v>
      </c>
      <c r="E567" s="7" t="s">
        <v>2498</v>
      </c>
      <c r="F567" s="8" t="n">
        <v>8.1</v>
      </c>
      <c r="G567" s="8" t="n">
        <v>7</v>
      </c>
      <c r="H567" s="9" t="n">
        <v>905119</v>
      </c>
      <c r="I567" s="7" t="s">
        <v>46</v>
      </c>
      <c r="J567" s="7" t="s">
        <v>579</v>
      </c>
      <c r="K567" s="7" t="s">
        <v>112</v>
      </c>
      <c r="L567" s="10" t="s">
        <v>2499</v>
      </c>
      <c r="M567" s="7" t="s">
        <v>2500</v>
      </c>
      <c r="N567" s="8" t="n">
        <v>0</v>
      </c>
      <c r="O567" s="8" t="n">
        <v>0</v>
      </c>
      <c r="P567" s="8" t="n">
        <v>0</v>
      </c>
      <c r="Q567" s="8" t="n">
        <v>2</v>
      </c>
      <c r="R567" s="8" t="n">
        <v>0</v>
      </c>
      <c r="S567" s="8" t="n">
        <v>0</v>
      </c>
      <c r="T567" s="8"/>
      <c r="U567" s="11" t="n">
        <f aca="false">O567*4 + P567*2 + MAX(0,N567-O567-P567)*1 + Q567*0.2 + R567*2 + S567*1 + IF(T567="",0,IF(T567&lt;=10,8,IF(T567&lt;=50,6,IF(T567&lt;=100,4,2))))</f>
        <v>0.4</v>
      </c>
      <c r="V567" s="7"/>
      <c r="W567" s="12"/>
      <c r="X567" s="13"/>
      <c r="Y567" s="13" t="s">
        <v>2501</v>
      </c>
    </row>
    <row r="568" customFormat="false" ht="15.75" hidden="false" customHeight="true" outlineLevel="0" collapsed="false">
      <c r="A568" s="7" t="s">
        <v>2502</v>
      </c>
      <c r="B568" s="8" t="n">
        <v>2015</v>
      </c>
      <c r="C568" s="8" t="s">
        <v>176</v>
      </c>
      <c r="D568" s="8" t="n">
        <v>129</v>
      </c>
      <c r="E568" s="7" t="s">
        <v>2503</v>
      </c>
      <c r="F568" s="8" t="n">
        <v>8.1</v>
      </c>
      <c r="G568" s="8"/>
      <c r="H568" s="9" t="n">
        <v>539157</v>
      </c>
      <c r="I568" s="7" t="s">
        <v>2168</v>
      </c>
      <c r="J568" s="7" t="s">
        <v>47</v>
      </c>
      <c r="K568" s="7" t="s">
        <v>695</v>
      </c>
      <c r="L568" s="10" t="s">
        <v>161</v>
      </c>
      <c r="M568" s="7" t="s">
        <v>2504</v>
      </c>
      <c r="N568" s="8" t="n">
        <v>2</v>
      </c>
      <c r="O568" s="8" t="n">
        <v>1</v>
      </c>
      <c r="P568" s="8" t="n">
        <v>0</v>
      </c>
      <c r="Q568" s="8" t="n">
        <v>6</v>
      </c>
      <c r="R568" s="8" t="n">
        <v>0</v>
      </c>
      <c r="S568" s="8" t="n">
        <v>0</v>
      </c>
      <c r="T568" s="13"/>
      <c r="U568" s="11" t="n">
        <f aca="false">O568*4 + P568*2 + MAX(0,N568-O568-P568)*1 + Q568*0.2 + R568*2 + S568*1 + IF(T568="",0,IF(T568&lt;=10,8,IF(T568&lt;=50,6,IF(T568&lt;=100,4,2))))</f>
        <v>6.2</v>
      </c>
      <c r="V568" s="7"/>
      <c r="W568" s="12"/>
      <c r="X568" s="13"/>
      <c r="Y568" s="13" t="s">
        <v>2505</v>
      </c>
    </row>
    <row r="569" customFormat="false" ht="15.75" hidden="false" customHeight="true" outlineLevel="0" collapsed="false">
      <c r="A569" s="7" t="s">
        <v>2506</v>
      </c>
      <c r="B569" s="8" t="n">
        <v>2017</v>
      </c>
      <c r="C569" s="8" t="s">
        <v>176</v>
      </c>
      <c r="D569" s="8" t="n">
        <v>164</v>
      </c>
      <c r="E569" s="7" t="s">
        <v>1110</v>
      </c>
      <c r="F569" s="8" t="n">
        <v>8</v>
      </c>
      <c r="G569" s="8" t="n">
        <v>6</v>
      </c>
      <c r="H569" s="9" t="n">
        <v>764379</v>
      </c>
      <c r="I569" s="7" t="s">
        <v>2507</v>
      </c>
      <c r="J569" s="7" t="s">
        <v>112</v>
      </c>
      <c r="K569" s="7" t="s">
        <v>125</v>
      </c>
      <c r="L569" s="10" t="s">
        <v>113</v>
      </c>
      <c r="M569" s="7" t="s">
        <v>2508</v>
      </c>
      <c r="N569" s="8" t="n">
        <v>2</v>
      </c>
      <c r="O569" s="8" t="n">
        <v>0</v>
      </c>
      <c r="P569" s="8" t="n">
        <v>0</v>
      </c>
      <c r="Q569" s="8" t="n">
        <v>5</v>
      </c>
      <c r="R569" s="8" t="n">
        <v>0</v>
      </c>
      <c r="S569" s="8" t="n">
        <v>0</v>
      </c>
      <c r="T569" s="13"/>
      <c r="U569" s="11" t="n">
        <f aca="false">O569*4 + P569*2 + MAX(0,N569-O569-P569)*1 + Q569*0.2 + R569*2 + S569*1 + IF(T569="",0,IF(T569&lt;=10,8,IF(T569&lt;=50,6,IF(T569&lt;=100,4,2))))</f>
        <v>3</v>
      </c>
      <c r="V569" s="7"/>
      <c r="W569" s="12"/>
      <c r="X569" s="13"/>
      <c r="Y569" s="13" t="s">
        <v>2509</v>
      </c>
    </row>
    <row r="570" customFormat="false" ht="15.75" hidden="false" customHeight="true" outlineLevel="0" collapsed="false">
      <c r="A570" s="7" t="s">
        <v>2510</v>
      </c>
      <c r="B570" s="8" t="n">
        <v>2014</v>
      </c>
      <c r="C570" s="8" t="s">
        <v>176</v>
      </c>
      <c r="D570" s="8" t="n">
        <v>123</v>
      </c>
      <c r="E570" s="7" t="s">
        <v>2511</v>
      </c>
      <c r="F570" s="8" t="n">
        <v>7.7</v>
      </c>
      <c r="G570" s="8" t="n">
        <v>7</v>
      </c>
      <c r="H570" s="9" t="n">
        <v>509850</v>
      </c>
      <c r="I570" s="7" t="s">
        <v>280</v>
      </c>
      <c r="J570" s="7" t="s">
        <v>29</v>
      </c>
      <c r="K570" s="7" t="s">
        <v>48</v>
      </c>
      <c r="L570" s="10" t="s">
        <v>2512</v>
      </c>
      <c r="M570" s="7" t="s">
        <v>2513</v>
      </c>
      <c r="N570" s="8" t="n">
        <v>1</v>
      </c>
      <c r="O570" s="8" t="n">
        <v>0</v>
      </c>
      <c r="P570" s="8" t="n">
        <v>0</v>
      </c>
      <c r="Q570" s="8" t="n">
        <v>5</v>
      </c>
      <c r="R570" s="8" t="n">
        <v>0</v>
      </c>
      <c r="S570" s="8" t="n">
        <v>0</v>
      </c>
      <c r="T570" s="13"/>
      <c r="U570" s="11" t="n">
        <f aca="false">O570*4 + P570*2 + MAX(0,N570-O570-P570)*1 + Q570*0.2 + R570*2 + S570*1 + IF(T570="",0,IF(T570&lt;=10,8,IF(T570&lt;=50,6,IF(T570&lt;=100,4,2))))</f>
        <v>2</v>
      </c>
      <c r="V570" s="7"/>
      <c r="W570" s="12"/>
      <c r="X570" s="13"/>
      <c r="Y570" s="13" t="s">
        <v>2514</v>
      </c>
    </row>
    <row r="571" customFormat="false" ht="15.75" hidden="false" customHeight="true" outlineLevel="0" collapsed="false">
      <c r="A571" s="7" t="s">
        <v>2515</v>
      </c>
      <c r="B571" s="8" t="n">
        <v>2016</v>
      </c>
      <c r="C571" s="8" t="s">
        <v>176</v>
      </c>
      <c r="D571" s="8" t="n">
        <v>118</v>
      </c>
      <c r="E571" s="7" t="s">
        <v>2516</v>
      </c>
      <c r="F571" s="8" t="n">
        <v>7.8</v>
      </c>
      <c r="G571" s="8" t="n">
        <v>8</v>
      </c>
      <c r="H571" s="9" t="n">
        <v>252535</v>
      </c>
      <c r="I571" s="7" t="s">
        <v>46</v>
      </c>
      <c r="J571" s="7" t="s">
        <v>39</v>
      </c>
      <c r="K571" s="7" t="s">
        <v>30</v>
      </c>
      <c r="L571" s="10" t="s">
        <v>161</v>
      </c>
      <c r="M571" s="10" t="s">
        <v>2517</v>
      </c>
      <c r="N571" s="8" t="n">
        <v>0</v>
      </c>
      <c r="O571" s="8" t="n">
        <v>0</v>
      </c>
      <c r="P571" s="8" t="n">
        <v>0</v>
      </c>
      <c r="Q571" s="8" t="n">
        <v>1</v>
      </c>
      <c r="R571" s="8" t="n">
        <v>0</v>
      </c>
      <c r="S571" s="8" t="n">
        <v>0</v>
      </c>
      <c r="T571" s="13"/>
      <c r="U571" s="11" t="n">
        <f aca="false">O571*4 + P571*2 + MAX(0,N571-O571-P571)*1 + Q571*0.2 + R571*2 + S571*1 + IF(T571="",0,IF(T571&lt;=10,8,IF(T571&lt;=50,6,IF(T571&lt;=100,4,2))))</f>
        <v>0.2</v>
      </c>
      <c r="V571" s="7"/>
      <c r="W571" s="12"/>
      <c r="X571" s="13"/>
      <c r="Y571" s="13" t="s">
        <v>2518</v>
      </c>
    </row>
    <row r="572" customFormat="false" ht="15.75" hidden="false" customHeight="true" outlineLevel="0" collapsed="false">
      <c r="A572" s="7" t="s">
        <v>2519</v>
      </c>
      <c r="B572" s="8" t="n">
        <v>2013</v>
      </c>
      <c r="C572" s="8" t="s">
        <v>176</v>
      </c>
      <c r="D572" s="8" t="n">
        <v>134</v>
      </c>
      <c r="E572" s="7" t="s">
        <v>2266</v>
      </c>
      <c r="F572" s="8" t="n">
        <v>7.8</v>
      </c>
      <c r="G572" s="8" t="n">
        <v>7</v>
      </c>
      <c r="H572" s="9" t="n">
        <v>521754</v>
      </c>
      <c r="I572" s="7" t="s">
        <v>46</v>
      </c>
      <c r="J572" s="7" t="s">
        <v>112</v>
      </c>
      <c r="K572" s="7" t="s">
        <v>54</v>
      </c>
      <c r="L572" s="10" t="s">
        <v>210</v>
      </c>
      <c r="M572" s="7" t="s">
        <v>2520</v>
      </c>
      <c r="N572" s="8" t="n">
        <v>0</v>
      </c>
      <c r="O572" s="8" t="n">
        <v>0</v>
      </c>
      <c r="P572" s="8" t="n">
        <v>0</v>
      </c>
      <c r="Q572" s="8" t="n">
        <v>6</v>
      </c>
      <c r="R572" s="8" t="n">
        <v>0</v>
      </c>
      <c r="S572" s="8" t="n">
        <v>0</v>
      </c>
      <c r="T572" s="13"/>
      <c r="U572" s="11" t="n">
        <f aca="false">O572*4 + P572*2 + MAX(0,N572-O572-P572)*1 + Q572*0.2 + R572*2 + S572*1 + IF(T572="",0,IF(T572&lt;=10,8,IF(T572&lt;=50,6,IF(T572&lt;=100,4,2))))</f>
        <v>1.2</v>
      </c>
      <c r="V572" s="7"/>
      <c r="W572" s="12"/>
      <c r="X572" s="13"/>
      <c r="Y572" s="13" t="s">
        <v>2521</v>
      </c>
    </row>
    <row r="573" customFormat="false" ht="15.75" hidden="false" customHeight="true" outlineLevel="0" collapsed="false">
      <c r="A573" s="7" t="s">
        <v>2522</v>
      </c>
      <c r="B573" s="8" t="n">
        <v>2003</v>
      </c>
      <c r="C573" s="8" t="s">
        <v>35</v>
      </c>
      <c r="D573" s="8" t="n">
        <v>130</v>
      </c>
      <c r="E573" s="7" t="s">
        <v>1850</v>
      </c>
      <c r="F573" s="8" t="n">
        <v>7.5</v>
      </c>
      <c r="G573" s="8" t="n">
        <v>7</v>
      </c>
      <c r="H573" s="9" t="n">
        <v>133102</v>
      </c>
      <c r="I573" s="7" t="s">
        <v>2083</v>
      </c>
      <c r="J573" s="7" t="s">
        <v>47</v>
      </c>
      <c r="K573" s="7" t="s">
        <v>54</v>
      </c>
      <c r="L573" s="10"/>
      <c r="M573" s="10" t="s">
        <v>2523</v>
      </c>
      <c r="N573" s="8" t="n">
        <v>0</v>
      </c>
      <c r="O573" s="8" t="n">
        <v>0</v>
      </c>
      <c r="P573" s="8" t="n">
        <v>0</v>
      </c>
      <c r="Q573" s="8" t="n">
        <v>0</v>
      </c>
      <c r="R573" s="13" t="n">
        <v>0</v>
      </c>
      <c r="S573" s="13" t="n">
        <v>0</v>
      </c>
      <c r="T573" s="13"/>
      <c r="U573" s="11" t="n">
        <f aca="false">O573*4 + P573*2 + MAX(0,N573-O573-P573)*1 + Q573*0.2 + R573*2 + S573*1 + IF(T573="",0,IF(T573&lt;=10,8,IF(T573&lt;=50,6,IF(T573&lt;=100,4,2))))</f>
        <v>0</v>
      </c>
      <c r="V573" s="7"/>
      <c r="W573" s="12"/>
      <c r="X573" s="13"/>
      <c r="Y573" s="13" t="s">
        <v>2524</v>
      </c>
    </row>
    <row r="574" customFormat="false" ht="15.75" hidden="false" customHeight="true" outlineLevel="0" collapsed="false">
      <c r="A574" s="7" t="s">
        <v>2525</v>
      </c>
      <c r="B574" s="8" t="n">
        <v>2023</v>
      </c>
      <c r="C574" s="8" t="s">
        <v>378</v>
      </c>
      <c r="D574" s="8" t="n">
        <v>180</v>
      </c>
      <c r="E574" s="7" t="s">
        <v>979</v>
      </c>
      <c r="F574" s="8" t="n">
        <v>8.2</v>
      </c>
      <c r="G574" s="8" t="n">
        <v>7</v>
      </c>
      <c r="H574" s="9" t="n">
        <v>1084800</v>
      </c>
      <c r="I574" s="7" t="s">
        <v>359</v>
      </c>
      <c r="J574" s="7" t="s">
        <v>47</v>
      </c>
      <c r="K574" s="7" t="s">
        <v>48</v>
      </c>
      <c r="L574" s="10" t="s">
        <v>238</v>
      </c>
      <c r="M574" s="7" t="s">
        <v>2526</v>
      </c>
      <c r="N574" s="8" t="n">
        <v>7</v>
      </c>
      <c r="O574" s="8" t="n">
        <v>1</v>
      </c>
      <c r="P574" s="8" t="n">
        <v>1</v>
      </c>
      <c r="Q574" s="8" t="n">
        <v>13</v>
      </c>
      <c r="R574" s="8" t="n">
        <v>0</v>
      </c>
      <c r="S574" s="8" t="n">
        <v>1</v>
      </c>
      <c r="T574" s="8"/>
      <c r="U574" s="11" t="n">
        <f aca="false">O574*4 + P574*2 + MAX(0,N574-O574-P574)*1 + Q574*0.2 + R574*2 + S574*1 + IF(T574="",0,IF(T574&lt;=10,8,IF(T574&lt;=50,6,IF(T574&lt;=100,4,2))))</f>
        <v>14.6</v>
      </c>
      <c r="V574" s="7"/>
      <c r="W574" s="12"/>
      <c r="X574" s="13"/>
      <c r="Y574" s="13" t="s">
        <v>2527</v>
      </c>
    </row>
    <row r="575" customFormat="false" ht="15.75" hidden="false" customHeight="true" outlineLevel="0" collapsed="false">
      <c r="A575" s="7" t="s">
        <v>2528</v>
      </c>
      <c r="B575" s="8" t="n">
        <v>2018</v>
      </c>
      <c r="C575" s="8" t="s">
        <v>176</v>
      </c>
      <c r="D575" s="8" t="n">
        <v>149</v>
      </c>
      <c r="E575" s="7" t="s">
        <v>2529</v>
      </c>
      <c r="F575" s="8" t="n">
        <v>8.4</v>
      </c>
      <c r="G575" s="8" t="n">
        <v>8</v>
      </c>
      <c r="H575" s="9" t="n">
        <v>1398745</v>
      </c>
      <c r="I575" s="7" t="s">
        <v>46</v>
      </c>
      <c r="J575" s="7" t="s">
        <v>111</v>
      </c>
      <c r="K575" s="7" t="s">
        <v>112</v>
      </c>
      <c r="L575" s="10" t="s">
        <v>177</v>
      </c>
      <c r="M575" s="7" t="s">
        <v>2530</v>
      </c>
      <c r="N575" s="8" t="n">
        <v>0</v>
      </c>
      <c r="O575" s="8" t="n">
        <v>0</v>
      </c>
      <c r="P575" s="8" t="n">
        <v>0</v>
      </c>
      <c r="Q575" s="8" t="n">
        <v>1</v>
      </c>
      <c r="R575" s="8" t="n">
        <v>0</v>
      </c>
      <c r="S575" s="8" t="n">
        <v>0</v>
      </c>
      <c r="T575" s="8"/>
      <c r="U575" s="11" t="n">
        <f aca="false">O575*4 + P575*2 + MAX(0,N575-O575-P575)*1 + Q575*0.2 + R575*2 + S575*1 + IF(T575="",0,IF(T575&lt;=10,8,IF(T575&lt;=50,6,IF(T575&lt;=100,4,2))))</f>
        <v>0.2</v>
      </c>
      <c r="V575" s="10" t="s">
        <v>2531</v>
      </c>
      <c r="W575" s="12"/>
      <c r="X575" s="8" t="n">
        <v>100</v>
      </c>
      <c r="Y575" s="8" t="s">
        <v>2532</v>
      </c>
    </row>
    <row r="576" customFormat="false" ht="15.75" hidden="false" customHeight="true" outlineLevel="0" collapsed="false">
      <c r="A576" s="7" t="s">
        <v>2533</v>
      </c>
      <c r="B576" s="8" t="n">
        <v>2007</v>
      </c>
      <c r="C576" s="8" t="s">
        <v>35</v>
      </c>
      <c r="D576" s="8" t="n">
        <v>158</v>
      </c>
      <c r="E576" s="7" t="s">
        <v>1192</v>
      </c>
      <c r="F576" s="8" t="n">
        <v>8.2</v>
      </c>
      <c r="G576" s="8"/>
      <c r="H576" s="9" t="n">
        <v>716193</v>
      </c>
      <c r="I576" s="7" t="s">
        <v>46</v>
      </c>
      <c r="J576" s="7" t="s">
        <v>47</v>
      </c>
      <c r="K576" s="7"/>
      <c r="L576" s="10" t="s">
        <v>205</v>
      </c>
      <c r="M576" s="7" t="s">
        <v>2534</v>
      </c>
      <c r="N576" s="8" t="n">
        <v>2</v>
      </c>
      <c r="O576" s="8" t="n">
        <v>0</v>
      </c>
      <c r="P576" s="8" t="n">
        <v>0</v>
      </c>
      <c r="Q576" s="8" t="n">
        <v>8</v>
      </c>
      <c r="R576" s="8" t="n">
        <v>0</v>
      </c>
      <c r="S576" s="8" t="n">
        <v>0</v>
      </c>
      <c r="T576" s="8" t="n">
        <v>122</v>
      </c>
      <c r="U576" s="11" t="n">
        <f aca="false">O576*4 + P576*2 + MAX(0,N576-O576-P576)*1 + Q576*0.2 + R576*2 + S576*1 + IF(T576="",0,IF(T576&lt;=10,8,IF(T576&lt;=50,6,IF(T576&lt;=100,4,2))))</f>
        <v>5.6</v>
      </c>
      <c r="V576" s="7" t="s">
        <v>2535</v>
      </c>
      <c r="W576" s="12" t="s">
        <v>735</v>
      </c>
      <c r="X576" s="8" t="n">
        <v>7</v>
      </c>
      <c r="Y576" s="8" t="s">
        <v>2536</v>
      </c>
    </row>
    <row r="577" customFormat="false" ht="15.75" hidden="false" customHeight="true" outlineLevel="0" collapsed="false">
      <c r="A577" s="7" t="s">
        <v>2537</v>
      </c>
      <c r="B577" s="8" t="n">
        <v>2004</v>
      </c>
      <c r="C577" s="8" t="s">
        <v>35</v>
      </c>
      <c r="D577" s="8" t="n">
        <v>146</v>
      </c>
      <c r="E577" s="7" t="s">
        <v>911</v>
      </c>
      <c r="F577" s="8" t="n">
        <v>7.7</v>
      </c>
      <c r="G577" s="8" t="n">
        <v>7</v>
      </c>
      <c r="H577" s="9" t="n">
        <v>424596</v>
      </c>
      <c r="I577" s="7" t="s">
        <v>359</v>
      </c>
      <c r="J577" s="7" t="s">
        <v>112</v>
      </c>
      <c r="K577" s="7" t="s">
        <v>54</v>
      </c>
      <c r="L577" s="10" t="s">
        <v>2538</v>
      </c>
      <c r="M577" s="7" t="s">
        <v>2539</v>
      </c>
      <c r="N577" s="8" t="n">
        <v>0</v>
      </c>
      <c r="O577" s="8" t="n">
        <v>0</v>
      </c>
      <c r="P577" s="8" t="n">
        <v>0</v>
      </c>
      <c r="Q577" s="8" t="n">
        <v>0</v>
      </c>
      <c r="R577" s="13" t="n">
        <v>0</v>
      </c>
      <c r="S577" s="13" t="n">
        <v>0</v>
      </c>
      <c r="T577" s="13"/>
      <c r="U577" s="11" t="n">
        <f aca="false">O577*4 + P577*2 + MAX(0,N577-O577-P577)*1 + Q577*0.2 + R577*2 + S577*1 + IF(T577="",0,IF(T577&lt;=10,8,IF(T577&lt;=50,6,IF(T577&lt;=100,4,2))))</f>
        <v>0</v>
      </c>
      <c r="V577" s="7"/>
      <c r="W577" s="12"/>
      <c r="X577" s="13"/>
      <c r="Y577" s="13" t="s">
        <v>2540</v>
      </c>
    </row>
    <row r="578" customFormat="false" ht="15.75" hidden="false" customHeight="true" outlineLevel="0" collapsed="false">
      <c r="A578" s="7" t="s">
        <v>2541</v>
      </c>
      <c r="B578" s="8" t="n">
        <v>2014</v>
      </c>
      <c r="C578" s="8" t="s">
        <v>176</v>
      </c>
      <c r="D578" s="8" t="n">
        <v>117</v>
      </c>
      <c r="E578" s="7" t="s">
        <v>2542</v>
      </c>
      <c r="F578" s="8" t="n">
        <v>7.8</v>
      </c>
      <c r="G578" s="8" t="n">
        <v>8</v>
      </c>
      <c r="H578" s="9" t="n">
        <v>677737</v>
      </c>
      <c r="I578" s="7" t="s">
        <v>46</v>
      </c>
      <c r="J578" s="7" t="s">
        <v>131</v>
      </c>
      <c r="K578" s="7" t="s">
        <v>54</v>
      </c>
      <c r="L578" s="10"/>
      <c r="M578" s="7" t="s">
        <v>2543</v>
      </c>
      <c r="N578" s="8" t="n">
        <v>0</v>
      </c>
      <c r="O578" s="8" t="n">
        <v>0</v>
      </c>
      <c r="P578" s="8" t="n">
        <v>0</v>
      </c>
      <c r="Q578" s="8" t="n">
        <v>1</v>
      </c>
      <c r="R578" s="8" t="n">
        <v>0</v>
      </c>
      <c r="S578" s="8" t="n">
        <v>0</v>
      </c>
      <c r="T578" s="8"/>
      <c r="U578" s="11" t="n">
        <f aca="false">O578*4 + P578*2 + MAX(0,N578-O578-P578)*1 + Q578*0.2 + R578*2 + S578*1 + IF(T578="",0,IF(T578&lt;=10,8,IF(T578&lt;=50,6,IF(T578&lt;=100,4,2))))</f>
        <v>0.2</v>
      </c>
      <c r="V578" s="10" t="s">
        <v>2544</v>
      </c>
      <c r="W578" s="12"/>
      <c r="X578" s="8" t="n">
        <v>104</v>
      </c>
      <c r="Y578" s="8" t="s">
        <v>2545</v>
      </c>
    </row>
    <row r="579" customFormat="false" ht="15.75" hidden="false" customHeight="true" outlineLevel="0" collapsed="false">
      <c r="A579" s="7" t="s">
        <v>2546</v>
      </c>
      <c r="B579" s="8" t="n">
        <v>2000</v>
      </c>
      <c r="C579" s="8" t="s">
        <v>35</v>
      </c>
      <c r="D579" s="8" t="n">
        <v>88</v>
      </c>
      <c r="E579" s="7" t="s">
        <v>2547</v>
      </c>
      <c r="F579" s="8" t="n">
        <v>7.3</v>
      </c>
      <c r="G579" s="8" t="n">
        <v>8</v>
      </c>
      <c r="H579" s="9" t="n">
        <v>7584</v>
      </c>
      <c r="I579" s="7" t="s">
        <v>232</v>
      </c>
      <c r="J579" s="7" t="s">
        <v>47</v>
      </c>
      <c r="K579" s="7"/>
      <c r="L579" s="10" t="s">
        <v>610</v>
      </c>
      <c r="M579" s="10" t="s">
        <v>2548</v>
      </c>
      <c r="N579" s="8" t="n">
        <v>0</v>
      </c>
      <c r="O579" s="8" t="n">
        <v>0</v>
      </c>
      <c r="P579" s="8" t="n">
        <v>0</v>
      </c>
      <c r="Q579" s="8" t="n">
        <v>0</v>
      </c>
      <c r="R579" s="13" t="n">
        <v>0</v>
      </c>
      <c r="S579" s="13" t="n">
        <v>0</v>
      </c>
      <c r="T579" s="13"/>
      <c r="U579" s="11" t="n">
        <f aca="false">O579*4 + P579*2 + MAX(0,N579-O579-P579)*1 + Q579*0.2 + R579*2 + S579*1 + IF(T579="",0,IF(T579&lt;=10,8,IF(T579&lt;=50,6,IF(T579&lt;=100,4,2))))</f>
        <v>0</v>
      </c>
      <c r="V579" s="7"/>
      <c r="W579" s="12"/>
      <c r="X579" s="13"/>
      <c r="Y579" s="13" t="s">
        <v>2549</v>
      </c>
    </row>
    <row r="580" customFormat="false" ht="15.75" hidden="false" customHeight="true" outlineLevel="0" collapsed="false">
      <c r="A580" s="7" t="s">
        <v>2550</v>
      </c>
      <c r="B580" s="8" t="n">
        <v>2002</v>
      </c>
      <c r="C580" s="8" t="s">
        <v>35</v>
      </c>
      <c r="D580" s="8" t="n">
        <v>115</v>
      </c>
      <c r="E580" s="7" t="s">
        <v>2275</v>
      </c>
      <c r="F580" s="8" t="n">
        <v>7.6</v>
      </c>
      <c r="G580" s="8" t="n">
        <v>6</v>
      </c>
      <c r="H580" s="9" t="n">
        <v>214093</v>
      </c>
      <c r="I580" s="7" t="s">
        <v>46</v>
      </c>
      <c r="J580" s="7" t="s">
        <v>30</v>
      </c>
      <c r="K580" s="7" t="s">
        <v>47</v>
      </c>
      <c r="L580" s="10" t="s">
        <v>2551</v>
      </c>
      <c r="M580" s="10" t="s">
        <v>2552</v>
      </c>
      <c r="N580" s="8" t="n">
        <v>1</v>
      </c>
      <c r="O580" s="8" t="n">
        <v>0</v>
      </c>
      <c r="P580" s="8" t="n">
        <v>0</v>
      </c>
      <c r="Q580" s="8" t="n">
        <v>4</v>
      </c>
      <c r="R580" s="8" t="n">
        <v>0</v>
      </c>
      <c r="S580" s="8" t="n">
        <v>0</v>
      </c>
      <c r="T580" s="13"/>
      <c r="U580" s="11" t="n">
        <f aca="false">O580*4 + P580*2 + MAX(0,N580-O580-P580)*1 + Q580*0.2 + R580*2 + S580*1 + IF(T580="",0,IF(T580&lt;=10,8,IF(T580&lt;=50,6,IF(T580&lt;=100,4,2))))</f>
        <v>1.8</v>
      </c>
      <c r="V580" s="7"/>
      <c r="W580" s="12"/>
      <c r="X580" s="13"/>
      <c r="Y580" s="13" t="s">
        <v>2553</v>
      </c>
    </row>
    <row r="581" customFormat="false" ht="15.75" hidden="false" customHeight="true" outlineLevel="0" collapsed="false">
      <c r="A581" s="7" t="s">
        <v>2554</v>
      </c>
      <c r="B581" s="8" t="n">
        <v>2012</v>
      </c>
      <c r="C581" s="8" t="s">
        <v>176</v>
      </c>
      <c r="D581" s="8" t="n">
        <v>115</v>
      </c>
      <c r="E581" s="7" t="s">
        <v>1160</v>
      </c>
      <c r="F581" s="8" t="n">
        <v>8.3</v>
      </c>
      <c r="G581" s="8" t="n">
        <v>6</v>
      </c>
      <c r="H581" s="9" t="n">
        <v>415800</v>
      </c>
      <c r="I581" s="7" t="s">
        <v>2555</v>
      </c>
      <c r="J581" s="7" t="s">
        <v>47</v>
      </c>
      <c r="K581" s="7"/>
      <c r="L581" s="10" t="s">
        <v>166</v>
      </c>
      <c r="M581" s="10" t="s">
        <v>2556</v>
      </c>
      <c r="N581" s="8" t="n">
        <v>0</v>
      </c>
      <c r="O581" s="8" t="n">
        <v>0</v>
      </c>
      <c r="P581" s="8" t="n">
        <v>0</v>
      </c>
      <c r="Q581" s="8" t="n">
        <v>1</v>
      </c>
      <c r="R581" s="8" t="n">
        <v>0</v>
      </c>
      <c r="S581" s="8" t="n">
        <v>0</v>
      </c>
      <c r="T581" s="13"/>
      <c r="U581" s="11" t="n">
        <f aca="false">O581*4 + P581*2 + MAX(0,N581-O581-P581)*1 + Q581*0.2 + R581*2 + S581*1 + IF(T581="",0,IF(T581&lt;=10,8,IF(T581&lt;=50,6,IF(T581&lt;=100,4,2))))</f>
        <v>0.2</v>
      </c>
      <c r="V581" s="7"/>
      <c r="W581" s="12"/>
      <c r="X581" s="13"/>
      <c r="Y581" s="13" t="s">
        <v>2557</v>
      </c>
    </row>
    <row r="582" customFormat="false" ht="15.75" hidden="false" customHeight="true" outlineLevel="0" collapsed="false">
      <c r="A582" s="7" t="s">
        <v>2558</v>
      </c>
      <c r="B582" s="8" t="n">
        <v>2019</v>
      </c>
      <c r="C582" s="8" t="s">
        <v>176</v>
      </c>
      <c r="D582" s="8" t="n">
        <v>181</v>
      </c>
      <c r="E582" s="7" t="s">
        <v>2529</v>
      </c>
      <c r="F582" s="8" t="n">
        <v>8.4</v>
      </c>
      <c r="G582" s="8" t="n">
        <v>8</v>
      </c>
      <c r="H582" s="9" t="n">
        <v>1474879</v>
      </c>
      <c r="I582" s="7" t="s">
        <v>46</v>
      </c>
      <c r="J582" s="7" t="s">
        <v>111</v>
      </c>
      <c r="K582" s="7" t="s">
        <v>112</v>
      </c>
      <c r="L582" s="10" t="s">
        <v>177</v>
      </c>
      <c r="M582" s="7" t="s">
        <v>2559</v>
      </c>
      <c r="N582" s="8" t="n">
        <v>0</v>
      </c>
      <c r="O582" s="8" t="n">
        <v>0</v>
      </c>
      <c r="P582" s="8" t="n">
        <v>0</v>
      </c>
      <c r="Q582" s="8" t="n">
        <v>1</v>
      </c>
      <c r="R582" s="8" t="n">
        <v>0</v>
      </c>
      <c r="S582" s="8" t="n">
        <v>0</v>
      </c>
      <c r="T582" s="8"/>
      <c r="U582" s="11" t="n">
        <f aca="false">O582*4 + P582*2 + MAX(0,N582-O582-P582)*1 + Q582*0.2 + R582*2 + S582*1 + IF(T582="",0,IF(T582&lt;=10,8,IF(T582&lt;=50,6,IF(T582&lt;=100,4,2))))</f>
        <v>0.2</v>
      </c>
      <c r="V582" s="7"/>
      <c r="W582" s="12"/>
      <c r="X582" s="13"/>
      <c r="Y582" s="13" t="s">
        <v>2560</v>
      </c>
    </row>
    <row r="583" customFormat="false" ht="15.75" hidden="false" customHeight="true" outlineLevel="0" collapsed="false">
      <c r="A583" s="7" t="s">
        <v>2561</v>
      </c>
      <c r="B583" s="8" t="n">
        <v>2004</v>
      </c>
      <c r="C583" s="8" t="s">
        <v>35</v>
      </c>
      <c r="D583" s="8" t="n">
        <v>119</v>
      </c>
      <c r="E583" s="7" t="s">
        <v>966</v>
      </c>
      <c r="F583" s="8" t="n">
        <v>7.5</v>
      </c>
      <c r="G583" s="8" t="n">
        <v>7</v>
      </c>
      <c r="H583" s="9" t="n">
        <v>120201</v>
      </c>
      <c r="I583" s="7" t="s">
        <v>2562</v>
      </c>
      <c r="J583" s="7" t="s">
        <v>112</v>
      </c>
      <c r="K583" s="7" t="s">
        <v>39</v>
      </c>
      <c r="L583" s="10"/>
      <c r="M583" s="10" t="s">
        <v>2563</v>
      </c>
      <c r="N583" s="8" t="n">
        <v>0</v>
      </c>
      <c r="O583" s="8" t="n">
        <v>0</v>
      </c>
      <c r="P583" s="8" t="n">
        <v>0</v>
      </c>
      <c r="Q583" s="8" t="n">
        <v>1</v>
      </c>
      <c r="R583" s="8" t="n">
        <v>0</v>
      </c>
      <c r="S583" s="8" t="n">
        <v>0</v>
      </c>
      <c r="T583" s="13"/>
      <c r="U583" s="11" t="n">
        <f aca="false">O583*4 + P583*2 + MAX(0,N583-O583-P583)*1 + Q583*0.2 + R583*2 + S583*1 + IF(T583="",0,IF(T583&lt;=10,8,IF(T583&lt;=50,6,IF(T583&lt;=100,4,2))))</f>
        <v>0.2</v>
      </c>
      <c r="V583" s="7"/>
      <c r="W583" s="12"/>
      <c r="X583" s="13"/>
      <c r="Y583" s="13" t="s">
        <v>2564</v>
      </c>
    </row>
    <row r="584" customFormat="false" ht="15.75" hidden="false" customHeight="true" outlineLevel="0" collapsed="false">
      <c r="A584" s="7" t="s">
        <v>2565</v>
      </c>
      <c r="B584" s="8" t="n">
        <v>2016</v>
      </c>
      <c r="C584" s="8" t="s">
        <v>176</v>
      </c>
      <c r="D584" s="8" t="n">
        <v>116</v>
      </c>
      <c r="E584" s="7" t="s">
        <v>2566</v>
      </c>
      <c r="F584" s="8" t="n">
        <v>7.4</v>
      </c>
      <c r="G584" s="8" t="n">
        <v>8</v>
      </c>
      <c r="H584" s="9" t="n">
        <v>341323</v>
      </c>
      <c r="I584" s="7" t="s">
        <v>46</v>
      </c>
      <c r="J584" s="7" t="s">
        <v>131</v>
      </c>
      <c r="K584" s="7" t="s">
        <v>47</v>
      </c>
      <c r="L584" s="10" t="s">
        <v>238</v>
      </c>
      <c r="M584" s="7" t="s">
        <v>2567</v>
      </c>
      <c r="N584" s="8" t="n">
        <v>0</v>
      </c>
      <c r="O584" s="8" t="n">
        <v>0</v>
      </c>
      <c r="P584" s="8" t="n">
        <v>0</v>
      </c>
      <c r="Q584" s="8" t="n">
        <v>1</v>
      </c>
      <c r="R584" s="8" t="n">
        <v>0</v>
      </c>
      <c r="S584" s="8" t="n">
        <v>0</v>
      </c>
      <c r="T584" s="13"/>
      <c r="U584" s="11" t="n">
        <f aca="false">O584*4 + P584*2 + MAX(0,N584-O584-P584)*1 + Q584*0.2 + R584*2 + S584*1 + IF(T584="",0,IF(T584&lt;=10,8,IF(T584&lt;=50,6,IF(T584&lt;=100,4,2))))</f>
        <v>0.2</v>
      </c>
      <c r="V584" s="7"/>
      <c r="W584" s="12"/>
      <c r="X584" s="13"/>
      <c r="Y584" s="13" t="s">
        <v>2568</v>
      </c>
    </row>
    <row r="585" customFormat="false" ht="15.75" hidden="false" customHeight="true" outlineLevel="0" collapsed="false">
      <c r="A585" s="7" t="s">
        <v>2569</v>
      </c>
      <c r="B585" s="8" t="n">
        <v>2013</v>
      </c>
      <c r="C585" s="8" t="s">
        <v>176</v>
      </c>
      <c r="D585" s="8" t="n">
        <v>180</v>
      </c>
      <c r="E585" s="7" t="s">
        <v>2570</v>
      </c>
      <c r="F585" s="8" t="n">
        <v>7.6</v>
      </c>
      <c r="G585" s="8" t="n">
        <v>6</v>
      </c>
      <c r="H585" s="9" t="n">
        <v>174349</v>
      </c>
      <c r="I585" s="7" t="s">
        <v>2571</v>
      </c>
      <c r="J585" s="7" t="s">
        <v>29</v>
      </c>
      <c r="K585" s="7" t="s">
        <v>47</v>
      </c>
      <c r="L585" s="10" t="s">
        <v>2572</v>
      </c>
      <c r="M585" s="7" t="s">
        <v>2573</v>
      </c>
      <c r="N585" s="8" t="n">
        <v>0</v>
      </c>
      <c r="O585" s="8" t="n">
        <v>0</v>
      </c>
      <c r="P585" s="8" t="n">
        <v>0</v>
      </c>
      <c r="Q585" s="8" t="n">
        <v>0</v>
      </c>
      <c r="R585" s="8" t="n">
        <v>1</v>
      </c>
      <c r="S585" s="13" t="n">
        <v>0</v>
      </c>
      <c r="T585" s="8"/>
      <c r="U585" s="11" t="n">
        <f aca="false">O585*4 + P585*2 + MAX(0,N585-O585-P585)*1 + Q585*0.2 + R585*2 + S585*1 + IF(T585="",0,IF(T585&lt;=10,8,IF(T585&lt;=50,6,IF(T585&lt;=100,4,2))))</f>
        <v>2</v>
      </c>
      <c r="V585" s="10" t="s">
        <v>2574</v>
      </c>
      <c r="W585" s="12"/>
      <c r="X585" s="8" t="n">
        <v>38</v>
      </c>
      <c r="Y585" s="8" t="s">
        <v>2575</v>
      </c>
    </row>
    <row r="586" customFormat="false" ht="15.75" hidden="false" customHeight="true" outlineLevel="0" collapsed="false">
      <c r="A586" s="7" t="s">
        <v>2576</v>
      </c>
      <c r="B586" s="8" t="n">
        <v>2012</v>
      </c>
      <c r="C586" s="8" t="s">
        <v>176</v>
      </c>
      <c r="D586" s="8" t="n">
        <v>94</v>
      </c>
      <c r="E586" s="7" t="s">
        <v>1200</v>
      </c>
      <c r="F586" s="8" t="n">
        <v>7.7</v>
      </c>
      <c r="G586" s="8" t="n">
        <v>7</v>
      </c>
      <c r="H586" s="9" t="n">
        <v>384456</v>
      </c>
      <c r="I586" s="7" t="s">
        <v>46</v>
      </c>
      <c r="J586" s="7" t="s">
        <v>39</v>
      </c>
      <c r="K586" s="7" t="s">
        <v>30</v>
      </c>
      <c r="L586" s="10"/>
      <c r="M586" s="7" t="s">
        <v>2577</v>
      </c>
      <c r="N586" s="8" t="n">
        <v>0</v>
      </c>
      <c r="O586" s="8" t="n">
        <v>0</v>
      </c>
      <c r="P586" s="8" t="n">
        <v>0</v>
      </c>
      <c r="Q586" s="8" t="n">
        <v>1</v>
      </c>
      <c r="R586" s="8" t="n">
        <v>0</v>
      </c>
      <c r="S586" s="8" t="n">
        <v>0</v>
      </c>
      <c r="T586" s="8"/>
      <c r="U586" s="11" t="n">
        <f aca="false">O586*4 + P586*2 + MAX(0,N586-O586-P586)*1 + Q586*0.2 + R586*2 + S586*1 + IF(T586="",0,IF(T586&lt;=10,8,IF(T586&lt;=50,6,IF(T586&lt;=100,4,2))))</f>
        <v>0.2</v>
      </c>
      <c r="V586" s="7"/>
      <c r="W586" s="12"/>
      <c r="X586" s="13"/>
      <c r="Y586" s="13" t="s">
        <v>2578</v>
      </c>
    </row>
    <row r="587" customFormat="false" ht="15.75" hidden="false" customHeight="true" outlineLevel="0" collapsed="false">
      <c r="A587" s="7" t="s">
        <v>2579</v>
      </c>
      <c r="B587" s="8" t="n">
        <v>2019</v>
      </c>
      <c r="C587" s="8" t="s">
        <v>176</v>
      </c>
      <c r="D587" s="8" t="n">
        <v>209</v>
      </c>
      <c r="E587" s="7" t="s">
        <v>165</v>
      </c>
      <c r="F587" s="8" t="n">
        <v>7.8</v>
      </c>
      <c r="G587" s="8" t="n">
        <v>8</v>
      </c>
      <c r="H587" s="9" t="n">
        <v>477482</v>
      </c>
      <c r="I587" s="7" t="s">
        <v>46</v>
      </c>
      <c r="J587" s="7" t="s">
        <v>47</v>
      </c>
      <c r="K587" s="7" t="s">
        <v>54</v>
      </c>
      <c r="L587" s="10" t="s">
        <v>238</v>
      </c>
      <c r="M587" s="7" t="s">
        <v>2580</v>
      </c>
      <c r="N587" s="8" t="n">
        <v>0</v>
      </c>
      <c r="O587" s="8" t="n">
        <v>0</v>
      </c>
      <c r="P587" s="8" t="n">
        <v>0</v>
      </c>
      <c r="Q587" s="8" t="n">
        <v>10</v>
      </c>
      <c r="R587" s="8" t="n">
        <v>0</v>
      </c>
      <c r="S587" s="8" t="n">
        <v>0</v>
      </c>
      <c r="T587" s="13"/>
      <c r="U587" s="11" t="n">
        <f aca="false">O587*4 + P587*2 + MAX(0,N587-O587-P587)*1 + Q587*0.2 + R587*2 + S587*1 + IF(T587="",0,IF(T587&lt;=10,8,IF(T587&lt;=50,6,IF(T587&lt;=100,4,2))))</f>
        <v>2</v>
      </c>
      <c r="V587" s="7"/>
      <c r="W587" s="12"/>
      <c r="X587" s="13"/>
      <c r="Y587" s="13" t="s">
        <v>2581</v>
      </c>
    </row>
    <row r="588" customFormat="false" ht="15.75" hidden="false" customHeight="true" outlineLevel="0" collapsed="false">
      <c r="A588" s="7" t="s">
        <v>2582</v>
      </c>
      <c r="B588" s="8" t="n">
        <v>2013</v>
      </c>
      <c r="C588" s="8" t="s">
        <v>176</v>
      </c>
      <c r="D588" s="8" t="n">
        <v>141</v>
      </c>
      <c r="E588" s="7" t="s">
        <v>1342</v>
      </c>
      <c r="F588" s="8" t="n">
        <v>7.7</v>
      </c>
      <c r="G588" s="8" t="n">
        <v>6</v>
      </c>
      <c r="H588" s="9" t="n">
        <v>106965</v>
      </c>
      <c r="I588" s="7" t="s">
        <v>28</v>
      </c>
      <c r="J588" s="7" t="s">
        <v>47</v>
      </c>
      <c r="K588" s="7"/>
      <c r="L588" s="10" t="s">
        <v>166</v>
      </c>
      <c r="M588" s="7" t="s">
        <v>2583</v>
      </c>
      <c r="N588" s="8" t="n">
        <v>1</v>
      </c>
      <c r="O588" s="8" t="n">
        <v>0</v>
      </c>
      <c r="P588" s="8" t="n">
        <v>0</v>
      </c>
      <c r="Q588" s="8" t="n">
        <v>1</v>
      </c>
      <c r="R588" s="8" t="n">
        <v>0</v>
      </c>
      <c r="S588" s="8" t="n">
        <v>0</v>
      </c>
      <c r="T588" s="8"/>
      <c r="U588" s="11" t="n">
        <f aca="false">O588*4 + P588*2 + MAX(0,N588-O588-P588)*1 + Q588*0.2 + R588*2 + S588*1 + IF(T588="",0,IF(T588&lt;=10,8,IF(T588&lt;=50,6,IF(T588&lt;=100,4,2))))</f>
        <v>1.2</v>
      </c>
      <c r="V588" s="10" t="s">
        <v>2584</v>
      </c>
      <c r="W588" s="12"/>
      <c r="X588" s="8" t="n">
        <v>108</v>
      </c>
      <c r="Y588" s="8" t="s">
        <v>2585</v>
      </c>
    </row>
    <row r="589" customFormat="false" ht="15.75" hidden="false" customHeight="true" outlineLevel="0" collapsed="false">
      <c r="A589" s="7" t="s">
        <v>2586</v>
      </c>
      <c r="B589" s="8" t="n">
        <v>2014</v>
      </c>
      <c r="C589" s="8" t="s">
        <v>176</v>
      </c>
      <c r="D589" s="8" t="n">
        <v>102</v>
      </c>
      <c r="E589" s="7" t="s">
        <v>2587</v>
      </c>
      <c r="F589" s="8" t="n">
        <v>7.8</v>
      </c>
      <c r="G589" s="8" t="n">
        <v>7</v>
      </c>
      <c r="H589" s="9" t="n">
        <v>559838</v>
      </c>
      <c r="I589" s="7" t="s">
        <v>46</v>
      </c>
      <c r="J589" s="7" t="s">
        <v>579</v>
      </c>
      <c r="K589" s="7" t="s">
        <v>852</v>
      </c>
      <c r="L589" s="10" t="s">
        <v>177</v>
      </c>
      <c r="M589" s="7" t="s">
        <v>2588</v>
      </c>
      <c r="N589" s="8" t="n">
        <v>1</v>
      </c>
      <c r="O589" s="8" t="n">
        <v>0</v>
      </c>
      <c r="P589" s="8" t="n">
        <v>0</v>
      </c>
      <c r="Q589" s="8" t="n">
        <v>1</v>
      </c>
      <c r="R589" s="8" t="n">
        <v>0</v>
      </c>
      <c r="S589" s="8" t="n">
        <v>0</v>
      </c>
      <c r="T589" s="13"/>
      <c r="U589" s="11" t="n">
        <f aca="false">O589*4 + P589*2 + MAX(0,N589-O589-P589)*1 + Q589*0.2 + R589*2 + S589*1 + IF(T589="",0,IF(T589&lt;=10,8,IF(T589&lt;=50,6,IF(T589&lt;=100,4,2))))</f>
        <v>1.2</v>
      </c>
      <c r="V589" s="7"/>
      <c r="W589" s="12"/>
      <c r="X589" s="13"/>
      <c r="Y589" s="13" t="s">
        <v>2589</v>
      </c>
    </row>
    <row r="590" customFormat="false" ht="15.75" hidden="false" customHeight="true" outlineLevel="0" collapsed="false">
      <c r="A590" s="7" t="s">
        <v>2590</v>
      </c>
      <c r="B590" s="8" t="n">
        <v>2011</v>
      </c>
      <c r="C590" s="8" t="s">
        <v>176</v>
      </c>
      <c r="D590" s="8" t="n">
        <v>158</v>
      </c>
      <c r="E590" s="7" t="s">
        <v>225</v>
      </c>
      <c r="F590" s="8" t="n">
        <v>7.8</v>
      </c>
      <c r="G590" s="8" t="n">
        <v>6</v>
      </c>
      <c r="H590" s="9" t="n">
        <v>531647</v>
      </c>
      <c r="I590" s="7" t="s">
        <v>46</v>
      </c>
      <c r="J590" s="7" t="s">
        <v>47</v>
      </c>
      <c r="K590" s="7" t="s">
        <v>54</v>
      </c>
      <c r="L590" s="10" t="s">
        <v>1984</v>
      </c>
      <c r="M590" s="7" t="s">
        <v>2591</v>
      </c>
      <c r="N590" s="8" t="n">
        <v>1</v>
      </c>
      <c r="O590" s="8" t="n">
        <v>0</v>
      </c>
      <c r="P590" s="8" t="n">
        <v>0</v>
      </c>
      <c r="Q590" s="8" t="n">
        <v>5</v>
      </c>
      <c r="R590" s="8" t="n">
        <v>0</v>
      </c>
      <c r="S590" s="8" t="n">
        <v>0</v>
      </c>
      <c r="T590" s="13"/>
      <c r="U590" s="11" t="n">
        <f aca="false">O590*4 + P590*2 + MAX(0,N590-O590-P590)*1 + Q590*0.2 + R590*2 + S590*1 + IF(T590="",0,IF(T590&lt;=10,8,IF(T590&lt;=50,6,IF(T590&lt;=100,4,2))))</f>
        <v>2</v>
      </c>
      <c r="V590" s="7"/>
      <c r="W590" s="12"/>
      <c r="X590" s="13"/>
      <c r="Y590" s="13" t="s">
        <v>2592</v>
      </c>
    </row>
    <row r="591" customFormat="false" ht="15.75" hidden="false" customHeight="true" outlineLevel="0" collapsed="false">
      <c r="A591" s="7" t="s">
        <v>2593</v>
      </c>
      <c r="B591" s="8" t="n">
        <v>2007</v>
      </c>
      <c r="C591" s="8" t="s">
        <v>35</v>
      </c>
      <c r="D591" s="8" t="n">
        <v>117</v>
      </c>
      <c r="E591" s="7" t="s">
        <v>410</v>
      </c>
      <c r="F591" s="8" t="n">
        <v>7.3</v>
      </c>
      <c r="G591" s="8" t="n">
        <v>6</v>
      </c>
      <c r="H591" s="9" t="n">
        <v>123487</v>
      </c>
      <c r="I591" s="7" t="s">
        <v>46</v>
      </c>
      <c r="J591" s="7" t="s">
        <v>131</v>
      </c>
      <c r="K591" s="7" t="s">
        <v>54</v>
      </c>
      <c r="L591" s="10" t="s">
        <v>2594</v>
      </c>
      <c r="M591" s="7" t="s">
        <v>2595</v>
      </c>
      <c r="N591" s="8" t="n">
        <v>0</v>
      </c>
      <c r="O591" s="8" t="n">
        <v>0</v>
      </c>
      <c r="P591" s="8" t="n">
        <v>0</v>
      </c>
      <c r="Q591" s="8" t="n">
        <v>0</v>
      </c>
      <c r="R591" s="8" t="n">
        <v>0</v>
      </c>
      <c r="S591" s="13" t="n">
        <v>0</v>
      </c>
      <c r="T591" s="8"/>
      <c r="U591" s="11" t="n">
        <f aca="false">O591*4 + P591*2 + MAX(0,N591-O591-P591)*1 + Q591*0.2 + R591*2 + S591*1 + IF(T591="",0,IF(T591&lt;=10,8,IF(T591&lt;=50,6,IF(T591&lt;=100,4,2))))</f>
        <v>0</v>
      </c>
      <c r="V591" s="10" t="s">
        <v>2596</v>
      </c>
      <c r="W591" s="12"/>
      <c r="X591" s="8" t="n">
        <v>88</v>
      </c>
      <c r="Y591" s="8" t="s">
        <v>2597</v>
      </c>
    </row>
    <row r="592" customFormat="false" ht="15.75" hidden="false" customHeight="true" outlineLevel="0" collapsed="false">
      <c r="A592" s="7" t="s">
        <v>2598</v>
      </c>
      <c r="B592" s="8" t="n">
        <v>2007</v>
      </c>
      <c r="C592" s="8" t="s">
        <v>35</v>
      </c>
      <c r="D592" s="8" t="n">
        <v>115</v>
      </c>
      <c r="E592" s="7" t="s">
        <v>2599</v>
      </c>
      <c r="F592" s="8" t="n">
        <v>8</v>
      </c>
      <c r="G592" s="8" t="n">
        <v>7</v>
      </c>
      <c r="H592" s="9" t="n">
        <v>120686</v>
      </c>
      <c r="I592" s="7" t="s">
        <v>139</v>
      </c>
      <c r="J592" s="7" t="s">
        <v>112</v>
      </c>
      <c r="K592" s="7" t="s">
        <v>54</v>
      </c>
      <c r="L592" s="10" t="s">
        <v>2600</v>
      </c>
      <c r="M592" s="10" t="s">
        <v>2601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1</v>
      </c>
      <c r="S592" s="13" t="n">
        <v>0</v>
      </c>
      <c r="T592" s="13"/>
      <c r="U592" s="11" t="n">
        <f aca="false">O592*4 + P592*2 + MAX(0,N592-O592-P592)*1 + Q592*0.2 + R592*2 + S592*1 + IF(T592="",0,IF(T592&lt;=10,8,IF(T592&lt;=50,6,IF(T592&lt;=100,4,2))))</f>
        <v>2</v>
      </c>
      <c r="V592" s="7"/>
      <c r="W592" s="12"/>
      <c r="X592" s="13"/>
      <c r="Y592" s="13" t="s">
        <v>2602</v>
      </c>
    </row>
    <row r="593" customFormat="false" ht="15.75" hidden="false" customHeight="true" outlineLevel="0" collapsed="false">
      <c r="A593" s="7" t="s">
        <v>2603</v>
      </c>
      <c r="B593" s="8" t="n">
        <v>2019</v>
      </c>
      <c r="C593" s="8" t="s">
        <v>176</v>
      </c>
      <c r="D593" s="8" t="n">
        <v>108</v>
      </c>
      <c r="E593" s="7" t="s">
        <v>2604</v>
      </c>
      <c r="F593" s="8" t="n">
        <v>7.9</v>
      </c>
      <c r="G593" s="8" t="n">
        <v>6</v>
      </c>
      <c r="H593" s="9" t="n">
        <v>492443</v>
      </c>
      <c r="I593" s="7" t="s">
        <v>2605</v>
      </c>
      <c r="J593" s="7" t="s">
        <v>154</v>
      </c>
      <c r="K593" s="7" t="s">
        <v>30</v>
      </c>
      <c r="L593" s="10" t="s">
        <v>177</v>
      </c>
      <c r="M593" s="7" t="s">
        <v>2606</v>
      </c>
      <c r="N593" s="8" t="n">
        <v>1</v>
      </c>
      <c r="O593" s="8" t="n">
        <v>0</v>
      </c>
      <c r="P593" s="8" t="n">
        <v>0</v>
      </c>
      <c r="Q593" s="8" t="n">
        <v>6</v>
      </c>
      <c r="R593" s="8" t="n">
        <v>0</v>
      </c>
      <c r="S593" s="8" t="n">
        <v>0</v>
      </c>
      <c r="T593" s="13"/>
      <c r="U593" s="11" t="n">
        <f aca="false">O593*4 + P593*2 + MAX(0,N593-O593-P593)*1 + Q593*0.2 + R593*2 + S593*1 + IF(T593="",0,IF(T593&lt;=10,8,IF(T593&lt;=50,6,IF(T593&lt;=100,4,2))))</f>
        <v>2.2</v>
      </c>
      <c r="V593" s="7"/>
      <c r="W593" s="12"/>
      <c r="X593" s="13"/>
      <c r="Y593" s="13" t="s">
        <v>2607</v>
      </c>
    </row>
    <row r="594" customFormat="false" ht="15.75" hidden="false" customHeight="true" outlineLevel="0" collapsed="false">
      <c r="A594" s="7" t="s">
        <v>2608</v>
      </c>
      <c r="B594" s="8" t="n">
        <v>2024</v>
      </c>
      <c r="C594" s="8" t="s">
        <v>378</v>
      </c>
      <c r="D594" s="8" t="n">
        <v>166</v>
      </c>
      <c r="E594" s="7" t="s">
        <v>1110</v>
      </c>
      <c r="F594" s="8" t="n">
        <v>8.4</v>
      </c>
      <c r="G594" s="8" t="n">
        <v>9</v>
      </c>
      <c r="H594" s="9" t="n">
        <v>784652</v>
      </c>
      <c r="I594" s="7" t="s">
        <v>46</v>
      </c>
      <c r="J594" s="7" t="s">
        <v>112</v>
      </c>
      <c r="K594" s="7" t="s">
        <v>39</v>
      </c>
      <c r="L594" s="10" t="s">
        <v>2609</v>
      </c>
      <c r="M594" s="7" t="s">
        <v>2610</v>
      </c>
      <c r="N594" s="8" t="n">
        <v>2</v>
      </c>
      <c r="O594" s="8" t="n">
        <v>0</v>
      </c>
      <c r="P594" s="8" t="n">
        <v>0</v>
      </c>
      <c r="Q594" s="8" t="n">
        <v>5</v>
      </c>
      <c r="R594" s="8" t="n">
        <v>0</v>
      </c>
      <c r="S594" s="8" t="n">
        <v>0</v>
      </c>
      <c r="T594" s="13"/>
      <c r="U594" s="11" t="n">
        <f aca="false">O594*4 + P594*2 + MAX(0,N594-O594-P594)*1 + Q594*0.2 + R594*2 + S594*1 + IF(T594="",0,IF(T594&lt;=10,8,IF(T594&lt;=50,6,IF(T594&lt;=100,4,2))))</f>
        <v>3</v>
      </c>
      <c r="V594" s="7"/>
      <c r="W594" s="12"/>
      <c r="X594" s="13"/>
      <c r="Y594" s="13" t="s">
        <v>2611</v>
      </c>
    </row>
    <row r="595" customFormat="false" ht="15.75" hidden="false" customHeight="true" outlineLevel="0" collapsed="false">
      <c r="A595" s="7" t="s">
        <v>2612</v>
      </c>
      <c r="B595" s="8" t="n">
        <v>2016</v>
      </c>
      <c r="C595" s="8" t="s">
        <v>176</v>
      </c>
      <c r="D595" s="8" t="n">
        <v>127</v>
      </c>
      <c r="E595" s="7" t="s">
        <v>379</v>
      </c>
      <c r="F595" s="8" t="n">
        <v>7.1</v>
      </c>
      <c r="G595" s="8" t="n">
        <v>7</v>
      </c>
      <c r="H595" s="9" t="n">
        <v>13553</v>
      </c>
      <c r="I595" s="7" t="s">
        <v>232</v>
      </c>
      <c r="J595" s="7" t="s">
        <v>131</v>
      </c>
      <c r="K595" s="7" t="s">
        <v>54</v>
      </c>
      <c r="L595" s="10"/>
      <c r="M595" s="10" t="s">
        <v>2613</v>
      </c>
      <c r="N595" s="8" t="n">
        <v>0</v>
      </c>
      <c r="O595" s="8" t="n">
        <v>0</v>
      </c>
      <c r="P595" s="8" t="n">
        <v>0</v>
      </c>
      <c r="Q595" s="8" t="n">
        <v>0</v>
      </c>
      <c r="R595" s="13" t="n">
        <v>0</v>
      </c>
      <c r="S595" s="13" t="n">
        <v>0</v>
      </c>
      <c r="T595" s="13"/>
      <c r="U595" s="11" t="n">
        <f aca="false">O595*4 + P595*2 + MAX(0,N595-O595-P595)*1 + Q595*0.2 + R595*2 + S595*1 + IF(T595="",0,IF(T595&lt;=10,8,IF(T595&lt;=50,6,IF(T595&lt;=100,4,2))))</f>
        <v>0</v>
      </c>
      <c r="V595" s="7"/>
      <c r="W595" s="12"/>
      <c r="X595" s="13"/>
      <c r="Y595" s="13" t="s">
        <v>2614</v>
      </c>
    </row>
    <row r="596" customFormat="false" ht="15.75" hidden="false" customHeight="true" outlineLevel="0" collapsed="false">
      <c r="A596" s="7" t="s">
        <v>2615</v>
      </c>
      <c r="B596" s="8" t="n">
        <v>2023</v>
      </c>
      <c r="C596" s="8" t="s">
        <v>378</v>
      </c>
      <c r="D596" s="8" t="n">
        <v>141</v>
      </c>
      <c r="E596" s="7" t="s">
        <v>1205</v>
      </c>
      <c r="F596" s="8" t="n">
        <v>7.7</v>
      </c>
      <c r="G596" s="8" t="n">
        <v>7</v>
      </c>
      <c r="H596" s="9" t="n">
        <v>420483</v>
      </c>
      <c r="I596" s="7" t="s">
        <v>1364</v>
      </c>
      <c r="J596" s="7" t="s">
        <v>29</v>
      </c>
      <c r="K596" s="7" t="s">
        <v>30</v>
      </c>
      <c r="L596" s="10" t="s">
        <v>2616</v>
      </c>
      <c r="M596" s="7" t="s">
        <v>2617</v>
      </c>
      <c r="N596" s="8" t="n">
        <v>4</v>
      </c>
      <c r="O596" s="8" t="n">
        <v>0</v>
      </c>
      <c r="P596" s="8" t="n">
        <v>0</v>
      </c>
      <c r="Q596" s="8" t="n">
        <v>11</v>
      </c>
      <c r="R596" s="8" t="n">
        <v>0</v>
      </c>
      <c r="S596" s="8" t="n">
        <v>0</v>
      </c>
      <c r="T596" s="8"/>
      <c r="U596" s="11" t="n">
        <f aca="false">O596*4 + P596*2 + MAX(0,N596-O596-P596)*1 + Q596*0.2 + R596*2 + S596*1 + IF(T596="",0,IF(T596&lt;=10,8,IF(T596&lt;=50,6,IF(T596&lt;=100,4,2))))</f>
        <v>6.2</v>
      </c>
      <c r="V596" s="10" t="s">
        <v>2618</v>
      </c>
      <c r="W596" s="12"/>
      <c r="X596" s="8" t="n">
        <v>109</v>
      </c>
      <c r="Y596" s="8" t="s">
        <v>2619</v>
      </c>
    </row>
    <row r="597" customFormat="false" ht="15.75" hidden="false" customHeight="true" outlineLevel="0" collapsed="false">
      <c r="A597" s="7" t="s">
        <v>2620</v>
      </c>
      <c r="B597" s="8" t="n">
        <v>2016</v>
      </c>
      <c r="C597" s="8" t="s">
        <v>176</v>
      </c>
      <c r="D597" s="8" t="n">
        <v>102</v>
      </c>
      <c r="E597" s="7" t="s">
        <v>2621</v>
      </c>
      <c r="F597" s="8" t="n">
        <v>7.6</v>
      </c>
      <c r="G597" s="8" t="n">
        <v>7</v>
      </c>
      <c r="H597" s="9" t="n">
        <v>280611</v>
      </c>
      <c r="I597" s="7" t="s">
        <v>46</v>
      </c>
      <c r="J597" s="7" t="s">
        <v>131</v>
      </c>
      <c r="K597" s="7" t="s">
        <v>54</v>
      </c>
      <c r="L597" s="10" t="s">
        <v>113</v>
      </c>
      <c r="M597" s="7" t="s">
        <v>2622</v>
      </c>
      <c r="N597" s="8" t="n">
        <v>0</v>
      </c>
      <c r="O597" s="8" t="n">
        <v>0</v>
      </c>
      <c r="P597" s="8" t="n">
        <v>0</v>
      </c>
      <c r="Q597" s="8" t="n">
        <v>4</v>
      </c>
      <c r="R597" s="8" t="n">
        <v>0</v>
      </c>
      <c r="S597" s="8" t="n">
        <v>0</v>
      </c>
      <c r="T597" s="8"/>
      <c r="U597" s="11" t="n">
        <f aca="false">O597*4 + P597*2 + MAX(0,N597-O597-P597)*1 + Q597*0.2 + R597*2 + S597*1 + IF(T597="",0,IF(T597&lt;=10,8,IF(T597&lt;=50,6,IF(T597&lt;=100,4,2))))</f>
        <v>0.8</v>
      </c>
      <c r="V597" s="10" t="s">
        <v>2623</v>
      </c>
      <c r="W597" s="12"/>
      <c r="X597" s="8" t="n">
        <v>123</v>
      </c>
      <c r="Y597" s="8" t="s">
        <v>2624</v>
      </c>
    </row>
    <row r="598" customFormat="false" ht="15.75" hidden="false" customHeight="true" outlineLevel="0" collapsed="false">
      <c r="A598" s="7" t="s">
        <v>2625</v>
      </c>
      <c r="B598" s="8" t="n">
        <v>2004</v>
      </c>
      <c r="C598" s="8" t="s">
        <v>35</v>
      </c>
      <c r="D598" s="8" t="n">
        <v>88</v>
      </c>
      <c r="E598" s="7" t="s">
        <v>2626</v>
      </c>
      <c r="F598" s="8" t="n">
        <v>7.9</v>
      </c>
      <c r="G598" s="8"/>
      <c r="H598" s="9" t="n">
        <v>61665</v>
      </c>
      <c r="I598" s="7" t="s">
        <v>2627</v>
      </c>
      <c r="J598" s="7" t="s">
        <v>29</v>
      </c>
      <c r="K598" s="7" t="s">
        <v>54</v>
      </c>
      <c r="L598" s="10" t="s">
        <v>2628</v>
      </c>
      <c r="M598" s="7" t="s">
        <v>2629</v>
      </c>
      <c r="N598" s="8" t="n">
        <v>0</v>
      </c>
      <c r="O598" s="8" t="n">
        <v>0</v>
      </c>
      <c r="P598" s="8" t="n">
        <v>0</v>
      </c>
      <c r="Q598" s="8" t="n">
        <v>0</v>
      </c>
      <c r="R598" s="8" t="n">
        <v>0</v>
      </c>
      <c r="S598" s="13" t="n">
        <v>0</v>
      </c>
      <c r="T598" s="8"/>
      <c r="U598" s="11" t="n">
        <f aca="false">O598*4 + P598*2 + MAX(0,N598-O598-P598)*1 + Q598*0.2 + R598*2 + S598*1 + IF(T598="",0,IF(T598&lt;=10,8,IF(T598&lt;=50,6,IF(T598&lt;=100,4,2))))</f>
        <v>0</v>
      </c>
      <c r="V598" s="10" t="s">
        <v>2630</v>
      </c>
      <c r="W598" s="12"/>
      <c r="X598" s="8" t="n">
        <v>103</v>
      </c>
      <c r="Y598" s="8" t="s">
        <v>2631</v>
      </c>
    </row>
    <row r="599" customFormat="false" ht="15.75" hidden="false" customHeight="true" outlineLevel="0" collapsed="false">
      <c r="A599" s="7" t="s">
        <v>2632</v>
      </c>
      <c r="B599" s="8" t="n">
        <v>2018</v>
      </c>
      <c r="C599" s="8" t="s">
        <v>176</v>
      </c>
      <c r="D599" s="8" t="n">
        <v>132</v>
      </c>
      <c r="E599" s="7" t="s">
        <v>379</v>
      </c>
      <c r="F599" s="8" t="n">
        <v>7.1</v>
      </c>
      <c r="G599" s="8" t="n">
        <v>8</v>
      </c>
      <c r="H599" s="9" t="n">
        <v>10389</v>
      </c>
      <c r="I599" s="7" t="s">
        <v>2107</v>
      </c>
      <c r="J599" s="7" t="s">
        <v>131</v>
      </c>
      <c r="K599" s="7" t="s">
        <v>125</v>
      </c>
      <c r="L599" s="10"/>
      <c r="M599" s="10" t="s">
        <v>2633</v>
      </c>
      <c r="N599" s="8" t="n">
        <v>0</v>
      </c>
      <c r="O599" s="8" t="n">
        <v>0</v>
      </c>
      <c r="P599" s="8" t="n">
        <v>0</v>
      </c>
      <c r="Q599" s="8" t="n">
        <v>0</v>
      </c>
      <c r="R599" s="13" t="n">
        <v>0</v>
      </c>
      <c r="S599" s="13" t="n">
        <v>0</v>
      </c>
      <c r="T599" s="13"/>
      <c r="U599" s="11" t="n">
        <f aca="false">O599*4 + P599*2 + MAX(0,N599-O599-P599)*1 + Q599*0.2 + R599*2 + S599*1 + IF(T599="",0,IF(T599&lt;=10,8,IF(T599&lt;=50,6,IF(T599&lt;=100,4,2))))</f>
        <v>0</v>
      </c>
      <c r="V599" s="7"/>
      <c r="W599" s="12"/>
      <c r="X599" s="13"/>
      <c r="Y599" s="13" t="s">
        <v>2634</v>
      </c>
    </row>
    <row r="600" customFormat="false" ht="15.75" hidden="false" customHeight="true" outlineLevel="0" collapsed="false">
      <c r="A600" s="7" t="s">
        <v>2635</v>
      </c>
      <c r="B600" s="8" t="n">
        <v>2016</v>
      </c>
      <c r="C600" s="8" t="s">
        <v>176</v>
      </c>
      <c r="D600" s="8" t="n">
        <v>108</v>
      </c>
      <c r="E600" s="7" t="s">
        <v>2636</v>
      </c>
      <c r="F600" s="8" t="n">
        <v>8</v>
      </c>
      <c r="G600" s="8" t="n">
        <v>6</v>
      </c>
      <c r="H600" s="9" t="n">
        <v>646577</v>
      </c>
      <c r="I600" s="7" t="s">
        <v>46</v>
      </c>
      <c r="J600" s="7" t="s">
        <v>579</v>
      </c>
      <c r="K600" s="7" t="s">
        <v>112</v>
      </c>
      <c r="L600" s="10" t="s">
        <v>177</v>
      </c>
      <c r="M600" s="7" t="s">
        <v>2637</v>
      </c>
      <c r="N600" s="8" t="n">
        <v>1</v>
      </c>
      <c r="O600" s="8" t="n">
        <v>0</v>
      </c>
      <c r="P600" s="8" t="n">
        <v>0</v>
      </c>
      <c r="Q600" s="8" t="n">
        <v>1</v>
      </c>
      <c r="R600" s="8" t="n">
        <v>0</v>
      </c>
      <c r="S600" s="8" t="n">
        <v>0</v>
      </c>
      <c r="T600" s="13"/>
      <c r="U600" s="11" t="n">
        <f aca="false">O600*4 + P600*2 + MAX(0,N600-O600-P600)*1 + Q600*0.2 + R600*2 + S600*1 + IF(T600="",0,IF(T600&lt;=10,8,IF(T600&lt;=50,6,IF(T600&lt;=100,4,2))))</f>
        <v>1.2</v>
      </c>
      <c r="V600" s="7"/>
      <c r="W600" s="12"/>
      <c r="X600" s="13"/>
      <c r="Y600" s="13" t="s">
        <v>2638</v>
      </c>
    </row>
    <row r="601" customFormat="false" ht="15.75" hidden="false" customHeight="true" outlineLevel="0" collapsed="false">
      <c r="A601" s="7" t="s">
        <v>2639</v>
      </c>
      <c r="B601" s="8" t="n">
        <v>2016</v>
      </c>
      <c r="C601" s="8" t="s">
        <v>176</v>
      </c>
      <c r="D601" s="8" t="n">
        <v>137</v>
      </c>
      <c r="E601" s="7" t="s">
        <v>2640</v>
      </c>
      <c r="F601" s="8" t="n">
        <v>7.8</v>
      </c>
      <c r="G601" s="8" t="n">
        <v>8</v>
      </c>
      <c r="H601" s="9" t="n">
        <v>361365</v>
      </c>
      <c r="I601" s="7" t="s">
        <v>46</v>
      </c>
      <c r="J601" s="7" t="s">
        <v>47</v>
      </c>
      <c r="K601" s="7"/>
      <c r="L601" s="10"/>
      <c r="M601" s="7" t="s">
        <v>2641</v>
      </c>
      <c r="N601" s="8" t="n">
        <v>2</v>
      </c>
      <c r="O601" s="8" t="n">
        <v>0</v>
      </c>
      <c r="P601" s="8" t="n">
        <v>0</v>
      </c>
      <c r="Q601" s="8" t="n">
        <v>6</v>
      </c>
      <c r="R601" s="8" t="n">
        <v>0</v>
      </c>
      <c r="S601" s="8" t="n">
        <v>0</v>
      </c>
      <c r="T601" s="13"/>
      <c r="U601" s="11" t="n">
        <f aca="false">O601*4 + P601*2 + MAX(0,N601-O601-P601)*1 + Q601*0.2 + R601*2 + S601*1 + IF(T601="",0,IF(T601&lt;=10,8,IF(T601&lt;=50,6,IF(T601&lt;=100,4,2))))</f>
        <v>3.2</v>
      </c>
      <c r="V601" s="7"/>
      <c r="W601" s="12"/>
      <c r="X601" s="13"/>
      <c r="Y601" s="13" t="s">
        <v>2642</v>
      </c>
    </row>
    <row r="602" customFormat="false" ht="15.75" hidden="false" customHeight="true" outlineLevel="0" collapsed="false">
      <c r="A602" s="7" t="s">
        <v>2643</v>
      </c>
      <c r="B602" s="8" t="n">
        <v>2021</v>
      </c>
      <c r="C602" s="8" t="s">
        <v>378</v>
      </c>
      <c r="D602" s="8" t="n">
        <v>148</v>
      </c>
      <c r="E602" s="7" t="s">
        <v>2644</v>
      </c>
      <c r="F602" s="8" t="n">
        <v>8.1</v>
      </c>
      <c r="G602" s="8" t="n">
        <v>9</v>
      </c>
      <c r="H602" s="9" t="n">
        <v>1059053</v>
      </c>
      <c r="I602" s="7" t="s">
        <v>46</v>
      </c>
      <c r="J602" s="7" t="s">
        <v>38</v>
      </c>
      <c r="K602" s="7" t="s">
        <v>112</v>
      </c>
      <c r="L602" s="10" t="s">
        <v>40</v>
      </c>
      <c r="M602" s="7" t="s">
        <v>2645</v>
      </c>
      <c r="N602" s="8" t="n">
        <v>0</v>
      </c>
      <c r="O602" s="8" t="n">
        <v>0</v>
      </c>
      <c r="P602" s="8" t="n">
        <v>0</v>
      </c>
      <c r="Q602" s="8" t="n">
        <v>1</v>
      </c>
      <c r="R602" s="8" t="n">
        <v>0</v>
      </c>
      <c r="S602" s="8" t="n">
        <v>0</v>
      </c>
      <c r="T602" s="8"/>
      <c r="U602" s="11" t="n">
        <f aca="false">O602*4 + P602*2 + MAX(0,N602-O602-P602)*1 + Q602*0.2 + R602*2 + S602*1 + IF(T602="",0,IF(T602&lt;=10,8,IF(T602&lt;=50,6,IF(T602&lt;=100,4,2))))</f>
        <v>0.2</v>
      </c>
      <c r="V602" s="7"/>
      <c r="W602" s="12"/>
      <c r="X602" s="13"/>
      <c r="Y602" s="13" t="s">
        <v>2646</v>
      </c>
    </row>
    <row r="603" customFormat="false" ht="15.75" hidden="false" customHeight="true" outlineLevel="0" collapsed="false">
      <c r="A603" s="7" t="s">
        <v>2647</v>
      </c>
      <c r="B603" s="8" t="n">
        <v>2018</v>
      </c>
      <c r="C603" s="8" t="s">
        <v>176</v>
      </c>
      <c r="D603" s="8" t="n">
        <v>117</v>
      </c>
      <c r="E603" s="7" t="s">
        <v>2648</v>
      </c>
      <c r="F603" s="8" t="n">
        <v>8.4</v>
      </c>
      <c r="G603" s="8"/>
      <c r="H603" s="9" t="n">
        <v>808607</v>
      </c>
      <c r="I603" s="7" t="s">
        <v>46</v>
      </c>
      <c r="J603" s="7" t="s">
        <v>579</v>
      </c>
      <c r="K603" s="7" t="s">
        <v>112</v>
      </c>
      <c r="L603" s="10" t="s">
        <v>40</v>
      </c>
      <c r="M603" s="7" t="s">
        <v>2649</v>
      </c>
      <c r="N603" s="8" t="n">
        <v>1</v>
      </c>
      <c r="O603" s="8" t="n">
        <v>0</v>
      </c>
      <c r="P603" s="8" t="n">
        <v>0</v>
      </c>
      <c r="Q603" s="8" t="n">
        <v>1</v>
      </c>
      <c r="R603" s="8" t="n">
        <v>0</v>
      </c>
      <c r="S603" s="8" t="n">
        <v>0</v>
      </c>
      <c r="T603" s="13"/>
      <c r="U603" s="11" t="n">
        <f aca="false">O603*4 + P603*2 + MAX(0,N603-O603-P603)*1 + Q603*0.2 + R603*2 + S603*1 + IF(T603="",0,IF(T603&lt;=10,8,IF(T603&lt;=50,6,IF(T603&lt;=100,4,2))))</f>
        <v>1.2</v>
      </c>
      <c r="V603" s="7"/>
      <c r="W603" s="12"/>
      <c r="X603" s="13"/>
      <c r="Y603" s="13" t="s">
        <v>2650</v>
      </c>
    </row>
    <row r="604" customFormat="false" ht="15.75" hidden="false" customHeight="true" outlineLevel="0" collapsed="false">
      <c r="A604" s="7" t="s">
        <v>2651</v>
      </c>
      <c r="B604" s="8" t="n">
        <v>2015</v>
      </c>
      <c r="C604" s="8" t="s">
        <v>176</v>
      </c>
      <c r="D604" s="8" t="n">
        <v>108</v>
      </c>
      <c r="E604" s="7" t="s">
        <v>2652</v>
      </c>
      <c r="F604" s="8" t="n">
        <v>7.3</v>
      </c>
      <c r="G604" s="8" t="n">
        <v>8</v>
      </c>
      <c r="H604" s="9" t="n">
        <v>14811</v>
      </c>
      <c r="I604" s="7" t="s">
        <v>2653</v>
      </c>
      <c r="J604" s="7" t="s">
        <v>30</v>
      </c>
      <c r="K604" s="7" t="s">
        <v>47</v>
      </c>
      <c r="L604" s="10" t="s">
        <v>2654</v>
      </c>
      <c r="M604" s="10" t="s">
        <v>2655</v>
      </c>
      <c r="N604" s="8" t="n">
        <v>0</v>
      </c>
      <c r="O604" s="8" t="n">
        <v>0</v>
      </c>
      <c r="P604" s="8" t="n">
        <v>0</v>
      </c>
      <c r="Q604" s="8" t="n">
        <v>0</v>
      </c>
      <c r="R604" s="13" t="n">
        <v>0</v>
      </c>
      <c r="S604" s="13" t="n">
        <v>0</v>
      </c>
      <c r="T604" s="13"/>
      <c r="U604" s="11" t="n">
        <f aca="false">O604*4 + P604*2 + MAX(0,N604-O604-P604)*1 + Q604*0.2 + R604*2 + S604*1 + IF(T604="",0,IF(T604&lt;=10,8,IF(T604&lt;=50,6,IF(T604&lt;=100,4,2))))</f>
        <v>0</v>
      </c>
      <c r="V604" s="7"/>
      <c r="W604" s="12"/>
      <c r="X604" s="13"/>
      <c r="Y604" s="13" t="s">
        <v>2656</v>
      </c>
    </row>
    <row r="605" customFormat="false" ht="15.75" hidden="false" customHeight="true" outlineLevel="0" collapsed="false">
      <c r="A605" s="7" t="s">
        <v>2657</v>
      </c>
      <c r="B605" s="8" t="n">
        <v>2014</v>
      </c>
      <c r="C605" s="8" t="s">
        <v>176</v>
      </c>
      <c r="D605" s="8"/>
      <c r="E605" s="7" t="s">
        <v>2658</v>
      </c>
      <c r="F605" s="8" t="n">
        <v>6.5</v>
      </c>
      <c r="G605" s="8" t="n">
        <v>8</v>
      </c>
      <c r="H605" s="9" t="n">
        <v>41</v>
      </c>
      <c r="I605" s="7"/>
      <c r="J605" s="7"/>
      <c r="K605" s="12"/>
      <c r="L605" s="10"/>
      <c r="M605" s="10" t="s">
        <v>2659</v>
      </c>
      <c r="N605" s="8" t="n">
        <v>0</v>
      </c>
      <c r="O605" s="8" t="n">
        <v>0</v>
      </c>
      <c r="P605" s="8" t="n">
        <v>0</v>
      </c>
      <c r="Q605" s="8" t="n">
        <v>0</v>
      </c>
      <c r="R605" s="13" t="n">
        <v>0</v>
      </c>
      <c r="S605" s="13" t="n">
        <v>0</v>
      </c>
      <c r="T605" s="13"/>
      <c r="U605" s="11" t="n">
        <f aca="false">O605*4 + P605*2 + MAX(0,N605-O605-P605)*1 + Q605*0.2 + R605*2 + S605*1 + IF(T605="",0,IF(T605&lt;=10,8,IF(T605&lt;=50,6,IF(T605&lt;=100,4,2))))</f>
        <v>0</v>
      </c>
      <c r="V605" s="7"/>
      <c r="W605" s="12"/>
      <c r="X605" s="13"/>
      <c r="Y605" s="13" t="s">
        <v>2660</v>
      </c>
    </row>
    <row r="606" customFormat="false" ht="15.75" hidden="false" customHeight="true" outlineLevel="0" collapsed="false">
      <c r="A606" s="7" t="s">
        <v>2661</v>
      </c>
      <c r="B606" s="8" t="n">
        <v>2021</v>
      </c>
      <c r="C606" s="8" t="s">
        <v>378</v>
      </c>
      <c r="D606" s="8" t="n">
        <v>116</v>
      </c>
      <c r="E606" s="7" t="s">
        <v>493</v>
      </c>
      <c r="F606" s="8" t="n">
        <v>7.1</v>
      </c>
      <c r="G606" s="8"/>
      <c r="H606" s="9" t="n">
        <v>16805</v>
      </c>
      <c r="I606" s="7" t="s">
        <v>232</v>
      </c>
      <c r="J606" s="7" t="s">
        <v>30</v>
      </c>
      <c r="K606" s="7" t="s">
        <v>47</v>
      </c>
      <c r="L606" s="10" t="s">
        <v>380</v>
      </c>
      <c r="M606" s="10" t="s">
        <v>2662</v>
      </c>
      <c r="N606" s="8" t="n">
        <v>0</v>
      </c>
      <c r="O606" s="8" t="n">
        <v>0</v>
      </c>
      <c r="P606" s="8" t="n">
        <v>0</v>
      </c>
      <c r="Q606" s="8" t="n">
        <v>0</v>
      </c>
      <c r="R606" s="13" t="n">
        <v>0</v>
      </c>
      <c r="S606" s="13" t="n">
        <v>0</v>
      </c>
      <c r="T606" s="13"/>
      <c r="U606" s="11" t="n">
        <f aca="false">O606*4 + P606*2 + MAX(0,N606-O606-P606)*1 + Q606*0.2 + R606*2 + S606*1 + IF(T606="",0,IF(T606&lt;=10,8,IF(T606&lt;=50,6,IF(T606&lt;=100,4,2))))</f>
        <v>0</v>
      </c>
      <c r="V606" s="7"/>
      <c r="W606" s="12"/>
      <c r="X606" s="13"/>
      <c r="Y606" s="13" t="s">
        <v>2663</v>
      </c>
    </row>
    <row r="607" customFormat="false" ht="15.75" hidden="false" customHeight="true" outlineLevel="0" collapsed="false">
      <c r="A607" s="7" t="s">
        <v>2664</v>
      </c>
      <c r="B607" s="8" t="n">
        <v>2022</v>
      </c>
      <c r="C607" s="8" t="s">
        <v>378</v>
      </c>
      <c r="D607" s="8" t="n">
        <v>130</v>
      </c>
      <c r="E607" s="7" t="s">
        <v>2665</v>
      </c>
      <c r="F607" s="8" t="n">
        <v>8.2</v>
      </c>
      <c r="G607" s="8" t="n">
        <v>7</v>
      </c>
      <c r="H607" s="9" t="n">
        <v>899199</v>
      </c>
      <c r="I607" s="7" t="s">
        <v>46</v>
      </c>
      <c r="J607" s="7" t="s">
        <v>112</v>
      </c>
      <c r="K607" s="7" t="s">
        <v>47</v>
      </c>
      <c r="L607" s="10" t="s">
        <v>2666</v>
      </c>
      <c r="M607" s="7" t="s">
        <v>2667</v>
      </c>
      <c r="N607" s="8" t="n">
        <v>1</v>
      </c>
      <c r="O607" s="8" t="n">
        <v>0</v>
      </c>
      <c r="P607" s="8" t="n">
        <v>0</v>
      </c>
      <c r="Q607" s="8" t="n">
        <v>6</v>
      </c>
      <c r="R607" s="8" t="n">
        <v>0</v>
      </c>
      <c r="S607" s="8" t="n">
        <v>0</v>
      </c>
      <c r="T607" s="8"/>
      <c r="U607" s="11" t="n">
        <f aca="false">O607*4 + P607*2 + MAX(0,N607-O607-P607)*1 + Q607*0.2 + R607*2 + S607*1 + IF(T607="",0,IF(T607&lt;=10,8,IF(T607&lt;=50,6,IF(T607&lt;=100,4,2))))</f>
        <v>2.2</v>
      </c>
      <c r="V607" s="7"/>
      <c r="W607" s="12"/>
      <c r="X607" s="13"/>
      <c r="Y607" s="13" t="s">
        <v>2668</v>
      </c>
    </row>
    <row r="608" customFormat="false" ht="15.75" hidden="false" customHeight="true" outlineLevel="0" collapsed="false">
      <c r="A608" s="7" t="s">
        <v>2669</v>
      </c>
      <c r="B608" s="8" t="n">
        <v>2018</v>
      </c>
      <c r="C608" s="8" t="s">
        <v>176</v>
      </c>
      <c r="D608" s="8" t="n">
        <v>119</v>
      </c>
      <c r="E608" s="7" t="s">
        <v>1205</v>
      </c>
      <c r="F608" s="8" t="n">
        <v>7.5</v>
      </c>
      <c r="G608" s="8"/>
      <c r="H608" s="9" t="n">
        <v>260546</v>
      </c>
      <c r="I608" s="7" t="s">
        <v>1364</v>
      </c>
      <c r="J608" s="7" t="s">
        <v>30</v>
      </c>
      <c r="K608" s="7" t="s">
        <v>48</v>
      </c>
      <c r="L608" s="10" t="s">
        <v>177</v>
      </c>
      <c r="M608" s="7" t="s">
        <v>2670</v>
      </c>
      <c r="N608" s="8" t="n">
        <v>1</v>
      </c>
      <c r="O608" s="8" t="n">
        <v>0</v>
      </c>
      <c r="P608" s="8" t="n">
        <v>0</v>
      </c>
      <c r="Q608" s="8" t="n">
        <v>10</v>
      </c>
      <c r="R608" s="8" t="n">
        <v>0</v>
      </c>
      <c r="S608" s="8" t="n">
        <v>0</v>
      </c>
      <c r="T608" s="13"/>
      <c r="U608" s="11" t="n">
        <f aca="false">O608*4 + P608*2 + MAX(0,N608-O608-P608)*1 + Q608*0.2 + R608*2 + S608*1 + IF(T608="",0,IF(T608&lt;=10,8,IF(T608&lt;=50,6,IF(T608&lt;=100,4,2))))</f>
        <v>3</v>
      </c>
      <c r="V608" s="7"/>
      <c r="W608" s="12"/>
      <c r="X608" s="13"/>
      <c r="Y608" s="13" t="s">
        <v>2671</v>
      </c>
    </row>
    <row r="609" customFormat="false" ht="15.75" hidden="false" customHeight="true" outlineLevel="0" collapsed="false">
      <c r="A609" s="7" t="s">
        <v>2672</v>
      </c>
      <c r="B609" s="8" t="n">
        <v>2019</v>
      </c>
      <c r="C609" s="8" t="s">
        <v>176</v>
      </c>
      <c r="D609" s="8" t="n">
        <v>100</v>
      </c>
      <c r="E609" s="7" t="s">
        <v>2673</v>
      </c>
      <c r="F609" s="8" t="n">
        <v>7.6</v>
      </c>
      <c r="G609" s="8" t="n">
        <v>7</v>
      </c>
      <c r="H609" s="9" t="n">
        <v>326997</v>
      </c>
      <c r="I609" s="7" t="s">
        <v>46</v>
      </c>
      <c r="J609" s="7" t="s">
        <v>579</v>
      </c>
      <c r="K609" s="7" t="s">
        <v>39</v>
      </c>
      <c r="L609" s="10" t="s">
        <v>177</v>
      </c>
      <c r="M609" s="7" t="s">
        <v>2674</v>
      </c>
      <c r="N609" s="8" t="n">
        <v>1</v>
      </c>
      <c r="O609" s="8" t="n">
        <v>0</v>
      </c>
      <c r="P609" s="8" t="n">
        <v>0</v>
      </c>
      <c r="Q609" s="8" t="n">
        <v>2</v>
      </c>
      <c r="R609" s="8" t="n">
        <v>0</v>
      </c>
      <c r="S609" s="8" t="n">
        <v>0</v>
      </c>
      <c r="T609" s="13"/>
      <c r="U609" s="11" t="n">
        <f aca="false">O609*4 + P609*2 + MAX(0,N609-O609-P609)*1 + Q609*0.2 + R609*2 + S609*1 + IF(T609="",0,IF(T609&lt;=10,8,IF(T609&lt;=50,6,IF(T609&lt;=100,4,2))))</f>
        <v>1.4</v>
      </c>
      <c r="V609" s="7"/>
      <c r="W609" s="12"/>
      <c r="X609" s="13"/>
      <c r="Y609" s="13" t="s">
        <v>2675</v>
      </c>
    </row>
    <row r="610" customFormat="false" ht="15.75" hidden="false" customHeight="true" outlineLevel="0" collapsed="false">
      <c r="A610" s="7" t="s">
        <v>2676</v>
      </c>
      <c r="B610" s="8" t="n">
        <v>2016</v>
      </c>
      <c r="C610" s="8" t="s">
        <v>176</v>
      </c>
      <c r="D610" s="8" t="n">
        <v>106</v>
      </c>
      <c r="E610" s="7" t="s">
        <v>2677</v>
      </c>
      <c r="F610" s="8" t="n">
        <v>8.4</v>
      </c>
      <c r="G610" s="8"/>
      <c r="H610" s="9" t="n">
        <v>401333</v>
      </c>
      <c r="I610" s="7" t="s">
        <v>124</v>
      </c>
      <c r="J610" s="7" t="s">
        <v>579</v>
      </c>
      <c r="K610" s="7" t="s">
        <v>38</v>
      </c>
      <c r="L610" s="10" t="s">
        <v>113</v>
      </c>
      <c r="M610" s="7" t="s">
        <v>2678</v>
      </c>
      <c r="N610" s="8" t="n">
        <v>0</v>
      </c>
      <c r="O610" s="8" t="n">
        <v>0</v>
      </c>
      <c r="P610" s="8" t="n">
        <v>0</v>
      </c>
      <c r="Q610" s="8" t="n">
        <v>0</v>
      </c>
      <c r="R610" s="13" t="n">
        <v>0</v>
      </c>
      <c r="S610" s="13" t="n">
        <v>0</v>
      </c>
      <c r="T610" s="13"/>
      <c r="U610" s="11" t="n">
        <f aca="false">O610*4 + P610*2 + MAX(0,N610-O610-P610)*1 + Q610*0.2 + R610*2 + S610*1 + IF(T610="",0,IF(T610&lt;=10,8,IF(T610&lt;=50,6,IF(T610&lt;=100,4,2))))</f>
        <v>0</v>
      </c>
      <c r="V610" s="7"/>
      <c r="W610" s="12"/>
      <c r="X610" s="13"/>
      <c r="Y610" s="13" t="s">
        <v>2679</v>
      </c>
    </row>
    <row r="611" customFormat="false" ht="15.75" hidden="false" customHeight="true" outlineLevel="0" collapsed="false">
      <c r="A611" s="7" t="s">
        <v>2680</v>
      </c>
      <c r="B611" s="8" t="n">
        <v>2010</v>
      </c>
      <c r="C611" s="8" t="s">
        <v>176</v>
      </c>
      <c r="D611" s="8" t="n">
        <v>103</v>
      </c>
      <c r="E611" s="7" t="s">
        <v>752</v>
      </c>
      <c r="F611" s="8" t="n">
        <v>7.4</v>
      </c>
      <c r="G611" s="8"/>
      <c r="H611" s="9" t="n">
        <v>15582</v>
      </c>
      <c r="I611" s="7" t="s">
        <v>2681</v>
      </c>
      <c r="J611" s="7" t="s">
        <v>47</v>
      </c>
      <c r="K611" s="7" t="s">
        <v>453</v>
      </c>
      <c r="L611" s="10" t="s">
        <v>2682</v>
      </c>
      <c r="M611" s="10" t="s">
        <v>2683</v>
      </c>
      <c r="N611" s="8" t="n">
        <v>0</v>
      </c>
      <c r="O611" s="8" t="n">
        <v>0</v>
      </c>
      <c r="P611" s="8" t="n">
        <v>0</v>
      </c>
      <c r="Q611" s="8" t="n">
        <v>0</v>
      </c>
      <c r="R611" s="13" t="n">
        <v>0</v>
      </c>
      <c r="S611" s="13" t="n">
        <v>0</v>
      </c>
      <c r="T611" s="13"/>
      <c r="U611" s="11" t="n">
        <f aca="false">O611*4 + P611*2 + MAX(0,N611-O611-P611)*1 + Q611*0.2 + R611*2 + S611*1 + IF(T611="",0,IF(T611&lt;=10,8,IF(T611&lt;=50,6,IF(T611&lt;=100,4,2))))</f>
        <v>0</v>
      </c>
      <c r="V611" s="7"/>
      <c r="W611" s="12"/>
      <c r="X611" s="13"/>
      <c r="Y611" s="13" t="s">
        <v>2684</v>
      </c>
    </row>
    <row r="612" customFormat="false" ht="15.75" hidden="false" customHeight="true" outlineLevel="0" collapsed="false">
      <c r="A612" s="7" t="s">
        <v>2685</v>
      </c>
      <c r="B612" s="8" t="n">
        <v>2013</v>
      </c>
      <c r="C612" s="8" t="s">
        <v>176</v>
      </c>
      <c r="D612" s="8" t="n">
        <v>109</v>
      </c>
      <c r="E612" s="7" t="s">
        <v>675</v>
      </c>
      <c r="F612" s="8" t="n">
        <v>7.9</v>
      </c>
      <c r="G612" s="8"/>
      <c r="H612" s="9" t="n">
        <v>187650</v>
      </c>
      <c r="I612" s="7" t="s">
        <v>2686</v>
      </c>
      <c r="J612" s="7" t="s">
        <v>29</v>
      </c>
      <c r="K612" s="7" t="s">
        <v>47</v>
      </c>
      <c r="L612" s="10" t="s">
        <v>885</v>
      </c>
      <c r="M612" s="10" t="s">
        <v>2687</v>
      </c>
      <c r="N612" s="8" t="n">
        <v>0</v>
      </c>
      <c r="O612" s="8" t="n">
        <v>0</v>
      </c>
      <c r="P612" s="8" t="n">
        <v>0</v>
      </c>
      <c r="Q612" s="8" t="n">
        <v>1</v>
      </c>
      <c r="R612" s="8" t="n">
        <v>0</v>
      </c>
      <c r="S612" s="8" t="n">
        <v>0</v>
      </c>
      <c r="T612" s="13"/>
      <c r="U612" s="11" t="n">
        <f aca="false">O612*4 + P612*2 + MAX(0,N612-O612-P612)*1 + Q612*0.2 + R612*2 + S612*1 + IF(T612="",0,IF(T612&lt;=10,8,IF(T612&lt;=50,6,IF(T612&lt;=100,4,2))))</f>
        <v>0.2</v>
      </c>
      <c r="V612" s="7"/>
      <c r="W612" s="12"/>
      <c r="X612" s="13"/>
      <c r="Y612" s="13" t="s">
        <v>2688</v>
      </c>
    </row>
    <row r="613" customFormat="false" ht="15.75" hidden="false" customHeight="true" outlineLevel="0" collapsed="false">
      <c r="A613" s="7" t="s">
        <v>2689</v>
      </c>
      <c r="B613" s="8" t="n">
        <v>2001</v>
      </c>
      <c r="C613" s="8" t="s">
        <v>35</v>
      </c>
      <c r="D613" s="8" t="n">
        <v>120</v>
      </c>
      <c r="E613" s="7" t="s">
        <v>2389</v>
      </c>
      <c r="F613" s="8" t="n">
        <v>7.7</v>
      </c>
      <c r="G613" s="8" t="n">
        <v>7</v>
      </c>
      <c r="H613" s="9" t="n">
        <v>99094</v>
      </c>
      <c r="I613" s="7" t="s">
        <v>258</v>
      </c>
      <c r="J613" s="7" t="s">
        <v>131</v>
      </c>
      <c r="K613" s="7" t="s">
        <v>47</v>
      </c>
      <c r="L613" s="10"/>
      <c r="M613" s="7" t="s">
        <v>2690</v>
      </c>
      <c r="N613" s="8" t="n">
        <v>0</v>
      </c>
      <c r="O613" s="8" t="n">
        <v>0</v>
      </c>
      <c r="P613" s="8" t="n">
        <v>0</v>
      </c>
      <c r="Q613" s="8" t="n">
        <v>0</v>
      </c>
      <c r="R613" s="8" t="n">
        <v>0</v>
      </c>
      <c r="S613" s="13" t="n">
        <v>0</v>
      </c>
      <c r="T613" s="8"/>
      <c r="U613" s="11" t="n">
        <f aca="false">O613*4 + P613*2 + MAX(0,N613-O613-P613)*1 + Q613*0.2 + R613*2 + S613*1 + IF(T613="",0,IF(T613&lt;=10,8,IF(T613&lt;=50,6,IF(T613&lt;=100,4,2))))</f>
        <v>0</v>
      </c>
      <c r="V613" s="10" t="s">
        <v>2691</v>
      </c>
      <c r="W613" s="12"/>
      <c r="X613" s="8" t="n">
        <v>143</v>
      </c>
      <c r="Y613" s="8" t="s">
        <v>2692</v>
      </c>
    </row>
    <row r="614" customFormat="false" ht="15.75" hidden="false" customHeight="true" outlineLevel="0" collapsed="false">
      <c r="A614" s="7" t="s">
        <v>2693</v>
      </c>
      <c r="B614" s="8" t="n">
        <v>2018</v>
      </c>
      <c r="C614" s="8" t="s">
        <v>176</v>
      </c>
      <c r="D614" s="8" t="n">
        <v>135</v>
      </c>
      <c r="E614" s="7" t="s">
        <v>2324</v>
      </c>
      <c r="F614" s="8" t="n">
        <v>7.6</v>
      </c>
      <c r="G614" s="8"/>
      <c r="H614" s="9" t="n">
        <v>179366</v>
      </c>
      <c r="I614" s="7" t="s">
        <v>359</v>
      </c>
      <c r="J614" s="7" t="s">
        <v>47</v>
      </c>
      <c r="K614" s="7"/>
      <c r="L614" s="10" t="s">
        <v>238</v>
      </c>
      <c r="M614" s="10" t="s">
        <v>2694</v>
      </c>
      <c r="N614" s="8" t="n">
        <v>3</v>
      </c>
      <c r="O614" s="8" t="n">
        <v>0</v>
      </c>
      <c r="P614" s="8" t="n">
        <v>1</v>
      </c>
      <c r="Q614" s="8" t="n">
        <v>10</v>
      </c>
      <c r="R614" s="8" t="n">
        <v>1</v>
      </c>
      <c r="S614" s="8" t="n">
        <v>0</v>
      </c>
      <c r="T614" s="13"/>
      <c r="U614" s="11" t="n">
        <f aca="false">O614*4 + P614*2 + MAX(0,N614-O614-P614)*1 + Q614*0.2 + R614*2 + S614*1 + IF(T614="",0,IF(T614&lt;=10,8,IF(T614&lt;=50,6,IF(T614&lt;=100,4,2))))</f>
        <v>8</v>
      </c>
      <c r="V614" s="7"/>
      <c r="W614" s="12"/>
      <c r="X614" s="13"/>
      <c r="Y614" s="13" t="s">
        <v>2695</v>
      </c>
    </row>
    <row r="615" customFormat="false" ht="15.75" hidden="false" customHeight="true" outlineLevel="0" collapsed="false">
      <c r="A615" s="7" t="s">
        <v>2696</v>
      </c>
      <c r="B615" s="8" t="n">
        <v>2012</v>
      </c>
      <c r="C615" s="8" t="s">
        <v>176</v>
      </c>
      <c r="D615" s="8" t="n">
        <v>105</v>
      </c>
      <c r="E615" s="7" t="s">
        <v>2697</v>
      </c>
      <c r="F615" s="8" t="n">
        <v>7.3</v>
      </c>
      <c r="G615" s="8"/>
      <c r="H615" s="9" t="n">
        <v>36133</v>
      </c>
      <c r="I615" s="7" t="s">
        <v>219</v>
      </c>
      <c r="J615" s="7" t="s">
        <v>131</v>
      </c>
      <c r="K615" s="7" t="s">
        <v>125</v>
      </c>
      <c r="L615" s="10"/>
      <c r="M615" s="10" t="s">
        <v>2698</v>
      </c>
      <c r="N615" s="8" t="n">
        <v>0</v>
      </c>
      <c r="O615" s="8" t="n">
        <v>0</v>
      </c>
      <c r="P615" s="8" t="n">
        <v>0</v>
      </c>
      <c r="Q615" s="8" t="n">
        <v>0</v>
      </c>
      <c r="R615" s="13" t="n">
        <v>0</v>
      </c>
      <c r="S615" s="13" t="n">
        <v>0</v>
      </c>
      <c r="T615" s="13"/>
      <c r="U615" s="11" t="n">
        <f aca="false">O615*4 + P615*2 + MAX(0,N615-O615-P615)*1 + Q615*0.2 + R615*2 + S615*1 + IF(T615="",0,IF(T615&lt;=10,8,IF(T615&lt;=50,6,IF(T615&lt;=100,4,2))))</f>
        <v>0</v>
      </c>
      <c r="V615" s="7"/>
      <c r="W615" s="12"/>
      <c r="X615" s="13"/>
      <c r="Y615" s="13" t="s">
        <v>2699</v>
      </c>
    </row>
    <row r="616" customFormat="false" ht="15.75" hidden="false" customHeight="true" outlineLevel="0" collapsed="false">
      <c r="A616" s="7" t="s">
        <v>2700</v>
      </c>
      <c r="B616" s="8" t="n">
        <v>2014</v>
      </c>
      <c r="C616" s="8" t="s">
        <v>176</v>
      </c>
      <c r="D616" s="8" t="n">
        <v>127</v>
      </c>
      <c r="E616" s="7" t="s">
        <v>2701</v>
      </c>
      <c r="F616" s="8" t="n">
        <v>7.2</v>
      </c>
      <c r="G616" s="8"/>
      <c r="H616" s="9" t="n">
        <v>7961</v>
      </c>
      <c r="I616" s="7" t="s">
        <v>232</v>
      </c>
      <c r="J616" s="7" t="s">
        <v>131</v>
      </c>
      <c r="K616" s="7" t="s">
        <v>47</v>
      </c>
      <c r="L616" s="10" t="s">
        <v>1280</v>
      </c>
      <c r="M616" s="10" t="s">
        <v>2702</v>
      </c>
      <c r="N616" s="8" t="n">
        <v>0</v>
      </c>
      <c r="O616" s="8" t="n">
        <v>0</v>
      </c>
      <c r="P616" s="8" t="n">
        <v>0</v>
      </c>
      <c r="Q616" s="8" t="n">
        <v>0</v>
      </c>
      <c r="R616" s="13" t="n">
        <v>0</v>
      </c>
      <c r="S616" s="13" t="n">
        <v>0</v>
      </c>
      <c r="T616" s="13"/>
      <c r="U616" s="11" t="n">
        <f aca="false">O616*4 + P616*2 + MAX(0,N616-O616-P616)*1 + Q616*0.2 + R616*2 + S616*1 + IF(T616="",0,IF(T616&lt;=10,8,IF(T616&lt;=50,6,IF(T616&lt;=100,4,2))))</f>
        <v>0</v>
      </c>
      <c r="V616" s="7"/>
      <c r="W616" s="12"/>
      <c r="X616" s="13"/>
      <c r="Y616" s="13" t="s">
        <v>2703</v>
      </c>
    </row>
    <row r="617" customFormat="false" ht="15.75" hidden="false" customHeight="true" outlineLevel="0" collapsed="false">
      <c r="A617" s="7" t="s">
        <v>2704</v>
      </c>
      <c r="B617" s="8" t="n">
        <v>2024</v>
      </c>
      <c r="C617" s="8" t="s">
        <v>378</v>
      </c>
      <c r="D617" s="8" t="n">
        <v>120</v>
      </c>
      <c r="E617" s="7" t="s">
        <v>1311</v>
      </c>
      <c r="F617" s="8" t="n">
        <v>7.4</v>
      </c>
      <c r="G617" s="8" t="n">
        <v>7</v>
      </c>
      <c r="H617" s="9" t="n">
        <v>285834</v>
      </c>
      <c r="I617" s="7" t="s">
        <v>359</v>
      </c>
      <c r="J617" s="7" t="s">
        <v>131</v>
      </c>
      <c r="K617" s="7" t="s">
        <v>47</v>
      </c>
      <c r="L617" s="10"/>
      <c r="M617" s="7" t="s">
        <v>2705</v>
      </c>
      <c r="N617" s="8" t="n">
        <v>1</v>
      </c>
      <c r="O617" s="8" t="n">
        <v>0</v>
      </c>
      <c r="P617" s="8" t="n">
        <v>0</v>
      </c>
      <c r="Q617" s="8" t="n">
        <v>8</v>
      </c>
      <c r="R617" s="8" t="n">
        <v>0</v>
      </c>
      <c r="S617" s="8" t="n">
        <v>0</v>
      </c>
      <c r="T617" s="13"/>
      <c r="U617" s="11" t="n">
        <f aca="false">O617*4 + P617*2 + MAX(0,N617-O617-P617)*1 + Q617*0.2 + R617*2 + S617*1 + IF(T617="",0,IF(T617&lt;=10,8,IF(T617&lt;=50,6,IF(T617&lt;=100,4,2))))</f>
        <v>2.6</v>
      </c>
      <c r="V617" s="7"/>
      <c r="W617" s="12"/>
      <c r="X617" s="13"/>
      <c r="Y617" s="13" t="s">
        <v>2706</v>
      </c>
    </row>
    <row r="618" customFormat="false" ht="15.75" hidden="false" customHeight="true" outlineLevel="0" collapsed="false">
      <c r="A618" s="7" t="s">
        <v>2707</v>
      </c>
      <c r="B618" s="8" t="n">
        <v>2013</v>
      </c>
      <c r="C618" s="8" t="s">
        <v>176</v>
      </c>
      <c r="D618" s="8" t="n">
        <v>131</v>
      </c>
      <c r="E618" s="7" t="s">
        <v>250</v>
      </c>
      <c r="F618" s="8" t="n">
        <v>7.7</v>
      </c>
      <c r="G618" s="8" t="n">
        <v>7</v>
      </c>
      <c r="H618" s="9" t="n">
        <v>138176</v>
      </c>
      <c r="I618" s="7" t="s">
        <v>28</v>
      </c>
      <c r="J618" s="7" t="s">
        <v>47</v>
      </c>
      <c r="K618" s="7" t="s">
        <v>54</v>
      </c>
      <c r="L618" s="10" t="s">
        <v>113</v>
      </c>
      <c r="M618" s="10" t="s">
        <v>2708</v>
      </c>
      <c r="N618" s="8" t="n">
        <v>0</v>
      </c>
      <c r="O618" s="8" t="n">
        <v>0</v>
      </c>
      <c r="P618" s="8" t="n">
        <v>0</v>
      </c>
      <c r="Q618" s="8" t="n">
        <v>0</v>
      </c>
      <c r="R618" s="13" t="n">
        <v>0</v>
      </c>
      <c r="S618" s="13" t="n">
        <v>0</v>
      </c>
      <c r="T618" s="13"/>
      <c r="U618" s="11" t="n">
        <f aca="false">O618*4 + P618*2 + MAX(0,N618-O618-P618)*1 + Q618*0.2 + R618*2 + S618*1 + IF(T618="",0,IF(T618&lt;=10,8,IF(T618&lt;=50,6,IF(T618&lt;=100,4,2))))</f>
        <v>0</v>
      </c>
      <c r="V618" s="7"/>
      <c r="W618" s="12"/>
      <c r="X618" s="13"/>
      <c r="Y618" s="13" t="s">
        <v>2709</v>
      </c>
    </row>
    <row r="619" customFormat="false" ht="15.75" hidden="false" customHeight="true" outlineLevel="0" collapsed="false">
      <c r="A619" s="7" t="n">
        <v>2046</v>
      </c>
      <c r="B619" s="8" t="n">
        <v>2004</v>
      </c>
      <c r="C619" s="8" t="s">
        <v>35</v>
      </c>
      <c r="D619" s="8" t="n">
        <v>129</v>
      </c>
      <c r="E619" s="7" t="s">
        <v>802</v>
      </c>
      <c r="F619" s="8" t="n">
        <v>7.4</v>
      </c>
      <c r="G619" s="8"/>
      <c r="H619" s="9" t="n">
        <v>64844</v>
      </c>
      <c r="I619" s="7" t="s">
        <v>2710</v>
      </c>
      <c r="J619" s="7" t="s">
        <v>111</v>
      </c>
      <c r="K619" s="7" t="s">
        <v>2711</v>
      </c>
      <c r="L619" s="10" t="s">
        <v>205</v>
      </c>
      <c r="M619" s="7" t="s">
        <v>2712</v>
      </c>
      <c r="N619" s="8" t="n">
        <v>0</v>
      </c>
      <c r="O619" s="8" t="n">
        <v>0</v>
      </c>
      <c r="P619" s="8" t="n">
        <v>0</v>
      </c>
      <c r="Q619" s="8" t="n">
        <v>0</v>
      </c>
      <c r="R619" s="8" t="n">
        <v>0</v>
      </c>
      <c r="S619" s="13" t="n">
        <v>0</v>
      </c>
      <c r="T619" s="8"/>
      <c r="U619" s="11" t="n">
        <f aca="false">O619*4 + P619*2 + MAX(0,N619-O619-P619)*1 + Q619*0.2 + R619*2 + S619*1 + IF(T619="",0,IF(T619&lt;=10,8,IF(T619&lt;=50,6,IF(T619&lt;=100,4,2))))</f>
        <v>0</v>
      </c>
      <c r="V619" s="10" t="s">
        <v>2713</v>
      </c>
      <c r="W619" s="12"/>
      <c r="X619" s="8" t="n">
        <v>37</v>
      </c>
      <c r="Y619" s="8" t="s">
        <v>2714</v>
      </c>
    </row>
    <row r="620" customFormat="false" ht="15.75" hidden="false" customHeight="true" outlineLevel="0" collapsed="false">
      <c r="A620" s="7" t="s">
        <v>2715</v>
      </c>
      <c r="B620" s="8" t="n">
        <v>2006</v>
      </c>
      <c r="C620" s="8" t="s">
        <v>35</v>
      </c>
      <c r="D620" s="8" t="n">
        <v>134</v>
      </c>
      <c r="E620" s="7" t="s">
        <v>2716</v>
      </c>
      <c r="F620" s="8" t="n">
        <v>7.2</v>
      </c>
      <c r="G620" s="8" t="n">
        <v>7</v>
      </c>
      <c r="H620" s="9" t="n">
        <v>3573</v>
      </c>
      <c r="I620" s="7" t="s">
        <v>232</v>
      </c>
      <c r="J620" s="7" t="s">
        <v>47</v>
      </c>
      <c r="K620" s="7" t="s">
        <v>48</v>
      </c>
      <c r="L620" s="10" t="s">
        <v>205</v>
      </c>
      <c r="M620" s="10" t="s">
        <v>2717</v>
      </c>
      <c r="N620" s="8" t="n">
        <v>0</v>
      </c>
      <c r="O620" s="8" t="n">
        <v>0</v>
      </c>
      <c r="P620" s="8" t="n">
        <v>0</v>
      </c>
      <c r="Q620" s="8" t="n">
        <v>0</v>
      </c>
      <c r="R620" s="13" t="n">
        <v>0</v>
      </c>
      <c r="S620" s="13" t="n">
        <v>0</v>
      </c>
      <c r="T620" s="13"/>
      <c r="U620" s="11" t="n">
        <f aca="false">O620*4 + P620*2 + MAX(0,N620-O620-P620)*1 + Q620*0.2 + R620*2 + S620*1 + IF(T620="",0,IF(T620&lt;=10,8,IF(T620&lt;=50,6,IF(T620&lt;=100,4,2))))</f>
        <v>0</v>
      </c>
      <c r="V620" s="7"/>
      <c r="W620" s="12"/>
      <c r="X620" s="13"/>
      <c r="Y620" s="13" t="s">
        <v>2718</v>
      </c>
    </row>
    <row r="621" customFormat="false" ht="15.75" hidden="false" customHeight="true" outlineLevel="0" collapsed="false">
      <c r="A621" s="7" t="s">
        <v>2719</v>
      </c>
      <c r="B621" s="8" t="n">
        <v>2019</v>
      </c>
      <c r="C621" s="8" t="s">
        <v>176</v>
      </c>
      <c r="D621" s="8" t="n">
        <v>147</v>
      </c>
      <c r="E621" s="7" t="s">
        <v>2720</v>
      </c>
      <c r="F621" s="8" t="n">
        <v>7.2</v>
      </c>
      <c r="G621" s="8"/>
      <c r="H621" s="9" t="n">
        <v>7953</v>
      </c>
      <c r="I621" s="7" t="s">
        <v>2721</v>
      </c>
      <c r="J621" s="7" t="s">
        <v>47</v>
      </c>
      <c r="K621" s="7" t="s">
        <v>453</v>
      </c>
      <c r="L621" s="10" t="s">
        <v>238</v>
      </c>
      <c r="M621" s="10" t="s">
        <v>2722</v>
      </c>
      <c r="N621" s="8" t="n">
        <v>0</v>
      </c>
      <c r="O621" s="8" t="n">
        <v>0</v>
      </c>
      <c r="P621" s="8" t="n">
        <v>0</v>
      </c>
      <c r="Q621" s="8" t="n">
        <v>0</v>
      </c>
      <c r="R621" s="13" t="n">
        <v>0</v>
      </c>
      <c r="S621" s="13" t="n">
        <v>0</v>
      </c>
      <c r="T621" s="13"/>
      <c r="U621" s="11" t="n">
        <f aca="false">O621*4 + P621*2 + MAX(0,N621-O621-P621)*1 + Q621*0.2 + R621*2 + S621*1 + IF(T621="",0,IF(T621&lt;=10,8,IF(T621&lt;=50,6,IF(T621&lt;=100,4,2))))</f>
        <v>0</v>
      </c>
      <c r="V621" s="7"/>
      <c r="W621" s="12"/>
      <c r="X621" s="13"/>
      <c r="Y621" s="13" t="s">
        <v>2723</v>
      </c>
    </row>
    <row r="622" customFormat="false" ht="15.75" hidden="false" customHeight="true" outlineLevel="0" collapsed="false">
      <c r="A622" s="7" t="s">
        <v>2724</v>
      </c>
      <c r="B622" s="8" t="n">
        <v>2008</v>
      </c>
      <c r="C622" s="8" t="s">
        <v>35</v>
      </c>
      <c r="D622" s="8" t="n">
        <v>101</v>
      </c>
      <c r="E622" s="7" t="s">
        <v>1646</v>
      </c>
      <c r="F622" s="8" t="n">
        <v>7.6</v>
      </c>
      <c r="G622" s="8"/>
      <c r="H622" s="9" t="n">
        <v>188147</v>
      </c>
      <c r="I622" s="7" t="s">
        <v>124</v>
      </c>
      <c r="J622" s="7" t="s">
        <v>579</v>
      </c>
      <c r="K622" s="7" t="s">
        <v>39</v>
      </c>
      <c r="L622" s="10" t="s">
        <v>238</v>
      </c>
      <c r="M622" s="10" t="s">
        <v>2725</v>
      </c>
      <c r="N622" s="8" t="n">
        <v>0</v>
      </c>
      <c r="O622" s="8" t="n">
        <v>0</v>
      </c>
      <c r="P622" s="8" t="n">
        <v>0</v>
      </c>
      <c r="Q622" s="8" t="n">
        <v>0</v>
      </c>
      <c r="R622" s="13" t="n">
        <v>0</v>
      </c>
      <c r="S622" s="13" t="n">
        <v>0</v>
      </c>
      <c r="T622" s="13"/>
      <c r="U622" s="11" t="n">
        <f aca="false">O622*4 + P622*2 + MAX(0,N622-O622-P622)*1 + Q622*0.2 + R622*2 + S622*1 + IF(T622="",0,IF(T622&lt;=10,8,IF(T622&lt;=50,6,IF(T622&lt;=100,4,2))))</f>
        <v>0</v>
      </c>
      <c r="V622" s="7"/>
      <c r="W622" s="12"/>
      <c r="X622" s="13"/>
      <c r="Y622" s="13" t="s">
        <v>2726</v>
      </c>
    </row>
    <row r="623" customFormat="false" ht="15.75" hidden="false" customHeight="true" outlineLevel="0" collapsed="false">
      <c r="A623" s="7" t="s">
        <v>2727</v>
      </c>
      <c r="B623" s="8" t="n">
        <v>2008</v>
      </c>
      <c r="C623" s="8" t="s">
        <v>35</v>
      </c>
      <c r="D623" s="8" t="n">
        <v>90</v>
      </c>
      <c r="E623" s="7" t="s">
        <v>2728</v>
      </c>
      <c r="F623" s="8" t="n">
        <v>8</v>
      </c>
      <c r="G623" s="8"/>
      <c r="H623" s="9" t="n">
        <v>62875</v>
      </c>
      <c r="I623" s="7" t="s">
        <v>2729</v>
      </c>
      <c r="J623" s="7" t="s">
        <v>2730</v>
      </c>
      <c r="K623" s="7" t="s">
        <v>48</v>
      </c>
      <c r="L623" s="10"/>
      <c r="M623" s="7" t="s">
        <v>2731</v>
      </c>
      <c r="N623" s="8" t="n">
        <v>0</v>
      </c>
      <c r="O623" s="8" t="n">
        <v>0</v>
      </c>
      <c r="P623" s="8" t="n">
        <v>0</v>
      </c>
      <c r="Q623" s="8" t="n">
        <v>1</v>
      </c>
      <c r="R623" s="8" t="n">
        <v>0</v>
      </c>
      <c r="S623" s="8" t="n">
        <v>0</v>
      </c>
      <c r="T623" s="8"/>
      <c r="U623" s="11" t="n">
        <f aca="false">O623*4 + P623*2 + MAX(0,N623-O623-P623)*1 + Q623*0.2 + R623*2 + S623*1 + IF(T623="",0,IF(T623&lt;=10,8,IF(T623&lt;=50,6,IF(T623&lt;=100,4,2))))</f>
        <v>0.2</v>
      </c>
      <c r="V623" s="10" t="s">
        <v>2732</v>
      </c>
      <c r="W623" s="12"/>
      <c r="X623" s="8" t="n">
        <v>124</v>
      </c>
      <c r="Y623" s="8" t="s">
        <v>2733</v>
      </c>
    </row>
    <row r="624" customFormat="false" ht="15.75" hidden="false" customHeight="true" outlineLevel="0" collapsed="false">
      <c r="A624" s="7" t="s">
        <v>2734</v>
      </c>
      <c r="B624" s="8" t="n">
        <v>2023</v>
      </c>
      <c r="C624" s="8" t="s">
        <v>378</v>
      </c>
      <c r="D624" s="8" t="n">
        <v>150</v>
      </c>
      <c r="E624" s="7" t="s">
        <v>2735</v>
      </c>
      <c r="F624" s="8" t="n">
        <v>7.9</v>
      </c>
      <c r="G624" s="8" t="n">
        <v>7</v>
      </c>
      <c r="H624" s="9" t="n">
        <v>482441</v>
      </c>
      <c r="I624" s="7" t="s">
        <v>46</v>
      </c>
      <c r="J624" s="7" t="s">
        <v>112</v>
      </c>
      <c r="K624" s="7" t="s">
        <v>39</v>
      </c>
      <c r="L624" s="10" t="s">
        <v>177</v>
      </c>
      <c r="M624" s="7" t="s">
        <v>2736</v>
      </c>
      <c r="N624" s="8" t="n">
        <v>0</v>
      </c>
      <c r="O624" s="8" t="n">
        <v>0</v>
      </c>
      <c r="P624" s="8" t="n">
        <v>0</v>
      </c>
      <c r="Q624" s="8" t="n">
        <v>1</v>
      </c>
      <c r="R624" s="8" t="n">
        <v>0</v>
      </c>
      <c r="S624" s="8" t="n">
        <v>0</v>
      </c>
      <c r="T624" s="13"/>
      <c r="U624" s="11" t="n">
        <f aca="false">O624*4 + P624*2 + MAX(0,N624-O624-P624)*1 + Q624*0.2 + R624*2 + S624*1 + IF(T624="",0,IF(T624&lt;=10,8,IF(T624&lt;=50,6,IF(T624&lt;=100,4,2))))</f>
        <v>0.2</v>
      </c>
      <c r="V624" s="7"/>
      <c r="W624" s="12"/>
      <c r="X624" s="13"/>
      <c r="Y624" s="13" t="s">
        <v>2737</v>
      </c>
    </row>
    <row r="625" customFormat="false" ht="15.75" hidden="false" customHeight="true" outlineLevel="0" collapsed="false">
      <c r="A625" s="7" t="s">
        <v>2738</v>
      </c>
      <c r="B625" s="8" t="n">
        <v>2006</v>
      </c>
      <c r="C625" s="8" t="s">
        <v>35</v>
      </c>
      <c r="D625" s="8" t="n">
        <v>127</v>
      </c>
      <c r="E625" s="7" t="s">
        <v>1615</v>
      </c>
      <c r="F625" s="8" t="n">
        <v>7.5</v>
      </c>
      <c r="G625" s="8"/>
      <c r="H625" s="9" t="n">
        <v>59532</v>
      </c>
      <c r="I625" s="7" t="s">
        <v>2739</v>
      </c>
      <c r="J625" s="7" t="s">
        <v>154</v>
      </c>
      <c r="K625" s="7" t="s">
        <v>47</v>
      </c>
      <c r="L625" s="10" t="s">
        <v>2740</v>
      </c>
      <c r="M625" s="10" t="s">
        <v>2741</v>
      </c>
      <c r="N625" s="8" t="n">
        <v>0</v>
      </c>
      <c r="O625" s="8" t="n">
        <v>0</v>
      </c>
      <c r="P625" s="8" t="n">
        <v>0</v>
      </c>
      <c r="Q625" s="8" t="n">
        <v>0</v>
      </c>
      <c r="R625" s="8" t="n">
        <v>1</v>
      </c>
      <c r="S625" s="13" t="n">
        <v>0</v>
      </c>
      <c r="T625" s="13"/>
      <c r="U625" s="11" t="n">
        <f aca="false">O625*4 + P625*2 + MAX(0,N625-O625-P625)*1 + Q625*0.2 + R625*2 + S625*1 + IF(T625="",0,IF(T625&lt;=10,8,IF(T625&lt;=50,6,IF(T625&lt;=100,4,2))))</f>
        <v>2</v>
      </c>
      <c r="V625" s="7"/>
      <c r="W625" s="12"/>
      <c r="X625" s="13"/>
      <c r="Y625" s="13" t="s">
        <v>2742</v>
      </c>
    </row>
    <row r="626" customFormat="false" ht="15.75" hidden="false" customHeight="true" outlineLevel="0" collapsed="false">
      <c r="A626" s="7" t="s">
        <v>2743</v>
      </c>
      <c r="B626" s="8" t="n">
        <v>2016</v>
      </c>
      <c r="C626" s="8" t="s">
        <v>176</v>
      </c>
      <c r="D626" s="8" t="n">
        <v>118</v>
      </c>
      <c r="E626" s="7" t="s">
        <v>2744</v>
      </c>
      <c r="F626" s="8" t="n">
        <v>8</v>
      </c>
      <c r="G626" s="8"/>
      <c r="H626" s="9" t="n">
        <v>268266</v>
      </c>
      <c r="I626" s="7" t="s">
        <v>2745</v>
      </c>
      <c r="J626" s="7" t="s">
        <v>47</v>
      </c>
      <c r="K626" s="7" t="s">
        <v>48</v>
      </c>
      <c r="L626" s="10"/>
      <c r="M626" s="7" t="s">
        <v>2746</v>
      </c>
      <c r="N626" s="8" t="n">
        <v>0</v>
      </c>
      <c r="O626" s="8" t="n">
        <v>0</v>
      </c>
      <c r="P626" s="8" t="n">
        <v>0</v>
      </c>
      <c r="Q626" s="8" t="n">
        <v>6</v>
      </c>
      <c r="R626" s="8" t="n">
        <v>0</v>
      </c>
      <c r="S626" s="8" t="n">
        <v>0</v>
      </c>
      <c r="T626" s="13"/>
      <c r="U626" s="11" t="n">
        <f aca="false">O626*4 + P626*2 + MAX(0,N626-O626-P626)*1 + Q626*0.2 + R626*2 + S626*1 + IF(T626="",0,IF(T626&lt;=10,8,IF(T626&lt;=50,6,IF(T626&lt;=100,4,2))))</f>
        <v>1.2</v>
      </c>
      <c r="V626" s="7"/>
      <c r="W626" s="12"/>
      <c r="X626" s="13"/>
      <c r="Y626" s="13" t="s">
        <v>2747</v>
      </c>
    </row>
    <row r="627" customFormat="false" ht="15.75" hidden="false" customHeight="true" outlineLevel="0" collapsed="false">
      <c r="A627" s="7" t="s">
        <v>2748</v>
      </c>
      <c r="B627" s="8" t="n">
        <v>2020</v>
      </c>
      <c r="C627" s="8" t="s">
        <v>378</v>
      </c>
      <c r="D627" s="8" t="n">
        <v>129</v>
      </c>
      <c r="E627" s="7" t="s">
        <v>2749</v>
      </c>
      <c r="F627" s="8" t="n">
        <v>7.7</v>
      </c>
      <c r="G627" s="8"/>
      <c r="H627" s="9" t="n">
        <v>206605</v>
      </c>
      <c r="I627" s="7" t="s">
        <v>46</v>
      </c>
      <c r="J627" s="7" t="s">
        <v>131</v>
      </c>
      <c r="K627" s="7" t="s">
        <v>453</v>
      </c>
      <c r="L627" s="10" t="s">
        <v>238</v>
      </c>
      <c r="M627" s="10" t="s">
        <v>2750</v>
      </c>
      <c r="N627" s="8" t="n">
        <v>0</v>
      </c>
      <c r="O627" s="8" t="n">
        <v>0</v>
      </c>
      <c r="P627" s="8" t="n">
        <v>0</v>
      </c>
      <c r="Q627" s="8" t="n">
        <v>6</v>
      </c>
      <c r="R627" s="8" t="n">
        <v>0</v>
      </c>
      <c r="S627" s="8" t="n">
        <v>0</v>
      </c>
      <c r="T627" s="13"/>
      <c r="U627" s="11" t="n">
        <f aca="false">O627*4 + P627*2 + MAX(0,N627-O627-P627)*1 + Q627*0.2 + R627*2 + S627*1 + IF(T627="",0,IF(T627&lt;=10,8,IF(T627&lt;=50,6,IF(T627&lt;=100,4,2))))</f>
        <v>1.2</v>
      </c>
      <c r="V627" s="7"/>
      <c r="W627" s="12"/>
      <c r="X627" s="13"/>
      <c r="Y627" s="13" t="s">
        <v>2751</v>
      </c>
    </row>
    <row r="628" customFormat="false" ht="15.75" hidden="false" customHeight="true" outlineLevel="0" collapsed="false">
      <c r="A628" s="7" t="s">
        <v>2752</v>
      </c>
      <c r="B628" s="8" t="n">
        <v>2024</v>
      </c>
      <c r="C628" s="8" t="s">
        <v>378</v>
      </c>
      <c r="D628" s="8" t="n">
        <v>110</v>
      </c>
      <c r="E628" s="7" t="s">
        <v>2753</v>
      </c>
      <c r="F628" s="8" t="n">
        <v>7.2</v>
      </c>
      <c r="G628" s="8"/>
      <c r="H628" s="9" t="n">
        <v>5343</v>
      </c>
      <c r="I628" s="7"/>
      <c r="J628" s="7" t="s">
        <v>47</v>
      </c>
      <c r="K628" s="7" t="s">
        <v>48</v>
      </c>
      <c r="L628" s="10" t="s">
        <v>2754</v>
      </c>
      <c r="M628" s="10" t="s">
        <v>2755</v>
      </c>
      <c r="N628" s="8" t="n">
        <v>0</v>
      </c>
      <c r="O628" s="8" t="n">
        <v>0</v>
      </c>
      <c r="P628" s="8" t="n">
        <v>0</v>
      </c>
      <c r="Q628" s="8" t="n">
        <v>0</v>
      </c>
      <c r="R628" s="13" t="n">
        <v>0</v>
      </c>
      <c r="S628" s="13" t="n">
        <v>0</v>
      </c>
      <c r="T628" s="13"/>
      <c r="U628" s="11" t="n">
        <f aca="false">O628*4 + P628*2 + MAX(0,N628-O628-P628)*1 + Q628*0.2 + R628*2 + S628*1 + IF(T628="",0,IF(T628&lt;=10,8,IF(T628&lt;=50,6,IF(T628&lt;=100,4,2))))</f>
        <v>0</v>
      </c>
      <c r="V628" s="7"/>
      <c r="W628" s="12"/>
      <c r="X628" s="13"/>
      <c r="Y628" s="13" t="s">
        <v>2756</v>
      </c>
    </row>
    <row r="629" customFormat="false" ht="15.75" hidden="false" customHeight="true" outlineLevel="0" collapsed="false">
      <c r="A629" s="7" t="s">
        <v>2757</v>
      </c>
      <c r="B629" s="8" t="n">
        <v>2012</v>
      </c>
      <c r="C629" s="8" t="s">
        <v>176</v>
      </c>
      <c r="D629" s="8" t="n">
        <v>104</v>
      </c>
      <c r="E629" s="7" t="s">
        <v>2758</v>
      </c>
      <c r="F629" s="8" t="n">
        <v>7.5</v>
      </c>
      <c r="G629" s="8"/>
      <c r="H629" s="9" t="n">
        <v>12194</v>
      </c>
      <c r="I629" s="7" t="s">
        <v>2107</v>
      </c>
      <c r="J629" s="7" t="s">
        <v>38</v>
      </c>
      <c r="K629" s="7" t="s">
        <v>47</v>
      </c>
      <c r="L629" s="10" t="s">
        <v>972</v>
      </c>
      <c r="M629" s="10" t="s">
        <v>2759</v>
      </c>
      <c r="N629" s="8" t="n">
        <v>0</v>
      </c>
      <c r="O629" s="8" t="n">
        <v>0</v>
      </c>
      <c r="P629" s="8" t="n">
        <v>0</v>
      </c>
      <c r="Q629" s="8" t="n">
        <v>0</v>
      </c>
      <c r="R629" s="13" t="n">
        <v>0</v>
      </c>
      <c r="S629" s="13" t="n">
        <v>0</v>
      </c>
      <c r="T629" s="13"/>
      <c r="U629" s="11" t="n">
        <f aca="false">O629*4 + P629*2 + MAX(0,N629-O629-P629)*1 + Q629*0.2 + R629*2 + S629*1 + IF(T629="",0,IF(T629&lt;=10,8,IF(T629&lt;=50,6,IF(T629&lt;=100,4,2))))</f>
        <v>0</v>
      </c>
      <c r="V629" s="7"/>
      <c r="W629" s="12"/>
      <c r="X629" s="13"/>
      <c r="Y629" s="13" t="s">
        <v>2760</v>
      </c>
    </row>
    <row r="630" customFormat="false" ht="15.75" hidden="false" customHeight="true" outlineLevel="0" collapsed="false">
      <c r="A630" s="7" t="s">
        <v>2761</v>
      </c>
      <c r="B630" s="8" t="n">
        <v>2003</v>
      </c>
      <c r="C630" s="8" t="s">
        <v>35</v>
      </c>
      <c r="D630" s="8" t="n">
        <v>102</v>
      </c>
      <c r="E630" s="7" t="s">
        <v>2762</v>
      </c>
      <c r="F630" s="8" t="n">
        <v>7.3</v>
      </c>
      <c r="G630" s="8"/>
      <c r="H630" s="9" t="n">
        <v>91553</v>
      </c>
      <c r="I630" s="7" t="s">
        <v>2763</v>
      </c>
      <c r="J630" s="7"/>
      <c r="K630" s="12"/>
      <c r="L630" s="10"/>
      <c r="M630" s="10" t="s">
        <v>2764</v>
      </c>
      <c r="N630" s="8" t="n">
        <v>0</v>
      </c>
      <c r="O630" s="8" t="n">
        <v>0</v>
      </c>
      <c r="P630" s="8" t="n">
        <v>0</v>
      </c>
      <c r="Q630" s="8" t="n">
        <v>0</v>
      </c>
      <c r="R630" s="13" t="n">
        <v>0</v>
      </c>
      <c r="S630" s="13" t="n">
        <v>0</v>
      </c>
      <c r="T630" s="13"/>
      <c r="U630" s="11" t="n">
        <f aca="false">O630*4 + P630*2 + MAX(0,N630-O630-P630)*1 + Q630*0.2 + R630*2 + S630*1 + IF(T630="",0,IF(T630&lt;=10,8,IF(T630&lt;=50,6,IF(T630&lt;=100,4,2))))</f>
        <v>0</v>
      </c>
      <c r="V630" s="7"/>
      <c r="W630" s="12"/>
      <c r="X630" s="13"/>
      <c r="Y630" s="13" t="s">
        <v>2765</v>
      </c>
    </row>
    <row r="631" customFormat="false" ht="15.75" hidden="false" customHeight="true" outlineLevel="0" collapsed="false">
      <c r="A631" s="7" t="s">
        <v>2766</v>
      </c>
      <c r="B631" s="8" t="n">
        <v>2003</v>
      </c>
      <c r="C631" s="8" t="s">
        <v>35</v>
      </c>
      <c r="D631" s="8" t="n">
        <v>103</v>
      </c>
      <c r="E631" s="7" t="s">
        <v>2626</v>
      </c>
      <c r="F631" s="8" t="n">
        <v>8</v>
      </c>
      <c r="G631" s="8"/>
      <c r="H631" s="9" t="n">
        <v>91318</v>
      </c>
      <c r="I631" s="7" t="s">
        <v>2767</v>
      </c>
      <c r="J631" s="7" t="s">
        <v>29</v>
      </c>
      <c r="K631" s="7" t="s">
        <v>47</v>
      </c>
      <c r="L631" s="10" t="s">
        <v>2628</v>
      </c>
      <c r="M631" s="10" t="s">
        <v>2768</v>
      </c>
      <c r="N631" s="8" t="n">
        <v>0</v>
      </c>
      <c r="O631" s="8" t="n">
        <v>0</v>
      </c>
      <c r="P631" s="8" t="n">
        <v>0</v>
      </c>
      <c r="Q631" s="8" t="n">
        <v>0</v>
      </c>
      <c r="R631" s="13" t="n">
        <v>0</v>
      </c>
      <c r="S631" s="13" t="n">
        <v>0</v>
      </c>
      <c r="T631" s="13"/>
      <c r="U631" s="11" t="n">
        <f aca="false">O631*4 + P631*2 + MAX(0,N631-O631-P631)*1 + Q631*0.2 + R631*2 + S631*1 + IF(T631="",0,IF(T631&lt;=10,8,IF(T631&lt;=50,6,IF(T631&lt;=100,4,2))))</f>
        <v>0</v>
      </c>
      <c r="V631" s="7"/>
      <c r="W631" s="12"/>
      <c r="X631" s="13"/>
      <c r="Y631" s="13" t="s">
        <v>2769</v>
      </c>
    </row>
    <row r="632" customFormat="false" ht="15.75" hidden="false" customHeight="true" outlineLevel="0" collapsed="false">
      <c r="A632" s="7" t="s">
        <v>2770</v>
      </c>
      <c r="B632" s="8" t="n">
        <v>2018</v>
      </c>
      <c r="C632" s="8" t="s">
        <v>176</v>
      </c>
      <c r="D632" s="8" t="n">
        <v>101</v>
      </c>
      <c r="E632" s="7" t="s">
        <v>1200</v>
      </c>
      <c r="F632" s="8" t="n">
        <v>7.8</v>
      </c>
      <c r="G632" s="8"/>
      <c r="H632" s="9" t="n">
        <v>213691</v>
      </c>
      <c r="I632" s="7" t="s">
        <v>2011</v>
      </c>
      <c r="J632" s="7" t="s">
        <v>579</v>
      </c>
      <c r="K632" s="7" t="s">
        <v>39</v>
      </c>
      <c r="L632" s="10" t="s">
        <v>177</v>
      </c>
      <c r="M632" s="7" t="s">
        <v>2771</v>
      </c>
      <c r="N632" s="8" t="n">
        <v>0</v>
      </c>
      <c r="O632" s="8" t="n">
        <v>0</v>
      </c>
      <c r="P632" s="8" t="n">
        <v>0</v>
      </c>
      <c r="Q632" s="8" t="n">
        <v>2</v>
      </c>
      <c r="R632" s="8" t="n">
        <v>0</v>
      </c>
      <c r="S632" s="8" t="n">
        <v>0</v>
      </c>
      <c r="T632" s="8"/>
      <c r="U632" s="11" t="n">
        <f aca="false">O632*4 + P632*2 + MAX(0,N632-O632-P632)*1 + Q632*0.2 + R632*2 + S632*1 + IF(T632="",0,IF(T632&lt;=10,8,IF(T632&lt;=50,6,IF(T632&lt;=100,4,2))))</f>
        <v>0.4</v>
      </c>
      <c r="V632" s="10" t="s">
        <v>2772</v>
      </c>
      <c r="W632" s="12"/>
      <c r="X632" s="8" t="n">
        <v>76</v>
      </c>
      <c r="Y632" s="8" t="s">
        <v>2773</v>
      </c>
    </row>
    <row r="633" customFormat="false" ht="15.75" hidden="false" customHeight="true" outlineLevel="0" collapsed="false">
      <c r="A633" s="7" t="s">
        <v>2774</v>
      </c>
      <c r="B633" s="8" t="n">
        <v>2022</v>
      </c>
      <c r="C633" s="8" t="s">
        <v>378</v>
      </c>
      <c r="D633" s="8" t="n">
        <v>140</v>
      </c>
      <c r="E633" s="7" t="s">
        <v>2775</v>
      </c>
      <c r="F633" s="8" t="n">
        <v>7.6</v>
      </c>
      <c r="G633" s="8"/>
      <c r="H633" s="9" t="n">
        <v>36768</v>
      </c>
      <c r="I633" s="7" t="s">
        <v>2776</v>
      </c>
      <c r="J633" s="7" t="s">
        <v>47</v>
      </c>
      <c r="K633" s="7" t="s">
        <v>54</v>
      </c>
      <c r="L633" s="10" t="s">
        <v>113</v>
      </c>
      <c r="M633" s="10" t="s">
        <v>2777</v>
      </c>
      <c r="N633" s="8" t="n">
        <v>0</v>
      </c>
      <c r="O633" s="8" t="n">
        <v>0</v>
      </c>
      <c r="P633" s="8" t="n">
        <v>0</v>
      </c>
      <c r="Q633" s="8" t="n">
        <v>1</v>
      </c>
      <c r="R633" s="8" t="n">
        <v>0</v>
      </c>
      <c r="S633" s="8" t="n">
        <v>0</v>
      </c>
      <c r="T633" s="13"/>
      <c r="U633" s="11" t="n">
        <f aca="false">O633*4 + P633*2 + MAX(0,N633-O633-P633)*1 + Q633*0.2 + R633*2 + S633*1 + IF(T633="",0,IF(T633&lt;=10,8,IF(T633&lt;=50,6,IF(T633&lt;=100,4,2))))</f>
        <v>0.2</v>
      </c>
      <c r="V633" s="7"/>
      <c r="W633" s="12"/>
      <c r="X633" s="13"/>
      <c r="Y633" s="13" t="s">
        <v>2778</v>
      </c>
    </row>
    <row r="634" customFormat="false" ht="15.75" hidden="false" customHeight="true" outlineLevel="0" collapsed="false">
      <c r="A634" s="7" t="s">
        <v>2779</v>
      </c>
      <c r="B634" s="8" t="n">
        <v>2011</v>
      </c>
      <c r="C634" s="8" t="s">
        <v>176</v>
      </c>
      <c r="D634" s="8" t="n">
        <v>128</v>
      </c>
      <c r="E634" s="7" t="s">
        <v>1886</v>
      </c>
      <c r="F634" s="8" t="n">
        <v>7.2</v>
      </c>
      <c r="G634" s="8"/>
      <c r="H634" s="9" t="n">
        <v>2798</v>
      </c>
      <c r="I634" s="7" t="s">
        <v>2780</v>
      </c>
      <c r="J634" s="7" t="s">
        <v>154</v>
      </c>
      <c r="K634" s="7" t="s">
        <v>453</v>
      </c>
      <c r="L634" s="10"/>
      <c r="M634" s="10" t="s">
        <v>2781</v>
      </c>
      <c r="N634" s="8" t="n">
        <v>0</v>
      </c>
      <c r="O634" s="8" t="n">
        <v>0</v>
      </c>
      <c r="P634" s="8" t="n">
        <v>0</v>
      </c>
      <c r="Q634" s="8" t="n">
        <v>0</v>
      </c>
      <c r="R634" s="13" t="n">
        <v>0</v>
      </c>
      <c r="S634" s="13" t="n">
        <v>0</v>
      </c>
      <c r="T634" s="13"/>
      <c r="U634" s="11" t="n">
        <f aca="false">O634*4 + P634*2 + MAX(0,N634-O634-P634)*1 + Q634*0.2 + R634*2 + S634*1 + IF(T634="",0,IF(T634&lt;=10,8,IF(T634&lt;=50,6,IF(T634&lt;=100,4,2))))</f>
        <v>0</v>
      </c>
      <c r="V634" s="7"/>
      <c r="W634" s="12"/>
      <c r="X634" s="13"/>
      <c r="Y634" s="13" t="s">
        <v>2782</v>
      </c>
    </row>
    <row r="635" customFormat="false" ht="15.75" hidden="false" customHeight="true" outlineLevel="0" collapsed="false">
      <c r="A635" s="7" t="s">
        <v>2783</v>
      </c>
      <c r="B635" s="8" t="n">
        <v>2003</v>
      </c>
      <c r="C635" s="8" t="s">
        <v>35</v>
      </c>
      <c r="D635" s="8" t="n">
        <v>104</v>
      </c>
      <c r="E635" s="7" t="s">
        <v>2547</v>
      </c>
      <c r="F635" s="8" t="n">
        <v>7.6</v>
      </c>
      <c r="G635" s="8"/>
      <c r="H635" s="9" t="n">
        <v>4665</v>
      </c>
      <c r="I635" s="7" t="s">
        <v>232</v>
      </c>
      <c r="J635" s="7" t="s">
        <v>39</v>
      </c>
      <c r="K635" s="7" t="s">
        <v>30</v>
      </c>
      <c r="L635" s="10" t="s">
        <v>547</v>
      </c>
      <c r="M635" s="10" t="s">
        <v>2784</v>
      </c>
      <c r="N635" s="8" t="n">
        <v>0</v>
      </c>
      <c r="O635" s="8" t="n">
        <v>0</v>
      </c>
      <c r="P635" s="8" t="n">
        <v>0</v>
      </c>
      <c r="Q635" s="8" t="n">
        <v>0</v>
      </c>
      <c r="R635" s="13" t="n">
        <v>0</v>
      </c>
      <c r="S635" s="13" t="n">
        <v>0</v>
      </c>
      <c r="T635" s="13"/>
      <c r="U635" s="11" t="n">
        <f aca="false">O635*4 + P635*2 + MAX(0,N635-O635-P635)*1 + Q635*0.2 + R635*2 + S635*1 + IF(T635="",0,IF(T635&lt;=10,8,IF(T635&lt;=50,6,IF(T635&lt;=100,4,2))))</f>
        <v>0</v>
      </c>
      <c r="V635" s="7"/>
      <c r="W635" s="12"/>
      <c r="X635" s="13"/>
      <c r="Y635" s="13" t="s">
        <v>2785</v>
      </c>
    </row>
    <row r="636" customFormat="false" ht="15.75" hidden="false" customHeight="true" outlineLevel="0" collapsed="false">
      <c r="A636" s="7" t="s">
        <v>2786</v>
      </c>
      <c r="B636" s="8" t="n">
        <v>2007</v>
      </c>
      <c r="C636" s="8" t="s">
        <v>35</v>
      </c>
      <c r="D636" s="8" t="n">
        <v>113</v>
      </c>
      <c r="E636" s="7" t="s">
        <v>2787</v>
      </c>
      <c r="F636" s="8" t="n">
        <v>7.9</v>
      </c>
      <c r="G636" s="8"/>
      <c r="H636" s="9" t="n">
        <v>66359</v>
      </c>
      <c r="I636" s="7" t="s">
        <v>2788</v>
      </c>
      <c r="J636" s="7" t="s">
        <v>47</v>
      </c>
      <c r="K636" s="7"/>
      <c r="L636" s="10"/>
      <c r="M636" s="10" t="s">
        <v>2789</v>
      </c>
      <c r="N636" s="8" t="n">
        <v>0</v>
      </c>
      <c r="O636" s="8" t="n">
        <v>0</v>
      </c>
      <c r="P636" s="8" t="n">
        <v>0</v>
      </c>
      <c r="Q636" s="8" t="n">
        <v>0</v>
      </c>
      <c r="R636" s="8" t="n">
        <v>1</v>
      </c>
      <c r="S636" s="13" t="n">
        <v>0</v>
      </c>
      <c r="T636" s="13"/>
      <c r="U636" s="11" t="n">
        <f aca="false">O636*4 + P636*2 + MAX(0,N636-O636-P636)*1 + Q636*0.2 + R636*2 + S636*1 + IF(T636="",0,IF(T636&lt;=10,8,IF(T636&lt;=50,6,IF(T636&lt;=100,4,2))))</f>
        <v>2</v>
      </c>
      <c r="V636" s="7"/>
      <c r="W636" s="12"/>
      <c r="X636" s="13"/>
      <c r="Y636" s="13" t="s">
        <v>2790</v>
      </c>
    </row>
    <row r="637" customFormat="false" ht="15.75" hidden="false" customHeight="true" outlineLevel="0" collapsed="false">
      <c r="A637" s="7" t="s">
        <v>2791</v>
      </c>
      <c r="B637" s="8" t="n">
        <v>2022</v>
      </c>
      <c r="C637" s="8" t="s">
        <v>378</v>
      </c>
      <c r="D637" s="8" t="n">
        <v>104</v>
      </c>
      <c r="E637" s="7" t="s">
        <v>2792</v>
      </c>
      <c r="F637" s="8" t="n">
        <v>7.1</v>
      </c>
      <c r="G637" s="8"/>
      <c r="H637" s="9" t="n">
        <v>4419</v>
      </c>
      <c r="I637" s="7" t="s">
        <v>232</v>
      </c>
      <c r="J637" s="7" t="s">
        <v>47</v>
      </c>
      <c r="K637" s="7"/>
      <c r="L637" s="10" t="s">
        <v>380</v>
      </c>
      <c r="M637" s="10" t="s">
        <v>2793</v>
      </c>
      <c r="N637" s="8" t="n">
        <v>0</v>
      </c>
      <c r="O637" s="8" t="n">
        <v>0</v>
      </c>
      <c r="P637" s="8" t="n">
        <v>0</v>
      </c>
      <c r="Q637" s="8" t="n">
        <v>0</v>
      </c>
      <c r="R637" s="13" t="n">
        <v>0</v>
      </c>
      <c r="S637" s="13" t="n">
        <v>0</v>
      </c>
      <c r="T637" s="13"/>
      <c r="U637" s="11" t="n">
        <f aca="false">O637*4 + P637*2 + MAX(0,N637-O637-P637)*1 + Q637*0.2 + R637*2 + S637*1 + IF(T637="",0,IF(T637&lt;=10,8,IF(T637&lt;=50,6,IF(T637&lt;=100,4,2))))</f>
        <v>0</v>
      </c>
      <c r="V637" s="7"/>
      <c r="W637" s="12"/>
      <c r="X637" s="13"/>
      <c r="Y637" s="13" t="s">
        <v>2794</v>
      </c>
    </row>
    <row r="638" customFormat="false" ht="15.75" hidden="false" customHeight="true" outlineLevel="0" collapsed="false">
      <c r="A638" s="7" t="s">
        <v>2795</v>
      </c>
      <c r="B638" s="8" t="n">
        <v>2011</v>
      </c>
      <c r="C638" s="8" t="s">
        <v>176</v>
      </c>
      <c r="D638" s="8" t="n">
        <v>112</v>
      </c>
      <c r="E638" s="7" t="s">
        <v>2796</v>
      </c>
      <c r="F638" s="8" t="n">
        <v>7.4</v>
      </c>
      <c r="G638" s="8" t="n">
        <v>6</v>
      </c>
      <c r="H638" s="9" t="n">
        <v>182963</v>
      </c>
      <c r="I638" s="7" t="s">
        <v>359</v>
      </c>
      <c r="J638" s="7" t="s">
        <v>131</v>
      </c>
      <c r="K638" s="7" t="s">
        <v>125</v>
      </c>
      <c r="L638" s="10" t="s">
        <v>205</v>
      </c>
      <c r="M638" s="10" t="s">
        <v>2797</v>
      </c>
      <c r="N638" s="8" t="n">
        <v>0</v>
      </c>
      <c r="O638" s="8" t="n">
        <v>0</v>
      </c>
      <c r="P638" s="8" t="n">
        <v>0</v>
      </c>
      <c r="Q638" s="8" t="n">
        <v>0</v>
      </c>
      <c r="R638" s="13" t="n">
        <v>0</v>
      </c>
      <c r="S638" s="13" t="n">
        <v>0</v>
      </c>
      <c r="T638" s="13"/>
      <c r="U638" s="11" t="n">
        <f aca="false">O638*4 + P638*2 + MAX(0,N638-O638-P638)*1 + Q638*0.2 + R638*2 + S638*1 + IF(T638="",0,IF(T638&lt;=10,8,IF(T638&lt;=50,6,IF(T638&lt;=100,4,2))))</f>
        <v>0</v>
      </c>
      <c r="V638" s="7"/>
      <c r="W638" s="12"/>
      <c r="X638" s="13"/>
      <c r="Y638" s="13" t="s">
        <v>2798</v>
      </c>
    </row>
    <row r="639" customFormat="false" ht="15.75" hidden="false" customHeight="true" outlineLevel="0" collapsed="false">
      <c r="A639" s="7" t="s">
        <v>2799</v>
      </c>
      <c r="B639" s="8" t="n">
        <v>2021</v>
      </c>
      <c r="C639" s="8" t="s">
        <v>378</v>
      </c>
      <c r="D639" s="8" t="n">
        <v>128</v>
      </c>
      <c r="E639" s="7" t="s">
        <v>2800</v>
      </c>
      <c r="F639" s="8" t="n">
        <v>7.7</v>
      </c>
      <c r="G639" s="8"/>
      <c r="H639" s="9" t="n">
        <v>131089</v>
      </c>
      <c r="I639" s="7" t="s">
        <v>2801</v>
      </c>
      <c r="J639" s="7" t="s">
        <v>29</v>
      </c>
      <c r="K639" s="7" t="s">
        <v>30</v>
      </c>
      <c r="L639" s="10" t="s">
        <v>2802</v>
      </c>
      <c r="M639" s="10" t="s">
        <v>2803</v>
      </c>
      <c r="N639" s="8" t="n">
        <v>0</v>
      </c>
      <c r="O639" s="8" t="n">
        <v>0</v>
      </c>
      <c r="P639" s="8" t="n">
        <v>0</v>
      </c>
      <c r="Q639" s="8" t="n">
        <v>2</v>
      </c>
      <c r="R639" s="8" t="n">
        <v>0</v>
      </c>
      <c r="S639" s="8" t="n">
        <v>0</v>
      </c>
      <c r="T639" s="13"/>
      <c r="U639" s="11" t="n">
        <f aca="false">O639*4 + P639*2 + MAX(0,N639-O639-P639)*1 + Q639*0.2 + R639*2 + S639*1 + IF(T639="",0,IF(T639&lt;=10,8,IF(T639&lt;=50,6,IF(T639&lt;=100,4,2))))</f>
        <v>0.4</v>
      </c>
      <c r="V639" s="7"/>
      <c r="W639" s="12"/>
      <c r="X639" s="13"/>
      <c r="Y639" s="13" t="s">
        <v>2804</v>
      </c>
    </row>
    <row r="640" customFormat="false" ht="15.75" hidden="false" customHeight="true" outlineLevel="0" collapsed="false">
      <c r="A640" s="7" t="s">
        <v>2805</v>
      </c>
      <c r="B640" s="8" t="n">
        <v>2019</v>
      </c>
      <c r="C640" s="8" t="s">
        <v>176</v>
      </c>
      <c r="D640" s="8" t="n">
        <v>96</v>
      </c>
      <c r="E640" s="7" t="s">
        <v>2806</v>
      </c>
      <c r="F640" s="8" t="n">
        <v>8.2</v>
      </c>
      <c r="G640" s="8"/>
      <c r="H640" s="9" t="n">
        <v>241055</v>
      </c>
      <c r="I640" s="7" t="s">
        <v>232</v>
      </c>
      <c r="J640" s="7" t="s">
        <v>579</v>
      </c>
      <c r="K640" s="7" t="s">
        <v>39</v>
      </c>
      <c r="L640" s="10" t="s">
        <v>238</v>
      </c>
      <c r="M640" s="10" t="s">
        <v>2807</v>
      </c>
      <c r="N640" s="8" t="n">
        <v>0</v>
      </c>
      <c r="O640" s="8" t="n">
        <v>0</v>
      </c>
      <c r="P640" s="8" t="n">
        <v>0</v>
      </c>
      <c r="Q640" s="8" t="n">
        <v>1</v>
      </c>
      <c r="R640" s="8" t="n">
        <v>0</v>
      </c>
      <c r="S640" s="8" t="n">
        <v>0</v>
      </c>
      <c r="T640" s="13"/>
      <c r="U640" s="11" t="n">
        <f aca="false">O640*4 + P640*2 + MAX(0,N640-O640-P640)*1 + Q640*0.2 + R640*2 + S640*1 + IF(T640="",0,IF(T640&lt;=10,8,IF(T640&lt;=50,6,IF(T640&lt;=100,4,2))))</f>
        <v>0.2</v>
      </c>
      <c r="V640" s="7"/>
      <c r="W640" s="12"/>
      <c r="X640" s="13"/>
      <c r="Y640" s="13" t="s">
        <v>2808</v>
      </c>
    </row>
    <row r="641" customFormat="false" ht="15.75" hidden="false" customHeight="true" outlineLevel="0" collapsed="false">
      <c r="A641" s="7" t="s">
        <v>2809</v>
      </c>
      <c r="B641" s="8" t="n">
        <v>2007</v>
      </c>
      <c r="C641" s="8" t="s">
        <v>35</v>
      </c>
      <c r="D641" s="8" t="n">
        <v>112</v>
      </c>
      <c r="E641" s="7" t="s">
        <v>1405</v>
      </c>
      <c r="F641" s="8" t="n">
        <v>8</v>
      </c>
      <c r="G641" s="8"/>
      <c r="H641" s="9" t="n">
        <v>113123</v>
      </c>
      <c r="I641" s="7" t="s">
        <v>2810</v>
      </c>
      <c r="J641" s="7" t="s">
        <v>47</v>
      </c>
      <c r="K641" s="7" t="s">
        <v>48</v>
      </c>
      <c r="L641" s="10" t="s">
        <v>113</v>
      </c>
      <c r="M641" s="10" t="s">
        <v>2811</v>
      </c>
      <c r="N641" s="8" t="n">
        <v>0</v>
      </c>
      <c r="O641" s="8" t="n">
        <v>0</v>
      </c>
      <c r="P641" s="8" t="n">
        <v>0</v>
      </c>
      <c r="Q641" s="8" t="n">
        <v>4</v>
      </c>
      <c r="R641" s="8" t="n">
        <v>0</v>
      </c>
      <c r="S641" s="8" t="n">
        <v>0</v>
      </c>
      <c r="T641" s="13"/>
      <c r="U641" s="11" t="n">
        <f aca="false">O641*4 + P641*2 + MAX(0,N641-O641-P641)*1 + Q641*0.2 + R641*2 + S641*1 + IF(T641="",0,IF(T641&lt;=10,8,IF(T641&lt;=50,6,IF(T641&lt;=100,4,2))))</f>
        <v>0.8</v>
      </c>
      <c r="V641" s="7"/>
      <c r="W641" s="12"/>
      <c r="X641" s="13"/>
      <c r="Y641" s="13" t="s">
        <v>1407</v>
      </c>
    </row>
    <row r="642" customFormat="false" ht="15.75" hidden="false" customHeight="true" outlineLevel="0" collapsed="false">
      <c r="A642" s="7" t="s">
        <v>2812</v>
      </c>
      <c r="B642" s="8" t="n">
        <v>2011</v>
      </c>
      <c r="C642" s="8" t="s">
        <v>176</v>
      </c>
      <c r="D642" s="8" t="n">
        <v>123</v>
      </c>
      <c r="E642" s="7" t="s">
        <v>2813</v>
      </c>
      <c r="F642" s="8" t="n">
        <v>8.3</v>
      </c>
      <c r="G642" s="8" t="n">
        <v>8</v>
      </c>
      <c r="H642" s="9" t="n">
        <v>279651</v>
      </c>
      <c r="I642" s="7" t="s">
        <v>2814</v>
      </c>
      <c r="J642" s="7" t="s">
        <v>47</v>
      </c>
      <c r="K642" s="7"/>
      <c r="L642" s="10"/>
      <c r="M642" s="7" t="s">
        <v>2815</v>
      </c>
      <c r="N642" s="8" t="n">
        <v>1</v>
      </c>
      <c r="O642" s="8" t="n">
        <v>0</v>
      </c>
      <c r="P642" s="8" t="n">
        <v>0</v>
      </c>
      <c r="Q642" s="8" t="n">
        <v>2</v>
      </c>
      <c r="R642" s="8" t="n">
        <v>1</v>
      </c>
      <c r="S642" s="8" t="n">
        <v>0</v>
      </c>
      <c r="T642" s="13"/>
      <c r="U642" s="11" t="n">
        <f aca="false">O642*4 + P642*2 + MAX(0,N642-O642-P642)*1 + Q642*0.2 + R642*2 + S642*1 + IF(T642="",0,IF(T642&lt;=10,8,IF(T642&lt;=50,6,IF(T642&lt;=100,4,2))))</f>
        <v>3.4</v>
      </c>
      <c r="V642" s="7"/>
      <c r="W642" s="12"/>
      <c r="X642" s="13"/>
      <c r="Y642" s="13" t="s">
        <v>2816</v>
      </c>
    </row>
    <row r="643" customFormat="false" ht="15.75" hidden="false" customHeight="true" outlineLevel="0" collapsed="false">
      <c r="A643" s="7" t="s">
        <v>2817</v>
      </c>
      <c r="B643" s="8" t="n">
        <v>2024</v>
      </c>
      <c r="C643" s="8" t="s">
        <v>378</v>
      </c>
      <c r="D643" s="8" t="n">
        <v>105</v>
      </c>
      <c r="E643" s="7" t="s">
        <v>2818</v>
      </c>
      <c r="F643" s="8" t="n">
        <v>7.2</v>
      </c>
      <c r="G643" s="8" t="n">
        <v>7</v>
      </c>
      <c r="H643" s="9" t="n">
        <v>4360</v>
      </c>
      <c r="I643" s="7"/>
      <c r="J643" s="7" t="s">
        <v>30</v>
      </c>
      <c r="K643" s="7" t="s">
        <v>47</v>
      </c>
      <c r="L643" s="10" t="s">
        <v>238</v>
      </c>
      <c r="M643" s="10" t="s">
        <v>2819</v>
      </c>
      <c r="N643" s="8" t="n">
        <v>0</v>
      </c>
      <c r="O643" s="8" t="n">
        <v>0</v>
      </c>
      <c r="P643" s="8" t="n">
        <v>0</v>
      </c>
      <c r="Q643" s="8" t="n">
        <v>0</v>
      </c>
      <c r="R643" s="13" t="n">
        <v>0</v>
      </c>
      <c r="S643" s="13" t="n">
        <v>0</v>
      </c>
      <c r="T643" s="13"/>
      <c r="U643" s="11" t="n">
        <f aca="false">O643*4 + P643*2 + MAX(0,N643-O643-P643)*1 + Q643*0.2 + R643*2 + S643*1 + IF(T643="",0,IF(T643&lt;=10,8,IF(T643&lt;=50,6,IF(T643&lt;=100,4,2))))</f>
        <v>0</v>
      </c>
      <c r="V643" s="7"/>
      <c r="W643" s="12"/>
      <c r="X643" s="13"/>
      <c r="Y643" s="13" t="s">
        <v>2820</v>
      </c>
    </row>
    <row r="644" customFormat="false" ht="15.75" hidden="false" customHeight="true" outlineLevel="0" collapsed="false">
      <c r="A644" s="7" t="s">
        <v>2821</v>
      </c>
      <c r="B644" s="8" t="n">
        <v>2006</v>
      </c>
      <c r="C644" s="8" t="s">
        <v>35</v>
      </c>
      <c r="D644" s="8" t="n">
        <v>145</v>
      </c>
      <c r="E644" s="7" t="s">
        <v>415</v>
      </c>
      <c r="F644" s="8" t="n">
        <v>7.7</v>
      </c>
      <c r="G644" s="8"/>
      <c r="H644" s="9" t="n">
        <v>84269</v>
      </c>
      <c r="I644" s="7" t="s">
        <v>2822</v>
      </c>
      <c r="J644" s="7" t="s">
        <v>154</v>
      </c>
      <c r="K644" s="7" t="s">
        <v>131</v>
      </c>
      <c r="L644" s="10" t="s">
        <v>210</v>
      </c>
      <c r="M644" s="10" t="s">
        <v>2823</v>
      </c>
      <c r="N644" s="8" t="n">
        <v>0</v>
      </c>
      <c r="O644" s="8" t="n">
        <v>0</v>
      </c>
      <c r="P644" s="8" t="n">
        <v>0</v>
      </c>
      <c r="Q644" s="8" t="n">
        <v>0</v>
      </c>
      <c r="R644" s="13" t="n">
        <v>0</v>
      </c>
      <c r="S644" s="13" t="n">
        <v>0</v>
      </c>
      <c r="T644" s="13"/>
      <c r="U644" s="11" t="n">
        <f aca="false">O644*4 + P644*2 + MAX(0,N644-O644-P644)*1 + Q644*0.2 + R644*2 + S644*1 + IF(T644="",0,IF(T644&lt;=10,8,IF(T644&lt;=50,6,IF(T644&lt;=100,4,2))))</f>
        <v>0</v>
      </c>
      <c r="V644" s="7"/>
      <c r="W644" s="12"/>
      <c r="X644" s="13"/>
      <c r="Y644" s="13" t="s">
        <v>2824</v>
      </c>
    </row>
    <row r="645" customFormat="false" ht="15.75" hidden="false" customHeight="true" outlineLevel="0" collapsed="false">
      <c r="A645" s="7" t="s">
        <v>2825</v>
      </c>
      <c r="B645" s="8" t="n">
        <v>2005</v>
      </c>
      <c r="C645" s="8" t="s">
        <v>35</v>
      </c>
      <c r="D645" s="8" t="n">
        <v>115</v>
      </c>
      <c r="E645" s="7" t="s">
        <v>1886</v>
      </c>
      <c r="F645" s="8" t="n">
        <v>7.1</v>
      </c>
      <c r="G645" s="8"/>
      <c r="H645" s="9" t="n">
        <v>2707</v>
      </c>
      <c r="I645" s="7" t="s">
        <v>2826</v>
      </c>
      <c r="J645" s="7" t="s">
        <v>90</v>
      </c>
      <c r="K645" s="7" t="s">
        <v>47</v>
      </c>
      <c r="L645" s="10" t="s">
        <v>1899</v>
      </c>
      <c r="M645" s="10" t="s">
        <v>2827</v>
      </c>
      <c r="N645" s="8" t="n">
        <v>0</v>
      </c>
      <c r="O645" s="8" t="n">
        <v>0</v>
      </c>
      <c r="P645" s="8" t="n">
        <v>0</v>
      </c>
      <c r="Q645" s="8" t="n">
        <v>0</v>
      </c>
      <c r="R645" s="13" t="n">
        <v>0</v>
      </c>
      <c r="S645" s="13" t="n">
        <v>0</v>
      </c>
      <c r="T645" s="13"/>
      <c r="U645" s="11" t="n">
        <f aca="false">O645*4 + P645*2 + MAX(0,N645-O645-P645)*1 + Q645*0.2 + R645*2 + S645*1 + IF(T645="",0,IF(T645&lt;=10,8,IF(T645&lt;=50,6,IF(T645&lt;=100,4,2))))</f>
        <v>0</v>
      </c>
      <c r="V645" s="7"/>
      <c r="W645" s="12"/>
      <c r="X645" s="13"/>
      <c r="Y645" s="13" t="s">
        <v>2828</v>
      </c>
    </row>
    <row r="646" customFormat="false" ht="15.75" hidden="false" customHeight="true" outlineLevel="0" collapsed="false">
      <c r="A646" s="7" t="s">
        <v>2829</v>
      </c>
      <c r="B646" s="8" t="n">
        <v>2016</v>
      </c>
      <c r="C646" s="8" t="s">
        <v>176</v>
      </c>
      <c r="D646" s="8" t="n">
        <v>145</v>
      </c>
      <c r="E646" s="7" t="s">
        <v>2307</v>
      </c>
      <c r="F646" s="8" t="n">
        <v>8.1</v>
      </c>
      <c r="G646" s="8"/>
      <c r="H646" s="9" t="n">
        <v>207161</v>
      </c>
      <c r="I646" s="7" t="s">
        <v>430</v>
      </c>
      <c r="J646" s="7"/>
      <c r="K646" s="12"/>
      <c r="L646" s="10" t="s">
        <v>380</v>
      </c>
      <c r="M646" s="10" t="s">
        <v>2830</v>
      </c>
      <c r="N646" s="8" t="n">
        <v>0</v>
      </c>
      <c r="O646" s="8" t="n">
        <v>0</v>
      </c>
      <c r="P646" s="8" t="n">
        <v>0</v>
      </c>
      <c r="Q646" s="8" t="n">
        <v>0</v>
      </c>
      <c r="R646" s="13" t="n">
        <v>0</v>
      </c>
      <c r="S646" s="13" t="n">
        <v>0</v>
      </c>
      <c r="T646" s="13"/>
      <c r="U646" s="11" t="n">
        <f aca="false">O646*4 + P646*2 + MAX(0,N646-O646-P646)*1 + Q646*0.2 + R646*2 + S646*1 + IF(T646="",0,IF(T646&lt;=10,8,IF(T646&lt;=50,6,IF(T646&lt;=100,4,2))))</f>
        <v>0</v>
      </c>
      <c r="V646" s="7"/>
      <c r="W646" s="12"/>
      <c r="X646" s="13"/>
      <c r="Y646" s="13" t="s">
        <v>2831</v>
      </c>
    </row>
    <row r="647" customFormat="false" ht="15.75" hidden="false" customHeight="true" outlineLevel="0" collapsed="false">
      <c r="A647" s="7" t="s">
        <v>2832</v>
      </c>
      <c r="B647" s="8" t="n">
        <v>2023</v>
      </c>
      <c r="C647" s="8" t="s">
        <v>378</v>
      </c>
      <c r="D647" s="8" t="n">
        <v>140</v>
      </c>
      <c r="E647" s="7" t="s">
        <v>2833</v>
      </c>
      <c r="F647" s="8" t="n">
        <v>8.5</v>
      </c>
      <c r="G647" s="8"/>
      <c r="H647" s="9" t="n">
        <v>545144</v>
      </c>
      <c r="I647" s="7" t="s">
        <v>46</v>
      </c>
      <c r="J647" s="7" t="s">
        <v>579</v>
      </c>
      <c r="K647" s="7" t="s">
        <v>112</v>
      </c>
      <c r="L647" s="10"/>
      <c r="M647" s="7" t="s">
        <v>2834</v>
      </c>
      <c r="N647" s="8" t="n">
        <v>0</v>
      </c>
      <c r="O647" s="8" t="n">
        <v>0</v>
      </c>
      <c r="P647" s="8" t="n">
        <v>0</v>
      </c>
      <c r="Q647" s="8" t="n">
        <v>1</v>
      </c>
      <c r="R647" s="8" t="n">
        <v>0</v>
      </c>
      <c r="S647" s="8" t="n">
        <v>0</v>
      </c>
      <c r="T647" s="13"/>
      <c r="U647" s="11" t="n">
        <f aca="false">O647*4 + P647*2 + MAX(0,N647-O647-P647)*1 + Q647*0.2 + R647*2 + S647*1 + IF(T647="",0,IF(T647&lt;=10,8,IF(T647&lt;=50,6,IF(T647&lt;=100,4,2))))</f>
        <v>0.2</v>
      </c>
      <c r="V647" s="7"/>
      <c r="W647" s="12"/>
      <c r="X647" s="13"/>
      <c r="Y647" s="13" t="s">
        <v>2835</v>
      </c>
    </row>
    <row r="648" customFormat="false" ht="15.75" hidden="false" customHeight="true" outlineLevel="0" collapsed="false">
      <c r="A648" s="7" t="s">
        <v>2836</v>
      </c>
      <c r="B648" s="8" t="n">
        <v>2021</v>
      </c>
      <c r="C648" s="8" t="s">
        <v>378</v>
      </c>
      <c r="D648" s="8" t="n">
        <v>115</v>
      </c>
      <c r="E648" s="7" t="s">
        <v>752</v>
      </c>
      <c r="F648" s="8" t="n">
        <v>7.1</v>
      </c>
      <c r="G648" s="8"/>
      <c r="H648" s="9" t="n">
        <v>4121</v>
      </c>
      <c r="I648" s="7" t="s">
        <v>232</v>
      </c>
      <c r="J648" s="7" t="s">
        <v>47</v>
      </c>
      <c r="K648" s="7" t="s">
        <v>48</v>
      </c>
      <c r="L648" s="10"/>
      <c r="M648" s="10" t="s">
        <v>2837</v>
      </c>
      <c r="N648" s="8" t="n">
        <v>0</v>
      </c>
      <c r="O648" s="8" t="n">
        <v>0</v>
      </c>
      <c r="P648" s="8" t="n">
        <v>0</v>
      </c>
      <c r="Q648" s="8" t="n">
        <v>0</v>
      </c>
      <c r="R648" s="13" t="n">
        <v>0</v>
      </c>
      <c r="S648" s="13" t="n">
        <v>0</v>
      </c>
      <c r="T648" s="13"/>
      <c r="U648" s="11" t="n">
        <f aca="false">O648*4 + P648*2 + MAX(0,N648-O648-P648)*1 + Q648*0.2 + R648*2 + S648*1 + IF(T648="",0,IF(T648&lt;=10,8,IF(T648&lt;=50,6,IF(T648&lt;=100,4,2))))</f>
        <v>0</v>
      </c>
      <c r="V648" s="7"/>
      <c r="W648" s="12"/>
      <c r="X648" s="13"/>
      <c r="Y648" s="13" t="s">
        <v>2838</v>
      </c>
    </row>
    <row r="649" customFormat="false" ht="15.75" hidden="false" customHeight="true" outlineLevel="0" collapsed="false">
      <c r="A649" s="7" t="s">
        <v>2839</v>
      </c>
      <c r="B649" s="8" t="n">
        <v>2016</v>
      </c>
      <c r="C649" s="8" t="s">
        <v>176</v>
      </c>
      <c r="D649" s="8" t="n">
        <v>106</v>
      </c>
      <c r="E649" s="7" t="s">
        <v>1180</v>
      </c>
      <c r="F649" s="8" t="n">
        <v>7.9</v>
      </c>
      <c r="G649" s="8"/>
      <c r="H649" s="9" t="n">
        <v>108660</v>
      </c>
      <c r="I649" s="7" t="s">
        <v>1364</v>
      </c>
      <c r="J649" s="7" t="s">
        <v>90</v>
      </c>
      <c r="K649" s="7" t="s">
        <v>259</v>
      </c>
      <c r="L649" s="10" t="s">
        <v>507</v>
      </c>
      <c r="M649" s="10" t="s">
        <v>2840</v>
      </c>
      <c r="N649" s="8" t="n">
        <v>0</v>
      </c>
      <c r="O649" s="8" t="n">
        <v>0</v>
      </c>
      <c r="P649" s="8" t="n">
        <v>0</v>
      </c>
      <c r="Q649" s="8" t="n">
        <v>0</v>
      </c>
      <c r="R649" s="13" t="n">
        <v>0</v>
      </c>
      <c r="S649" s="13" t="n">
        <v>0</v>
      </c>
      <c r="T649" s="13"/>
      <c r="U649" s="11" t="n">
        <f aca="false">O649*4 + P649*2 + MAX(0,N649-O649-P649)*1 + Q649*0.2 + R649*2 + S649*1 + IF(T649="",0,IF(T649&lt;=10,8,IF(T649&lt;=50,6,IF(T649&lt;=100,4,2))))</f>
        <v>0</v>
      </c>
      <c r="V649" s="7"/>
      <c r="W649" s="12"/>
      <c r="X649" s="13"/>
      <c r="Y649" s="13" t="s">
        <v>2841</v>
      </c>
    </row>
    <row r="650" customFormat="false" ht="15.75" hidden="false" customHeight="true" outlineLevel="0" collapsed="false">
      <c r="A650" s="7" t="s">
        <v>2842</v>
      </c>
      <c r="B650" s="8" t="n">
        <v>2014</v>
      </c>
      <c r="C650" s="8" t="s">
        <v>176</v>
      </c>
      <c r="D650" s="8" t="n">
        <v>139</v>
      </c>
      <c r="E650" s="7" t="s">
        <v>2843</v>
      </c>
      <c r="F650" s="8" t="n">
        <v>8</v>
      </c>
      <c r="G650" s="8"/>
      <c r="H650" s="9" t="n">
        <v>65992</v>
      </c>
      <c r="I650" s="7" t="s">
        <v>1111</v>
      </c>
      <c r="J650" s="7" t="s">
        <v>47</v>
      </c>
      <c r="K650" s="7"/>
      <c r="L650" s="10" t="s">
        <v>2844</v>
      </c>
      <c r="M650" s="10" t="s">
        <v>2845</v>
      </c>
      <c r="N650" s="8" t="n">
        <v>0</v>
      </c>
      <c r="O650" s="8" t="n">
        <v>0</v>
      </c>
      <c r="P650" s="8" t="n">
        <v>0</v>
      </c>
      <c r="Q650" s="8" t="n">
        <v>0</v>
      </c>
      <c r="R650" s="13" t="n">
        <v>0</v>
      </c>
      <c r="S650" s="13" t="n">
        <v>0</v>
      </c>
      <c r="T650" s="13"/>
      <c r="U650" s="11" t="n">
        <f aca="false">O650*4 + P650*2 + MAX(0,N650-O650-P650)*1 + Q650*0.2 + R650*2 + S650*1 + IF(T650="",0,IF(T650&lt;=10,8,IF(T650&lt;=50,6,IF(T650&lt;=100,4,2))))</f>
        <v>0</v>
      </c>
      <c r="V650" s="7"/>
      <c r="W650" s="12"/>
      <c r="X650" s="13"/>
      <c r="Y650" s="13" t="s">
        <v>2846</v>
      </c>
    </row>
    <row r="651" customFormat="false" ht="15.75" hidden="false" customHeight="true" outlineLevel="0" collapsed="false">
      <c r="A651" s="7" t="s">
        <v>2847</v>
      </c>
      <c r="B651" s="8" t="n">
        <v>2011</v>
      </c>
      <c r="C651" s="8" t="s">
        <v>176</v>
      </c>
      <c r="D651" s="8" t="n">
        <v>89</v>
      </c>
      <c r="E651" s="7" t="s">
        <v>2848</v>
      </c>
      <c r="F651" s="8" t="n">
        <v>7.6</v>
      </c>
      <c r="G651" s="8"/>
      <c r="H651" s="9" t="n">
        <v>4873</v>
      </c>
      <c r="I651" s="7" t="s">
        <v>232</v>
      </c>
      <c r="J651" s="7" t="s">
        <v>579</v>
      </c>
      <c r="K651" s="7" t="s">
        <v>47</v>
      </c>
      <c r="L651" s="10"/>
      <c r="M651" s="10" t="s">
        <v>2849</v>
      </c>
      <c r="N651" s="8" t="n">
        <v>0</v>
      </c>
      <c r="O651" s="8" t="n">
        <v>0</v>
      </c>
      <c r="P651" s="8" t="n">
        <v>0</v>
      </c>
      <c r="Q651" s="8" t="n">
        <v>0</v>
      </c>
      <c r="R651" s="13" t="n">
        <v>0</v>
      </c>
      <c r="S651" s="13" t="n">
        <v>0</v>
      </c>
      <c r="T651" s="13"/>
      <c r="U651" s="11" t="n">
        <f aca="false">O651*4 + P651*2 + MAX(0,N651-O651-P651)*1 + Q651*0.2 + R651*2 + S651*1 + IF(T651="",0,IF(T651&lt;=10,8,IF(T651&lt;=50,6,IF(T651&lt;=100,4,2))))</f>
        <v>0</v>
      </c>
      <c r="V651" s="7"/>
      <c r="W651" s="12"/>
      <c r="X651" s="13"/>
      <c r="Y651" s="13" t="s">
        <v>2850</v>
      </c>
    </row>
    <row r="652" customFormat="false" ht="15.75" hidden="false" customHeight="true" outlineLevel="0" collapsed="false">
      <c r="A652" s="7" t="s">
        <v>2851</v>
      </c>
      <c r="B652" s="8" t="n">
        <v>2018</v>
      </c>
      <c r="C652" s="8" t="s">
        <v>176</v>
      </c>
      <c r="D652" s="8" t="n">
        <v>89</v>
      </c>
      <c r="E652" s="7" t="s">
        <v>2852</v>
      </c>
      <c r="F652" s="8" t="n">
        <v>7.5</v>
      </c>
      <c r="G652" s="8"/>
      <c r="H652" s="9" t="n">
        <v>65882</v>
      </c>
      <c r="I652" s="7" t="s">
        <v>2853</v>
      </c>
      <c r="J652" s="7" t="s">
        <v>90</v>
      </c>
      <c r="K652" s="7" t="s">
        <v>29</v>
      </c>
      <c r="L652" s="10" t="s">
        <v>416</v>
      </c>
      <c r="M652" s="10" t="s">
        <v>2854</v>
      </c>
      <c r="N652" s="8" t="n">
        <v>0</v>
      </c>
      <c r="O652" s="8" t="n">
        <v>0</v>
      </c>
      <c r="P652" s="8" t="n">
        <v>0</v>
      </c>
      <c r="Q652" s="8" t="n">
        <v>3</v>
      </c>
      <c r="R652" s="8" t="n">
        <v>0</v>
      </c>
      <c r="S652" s="8" t="n">
        <v>0</v>
      </c>
      <c r="T652" s="13"/>
      <c r="U652" s="11" t="n">
        <f aca="false">O652*4 + P652*2 + MAX(0,N652-O652-P652)*1 + Q652*0.2 + R652*2 + S652*1 + IF(T652="",0,IF(T652&lt;=10,8,IF(T652&lt;=50,6,IF(T652&lt;=100,4,2))))</f>
        <v>0.6</v>
      </c>
      <c r="V652" s="7"/>
      <c r="W652" s="12"/>
      <c r="X652" s="13"/>
      <c r="Y652" s="13" t="s">
        <v>2855</v>
      </c>
    </row>
    <row r="653" customFormat="false" ht="15.75" hidden="false" customHeight="true" outlineLevel="0" collapsed="false">
      <c r="A653" s="7" t="s">
        <v>2856</v>
      </c>
      <c r="B653" s="8" t="n">
        <v>2002</v>
      </c>
      <c r="C653" s="8" t="s">
        <v>35</v>
      </c>
      <c r="D653" s="8" t="n">
        <v>129</v>
      </c>
      <c r="E653" s="7" t="s">
        <v>2307</v>
      </c>
      <c r="F653" s="8" t="n">
        <v>7.5</v>
      </c>
      <c r="G653" s="8" t="n">
        <v>7</v>
      </c>
      <c r="H653" s="9" t="n">
        <v>82519</v>
      </c>
      <c r="I653" s="7" t="s">
        <v>430</v>
      </c>
      <c r="J653" s="7" t="s">
        <v>131</v>
      </c>
      <c r="K653" s="7" t="s">
        <v>54</v>
      </c>
      <c r="L653" s="10" t="s">
        <v>205</v>
      </c>
      <c r="M653" s="10" t="s">
        <v>2857</v>
      </c>
      <c r="N653" s="8" t="n">
        <v>0</v>
      </c>
      <c r="O653" s="8" t="n">
        <v>0</v>
      </c>
      <c r="P653" s="8" t="n">
        <v>0</v>
      </c>
      <c r="Q653" s="8" t="n">
        <v>0</v>
      </c>
      <c r="R653" s="13" t="n">
        <v>0</v>
      </c>
      <c r="S653" s="13" t="n">
        <v>0</v>
      </c>
      <c r="T653" s="13"/>
      <c r="U653" s="11" t="n">
        <f aca="false">O653*4 + P653*2 + MAX(0,N653-O653-P653)*1 + Q653*0.2 + R653*2 + S653*1 + IF(T653="",0,IF(T653&lt;=10,8,IF(T653&lt;=50,6,IF(T653&lt;=100,4,2))))</f>
        <v>0</v>
      </c>
      <c r="V653" s="7"/>
      <c r="W653" s="12"/>
      <c r="X653" s="13"/>
      <c r="Y653" s="13" t="s">
        <v>2858</v>
      </c>
    </row>
    <row r="654" customFormat="false" ht="15.75" hidden="false" customHeight="true" outlineLevel="0" collapsed="false">
      <c r="A654" s="7" t="s">
        <v>2859</v>
      </c>
      <c r="B654" s="8" t="n">
        <v>2016</v>
      </c>
      <c r="C654" s="8" t="s">
        <v>176</v>
      </c>
      <c r="D654" s="8" t="n">
        <v>101</v>
      </c>
      <c r="E654" s="7" t="s">
        <v>2860</v>
      </c>
      <c r="F654" s="8" t="n">
        <v>7.7</v>
      </c>
      <c r="G654" s="8"/>
      <c r="H654" s="9" t="n">
        <v>147954</v>
      </c>
      <c r="I654" s="7" t="s">
        <v>46</v>
      </c>
      <c r="J654" s="7" t="s">
        <v>579</v>
      </c>
      <c r="K654" s="7" t="s">
        <v>112</v>
      </c>
      <c r="L654" s="10"/>
      <c r="M654" s="10" t="s">
        <v>2861</v>
      </c>
      <c r="N654" s="8" t="n">
        <v>0</v>
      </c>
      <c r="O654" s="8" t="n">
        <v>0</v>
      </c>
      <c r="P654" s="8" t="n">
        <v>0</v>
      </c>
      <c r="Q654" s="8" t="n">
        <v>2</v>
      </c>
      <c r="R654" s="8" t="n">
        <v>0</v>
      </c>
      <c r="S654" s="8" t="n">
        <v>0</v>
      </c>
      <c r="T654" s="13"/>
      <c r="U654" s="11" t="n">
        <f aca="false">O654*4 + P654*2 + MAX(0,N654-O654-P654)*1 + Q654*0.2 + R654*2 + S654*1 + IF(T654="",0,IF(T654&lt;=10,8,IF(T654&lt;=50,6,IF(T654&lt;=100,4,2))))</f>
        <v>0.4</v>
      </c>
      <c r="V654" s="7"/>
      <c r="W654" s="12"/>
      <c r="X654" s="13"/>
      <c r="Y654" s="13" t="s">
        <v>2862</v>
      </c>
    </row>
    <row r="655" customFormat="false" ht="15.75" hidden="false" customHeight="true" outlineLevel="0" collapsed="false">
      <c r="A655" s="7" t="s">
        <v>2863</v>
      </c>
      <c r="B655" s="8" t="n">
        <v>2019</v>
      </c>
      <c r="C655" s="8" t="s">
        <v>176</v>
      </c>
      <c r="D655" s="8" t="n">
        <v>120</v>
      </c>
      <c r="E655" s="7" t="s">
        <v>2864</v>
      </c>
      <c r="F655" s="8" t="n">
        <v>7.7</v>
      </c>
      <c r="G655" s="8"/>
      <c r="H655" s="9" t="n">
        <v>188119</v>
      </c>
      <c r="I655" s="7" t="s">
        <v>46</v>
      </c>
      <c r="J655" s="7" t="s">
        <v>90</v>
      </c>
      <c r="K655" s="7" t="s">
        <v>47</v>
      </c>
      <c r="L655" s="10" t="s">
        <v>507</v>
      </c>
      <c r="M655" s="10" t="s">
        <v>2865</v>
      </c>
      <c r="N655" s="8" t="n">
        <v>2</v>
      </c>
      <c r="O655" s="8" t="n">
        <v>0</v>
      </c>
      <c r="P655" s="8" t="n">
        <v>0</v>
      </c>
      <c r="Q655" s="8" t="n">
        <v>6</v>
      </c>
      <c r="R655" s="8" t="n">
        <v>0</v>
      </c>
      <c r="S655" s="8" t="n">
        <v>0</v>
      </c>
      <c r="T655" s="13"/>
      <c r="U655" s="11" t="n">
        <f aca="false">O655*4 + P655*2 + MAX(0,N655-O655-P655)*1 + Q655*0.2 + R655*2 + S655*1 + IF(T655="",0,IF(T655&lt;=10,8,IF(T655&lt;=50,6,IF(T655&lt;=100,4,2))))</f>
        <v>3.2</v>
      </c>
      <c r="V655" s="7"/>
      <c r="W655" s="12"/>
      <c r="X655" s="13"/>
      <c r="Y655" s="13" t="s">
        <v>2866</v>
      </c>
    </row>
    <row r="656" customFormat="false" ht="15.75" hidden="false" customHeight="true" outlineLevel="0" collapsed="false">
      <c r="A656" s="7" t="s">
        <v>2867</v>
      </c>
      <c r="B656" s="8" t="n">
        <v>2008</v>
      </c>
      <c r="C656" s="8" t="s">
        <v>35</v>
      </c>
      <c r="D656" s="8" t="n">
        <v>122</v>
      </c>
      <c r="E656" s="7" t="s">
        <v>172</v>
      </c>
      <c r="F656" s="8" t="n">
        <v>7.6</v>
      </c>
      <c r="G656" s="8"/>
      <c r="H656" s="9" t="n">
        <v>116246</v>
      </c>
      <c r="I656" s="7" t="s">
        <v>46</v>
      </c>
      <c r="J656" s="7" t="s">
        <v>47</v>
      </c>
      <c r="K656" s="7" t="s">
        <v>48</v>
      </c>
      <c r="L656" s="10"/>
      <c r="M656" s="10" t="s">
        <v>2868</v>
      </c>
      <c r="N656" s="8" t="n">
        <v>0</v>
      </c>
      <c r="O656" s="8" t="n">
        <v>0</v>
      </c>
      <c r="P656" s="8" t="n">
        <v>0</v>
      </c>
      <c r="Q656" s="8" t="n">
        <v>5</v>
      </c>
      <c r="R656" s="8" t="n">
        <v>0</v>
      </c>
      <c r="S656" s="8" t="n">
        <v>0</v>
      </c>
      <c r="T656" s="13"/>
      <c r="U656" s="11" t="n">
        <f aca="false">O656*4 + P656*2 + MAX(0,N656-O656-P656)*1 + Q656*0.2 + R656*2 + S656*1 + IF(T656="",0,IF(T656&lt;=10,8,IF(T656&lt;=50,6,IF(T656&lt;=100,4,2))))</f>
        <v>1</v>
      </c>
      <c r="V656" s="7"/>
      <c r="W656" s="12"/>
      <c r="X656" s="13"/>
      <c r="Y656" s="13" t="s">
        <v>2869</v>
      </c>
    </row>
    <row r="657" customFormat="false" ht="15.75" hidden="false" customHeight="true" outlineLevel="0" collapsed="false">
      <c r="A657" s="7" t="s">
        <v>2870</v>
      </c>
      <c r="B657" s="8" t="n">
        <v>2010</v>
      </c>
      <c r="C657" s="8" t="s">
        <v>176</v>
      </c>
      <c r="D657" s="8" t="n">
        <v>144</v>
      </c>
      <c r="E657" s="7" t="s">
        <v>2871</v>
      </c>
      <c r="F657" s="8" t="n">
        <v>7.8</v>
      </c>
      <c r="G657" s="8"/>
      <c r="H657" s="9" t="n">
        <v>167900</v>
      </c>
      <c r="I657" s="7" t="s">
        <v>430</v>
      </c>
      <c r="J657" s="7" t="s">
        <v>131</v>
      </c>
      <c r="K657" s="7" t="s">
        <v>112</v>
      </c>
      <c r="L657" s="10" t="s">
        <v>2872</v>
      </c>
      <c r="M657" s="10" t="s">
        <v>2873</v>
      </c>
      <c r="N657" s="8" t="n">
        <v>0</v>
      </c>
      <c r="O657" s="8" t="n">
        <v>0</v>
      </c>
      <c r="P657" s="8" t="n">
        <v>0</v>
      </c>
      <c r="Q657" s="8" t="n">
        <v>0</v>
      </c>
      <c r="R657" s="13" t="n">
        <v>0</v>
      </c>
      <c r="S657" s="13" t="n">
        <v>0</v>
      </c>
      <c r="T657" s="13"/>
      <c r="U657" s="11" t="n">
        <f aca="false">O657*4 + P657*2 + MAX(0,N657-O657-P657)*1 + Q657*0.2 + R657*2 + S657*1 + IF(T657="",0,IF(T657&lt;=10,8,IF(T657&lt;=50,6,IF(T657&lt;=100,4,2))))</f>
        <v>0</v>
      </c>
      <c r="V657" s="7"/>
      <c r="W657" s="12"/>
      <c r="X657" s="13"/>
      <c r="Y657" s="13" t="s">
        <v>2874</v>
      </c>
    </row>
    <row r="658" customFormat="false" ht="15.75" hidden="false" customHeight="true" outlineLevel="0" collapsed="false">
      <c r="A658" s="7" t="s">
        <v>2875</v>
      </c>
      <c r="B658" s="8" t="n">
        <v>2005</v>
      </c>
      <c r="C658" s="8" t="s">
        <v>35</v>
      </c>
      <c r="D658" s="8" t="n">
        <v>115</v>
      </c>
      <c r="E658" s="7" t="s">
        <v>2307</v>
      </c>
      <c r="F658" s="8" t="n">
        <v>7.5</v>
      </c>
      <c r="G658" s="8" t="n">
        <v>6</v>
      </c>
      <c r="H658" s="9" t="n">
        <v>94181</v>
      </c>
      <c r="I658" s="7" t="s">
        <v>430</v>
      </c>
      <c r="J658" s="7" t="s">
        <v>131</v>
      </c>
      <c r="K658" s="7" t="s">
        <v>54</v>
      </c>
      <c r="L658" s="10" t="s">
        <v>205</v>
      </c>
      <c r="M658" s="10" t="s">
        <v>2876</v>
      </c>
      <c r="N658" s="8" t="n">
        <v>0</v>
      </c>
      <c r="O658" s="8" t="n">
        <v>0</v>
      </c>
      <c r="P658" s="8" t="n">
        <v>0</v>
      </c>
      <c r="Q658" s="8" t="n">
        <v>0</v>
      </c>
      <c r="R658" s="13" t="n">
        <v>0</v>
      </c>
      <c r="S658" s="13" t="n">
        <v>0</v>
      </c>
      <c r="T658" s="13"/>
      <c r="U658" s="11" t="n">
        <f aca="false">O658*4 + P658*2 + MAX(0,N658-O658-P658)*1 + Q658*0.2 + R658*2 + S658*1 + IF(T658="",0,IF(T658&lt;=10,8,IF(T658&lt;=50,6,IF(T658&lt;=100,4,2))))</f>
        <v>0</v>
      </c>
      <c r="V658" s="7"/>
      <c r="W658" s="12"/>
      <c r="X658" s="13"/>
      <c r="Y658" s="13" t="s">
        <v>2877</v>
      </c>
    </row>
    <row r="659" customFormat="false" ht="15.75" hidden="false" customHeight="true" outlineLevel="0" collapsed="false">
      <c r="A659" s="7" t="s">
        <v>2878</v>
      </c>
      <c r="B659" s="8" t="n">
        <v>2021</v>
      </c>
      <c r="C659" s="8" t="s">
        <v>378</v>
      </c>
      <c r="D659" s="8" t="n">
        <v>130</v>
      </c>
      <c r="E659" s="7" t="s">
        <v>1342</v>
      </c>
      <c r="F659" s="8" t="n">
        <v>7.3</v>
      </c>
      <c r="G659" s="8"/>
      <c r="H659" s="9" t="n">
        <v>54930</v>
      </c>
      <c r="I659" s="7" t="s">
        <v>28</v>
      </c>
      <c r="J659" s="7" t="s">
        <v>47</v>
      </c>
      <c r="K659" s="7"/>
      <c r="L659" s="10" t="s">
        <v>238</v>
      </c>
      <c r="M659" s="10" t="s">
        <v>2879</v>
      </c>
      <c r="N659" s="8" t="n">
        <v>0</v>
      </c>
      <c r="O659" s="8" t="n">
        <v>0</v>
      </c>
      <c r="P659" s="8" t="n">
        <v>0</v>
      </c>
      <c r="Q659" s="8" t="n">
        <v>1</v>
      </c>
      <c r="R659" s="8" t="n">
        <v>0</v>
      </c>
      <c r="S659" s="8" t="n">
        <v>0</v>
      </c>
      <c r="T659" s="13"/>
      <c r="U659" s="11" t="n">
        <f aca="false">O659*4 + P659*2 + MAX(0,N659-O659-P659)*1 + Q659*0.2 + R659*2 + S659*1 + IF(T659="",0,IF(T659&lt;=10,8,IF(T659&lt;=50,6,IF(T659&lt;=100,4,2))))</f>
        <v>0.2</v>
      </c>
      <c r="V659" s="7"/>
      <c r="W659" s="12"/>
      <c r="X659" s="13"/>
      <c r="Y659" s="13" t="s">
        <v>2880</v>
      </c>
    </row>
    <row r="660" customFormat="false" ht="15.75" hidden="false" customHeight="true" outlineLevel="0" collapsed="false">
      <c r="A660" s="7" t="s">
        <v>2881</v>
      </c>
      <c r="B660" s="8" t="n">
        <v>2007</v>
      </c>
      <c r="C660" s="8" t="s">
        <v>35</v>
      </c>
      <c r="D660" s="8" t="n">
        <v>88</v>
      </c>
      <c r="E660" s="7" t="s">
        <v>2882</v>
      </c>
      <c r="F660" s="8" t="n">
        <v>7.6</v>
      </c>
      <c r="G660" s="8" t="n">
        <v>6</v>
      </c>
      <c r="H660" s="9" t="n">
        <v>36422</v>
      </c>
      <c r="I660" s="7" t="s">
        <v>46</v>
      </c>
      <c r="J660" s="7" t="s">
        <v>90</v>
      </c>
      <c r="K660" s="12" t="s">
        <v>30</v>
      </c>
      <c r="L660" s="10"/>
      <c r="M660" s="10" t="s">
        <v>2883</v>
      </c>
      <c r="N660" s="8" t="n">
        <v>0</v>
      </c>
      <c r="O660" s="8" t="n">
        <v>0</v>
      </c>
      <c r="P660" s="8" t="n">
        <v>0</v>
      </c>
      <c r="Q660" s="8" t="n">
        <v>0</v>
      </c>
      <c r="R660" s="13" t="n">
        <v>0</v>
      </c>
      <c r="S660" s="13" t="n">
        <v>0</v>
      </c>
      <c r="T660" s="13"/>
      <c r="U660" s="11" t="n">
        <f aca="false">O660*4 + P660*2 + MAX(0,N660-O660-P660)*1 + Q660*0.2 + R660*2 + S660*1 + IF(T660="",0,IF(T660&lt;=10,8,IF(T660&lt;=50,6,IF(T660&lt;=100,4,2))))</f>
        <v>0</v>
      </c>
      <c r="V660" s="7"/>
      <c r="W660" s="12"/>
      <c r="X660" s="13"/>
      <c r="Y660" s="13" t="s">
        <v>2884</v>
      </c>
    </row>
    <row r="661" customFormat="false" ht="15.75" hidden="false" customHeight="true" outlineLevel="0" collapsed="false">
      <c r="A661" s="7" t="s">
        <v>2885</v>
      </c>
      <c r="B661" s="8" t="n">
        <v>2013</v>
      </c>
      <c r="C661" s="8" t="s">
        <v>176</v>
      </c>
      <c r="D661" s="8" t="n">
        <v>126</v>
      </c>
      <c r="E661" s="7" t="s">
        <v>1646</v>
      </c>
      <c r="F661" s="8" t="n">
        <v>7.8</v>
      </c>
      <c r="G661" s="8"/>
      <c r="H661" s="9" t="n">
        <v>114685</v>
      </c>
      <c r="I661" s="7" t="s">
        <v>124</v>
      </c>
      <c r="J661" s="7" t="s">
        <v>579</v>
      </c>
      <c r="K661" s="7" t="s">
        <v>48</v>
      </c>
      <c r="L661" s="10" t="s">
        <v>238</v>
      </c>
      <c r="M661" s="10" t="s">
        <v>2886</v>
      </c>
      <c r="N661" s="8" t="n">
        <v>0</v>
      </c>
      <c r="O661" s="8" t="n">
        <v>0</v>
      </c>
      <c r="P661" s="8" t="n">
        <v>0</v>
      </c>
      <c r="Q661" s="8" t="n">
        <v>1</v>
      </c>
      <c r="R661" s="8" t="n">
        <v>0</v>
      </c>
      <c r="S661" s="8" t="n">
        <v>0</v>
      </c>
      <c r="T661" s="13"/>
      <c r="U661" s="11" t="n">
        <f aca="false">O661*4 + P661*2 + MAX(0,N661-O661-P661)*1 + Q661*0.2 + R661*2 + S661*1 + IF(T661="",0,IF(T661&lt;=10,8,IF(T661&lt;=50,6,IF(T661&lt;=100,4,2))))</f>
        <v>0.2</v>
      </c>
      <c r="V661" s="7"/>
      <c r="W661" s="12"/>
      <c r="X661" s="13"/>
      <c r="Y661" s="13" t="s">
        <v>2887</v>
      </c>
    </row>
    <row r="662" customFormat="false" ht="15.75" hidden="false" customHeight="true" outlineLevel="0" collapsed="false">
      <c r="A662" s="7" t="s">
        <v>2888</v>
      </c>
      <c r="B662" s="8" t="n">
        <v>2004</v>
      </c>
      <c r="C662" s="8" t="s">
        <v>35</v>
      </c>
      <c r="D662" s="8" t="n">
        <v>127</v>
      </c>
      <c r="E662" s="7" t="s">
        <v>2889</v>
      </c>
      <c r="F662" s="8" t="n">
        <v>7.4</v>
      </c>
      <c r="G662" s="8" t="n">
        <v>6</v>
      </c>
      <c r="H662" s="9" t="n">
        <v>33140</v>
      </c>
      <c r="I662" s="7" t="s">
        <v>794</v>
      </c>
      <c r="J662" s="7" t="s">
        <v>29</v>
      </c>
      <c r="K662" s="7" t="s">
        <v>47</v>
      </c>
      <c r="L662" s="10"/>
      <c r="M662" s="10" t="s">
        <v>2890</v>
      </c>
      <c r="N662" s="8" t="n">
        <v>0</v>
      </c>
      <c r="O662" s="8" t="n">
        <v>0</v>
      </c>
      <c r="P662" s="8" t="n">
        <v>0</v>
      </c>
      <c r="Q662" s="8" t="n">
        <v>0</v>
      </c>
      <c r="R662" s="13" t="n">
        <v>0</v>
      </c>
      <c r="S662" s="13" t="n">
        <v>0</v>
      </c>
      <c r="T662" s="13"/>
      <c r="U662" s="11" t="n">
        <f aca="false">O662*4 + P662*2 + MAX(0,N662-O662-P662)*1 + Q662*0.2 + R662*2 + S662*1 + IF(T662="",0,IF(T662&lt;=10,8,IF(T662&lt;=50,6,IF(T662&lt;=100,4,2))))</f>
        <v>0</v>
      </c>
      <c r="V662" s="7"/>
      <c r="W662" s="12"/>
      <c r="X662" s="13"/>
      <c r="Y662" s="13" t="s">
        <v>2891</v>
      </c>
    </row>
    <row r="663" customFormat="false" ht="15.75" hidden="false" customHeight="true" outlineLevel="0" collapsed="false">
      <c r="A663" s="7" t="s">
        <v>2892</v>
      </c>
      <c r="B663" s="8" t="n">
        <v>2010</v>
      </c>
      <c r="C663" s="8" t="s">
        <v>176</v>
      </c>
      <c r="D663" s="8" t="n">
        <v>115</v>
      </c>
      <c r="E663" s="7" t="s">
        <v>2599</v>
      </c>
      <c r="F663" s="8" t="n">
        <v>8</v>
      </c>
      <c r="G663" s="8"/>
      <c r="H663" s="9" t="n">
        <v>92889</v>
      </c>
      <c r="I663" s="7" t="s">
        <v>139</v>
      </c>
      <c r="J663" s="7" t="s">
        <v>131</v>
      </c>
      <c r="K663" s="7" t="s">
        <v>82</v>
      </c>
      <c r="L663" s="10" t="s">
        <v>2893</v>
      </c>
      <c r="M663" s="10" t="s">
        <v>2894</v>
      </c>
      <c r="N663" s="8" t="n">
        <v>0</v>
      </c>
      <c r="O663" s="8" t="n">
        <v>0</v>
      </c>
      <c r="P663" s="8" t="n">
        <v>0</v>
      </c>
      <c r="Q663" s="8" t="n">
        <v>0</v>
      </c>
      <c r="R663" s="13" t="n">
        <v>0</v>
      </c>
      <c r="S663" s="13" t="n">
        <v>0</v>
      </c>
      <c r="T663" s="13"/>
      <c r="U663" s="11" t="n">
        <f aca="false">O663*4 + P663*2 + MAX(0,N663-O663-P663)*1 + Q663*0.2 + R663*2 + S663*1 + IF(T663="",0,IF(T663&lt;=10,8,IF(T663&lt;=50,6,IF(T663&lt;=100,4,2))))</f>
        <v>0</v>
      </c>
      <c r="V663" s="7"/>
      <c r="W663" s="12"/>
      <c r="X663" s="13"/>
      <c r="Y663" s="13" t="s">
        <v>2895</v>
      </c>
    </row>
    <row r="664" customFormat="false" ht="15.75" hidden="false" customHeight="true" outlineLevel="0" collapsed="false">
      <c r="A664" s="7" t="s">
        <v>2896</v>
      </c>
      <c r="B664" s="8" t="n">
        <v>2004</v>
      </c>
      <c r="C664" s="8" t="s">
        <v>35</v>
      </c>
      <c r="D664" s="8" t="n">
        <v>101</v>
      </c>
      <c r="E664" s="7" t="s">
        <v>2897</v>
      </c>
      <c r="F664" s="8" t="n">
        <v>7.4</v>
      </c>
      <c r="G664" s="8"/>
      <c r="H664" s="9" t="n">
        <v>37719</v>
      </c>
      <c r="I664" s="7" t="s">
        <v>2898</v>
      </c>
      <c r="J664" s="7" t="s">
        <v>47</v>
      </c>
      <c r="K664" s="7" t="s">
        <v>1005</v>
      </c>
      <c r="L664" s="10"/>
      <c r="M664" s="10" t="s">
        <v>2899</v>
      </c>
      <c r="N664" s="8" t="n">
        <v>0</v>
      </c>
      <c r="O664" s="8" t="n">
        <v>0</v>
      </c>
      <c r="P664" s="8" t="n">
        <v>0</v>
      </c>
      <c r="Q664" s="8" t="n">
        <v>1</v>
      </c>
      <c r="R664" s="8" t="n">
        <v>0</v>
      </c>
      <c r="S664" s="8" t="n">
        <v>0</v>
      </c>
      <c r="T664" s="13"/>
      <c r="U664" s="11" t="n">
        <f aca="false">O664*4 + P664*2 + MAX(0,N664-O664-P664)*1 + Q664*0.2 + R664*2 + S664*1 + IF(T664="",0,IF(T664&lt;=10,8,IF(T664&lt;=50,6,IF(T664&lt;=100,4,2))))</f>
        <v>0.2</v>
      </c>
      <c r="V664" s="7"/>
      <c r="W664" s="12"/>
      <c r="X664" s="13"/>
      <c r="Y664" s="13" t="s">
        <v>2900</v>
      </c>
    </row>
    <row r="665" customFormat="false" ht="15.75" hidden="false" customHeight="true" outlineLevel="0" collapsed="false">
      <c r="A665" s="7" t="s">
        <v>2901</v>
      </c>
      <c r="B665" s="8" t="n">
        <v>2023</v>
      </c>
      <c r="C665" s="8" t="s">
        <v>378</v>
      </c>
      <c r="D665" s="8" t="n">
        <v>124</v>
      </c>
      <c r="E665" s="7" t="s">
        <v>1501</v>
      </c>
      <c r="F665" s="8" t="n">
        <v>7.9</v>
      </c>
      <c r="G665" s="8"/>
      <c r="H665" s="9" t="n">
        <v>109936</v>
      </c>
      <c r="I665" s="7" t="s">
        <v>2902</v>
      </c>
      <c r="J665" s="7" t="s">
        <v>47</v>
      </c>
      <c r="K665" s="7"/>
      <c r="L665" s="10" t="s">
        <v>69</v>
      </c>
      <c r="M665" s="10" t="s">
        <v>2903</v>
      </c>
      <c r="N665" s="8" t="n">
        <v>0</v>
      </c>
      <c r="O665" s="8" t="n">
        <v>0</v>
      </c>
      <c r="P665" s="8" t="n">
        <v>0</v>
      </c>
      <c r="Q665" s="8" t="n">
        <v>1</v>
      </c>
      <c r="R665" s="8" t="n">
        <v>0</v>
      </c>
      <c r="S665" s="8" t="n">
        <v>0</v>
      </c>
      <c r="T665" s="13"/>
      <c r="U665" s="11" t="n">
        <f aca="false">O665*4 + P665*2 + MAX(0,N665-O665-P665)*1 + Q665*0.2 + R665*2 + S665*1 + IF(T665="",0,IF(T665&lt;=10,8,IF(T665&lt;=50,6,IF(T665&lt;=100,4,2))))</f>
        <v>0.2</v>
      </c>
      <c r="V665" s="7"/>
      <c r="W665" s="12"/>
      <c r="X665" s="13"/>
      <c r="Y665" s="13" t="s">
        <v>2904</v>
      </c>
    </row>
    <row r="666" customFormat="false" ht="15.75" hidden="false" customHeight="true" outlineLevel="0" collapsed="false">
      <c r="A666" s="7" t="s">
        <v>2905</v>
      </c>
      <c r="B666" s="8" t="n">
        <v>2024</v>
      </c>
      <c r="C666" s="8" t="s">
        <v>378</v>
      </c>
      <c r="D666" s="8" t="n">
        <v>102</v>
      </c>
      <c r="E666" s="7" t="s">
        <v>2906</v>
      </c>
      <c r="F666" s="8" t="n">
        <v>8.1</v>
      </c>
      <c r="G666" s="8"/>
      <c r="H666" s="9" t="n">
        <v>234220</v>
      </c>
      <c r="I666" s="7"/>
      <c r="J666" s="7" t="s">
        <v>579</v>
      </c>
      <c r="K666" s="7" t="s">
        <v>259</v>
      </c>
      <c r="L666" s="10" t="s">
        <v>210</v>
      </c>
      <c r="M666" s="10" t="s">
        <v>2907</v>
      </c>
      <c r="N666" s="8" t="n">
        <v>0</v>
      </c>
      <c r="O666" s="8" t="n">
        <v>0</v>
      </c>
      <c r="P666" s="8" t="n">
        <v>0</v>
      </c>
      <c r="Q666" s="8" t="n">
        <v>3</v>
      </c>
      <c r="R666" s="8" t="n">
        <v>0</v>
      </c>
      <c r="S666" s="8" t="n">
        <v>0</v>
      </c>
      <c r="T666" s="13"/>
      <c r="U666" s="11" t="n">
        <f aca="false">O666*4 + P666*2 + MAX(0,N666-O666-P666)*1 + Q666*0.2 + R666*2 + S666*1 + IF(T666="",0,IF(T666&lt;=10,8,IF(T666&lt;=50,6,IF(T666&lt;=100,4,2))))</f>
        <v>0.6</v>
      </c>
      <c r="V666" s="7"/>
      <c r="W666" s="12"/>
      <c r="X666" s="13"/>
      <c r="Y666" s="13" t="s">
        <v>2908</v>
      </c>
    </row>
    <row r="667" customFormat="false" ht="15.75" hidden="false" customHeight="true" outlineLevel="0" collapsed="false">
      <c r="A667" s="7" t="s">
        <v>2909</v>
      </c>
      <c r="B667" s="8" t="n">
        <v>2006</v>
      </c>
      <c r="C667" s="8" t="s">
        <v>35</v>
      </c>
      <c r="D667" s="8" t="n">
        <v>90</v>
      </c>
      <c r="E667" s="7" t="s">
        <v>2910</v>
      </c>
      <c r="F667" s="8" t="n">
        <v>7.7</v>
      </c>
      <c r="G667" s="8"/>
      <c r="H667" s="9" t="n">
        <v>115044</v>
      </c>
      <c r="I667" s="7" t="s">
        <v>124</v>
      </c>
      <c r="J667" s="7" t="s">
        <v>579</v>
      </c>
      <c r="K667" s="7" t="s">
        <v>38</v>
      </c>
      <c r="L667" s="10"/>
      <c r="M667" s="7" t="s">
        <v>2911</v>
      </c>
      <c r="N667" s="8" t="n">
        <v>0</v>
      </c>
      <c r="O667" s="8" t="n">
        <v>0</v>
      </c>
      <c r="P667" s="8" t="n">
        <v>0</v>
      </c>
      <c r="Q667" s="8" t="n">
        <v>0</v>
      </c>
      <c r="R667" s="8" t="n">
        <v>0</v>
      </c>
      <c r="S667" s="13" t="n">
        <v>0</v>
      </c>
      <c r="T667" s="8"/>
      <c r="U667" s="11" t="n">
        <f aca="false">O667*4 + P667*2 + MAX(0,N667-O667-P667)*1 + Q667*0.2 + R667*2 + S667*1 + IF(T667="",0,IF(T667&lt;=10,8,IF(T667&lt;=50,6,IF(T667&lt;=100,4,2))))</f>
        <v>0</v>
      </c>
      <c r="V667" s="10" t="s">
        <v>2912</v>
      </c>
      <c r="W667" s="12"/>
      <c r="X667" s="8" t="n">
        <v>94</v>
      </c>
      <c r="Y667" s="8" t="s">
        <v>2913</v>
      </c>
    </row>
    <row r="668" customFormat="false" ht="15.75" hidden="false" customHeight="true" outlineLevel="0" collapsed="false">
      <c r="A668" s="7" t="s">
        <v>2914</v>
      </c>
      <c r="B668" s="8" t="n">
        <v>2001</v>
      </c>
      <c r="C668" s="8" t="s">
        <v>35</v>
      </c>
      <c r="D668" s="8" t="n">
        <v>99</v>
      </c>
      <c r="E668" s="7" t="s">
        <v>2915</v>
      </c>
      <c r="F668" s="8" t="n">
        <v>7.3</v>
      </c>
      <c r="G668" s="8"/>
      <c r="H668" s="9" t="n">
        <v>21424</v>
      </c>
      <c r="I668" s="7" t="s">
        <v>28</v>
      </c>
      <c r="J668" s="7" t="s">
        <v>47</v>
      </c>
      <c r="K668" s="7"/>
      <c r="L668" s="10" t="s">
        <v>205</v>
      </c>
      <c r="M668" s="10" t="s">
        <v>2916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1</v>
      </c>
      <c r="S668" s="13" t="n">
        <v>0</v>
      </c>
      <c r="T668" s="13"/>
      <c r="U668" s="11" t="n">
        <f aca="false">O668*4 + P668*2 + MAX(0,N668-O668-P668)*1 + Q668*0.2 + R668*2 + S668*1 + IF(T668="",0,IF(T668&lt;=10,8,IF(T668&lt;=50,6,IF(T668&lt;=100,4,2))))</f>
        <v>2</v>
      </c>
      <c r="V668" s="7"/>
      <c r="W668" s="12"/>
      <c r="X668" s="13"/>
      <c r="Y668" s="13" t="s">
        <v>2917</v>
      </c>
    </row>
    <row r="669" customFormat="false" ht="15.75" hidden="false" customHeight="true" outlineLevel="0" collapsed="false">
      <c r="A669" s="7" t="s">
        <v>2918</v>
      </c>
      <c r="B669" s="8" t="n">
        <v>2003</v>
      </c>
      <c r="C669" s="8" t="s">
        <v>35</v>
      </c>
      <c r="D669" s="8" t="n">
        <v>80</v>
      </c>
      <c r="E669" s="7" t="s">
        <v>2919</v>
      </c>
      <c r="F669" s="8" t="n">
        <v>7.7</v>
      </c>
      <c r="G669" s="8"/>
      <c r="H669" s="9" t="n">
        <v>58550</v>
      </c>
      <c r="I669" s="7" t="s">
        <v>2920</v>
      </c>
      <c r="J669" s="7" t="s">
        <v>579</v>
      </c>
      <c r="K669" s="7" t="s">
        <v>39</v>
      </c>
      <c r="L669" s="10"/>
      <c r="M669" s="10" t="s">
        <v>2921</v>
      </c>
      <c r="N669" s="8" t="n">
        <v>0</v>
      </c>
      <c r="O669" s="8" t="n">
        <v>0</v>
      </c>
      <c r="P669" s="8" t="n">
        <v>0</v>
      </c>
      <c r="Q669" s="8" t="n">
        <v>2</v>
      </c>
      <c r="R669" s="8" t="n">
        <v>0</v>
      </c>
      <c r="S669" s="8" t="n">
        <v>0</v>
      </c>
      <c r="T669" s="13"/>
      <c r="U669" s="11" t="n">
        <f aca="false">O669*4 + P669*2 + MAX(0,N669-O669-P669)*1 + Q669*0.2 + R669*2 + S669*1 + IF(T669="",0,IF(T669&lt;=10,8,IF(T669&lt;=50,6,IF(T669&lt;=100,4,2))))</f>
        <v>0.4</v>
      </c>
      <c r="V669" s="7"/>
      <c r="W669" s="12"/>
      <c r="X669" s="13"/>
      <c r="Y669" s="13" t="s">
        <v>2922</v>
      </c>
    </row>
    <row r="670" customFormat="false" ht="15.75" hidden="false" customHeight="true" outlineLevel="0" collapsed="false">
      <c r="A670" s="7" t="s">
        <v>2923</v>
      </c>
      <c r="B670" s="8" t="n">
        <v>2010</v>
      </c>
      <c r="C670" s="8" t="s">
        <v>176</v>
      </c>
      <c r="D670" s="8" t="n">
        <v>106</v>
      </c>
      <c r="E670" s="7" t="s">
        <v>2924</v>
      </c>
      <c r="F670" s="8" t="n">
        <v>7.6</v>
      </c>
      <c r="G670" s="8"/>
      <c r="H670" s="9" t="n">
        <v>45551</v>
      </c>
      <c r="I670" s="7" t="s">
        <v>124</v>
      </c>
      <c r="J670" s="7" t="s">
        <v>131</v>
      </c>
      <c r="K670" s="7" t="s">
        <v>47</v>
      </c>
      <c r="L670" s="10"/>
      <c r="M670" s="10" t="s">
        <v>2925</v>
      </c>
      <c r="N670" s="8" t="n">
        <v>0</v>
      </c>
      <c r="O670" s="8" t="n">
        <v>0</v>
      </c>
      <c r="P670" s="8" t="n">
        <v>0</v>
      </c>
      <c r="Q670" s="8" t="n">
        <v>0</v>
      </c>
      <c r="R670" s="13" t="n">
        <v>0</v>
      </c>
      <c r="S670" s="13" t="n">
        <v>0</v>
      </c>
      <c r="T670" s="13"/>
      <c r="U670" s="11" t="n">
        <f aca="false">O670*4 + P670*2 + MAX(0,N670-O670-P670)*1 + Q670*0.2 + R670*2 + S670*1 + IF(T670="",0,IF(T670&lt;=10,8,IF(T670&lt;=50,6,IF(T670&lt;=100,4,2))))</f>
        <v>0</v>
      </c>
      <c r="V670" s="7"/>
      <c r="W670" s="12"/>
      <c r="X670" s="13"/>
      <c r="Y670" s="13" t="s">
        <v>2926</v>
      </c>
    </row>
    <row r="671" customFormat="false" ht="15.75" hidden="false" customHeight="true" outlineLevel="0" collapsed="false">
      <c r="A671" s="7" t="s">
        <v>2927</v>
      </c>
      <c r="B671" s="8" t="n">
        <v>2022</v>
      </c>
      <c r="C671" s="8" t="s">
        <v>378</v>
      </c>
      <c r="D671" s="8" t="n">
        <v>102</v>
      </c>
      <c r="E671" s="7" t="s">
        <v>2928</v>
      </c>
      <c r="F671" s="8" t="n">
        <v>7.6</v>
      </c>
      <c r="G671" s="8"/>
      <c r="H671" s="9" t="n">
        <v>131930</v>
      </c>
      <c r="I671" s="7" t="s">
        <v>2929</v>
      </c>
      <c r="J671" s="7" t="s">
        <v>131</v>
      </c>
      <c r="K671" s="7" t="s">
        <v>125</v>
      </c>
      <c r="L671" s="10" t="s">
        <v>374</v>
      </c>
      <c r="M671" s="7" t="s">
        <v>2930</v>
      </c>
      <c r="N671" s="8" t="n">
        <v>0</v>
      </c>
      <c r="O671" s="8" t="n">
        <v>0</v>
      </c>
      <c r="P671" s="8" t="n">
        <v>0</v>
      </c>
      <c r="Q671" s="8" t="n">
        <v>1</v>
      </c>
      <c r="R671" s="8" t="n">
        <v>0</v>
      </c>
      <c r="S671" s="8" t="n">
        <v>0</v>
      </c>
      <c r="T671" s="8"/>
      <c r="U671" s="11" t="n">
        <f aca="false">O671*4 + P671*2 + MAX(0,N671-O671-P671)*1 + Q671*0.2 + R671*2 + S671*1 + IF(T671="",0,IF(T671&lt;=10,8,IF(T671&lt;=50,6,IF(T671&lt;=100,4,2))))</f>
        <v>0.2</v>
      </c>
      <c r="V671" s="10" t="s">
        <v>2931</v>
      </c>
      <c r="W671" s="12"/>
      <c r="X671" s="8" t="n">
        <v>80</v>
      </c>
      <c r="Y671" s="8" t="s">
        <v>2932</v>
      </c>
    </row>
    <row r="672" customFormat="false" ht="15.75" hidden="false" customHeight="true" outlineLevel="0" collapsed="false">
      <c r="A672" s="7" t="s">
        <v>2933</v>
      </c>
      <c r="B672" s="8" t="n">
        <v>2008</v>
      </c>
      <c r="C672" s="8" t="s">
        <v>35</v>
      </c>
      <c r="D672" s="8" t="n">
        <v>106</v>
      </c>
      <c r="E672" s="7" t="s">
        <v>2934</v>
      </c>
      <c r="F672" s="8" t="n">
        <v>8</v>
      </c>
      <c r="G672" s="8" t="n">
        <v>8</v>
      </c>
      <c r="H672" s="9" t="n">
        <v>244818</v>
      </c>
      <c r="I672" s="7" t="s">
        <v>803</v>
      </c>
      <c r="J672" s="7" t="s">
        <v>112</v>
      </c>
      <c r="K672" s="7" t="s">
        <v>48</v>
      </c>
      <c r="L672" s="10"/>
      <c r="M672" s="10" t="s">
        <v>2935</v>
      </c>
      <c r="N672" s="8" t="n">
        <v>0</v>
      </c>
      <c r="O672" s="8" t="n">
        <v>0</v>
      </c>
      <c r="P672" s="8" t="n">
        <v>0</v>
      </c>
      <c r="Q672" s="8" t="n">
        <v>0</v>
      </c>
      <c r="R672" s="13" t="n">
        <v>0</v>
      </c>
      <c r="S672" s="13" t="n">
        <v>0</v>
      </c>
      <c r="T672" s="13"/>
      <c r="U672" s="11" t="n">
        <f aca="false">O672*4 + P672*2 + MAX(0,N672-O672-P672)*1 + Q672*0.2 + R672*2 + S672*1 + IF(T672="",0,IF(T672&lt;=10,8,IF(T672&lt;=50,6,IF(T672&lt;=100,4,2))))</f>
        <v>0</v>
      </c>
      <c r="V672" s="7"/>
      <c r="W672" s="12"/>
      <c r="X672" s="13"/>
      <c r="Y672" s="13" t="s">
        <v>2936</v>
      </c>
    </row>
    <row r="673" customFormat="false" ht="15.75" hidden="false" customHeight="true" outlineLevel="0" collapsed="false">
      <c r="A673" s="7" t="s">
        <v>2937</v>
      </c>
      <c r="B673" s="8" t="n">
        <v>2010</v>
      </c>
      <c r="C673" s="8" t="s">
        <v>176</v>
      </c>
      <c r="D673" s="8" t="n">
        <v>118</v>
      </c>
      <c r="E673" s="7" t="s">
        <v>2938</v>
      </c>
      <c r="F673" s="8" t="n">
        <v>7.6</v>
      </c>
      <c r="G673" s="8"/>
      <c r="H673" s="9" t="n">
        <v>43205</v>
      </c>
      <c r="I673" s="7" t="s">
        <v>2555</v>
      </c>
      <c r="J673" s="7" t="s">
        <v>29</v>
      </c>
      <c r="K673" s="7" t="s">
        <v>47</v>
      </c>
      <c r="L673" s="10" t="s">
        <v>166</v>
      </c>
      <c r="M673" s="10" t="s">
        <v>2939</v>
      </c>
      <c r="N673" s="8" t="n">
        <v>1</v>
      </c>
      <c r="O673" s="8" t="n">
        <v>0</v>
      </c>
      <c r="P673" s="8" t="n">
        <v>0</v>
      </c>
      <c r="Q673" s="8" t="n">
        <v>1</v>
      </c>
      <c r="R673" s="8" t="n">
        <v>0</v>
      </c>
      <c r="S673" s="8" t="n">
        <v>0</v>
      </c>
      <c r="T673" s="13"/>
      <c r="U673" s="11" t="n">
        <f aca="false">O673*4 + P673*2 + MAX(0,N673-O673-P673)*1 + Q673*0.2 + R673*2 + S673*1 + IF(T673="",0,IF(T673&lt;=10,8,IF(T673&lt;=50,6,IF(T673&lt;=100,4,2))))</f>
        <v>1.2</v>
      </c>
      <c r="V673" s="7"/>
      <c r="W673" s="12"/>
      <c r="X673" s="13"/>
      <c r="Y673" s="13" t="s">
        <v>2940</v>
      </c>
    </row>
    <row r="674" customFormat="false" ht="15.75" hidden="false" customHeight="true" outlineLevel="0" collapsed="false">
      <c r="A674" s="7" t="s">
        <v>2941</v>
      </c>
      <c r="B674" s="8" t="n">
        <v>2007</v>
      </c>
      <c r="C674" s="8" t="s">
        <v>35</v>
      </c>
      <c r="D674" s="8" t="n">
        <v>140</v>
      </c>
      <c r="E674" s="7" t="s">
        <v>2942</v>
      </c>
      <c r="F674" s="8" t="n">
        <v>7.5</v>
      </c>
      <c r="G674" s="8"/>
      <c r="H674" s="9" t="n">
        <v>94483</v>
      </c>
      <c r="I674" s="7" t="s">
        <v>2943</v>
      </c>
      <c r="J674" s="7" t="s">
        <v>90</v>
      </c>
      <c r="K674" s="7" t="s">
        <v>48</v>
      </c>
      <c r="L674" s="10"/>
      <c r="M674" s="10" t="s">
        <v>2944</v>
      </c>
      <c r="N674" s="8" t="n">
        <v>2</v>
      </c>
      <c r="O674" s="8" t="n">
        <v>0</v>
      </c>
      <c r="P674" s="8" t="n">
        <v>0</v>
      </c>
      <c r="Q674" s="8" t="n">
        <v>3</v>
      </c>
      <c r="R674" s="8" t="n">
        <v>0</v>
      </c>
      <c r="S674" s="8" t="n">
        <v>0</v>
      </c>
      <c r="T674" s="13"/>
      <c r="U674" s="11" t="n">
        <f aca="false">O674*4 + P674*2 + MAX(0,N674-O674-P674)*1 + Q674*0.2 + R674*2 + S674*1 + IF(T674="",0,IF(T674&lt;=10,8,IF(T674&lt;=50,6,IF(T674&lt;=100,4,2))))</f>
        <v>2.6</v>
      </c>
      <c r="V674" s="7"/>
      <c r="W674" s="12"/>
      <c r="X674" s="13"/>
      <c r="Y674" s="13" t="s">
        <v>2945</v>
      </c>
    </row>
    <row r="675" customFormat="false" ht="15.75" hidden="false" customHeight="true" outlineLevel="0" collapsed="false">
      <c r="A675" s="7" t="s">
        <v>2946</v>
      </c>
      <c r="B675" s="8" t="n">
        <v>2015</v>
      </c>
      <c r="C675" s="8" t="s">
        <v>176</v>
      </c>
      <c r="D675" s="8" t="n">
        <v>105</v>
      </c>
      <c r="E675" s="7" t="s">
        <v>2947</v>
      </c>
      <c r="F675" s="8" t="n">
        <v>7.7</v>
      </c>
      <c r="G675" s="8"/>
      <c r="H675" s="9" t="n">
        <v>145122</v>
      </c>
      <c r="I675" s="7" t="s">
        <v>46</v>
      </c>
      <c r="J675" s="7" t="s">
        <v>30</v>
      </c>
      <c r="K675" s="7" t="s">
        <v>47</v>
      </c>
      <c r="L675" s="10"/>
      <c r="M675" s="10" t="s">
        <v>2948</v>
      </c>
      <c r="N675" s="8" t="n">
        <v>0</v>
      </c>
      <c r="O675" s="8" t="n">
        <v>0</v>
      </c>
      <c r="P675" s="8" t="n">
        <v>0</v>
      </c>
      <c r="Q675" s="8" t="n">
        <v>0</v>
      </c>
      <c r="R675" s="13" t="n">
        <v>0</v>
      </c>
      <c r="S675" s="13" t="n">
        <v>0</v>
      </c>
      <c r="T675" s="13"/>
      <c r="U675" s="11" t="n">
        <f aca="false">O675*4 + P675*2 + MAX(0,N675-O675-P675)*1 + Q675*0.2 + R675*2 + S675*1 + IF(T675="",0,IF(T675&lt;=10,8,IF(T675&lt;=50,6,IF(T675&lt;=100,4,2))))</f>
        <v>0</v>
      </c>
      <c r="V675" s="7"/>
      <c r="W675" s="12"/>
      <c r="X675" s="13"/>
      <c r="Y675" s="13" t="s">
        <v>2949</v>
      </c>
    </row>
    <row r="676" customFormat="false" ht="15.75" hidden="false" customHeight="true" outlineLevel="0" collapsed="false">
      <c r="A676" s="7" t="s">
        <v>2950</v>
      </c>
      <c r="B676" s="8" t="n">
        <v>2016</v>
      </c>
      <c r="C676" s="8" t="s">
        <v>176</v>
      </c>
      <c r="D676" s="8" t="n">
        <v>132</v>
      </c>
      <c r="E676" s="7" t="s">
        <v>2951</v>
      </c>
      <c r="F676" s="8" t="n">
        <v>7.5</v>
      </c>
      <c r="G676" s="8"/>
      <c r="H676" s="9" t="n">
        <v>89501</v>
      </c>
      <c r="I676" s="7" t="s">
        <v>2810</v>
      </c>
      <c r="J676" s="7" t="s">
        <v>47</v>
      </c>
      <c r="K676" s="7"/>
      <c r="L676" s="10" t="s">
        <v>260</v>
      </c>
      <c r="M676" s="10" t="s">
        <v>2952</v>
      </c>
      <c r="N676" s="8" t="n">
        <v>0</v>
      </c>
      <c r="O676" s="8" t="n">
        <v>0</v>
      </c>
      <c r="P676" s="8" t="n">
        <v>0</v>
      </c>
      <c r="Q676" s="8" t="n">
        <v>0</v>
      </c>
      <c r="R676" s="13" t="n">
        <v>0</v>
      </c>
      <c r="S676" s="13" t="n">
        <v>0</v>
      </c>
      <c r="T676" s="13"/>
      <c r="U676" s="11" t="n">
        <f aca="false">O676*4 + P676*2 + MAX(0,N676-O676-P676)*1 + Q676*0.2 + R676*2 + S676*1 + IF(T676="",0,IF(T676&lt;=10,8,IF(T676&lt;=50,6,IF(T676&lt;=100,4,2))))</f>
        <v>0</v>
      </c>
      <c r="V676" s="7"/>
      <c r="W676" s="12"/>
      <c r="X676" s="13"/>
      <c r="Y676" s="13" t="s">
        <v>2953</v>
      </c>
    </row>
    <row r="677" customFormat="false" ht="15.75" hidden="false" customHeight="true" outlineLevel="0" collapsed="false">
      <c r="A677" s="7" t="s">
        <v>2954</v>
      </c>
      <c r="B677" s="8" t="n">
        <v>2001</v>
      </c>
      <c r="C677" s="8" t="s">
        <v>35</v>
      </c>
      <c r="D677" s="8" t="n">
        <v>98</v>
      </c>
      <c r="E677" s="7" t="s">
        <v>2955</v>
      </c>
      <c r="F677" s="8" t="n">
        <v>7.9</v>
      </c>
      <c r="G677" s="8"/>
      <c r="H677" s="9" t="n">
        <v>50799</v>
      </c>
      <c r="I677" s="7" t="s">
        <v>2956</v>
      </c>
      <c r="J677" s="7" t="s">
        <v>154</v>
      </c>
      <c r="K677" s="7" t="s">
        <v>30</v>
      </c>
      <c r="L677" s="10"/>
      <c r="M677" s="10" t="s">
        <v>2957</v>
      </c>
      <c r="N677" s="8" t="n">
        <v>1</v>
      </c>
      <c r="O677" s="8" t="n">
        <v>0</v>
      </c>
      <c r="P677" s="8" t="n">
        <v>0</v>
      </c>
      <c r="Q677" s="8" t="n">
        <v>1</v>
      </c>
      <c r="R677" s="8" t="n">
        <v>0</v>
      </c>
      <c r="S677" s="8" t="n">
        <v>0</v>
      </c>
      <c r="T677" s="13"/>
      <c r="U677" s="11" t="n">
        <f aca="false">O677*4 + P677*2 + MAX(0,N677-O677-P677)*1 + Q677*0.2 + R677*2 + S677*1 + IF(T677="",0,IF(T677&lt;=10,8,IF(T677&lt;=50,6,IF(T677&lt;=100,4,2))))</f>
        <v>1.2</v>
      </c>
      <c r="V677" s="7"/>
      <c r="W677" s="12"/>
      <c r="X677" s="13"/>
      <c r="Y677" s="13" t="s">
        <v>2958</v>
      </c>
    </row>
    <row r="678" customFormat="false" ht="15.75" hidden="false" customHeight="true" outlineLevel="0" collapsed="false">
      <c r="A678" s="7" t="s">
        <v>2959</v>
      </c>
      <c r="B678" s="8" t="n">
        <v>2021</v>
      </c>
      <c r="C678" s="8" t="s">
        <v>378</v>
      </c>
      <c r="D678" s="8" t="n">
        <v>114</v>
      </c>
      <c r="E678" s="7" t="s">
        <v>2960</v>
      </c>
      <c r="F678" s="8" t="n">
        <v>7.6</v>
      </c>
      <c r="G678" s="8"/>
      <c r="H678" s="9" t="n">
        <v>144205</v>
      </c>
      <c r="I678" s="7" t="s">
        <v>2067</v>
      </c>
      <c r="J678" s="7" t="s">
        <v>579</v>
      </c>
      <c r="K678" s="7" t="s">
        <v>39</v>
      </c>
      <c r="L678" s="10" t="s">
        <v>238</v>
      </c>
      <c r="M678" s="10" t="s">
        <v>2961</v>
      </c>
      <c r="N678" s="8" t="n">
        <v>0</v>
      </c>
      <c r="O678" s="8" t="n">
        <v>0</v>
      </c>
      <c r="P678" s="8" t="n">
        <v>0</v>
      </c>
      <c r="Q678" s="8" t="n">
        <v>1</v>
      </c>
      <c r="R678" s="8" t="n">
        <v>0</v>
      </c>
      <c r="S678" s="8" t="n">
        <v>0</v>
      </c>
      <c r="T678" s="13"/>
      <c r="U678" s="11" t="n">
        <f aca="false">O678*4 + P678*2 + MAX(0,N678-O678-P678)*1 + Q678*0.2 + R678*2 + S678*1 + IF(T678="",0,IF(T678&lt;=10,8,IF(T678&lt;=50,6,IF(T678&lt;=100,4,2))))</f>
        <v>0.2</v>
      </c>
      <c r="V678" s="7"/>
      <c r="W678" s="12"/>
      <c r="X678" s="13"/>
      <c r="Y678" s="13" t="s">
        <v>2962</v>
      </c>
    </row>
    <row r="679" customFormat="false" ht="15.75" hidden="false" customHeight="true" outlineLevel="0" collapsed="false">
      <c r="A679" s="7" t="s">
        <v>2963</v>
      </c>
      <c r="B679" s="8" t="n">
        <v>2018</v>
      </c>
      <c r="C679" s="8" t="s">
        <v>176</v>
      </c>
      <c r="D679" s="8" t="n">
        <v>121</v>
      </c>
      <c r="E679" s="7" t="s">
        <v>2964</v>
      </c>
      <c r="F679" s="8" t="n">
        <v>7.9</v>
      </c>
      <c r="G679" s="8"/>
      <c r="H679" s="9" t="n">
        <v>96252</v>
      </c>
      <c r="I679" s="7" t="s">
        <v>124</v>
      </c>
      <c r="J679" s="7" t="s">
        <v>131</v>
      </c>
      <c r="K679" s="7" t="s">
        <v>54</v>
      </c>
      <c r="L679" s="10" t="s">
        <v>2965</v>
      </c>
      <c r="M679" s="10" t="s">
        <v>2966</v>
      </c>
      <c r="N679" s="8" t="n">
        <v>0</v>
      </c>
      <c r="O679" s="8" t="n">
        <v>0</v>
      </c>
      <c r="P679" s="8" t="n">
        <v>0</v>
      </c>
      <c r="Q679" s="8" t="n">
        <v>1</v>
      </c>
      <c r="R679" s="8" t="n">
        <v>1</v>
      </c>
      <c r="S679" s="8" t="n">
        <v>0</v>
      </c>
      <c r="T679" s="13"/>
      <c r="U679" s="11" t="n">
        <f aca="false">O679*4 + P679*2 + MAX(0,N679-O679-P679)*1 + Q679*0.2 + R679*2 + S679*1 + IF(T679="",0,IF(T679&lt;=10,8,IF(T679&lt;=50,6,IF(T679&lt;=100,4,2))))</f>
        <v>2.2</v>
      </c>
      <c r="V679" s="7"/>
      <c r="W679" s="12"/>
      <c r="X679" s="13"/>
      <c r="Y679" s="13" t="s">
        <v>2967</v>
      </c>
    </row>
    <row r="680" customFormat="false" ht="15.75" hidden="false" customHeight="true" outlineLevel="0" collapsed="false">
      <c r="A680" s="7" t="s">
        <v>2968</v>
      </c>
      <c r="B680" s="8" t="n">
        <v>2015</v>
      </c>
      <c r="C680" s="8" t="s">
        <v>176</v>
      </c>
      <c r="D680" s="8" t="n">
        <v>97</v>
      </c>
      <c r="E680" s="7" t="s">
        <v>2969</v>
      </c>
      <c r="F680" s="8" t="n">
        <v>7.6</v>
      </c>
      <c r="G680" s="8"/>
      <c r="H680" s="9" t="n">
        <v>43304</v>
      </c>
      <c r="I680" s="7" t="s">
        <v>2970</v>
      </c>
      <c r="J680" s="7" t="s">
        <v>47</v>
      </c>
      <c r="K680" s="7"/>
      <c r="L680" s="10" t="s">
        <v>517</v>
      </c>
      <c r="M680" s="10" t="s">
        <v>2971</v>
      </c>
      <c r="N680" s="8" t="n">
        <v>0</v>
      </c>
      <c r="O680" s="8" t="n">
        <v>0</v>
      </c>
      <c r="P680" s="8" t="n">
        <v>0</v>
      </c>
      <c r="Q680" s="8" t="n">
        <v>1</v>
      </c>
      <c r="R680" s="8" t="n">
        <v>0</v>
      </c>
      <c r="S680" s="8" t="n">
        <v>0</v>
      </c>
      <c r="T680" s="13"/>
      <c r="U680" s="11" t="n">
        <f aca="false">O680*4 + P680*2 + MAX(0,N680-O680-P680)*1 + Q680*0.2 + R680*2 + S680*1 + IF(T680="",0,IF(T680&lt;=10,8,IF(T680&lt;=50,6,IF(T680&lt;=100,4,2))))</f>
        <v>0.2</v>
      </c>
      <c r="V680" s="7"/>
      <c r="W680" s="12"/>
      <c r="X680" s="13"/>
      <c r="Y680" s="13" t="s">
        <v>2972</v>
      </c>
    </row>
    <row r="681" customFormat="false" ht="15.75" hidden="false" customHeight="true" outlineLevel="0" collapsed="false">
      <c r="A681" s="7" t="s">
        <v>2973</v>
      </c>
      <c r="B681" s="8" t="n">
        <v>2006</v>
      </c>
      <c r="C681" s="8" t="s">
        <v>35</v>
      </c>
      <c r="D681" s="8" t="n">
        <v>117</v>
      </c>
      <c r="E681" s="7" t="s">
        <v>2974</v>
      </c>
      <c r="F681" s="8" t="n">
        <v>7.8</v>
      </c>
      <c r="G681" s="8"/>
      <c r="H681" s="9" t="n">
        <v>130789</v>
      </c>
      <c r="I681" s="7" t="s">
        <v>2975</v>
      </c>
      <c r="J681" s="7" t="s">
        <v>38</v>
      </c>
      <c r="K681" s="7" t="s">
        <v>39</v>
      </c>
      <c r="L681" s="10" t="s">
        <v>720</v>
      </c>
      <c r="M681" s="10" t="s">
        <v>2976</v>
      </c>
      <c r="N681" s="8" t="n">
        <v>0</v>
      </c>
      <c r="O681" s="8" t="n">
        <v>0</v>
      </c>
      <c r="P681" s="8" t="n">
        <v>0</v>
      </c>
      <c r="Q681" s="8" t="n">
        <v>0</v>
      </c>
      <c r="R681" s="13" t="n">
        <v>0</v>
      </c>
      <c r="S681" s="13" t="n">
        <v>0</v>
      </c>
      <c r="T681" s="13"/>
      <c r="U681" s="11" t="n">
        <f aca="false">O681*4 + P681*2 + MAX(0,N681-O681-P681)*1 + Q681*0.2 + R681*2 + S681*1 + IF(T681="",0,IF(T681&lt;=10,8,IF(T681&lt;=50,6,IF(T681&lt;=100,4,2))))</f>
        <v>0</v>
      </c>
      <c r="V681" s="7"/>
      <c r="W681" s="12"/>
      <c r="X681" s="13"/>
      <c r="Y681" s="13" t="s">
        <v>2977</v>
      </c>
    </row>
    <row r="682" customFormat="false" ht="15.75" hidden="false" customHeight="true" outlineLevel="0" collapsed="false">
      <c r="A682" s="7" t="s">
        <v>2978</v>
      </c>
      <c r="B682" s="8" t="n">
        <v>2016</v>
      </c>
      <c r="C682" s="8" t="s">
        <v>176</v>
      </c>
      <c r="D682" s="8" t="n">
        <v>100</v>
      </c>
      <c r="E682" s="7" t="s">
        <v>1615</v>
      </c>
      <c r="F682" s="8" t="n">
        <v>7.8</v>
      </c>
      <c r="G682" s="8"/>
      <c r="H682" s="9" t="n">
        <v>68714</v>
      </c>
      <c r="I682" s="7" t="s">
        <v>2979</v>
      </c>
      <c r="J682" s="7" t="s">
        <v>47</v>
      </c>
      <c r="K682" s="7"/>
      <c r="L682" s="10" t="s">
        <v>416</v>
      </c>
      <c r="M682" s="10" t="s">
        <v>2980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1</v>
      </c>
      <c r="S682" s="13" t="n">
        <v>0</v>
      </c>
      <c r="T682" s="13"/>
      <c r="U682" s="11" t="n">
        <f aca="false">O682*4 + P682*2 + MAX(0,N682-O682-P682)*1 + Q682*0.2 + R682*2 + S682*1 + IF(T682="",0,IF(T682&lt;=10,8,IF(T682&lt;=50,6,IF(T682&lt;=100,4,2))))</f>
        <v>2</v>
      </c>
      <c r="V682" s="7"/>
      <c r="W682" s="12"/>
      <c r="X682" s="13"/>
      <c r="Y682" s="13" t="s">
        <v>2981</v>
      </c>
    </row>
    <row r="683" customFormat="false" ht="15.75" hidden="false" customHeight="true" outlineLevel="0" collapsed="false">
      <c r="A683" s="7" t="s">
        <v>2982</v>
      </c>
      <c r="B683" s="8" t="n">
        <v>2002</v>
      </c>
      <c r="C683" s="8" t="s">
        <v>35</v>
      </c>
      <c r="D683" s="8" t="n">
        <v>108</v>
      </c>
      <c r="E683" s="7" t="s">
        <v>1799</v>
      </c>
      <c r="F683" s="8" t="n">
        <v>7.6</v>
      </c>
      <c r="G683" s="8"/>
      <c r="H683" s="9" t="n">
        <v>2203</v>
      </c>
      <c r="I683" s="7" t="s">
        <v>2336</v>
      </c>
      <c r="J683" s="7" t="s">
        <v>47</v>
      </c>
      <c r="K683" s="7"/>
      <c r="L683" s="10" t="s">
        <v>2983</v>
      </c>
      <c r="M683" s="10" t="s">
        <v>2984</v>
      </c>
      <c r="N683" s="8" t="n">
        <v>0</v>
      </c>
      <c r="O683" s="8" t="n">
        <v>0</v>
      </c>
      <c r="P683" s="8" t="n">
        <v>0</v>
      </c>
      <c r="Q683" s="8" t="n">
        <v>0</v>
      </c>
      <c r="R683" s="13" t="n">
        <v>0</v>
      </c>
      <c r="S683" s="13" t="n">
        <v>0</v>
      </c>
      <c r="T683" s="13"/>
      <c r="U683" s="11" t="n">
        <f aca="false">O683*4 + P683*2 + MAX(0,N683-O683-P683)*1 + Q683*0.2 + R683*2 + S683*1 + IF(T683="",0,IF(T683&lt;=10,8,IF(T683&lt;=50,6,IF(T683&lt;=100,4,2))))</f>
        <v>0</v>
      </c>
      <c r="V683" s="7"/>
      <c r="W683" s="12"/>
      <c r="X683" s="13"/>
      <c r="Y683" s="13" t="s">
        <v>2985</v>
      </c>
    </row>
    <row r="684" customFormat="false" ht="15.75" hidden="false" customHeight="true" outlineLevel="0" collapsed="false">
      <c r="A684" s="7" t="s">
        <v>2986</v>
      </c>
      <c r="B684" s="8" t="n">
        <v>2004</v>
      </c>
      <c r="C684" s="8" t="s">
        <v>35</v>
      </c>
      <c r="D684" s="8" t="n">
        <v>121</v>
      </c>
      <c r="E684" s="7" t="s">
        <v>2987</v>
      </c>
      <c r="F684" s="8" t="n">
        <v>7.8</v>
      </c>
      <c r="G684" s="8"/>
      <c r="H684" s="9" t="n">
        <v>61203</v>
      </c>
      <c r="I684" s="7" t="s">
        <v>2988</v>
      </c>
      <c r="J684" s="7" t="s">
        <v>29</v>
      </c>
      <c r="K684" s="7" t="s">
        <v>47</v>
      </c>
      <c r="L684" s="10" t="s">
        <v>98</v>
      </c>
      <c r="M684" s="10" t="s">
        <v>2989</v>
      </c>
      <c r="N684" s="8" t="n">
        <v>0</v>
      </c>
      <c r="O684" s="8" t="n">
        <v>0</v>
      </c>
      <c r="P684" s="8" t="n">
        <v>0</v>
      </c>
      <c r="Q684" s="8" t="n">
        <v>0</v>
      </c>
      <c r="R684" s="8" t="n">
        <v>1</v>
      </c>
      <c r="S684" s="13" t="n">
        <v>0</v>
      </c>
      <c r="T684" s="13"/>
      <c r="U684" s="11" t="n">
        <f aca="false">O684*4 + P684*2 + MAX(0,N684-O684-P684)*1 + Q684*0.2 + R684*2 + S684*1 + IF(T684="",0,IF(T684&lt;=10,8,IF(T684&lt;=50,6,IF(T684&lt;=100,4,2))))</f>
        <v>2</v>
      </c>
      <c r="V684" s="7"/>
      <c r="W684" s="12"/>
      <c r="X684" s="13"/>
      <c r="Y684" s="13" t="s">
        <v>2990</v>
      </c>
    </row>
    <row r="685" customFormat="false" ht="15.75" hidden="false" customHeight="true" outlineLevel="0" collapsed="false">
      <c r="A685" s="7" t="s">
        <v>2991</v>
      </c>
      <c r="B685" s="8" t="n">
        <v>2024</v>
      </c>
      <c r="C685" s="8" t="s">
        <v>378</v>
      </c>
      <c r="D685" s="8" t="n">
        <v>178</v>
      </c>
      <c r="E685" s="7" t="s">
        <v>2992</v>
      </c>
      <c r="F685" s="8" t="n">
        <v>7.6</v>
      </c>
      <c r="G685" s="8"/>
      <c r="H685" s="9" t="n">
        <v>49919</v>
      </c>
      <c r="I685" s="7" t="s">
        <v>219</v>
      </c>
      <c r="J685" s="7" t="s">
        <v>112</v>
      </c>
      <c r="K685" s="7" t="s">
        <v>39</v>
      </c>
      <c r="L685" s="10"/>
      <c r="M685" s="10" t="s">
        <v>2993</v>
      </c>
      <c r="N685" s="8" t="n">
        <v>0</v>
      </c>
      <c r="O685" s="8" t="n">
        <v>0</v>
      </c>
      <c r="P685" s="8" t="n">
        <v>0</v>
      </c>
      <c r="Q685" s="8" t="n">
        <v>0</v>
      </c>
      <c r="R685" s="13" t="n">
        <v>0</v>
      </c>
      <c r="S685" s="13" t="n">
        <v>0</v>
      </c>
      <c r="T685" s="13"/>
      <c r="U685" s="11" t="n">
        <f aca="false">O685*4 + P685*2 + MAX(0,N685-O685-P685)*1 + Q685*0.2 + R685*2 + S685*1 + IF(T685="",0,IF(T685&lt;=10,8,IF(T685&lt;=50,6,IF(T685&lt;=100,4,2))))</f>
        <v>0</v>
      </c>
      <c r="V685" s="7"/>
      <c r="W685" s="12"/>
      <c r="X685" s="13"/>
      <c r="Y685" s="13" t="s">
        <v>2994</v>
      </c>
    </row>
    <row r="686" customFormat="false" ht="15.75" hidden="false" customHeight="true" outlineLevel="0" collapsed="false">
      <c r="A686" s="7" t="s">
        <v>2995</v>
      </c>
      <c r="B686" s="8" t="n">
        <v>2010</v>
      </c>
      <c r="C686" s="8" t="s">
        <v>176</v>
      </c>
      <c r="D686" s="8" t="n">
        <v>94</v>
      </c>
      <c r="E686" s="7" t="s">
        <v>2996</v>
      </c>
      <c r="F686" s="8" t="n">
        <v>7.2</v>
      </c>
      <c r="G686" s="8"/>
      <c r="H686" s="9" t="n">
        <v>10102</v>
      </c>
      <c r="I686" s="7" t="s">
        <v>2997</v>
      </c>
      <c r="J686" s="7"/>
      <c r="K686" s="12"/>
      <c r="L686" s="10"/>
      <c r="M686" s="10" t="s">
        <v>2998</v>
      </c>
      <c r="N686" s="8" t="n">
        <v>0</v>
      </c>
      <c r="O686" s="8" t="n">
        <v>0</v>
      </c>
      <c r="P686" s="8" t="n">
        <v>0</v>
      </c>
      <c r="Q686" s="8" t="n">
        <v>1</v>
      </c>
      <c r="R686" s="8" t="n">
        <v>0</v>
      </c>
      <c r="S686" s="8" t="n">
        <v>0</v>
      </c>
      <c r="T686" s="13"/>
      <c r="U686" s="11" t="n">
        <f aca="false">O686*4 + P686*2 + MAX(0,N686-O686-P686)*1 + Q686*0.2 + R686*2 + S686*1 + IF(T686="",0,IF(T686&lt;=10,8,IF(T686&lt;=50,6,IF(T686&lt;=100,4,2))))</f>
        <v>0.2</v>
      </c>
      <c r="V686" s="7"/>
      <c r="W686" s="12"/>
      <c r="X686" s="13"/>
      <c r="Y686" s="13" t="s">
        <v>2999</v>
      </c>
    </row>
    <row r="687" customFormat="false" ht="15.75" hidden="false" customHeight="true" outlineLevel="0" collapsed="false">
      <c r="A687" s="7" t="s">
        <v>3000</v>
      </c>
      <c r="B687" s="8" t="n">
        <v>2025</v>
      </c>
      <c r="C687" s="8" t="s">
        <v>378</v>
      </c>
      <c r="D687" s="8" t="n">
        <v>161</v>
      </c>
      <c r="E687" s="7" t="s">
        <v>1192</v>
      </c>
      <c r="F687" s="8" t="n">
        <v>7.6</v>
      </c>
      <c r="G687" s="8" t="n">
        <v>7</v>
      </c>
      <c r="H687" s="9" t="n">
        <v>436897</v>
      </c>
      <c r="I687" s="7"/>
      <c r="J687" s="7" t="s">
        <v>131</v>
      </c>
      <c r="K687" s="7" t="s">
        <v>54</v>
      </c>
      <c r="L687" s="10" t="s">
        <v>155</v>
      </c>
      <c r="M687" s="7" t="s">
        <v>3001</v>
      </c>
      <c r="N687" s="8" t="n">
        <v>6</v>
      </c>
      <c r="O687" s="8" t="n">
        <v>1</v>
      </c>
      <c r="P687" s="8" t="n">
        <v>1</v>
      </c>
      <c r="Q687" s="8" t="n">
        <v>13</v>
      </c>
      <c r="R687" s="8" t="n">
        <v>0</v>
      </c>
      <c r="S687" s="8" t="n">
        <v>0</v>
      </c>
      <c r="T687" s="13"/>
      <c r="U687" s="11" t="n">
        <f aca="false">O687*4 + P687*2 + MAX(0,N687-O687-P687)*1 + Q687*0.2 + R687*2 + S687*1 + IF(T687="",0,IF(T687&lt;=10,8,IF(T687&lt;=50,6,IF(T687&lt;=100,4,2))))</f>
        <v>12.6</v>
      </c>
      <c r="V687" s="7"/>
      <c r="W687" s="12"/>
      <c r="X687" s="13"/>
      <c r="Y687" s="13" t="s">
        <v>3002</v>
      </c>
    </row>
    <row r="688" customFormat="false" ht="15.75" hidden="false" customHeight="true" outlineLevel="0" collapsed="false">
      <c r="A688" s="7" t="s">
        <v>3003</v>
      </c>
      <c r="B688" s="8" t="n">
        <v>2016</v>
      </c>
      <c r="C688" s="8" t="s">
        <v>176</v>
      </c>
      <c r="D688" s="8" t="n">
        <v>118</v>
      </c>
      <c r="E688" s="7" t="s">
        <v>3004</v>
      </c>
      <c r="F688" s="8" t="n">
        <v>7.5</v>
      </c>
      <c r="G688" s="8"/>
      <c r="H688" s="9" t="n">
        <v>14458</v>
      </c>
      <c r="I688" s="7" t="s">
        <v>2336</v>
      </c>
      <c r="J688" s="7" t="s">
        <v>30</v>
      </c>
      <c r="K688" s="7" t="s">
        <v>47</v>
      </c>
      <c r="L688" s="10" t="s">
        <v>210</v>
      </c>
      <c r="M688" s="10" t="s">
        <v>3005</v>
      </c>
      <c r="N688" s="8" t="n">
        <v>0</v>
      </c>
      <c r="O688" s="8" t="n">
        <v>0</v>
      </c>
      <c r="P688" s="8" t="n">
        <v>0</v>
      </c>
      <c r="Q688" s="8" t="n">
        <v>0</v>
      </c>
      <c r="R688" s="13" t="n">
        <v>0</v>
      </c>
      <c r="S688" s="13" t="n">
        <v>0</v>
      </c>
      <c r="T688" s="13"/>
      <c r="U688" s="11" t="n">
        <f aca="false">O688*4 + P688*2 + MAX(0,N688-O688-P688)*1 + Q688*0.2 + R688*2 + S688*1 + IF(T688="",0,IF(T688&lt;=10,8,IF(T688&lt;=50,6,IF(T688&lt;=100,4,2))))</f>
        <v>0</v>
      </c>
      <c r="V688" s="7"/>
      <c r="W688" s="12"/>
      <c r="X688" s="13"/>
      <c r="Y688" s="13" t="s">
        <v>3006</v>
      </c>
    </row>
    <row r="689" customFormat="false" ht="15.75" hidden="false" customHeight="true" outlineLevel="0" collapsed="false">
      <c r="A689" s="7" t="s">
        <v>3007</v>
      </c>
      <c r="B689" s="8" t="n">
        <v>2002</v>
      </c>
      <c r="C689" s="8" t="s">
        <v>35</v>
      </c>
      <c r="D689" s="8" t="n">
        <v>106</v>
      </c>
      <c r="E689" s="7" t="s">
        <v>3008</v>
      </c>
      <c r="F689" s="8" t="n">
        <v>7.1</v>
      </c>
      <c r="G689" s="8"/>
      <c r="H689" s="9" t="n">
        <v>3956</v>
      </c>
      <c r="I689" s="7" t="s">
        <v>292</v>
      </c>
      <c r="J689" s="7" t="s">
        <v>47</v>
      </c>
      <c r="K689" s="7"/>
      <c r="L689" s="10" t="s">
        <v>1078</v>
      </c>
      <c r="M689" s="10" t="s">
        <v>3009</v>
      </c>
      <c r="N689" s="8" t="n">
        <v>0</v>
      </c>
      <c r="O689" s="8" t="n">
        <v>0</v>
      </c>
      <c r="P689" s="8" t="n">
        <v>0</v>
      </c>
      <c r="Q689" s="8" t="n">
        <v>0</v>
      </c>
      <c r="R689" s="13" t="n">
        <v>0</v>
      </c>
      <c r="S689" s="13" t="n">
        <v>0</v>
      </c>
      <c r="T689" s="13"/>
      <c r="U689" s="11" t="n">
        <f aca="false">O689*4 + P689*2 + MAX(0,N689-O689-P689)*1 + Q689*0.2 + R689*2 + S689*1 + IF(T689="",0,IF(T689&lt;=10,8,IF(T689&lt;=50,6,IF(T689&lt;=100,4,2))))</f>
        <v>0</v>
      </c>
      <c r="V689" s="7"/>
      <c r="W689" s="12"/>
      <c r="X689" s="13"/>
      <c r="Y689" s="13" t="s">
        <v>3010</v>
      </c>
    </row>
    <row r="690" customFormat="false" ht="15.75" hidden="false" customHeight="true" outlineLevel="0" collapsed="false">
      <c r="A690" s="7" t="s">
        <v>3011</v>
      </c>
      <c r="B690" s="8" t="n">
        <v>2005</v>
      </c>
      <c r="C690" s="8" t="s">
        <v>35</v>
      </c>
      <c r="D690" s="8" t="n">
        <v>91</v>
      </c>
      <c r="E690" s="7" t="s">
        <v>3012</v>
      </c>
      <c r="F690" s="8" t="n">
        <v>7.4</v>
      </c>
      <c r="G690" s="8"/>
      <c r="H690" s="9" t="n">
        <v>24952</v>
      </c>
      <c r="I690" s="7" t="s">
        <v>3013</v>
      </c>
      <c r="J690" s="7" t="s">
        <v>131</v>
      </c>
      <c r="K690" s="7" t="s">
        <v>54</v>
      </c>
      <c r="L690" s="10"/>
      <c r="M690" s="10" t="s">
        <v>3014</v>
      </c>
      <c r="N690" s="8" t="n">
        <v>0</v>
      </c>
      <c r="O690" s="8" t="n">
        <v>0</v>
      </c>
      <c r="P690" s="8" t="n">
        <v>0</v>
      </c>
      <c r="Q690" s="8" t="n">
        <v>1</v>
      </c>
      <c r="R690" s="8" t="n">
        <v>0</v>
      </c>
      <c r="S690" s="8" t="n">
        <v>0</v>
      </c>
      <c r="T690" s="13"/>
      <c r="U690" s="11" t="n">
        <f aca="false">O690*4 + P690*2 + MAX(0,N690-O690-P690)*1 + Q690*0.2 + R690*2 + S690*1 + IF(T690="",0,IF(T690&lt;=10,8,IF(T690&lt;=50,6,IF(T690&lt;=100,4,2))))</f>
        <v>0.2</v>
      </c>
      <c r="V690" s="7"/>
      <c r="W690" s="12"/>
      <c r="X690" s="13"/>
      <c r="Y690" s="13" t="s">
        <v>3015</v>
      </c>
    </row>
    <row r="691" customFormat="false" ht="15.75" hidden="false" customHeight="true" outlineLevel="0" collapsed="false">
      <c r="A691" s="7" t="s">
        <v>3016</v>
      </c>
      <c r="B691" s="8" t="n">
        <v>2002</v>
      </c>
      <c r="C691" s="8" t="s">
        <v>35</v>
      </c>
      <c r="D691" s="8" t="n">
        <v>109</v>
      </c>
      <c r="E691" s="7" t="s">
        <v>3017</v>
      </c>
      <c r="F691" s="8" t="n">
        <v>7.8</v>
      </c>
      <c r="G691" s="8"/>
      <c r="H691" s="9" t="n">
        <v>56234</v>
      </c>
      <c r="I691" s="7" t="s">
        <v>2555</v>
      </c>
      <c r="J691" s="7"/>
      <c r="K691" s="12"/>
      <c r="L691" s="10"/>
      <c r="M691" s="10" t="s">
        <v>3018</v>
      </c>
      <c r="N691" s="8" t="n">
        <v>0</v>
      </c>
      <c r="O691" s="8" t="n">
        <v>0</v>
      </c>
      <c r="P691" s="8" t="n">
        <v>0</v>
      </c>
      <c r="Q691" s="8" t="n">
        <v>0</v>
      </c>
      <c r="R691" s="13" t="n">
        <v>0</v>
      </c>
      <c r="S691" s="13" t="n">
        <v>0</v>
      </c>
      <c r="T691" s="13"/>
      <c r="U691" s="11" t="n">
        <f aca="false">O691*4 + P691*2 + MAX(0,N691-O691-P691)*1 + Q691*0.2 + R691*2 + S691*1 + IF(T691="",0,IF(T691&lt;=10,8,IF(T691&lt;=50,6,IF(T691&lt;=100,4,2))))</f>
        <v>0</v>
      </c>
      <c r="V691" s="7"/>
      <c r="W691" s="12"/>
      <c r="X691" s="13"/>
      <c r="Y691" s="13" t="s">
        <v>3019</v>
      </c>
    </row>
    <row r="692" customFormat="false" ht="15.75" hidden="false" customHeight="true" outlineLevel="0" collapsed="false">
      <c r="A692" s="7" t="s">
        <v>3020</v>
      </c>
      <c r="B692" s="8" t="n">
        <v>2010</v>
      </c>
      <c r="C692" s="8" t="s">
        <v>176</v>
      </c>
      <c r="D692" s="8" t="n">
        <v>122</v>
      </c>
      <c r="E692" s="7" t="s">
        <v>3021</v>
      </c>
      <c r="F692" s="8" t="n">
        <v>6.9</v>
      </c>
      <c r="G692" s="8"/>
      <c r="H692" s="9" t="n">
        <v>868</v>
      </c>
      <c r="I692" s="7" t="s">
        <v>232</v>
      </c>
      <c r="J692" s="7" t="s">
        <v>30</v>
      </c>
      <c r="K692" s="7" t="s">
        <v>453</v>
      </c>
      <c r="L692" s="10" t="s">
        <v>192</v>
      </c>
      <c r="M692" s="10" t="s">
        <v>3022</v>
      </c>
      <c r="N692" s="8" t="n">
        <v>0</v>
      </c>
      <c r="O692" s="8" t="n">
        <v>0</v>
      </c>
      <c r="P692" s="8" t="n">
        <v>0</v>
      </c>
      <c r="Q692" s="8" t="n">
        <v>0</v>
      </c>
      <c r="R692" s="13" t="n">
        <v>0</v>
      </c>
      <c r="S692" s="13" t="n">
        <v>0</v>
      </c>
      <c r="T692" s="13"/>
      <c r="U692" s="11" t="n">
        <f aca="false">O692*4 + P692*2 + MAX(0,N692-O692-P692)*1 + Q692*0.2 + R692*2 + S692*1 + IF(T692="",0,IF(T692&lt;=10,8,IF(T692&lt;=50,6,IF(T692&lt;=100,4,2))))</f>
        <v>0</v>
      </c>
      <c r="V692" s="7"/>
      <c r="W692" s="12"/>
      <c r="X692" s="13"/>
      <c r="Y692" s="13" t="s">
        <v>3023</v>
      </c>
    </row>
    <row r="693" customFormat="false" ht="15.75" hidden="false" customHeight="true" outlineLevel="0" collapsed="false">
      <c r="A693" s="7" t="s">
        <v>3024</v>
      </c>
      <c r="B693" s="8" t="n">
        <v>2023</v>
      </c>
      <c r="C693" s="8" t="s">
        <v>378</v>
      </c>
      <c r="D693" s="8" t="n">
        <v>105</v>
      </c>
      <c r="E693" s="7" t="s">
        <v>3025</v>
      </c>
      <c r="F693" s="8" t="n">
        <v>7.5</v>
      </c>
      <c r="G693" s="8"/>
      <c r="H693" s="9" t="n">
        <v>4231</v>
      </c>
      <c r="I693" s="7" t="s">
        <v>232</v>
      </c>
      <c r="J693" s="7" t="s">
        <v>47</v>
      </c>
      <c r="K693" s="7" t="s">
        <v>48</v>
      </c>
      <c r="L693" s="10" t="s">
        <v>274</v>
      </c>
      <c r="M693" s="10" t="s">
        <v>3026</v>
      </c>
      <c r="N693" s="8" t="n">
        <v>0</v>
      </c>
      <c r="O693" s="8" t="n">
        <v>0</v>
      </c>
      <c r="P693" s="8" t="n">
        <v>0</v>
      </c>
      <c r="Q693" s="8" t="n">
        <v>0</v>
      </c>
      <c r="R693" s="13" t="n">
        <v>0</v>
      </c>
      <c r="S693" s="13" t="n">
        <v>0</v>
      </c>
      <c r="T693" s="13"/>
      <c r="U693" s="11" t="n">
        <f aca="false">O693*4 + P693*2 + MAX(0,N693-O693-P693)*1 + Q693*0.2 + R693*2 + S693*1 + IF(T693="",0,IF(T693&lt;=10,8,IF(T693&lt;=50,6,IF(T693&lt;=100,4,2))))</f>
        <v>0</v>
      </c>
      <c r="V693" s="7"/>
      <c r="W693" s="12"/>
      <c r="X693" s="13"/>
      <c r="Y693" s="13" t="s">
        <v>3027</v>
      </c>
    </row>
    <row r="694" customFormat="false" ht="15.75" hidden="false" customHeight="true" outlineLevel="0" collapsed="false">
      <c r="A694" s="7" t="s">
        <v>3028</v>
      </c>
      <c r="B694" s="8" t="n">
        <v>2006</v>
      </c>
      <c r="C694" s="8" t="s">
        <v>35</v>
      </c>
      <c r="D694" s="8" t="n">
        <v>98</v>
      </c>
      <c r="E694" s="7" t="s">
        <v>3029</v>
      </c>
      <c r="F694" s="8" t="n">
        <v>7.6</v>
      </c>
      <c r="G694" s="8"/>
      <c r="H694" s="9" t="n">
        <v>76486</v>
      </c>
      <c r="I694" s="7" t="s">
        <v>124</v>
      </c>
      <c r="J694" s="7" t="s">
        <v>579</v>
      </c>
      <c r="K694" s="7" t="s">
        <v>39</v>
      </c>
      <c r="L694" s="10" t="s">
        <v>1686</v>
      </c>
      <c r="M694" s="10" t="s">
        <v>3030</v>
      </c>
      <c r="N694" s="8" t="n">
        <v>0</v>
      </c>
      <c r="O694" s="8" t="n">
        <v>0</v>
      </c>
      <c r="P694" s="8" t="n">
        <v>0</v>
      </c>
      <c r="Q694" s="8" t="n">
        <v>0</v>
      </c>
      <c r="R694" s="13" t="n">
        <v>0</v>
      </c>
      <c r="S694" s="13" t="n">
        <v>0</v>
      </c>
      <c r="T694" s="13"/>
      <c r="U694" s="11" t="n">
        <f aca="false">O694*4 + P694*2 + MAX(0,N694-O694-P694)*1 + Q694*0.2 + R694*2 + S694*1 + IF(T694="",0,IF(T694&lt;=10,8,IF(T694&lt;=50,6,IF(T694&lt;=100,4,2))))</f>
        <v>0</v>
      </c>
      <c r="V694" s="7"/>
      <c r="W694" s="12"/>
      <c r="X694" s="13"/>
      <c r="Y694" s="13" t="s">
        <v>3031</v>
      </c>
    </row>
    <row r="695" customFormat="false" ht="15.75" hidden="false" customHeight="true" outlineLevel="0" collapsed="false">
      <c r="A695" s="7" t="s">
        <v>3032</v>
      </c>
      <c r="B695" s="8" t="n">
        <v>2023</v>
      </c>
      <c r="C695" s="8" t="s">
        <v>378</v>
      </c>
      <c r="D695" s="8" t="n">
        <v>128</v>
      </c>
      <c r="E695" s="7" t="s">
        <v>3033</v>
      </c>
      <c r="F695" s="8" t="n">
        <v>7</v>
      </c>
      <c r="G695" s="8"/>
      <c r="H695" s="9" t="n">
        <v>4861</v>
      </c>
      <c r="I695" s="7" t="s">
        <v>232</v>
      </c>
      <c r="J695" s="7" t="s">
        <v>47</v>
      </c>
      <c r="K695" s="7"/>
      <c r="L695" s="10" t="s">
        <v>3034</v>
      </c>
      <c r="M695" s="10" t="s">
        <v>3035</v>
      </c>
      <c r="N695" s="8" t="n">
        <v>0</v>
      </c>
      <c r="O695" s="8" t="n">
        <v>0</v>
      </c>
      <c r="P695" s="8" t="n">
        <v>0</v>
      </c>
      <c r="Q695" s="8" t="n">
        <v>0</v>
      </c>
      <c r="R695" s="13" t="n">
        <v>0</v>
      </c>
      <c r="S695" s="13" t="n">
        <v>0</v>
      </c>
      <c r="T695" s="13"/>
      <c r="U695" s="11" t="n">
        <f aca="false">O695*4 + P695*2 + MAX(0,N695-O695-P695)*1 + Q695*0.2 + R695*2 + S695*1 + IF(T695="",0,IF(T695&lt;=10,8,IF(T695&lt;=50,6,IF(T695&lt;=100,4,2))))</f>
        <v>0</v>
      </c>
      <c r="V695" s="7"/>
      <c r="W695" s="12"/>
      <c r="X695" s="13"/>
      <c r="Y695" s="13" t="s">
        <v>3036</v>
      </c>
    </row>
    <row r="696" customFormat="false" ht="15.75" hidden="false" customHeight="true" outlineLevel="0" collapsed="false">
      <c r="A696" s="7" t="s">
        <v>3037</v>
      </c>
      <c r="B696" s="8" t="n">
        <v>2023</v>
      </c>
      <c r="C696" s="8" t="s">
        <v>378</v>
      </c>
      <c r="D696" s="8" t="n">
        <v>117</v>
      </c>
      <c r="E696" s="7" t="s">
        <v>3038</v>
      </c>
      <c r="F696" s="8" t="n">
        <v>7.1</v>
      </c>
      <c r="G696" s="8"/>
      <c r="H696" s="9" t="n">
        <v>2022</v>
      </c>
      <c r="I696" s="7" t="s">
        <v>232</v>
      </c>
      <c r="J696" s="7" t="s">
        <v>30</v>
      </c>
      <c r="K696" s="7" t="s">
        <v>48</v>
      </c>
      <c r="L696" s="10" t="s">
        <v>55</v>
      </c>
      <c r="M696" s="10" t="s">
        <v>3039</v>
      </c>
      <c r="N696" s="8" t="n">
        <v>0</v>
      </c>
      <c r="O696" s="8" t="n">
        <v>0</v>
      </c>
      <c r="P696" s="8" t="n">
        <v>0</v>
      </c>
      <c r="Q696" s="8" t="n">
        <v>0</v>
      </c>
      <c r="R696" s="13" t="n">
        <v>0</v>
      </c>
      <c r="S696" s="13" t="n">
        <v>0</v>
      </c>
      <c r="T696" s="13"/>
      <c r="U696" s="11" t="n">
        <f aca="false">O696*4 + P696*2 + MAX(0,N696-O696-P696)*1 + Q696*0.2 + R696*2 + S696*1 + IF(T696="",0,IF(T696&lt;=10,8,IF(T696&lt;=50,6,IF(T696&lt;=100,4,2))))</f>
        <v>0</v>
      </c>
      <c r="V696" s="7"/>
      <c r="W696" s="12"/>
      <c r="X696" s="13"/>
      <c r="Y696" s="13" t="s">
        <v>3040</v>
      </c>
    </row>
    <row r="697" customFormat="false" ht="15.75" hidden="false" customHeight="true" outlineLevel="0" collapsed="false">
      <c r="A697" s="7" t="s">
        <v>748</v>
      </c>
      <c r="B697" s="8" t="n">
        <v>2019</v>
      </c>
      <c r="C697" s="8" t="s">
        <v>176</v>
      </c>
      <c r="D697" s="8" t="n">
        <v>104</v>
      </c>
      <c r="E697" s="7" t="s">
        <v>3041</v>
      </c>
      <c r="F697" s="8" t="n">
        <v>7.6</v>
      </c>
      <c r="G697" s="8"/>
      <c r="H697" s="9" t="n">
        <v>30753</v>
      </c>
      <c r="I697" s="7" t="s">
        <v>219</v>
      </c>
      <c r="J697" s="7" t="s">
        <v>131</v>
      </c>
      <c r="K697" s="7" t="s">
        <v>54</v>
      </c>
      <c r="L697" s="10" t="s">
        <v>3042</v>
      </c>
      <c r="M697" s="10" t="s">
        <v>3043</v>
      </c>
      <c r="N697" s="8" t="n">
        <v>0</v>
      </c>
      <c r="O697" s="8" t="n">
        <v>0</v>
      </c>
      <c r="P697" s="8" t="n">
        <v>0</v>
      </c>
      <c r="Q697" s="8" t="n">
        <v>1</v>
      </c>
      <c r="R697" s="8" t="n">
        <v>0</v>
      </c>
      <c r="S697" s="8" t="n">
        <v>1</v>
      </c>
      <c r="T697" s="13"/>
      <c r="U697" s="11" t="n">
        <f aca="false">O697*4 + P697*2 + MAX(0,N697-O697-P697)*1 + Q697*0.2 + R697*2 + S697*1 + IF(T697="",0,IF(T697&lt;=10,8,IF(T697&lt;=50,6,IF(T697&lt;=100,4,2))))</f>
        <v>1.2</v>
      </c>
      <c r="V697" s="7"/>
      <c r="W697" s="12"/>
      <c r="X697" s="13"/>
      <c r="Y697" s="13" t="s">
        <v>3044</v>
      </c>
    </row>
    <row r="698" customFormat="false" ht="15.75" hidden="false" customHeight="true" outlineLevel="0" collapsed="false">
      <c r="A698" s="7" t="s">
        <v>3045</v>
      </c>
      <c r="B698" s="8" t="n">
        <v>2015</v>
      </c>
      <c r="C698" s="8" t="s">
        <v>176</v>
      </c>
      <c r="D698" s="8" t="n">
        <v>98</v>
      </c>
      <c r="E698" s="7" t="s">
        <v>3046</v>
      </c>
      <c r="F698" s="8" t="n">
        <v>7.2</v>
      </c>
      <c r="G698" s="8"/>
      <c r="H698" s="9" t="n">
        <v>12711</v>
      </c>
      <c r="I698" s="7" t="s">
        <v>3047</v>
      </c>
      <c r="J698" s="7" t="s">
        <v>131</v>
      </c>
      <c r="K698" s="7" t="s">
        <v>125</v>
      </c>
      <c r="L698" s="10" t="s">
        <v>210</v>
      </c>
      <c r="M698" s="10" t="s">
        <v>3048</v>
      </c>
      <c r="N698" s="8" t="n">
        <v>0</v>
      </c>
      <c r="O698" s="8" t="n">
        <v>0</v>
      </c>
      <c r="P698" s="8" t="n">
        <v>0</v>
      </c>
      <c r="Q698" s="8" t="n">
        <v>0</v>
      </c>
      <c r="R698" s="13" t="n">
        <v>0</v>
      </c>
      <c r="S698" s="13" t="n">
        <v>0</v>
      </c>
      <c r="T698" s="13"/>
      <c r="U698" s="11" t="n">
        <f aca="false">O698*4 + P698*2 + MAX(0,N698-O698-P698)*1 + Q698*0.2 + R698*2 + S698*1 + IF(T698="",0,IF(T698&lt;=10,8,IF(T698&lt;=50,6,IF(T698&lt;=100,4,2))))</f>
        <v>0</v>
      </c>
      <c r="V698" s="7"/>
      <c r="W698" s="12"/>
      <c r="X698" s="13"/>
      <c r="Y698" s="13" t="s">
        <v>3049</v>
      </c>
    </row>
    <row r="699" customFormat="false" ht="15.75" hidden="false" customHeight="true" outlineLevel="0" collapsed="false">
      <c r="A699" s="7" t="s">
        <v>3050</v>
      </c>
      <c r="B699" s="8" t="n">
        <v>2008</v>
      </c>
      <c r="C699" s="8" t="s">
        <v>35</v>
      </c>
      <c r="D699" s="8" t="n">
        <v>130</v>
      </c>
      <c r="E699" s="7" t="s">
        <v>3051</v>
      </c>
      <c r="F699" s="8" t="n">
        <v>8</v>
      </c>
      <c r="G699" s="8"/>
      <c r="H699" s="9" t="n">
        <v>57743</v>
      </c>
      <c r="I699" s="7" t="s">
        <v>124</v>
      </c>
      <c r="J699" s="7" t="s">
        <v>47</v>
      </c>
      <c r="K699" s="7"/>
      <c r="L699" s="10"/>
      <c r="M699" s="10" t="s">
        <v>3052</v>
      </c>
      <c r="N699" s="8" t="n">
        <v>1</v>
      </c>
      <c r="O699" s="8" t="n">
        <v>0</v>
      </c>
      <c r="P699" s="8" t="n">
        <v>0</v>
      </c>
      <c r="Q699" s="8" t="n">
        <v>1</v>
      </c>
      <c r="R699" s="8" t="n">
        <v>0</v>
      </c>
      <c r="S699" s="8" t="n">
        <v>0</v>
      </c>
      <c r="T699" s="13"/>
      <c r="U699" s="11" t="n">
        <f aca="false">O699*4 + P699*2 + MAX(0,N699-O699-P699)*1 + Q699*0.2 + R699*2 + S699*1 + IF(T699="",0,IF(T699&lt;=10,8,IF(T699&lt;=50,6,IF(T699&lt;=100,4,2))))</f>
        <v>1.2</v>
      </c>
      <c r="V699" s="7"/>
      <c r="W699" s="12"/>
      <c r="X699" s="13"/>
      <c r="Y699" s="13" t="s">
        <v>3053</v>
      </c>
    </row>
    <row r="700" customFormat="false" ht="15.75" hidden="false" customHeight="true" outlineLevel="0" collapsed="false">
      <c r="A700" s="7" t="s">
        <v>3054</v>
      </c>
      <c r="B700" s="8" t="n">
        <v>2007</v>
      </c>
      <c r="C700" s="8" t="s">
        <v>35</v>
      </c>
      <c r="D700" s="8" t="n">
        <v>122</v>
      </c>
      <c r="E700" s="7" t="s">
        <v>3055</v>
      </c>
      <c r="F700" s="8" t="n">
        <v>7.6</v>
      </c>
      <c r="G700" s="8"/>
      <c r="H700" s="9" t="n">
        <v>72047</v>
      </c>
      <c r="I700" s="7" t="s">
        <v>3056</v>
      </c>
      <c r="J700" s="7" t="s">
        <v>90</v>
      </c>
      <c r="K700" s="7" t="s">
        <v>48</v>
      </c>
      <c r="L700" s="10" t="s">
        <v>3057</v>
      </c>
      <c r="M700" s="10" t="s">
        <v>3058</v>
      </c>
      <c r="N700" s="8" t="n">
        <v>0</v>
      </c>
      <c r="O700" s="8" t="n">
        <v>0</v>
      </c>
      <c r="P700" s="8" t="n">
        <v>0</v>
      </c>
      <c r="Q700" s="8" t="n">
        <v>0</v>
      </c>
      <c r="R700" s="13" t="n">
        <v>0</v>
      </c>
      <c r="S700" s="13" t="n">
        <v>0</v>
      </c>
      <c r="T700" s="13"/>
      <c r="U700" s="11" t="n">
        <f aca="false">O700*4 + P700*2 + MAX(0,N700-O700-P700)*1 + Q700*0.2 + R700*2 + S700*1 + IF(T700="",0,IF(T700&lt;=10,8,IF(T700&lt;=50,6,IF(T700&lt;=100,4,2))))</f>
        <v>0</v>
      </c>
      <c r="V700" s="7"/>
      <c r="W700" s="12"/>
      <c r="X700" s="13"/>
      <c r="Y700" s="13" t="s">
        <v>3059</v>
      </c>
    </row>
    <row r="701" customFormat="false" ht="15.75" hidden="false" customHeight="true" outlineLevel="0" collapsed="false">
      <c r="A701" s="7" t="s">
        <v>3060</v>
      </c>
      <c r="B701" s="8" t="n">
        <v>2009</v>
      </c>
      <c r="C701" s="8" t="s">
        <v>35</v>
      </c>
      <c r="D701" s="8" t="n">
        <v>119</v>
      </c>
      <c r="E701" s="7" t="s">
        <v>3061</v>
      </c>
      <c r="F701" s="8" t="n">
        <v>7.5</v>
      </c>
      <c r="G701" s="8"/>
      <c r="H701" s="9" t="n">
        <v>19211</v>
      </c>
      <c r="I701" s="7" t="s">
        <v>3062</v>
      </c>
      <c r="J701" s="7" t="s">
        <v>90</v>
      </c>
      <c r="K701" s="7" t="s">
        <v>30</v>
      </c>
      <c r="L701" s="10" t="s">
        <v>113</v>
      </c>
      <c r="M701" s="10" t="s">
        <v>3063</v>
      </c>
      <c r="N701" s="8" t="n">
        <v>0</v>
      </c>
      <c r="O701" s="8" t="n">
        <v>0</v>
      </c>
      <c r="P701" s="8" t="n">
        <v>0</v>
      </c>
      <c r="Q701" s="8" t="n">
        <v>0</v>
      </c>
      <c r="R701" s="13" t="n">
        <v>0</v>
      </c>
      <c r="S701" s="13" t="n">
        <v>0</v>
      </c>
      <c r="T701" s="13"/>
      <c r="U701" s="11" t="n">
        <f aca="false">O701*4 + P701*2 + MAX(0,N701-O701-P701)*1 + Q701*0.2 + R701*2 + S701*1 + IF(T701="",0,IF(T701&lt;=10,8,IF(T701&lt;=50,6,IF(T701&lt;=100,4,2))))</f>
        <v>0</v>
      </c>
      <c r="V701" s="7"/>
      <c r="W701" s="12"/>
      <c r="X701" s="13"/>
      <c r="Y701" s="13" t="s">
        <v>3064</v>
      </c>
    </row>
    <row r="702" customFormat="false" ht="15.75" hidden="false" customHeight="true" outlineLevel="0" collapsed="false">
      <c r="A702" s="7" t="s">
        <v>3065</v>
      </c>
      <c r="B702" s="8" t="n">
        <v>2018</v>
      </c>
      <c r="C702" s="8" t="s">
        <v>176</v>
      </c>
      <c r="D702" s="8" t="n">
        <v>126</v>
      </c>
      <c r="E702" s="7" t="s">
        <v>3066</v>
      </c>
      <c r="F702" s="8" t="n">
        <v>8.4</v>
      </c>
      <c r="G702" s="8"/>
      <c r="H702" s="9" t="n">
        <v>126160</v>
      </c>
      <c r="I702" s="7" t="s">
        <v>3067</v>
      </c>
      <c r="J702" s="7" t="s">
        <v>47</v>
      </c>
      <c r="K702" s="7"/>
      <c r="L702" s="10" t="s">
        <v>3042</v>
      </c>
      <c r="M702" s="10" t="s">
        <v>3068</v>
      </c>
      <c r="N702" s="8" t="n">
        <v>0</v>
      </c>
      <c r="O702" s="8" t="n">
        <v>0</v>
      </c>
      <c r="P702" s="8" t="n">
        <v>0</v>
      </c>
      <c r="Q702" s="8" t="n">
        <v>1</v>
      </c>
      <c r="R702" s="8" t="n">
        <v>0</v>
      </c>
      <c r="S702" s="8" t="n">
        <v>0</v>
      </c>
      <c r="T702" s="13"/>
      <c r="U702" s="11" t="n">
        <f aca="false">O702*4 + P702*2 + MAX(0,N702-O702-P702)*1 + Q702*0.2 + R702*2 + S702*1 + IF(T702="",0,IF(T702&lt;=10,8,IF(T702&lt;=50,6,IF(T702&lt;=100,4,2))))</f>
        <v>0.2</v>
      </c>
      <c r="V702" s="7"/>
      <c r="W702" s="12"/>
      <c r="X702" s="13"/>
      <c r="Y702" s="13" t="s">
        <v>3069</v>
      </c>
    </row>
    <row r="703" customFormat="false" ht="15.75" hidden="false" customHeight="true" outlineLevel="0" collapsed="false">
      <c r="A703" s="7" t="s">
        <v>3070</v>
      </c>
      <c r="B703" s="8" t="n">
        <v>2022</v>
      </c>
      <c r="C703" s="8" t="s">
        <v>378</v>
      </c>
      <c r="D703" s="8" t="n">
        <v>102</v>
      </c>
      <c r="E703" s="7" t="s">
        <v>3071</v>
      </c>
      <c r="F703" s="8" t="n">
        <v>7.9</v>
      </c>
      <c r="G703" s="8"/>
      <c r="H703" s="9" t="n">
        <v>229740</v>
      </c>
      <c r="I703" s="7" t="s">
        <v>46</v>
      </c>
      <c r="J703" s="7" t="s">
        <v>579</v>
      </c>
      <c r="K703" s="7" t="s">
        <v>112</v>
      </c>
      <c r="L703" s="10" t="s">
        <v>238</v>
      </c>
      <c r="M703" s="10" t="s">
        <v>3072</v>
      </c>
      <c r="N703" s="8" t="n">
        <v>0</v>
      </c>
      <c r="O703" s="8" t="n">
        <v>0</v>
      </c>
      <c r="P703" s="8" t="n">
        <v>0</v>
      </c>
      <c r="Q703" s="8" t="n">
        <v>1</v>
      </c>
      <c r="R703" s="8" t="n">
        <v>0</v>
      </c>
      <c r="S703" s="8" t="n">
        <v>0</v>
      </c>
      <c r="T703" s="13"/>
      <c r="U703" s="11" t="n">
        <f aca="false">O703*4 + P703*2 + MAX(0,N703-O703-P703)*1 + Q703*0.2 + R703*2 + S703*1 + IF(T703="",0,IF(T703&lt;=10,8,IF(T703&lt;=50,6,IF(T703&lt;=100,4,2))))</f>
        <v>0.2</v>
      </c>
      <c r="V703" s="7"/>
      <c r="W703" s="12"/>
      <c r="X703" s="13"/>
      <c r="Y703" s="13" t="s">
        <v>3073</v>
      </c>
    </row>
    <row r="704" customFormat="false" ht="15.75" hidden="false" customHeight="true" outlineLevel="0" collapsed="false">
      <c r="A704" s="7" t="s">
        <v>3074</v>
      </c>
      <c r="B704" s="8" t="n">
        <v>2005</v>
      </c>
      <c r="C704" s="8" t="s">
        <v>35</v>
      </c>
      <c r="D704" s="8" t="n">
        <v>112</v>
      </c>
      <c r="E704" s="7" t="s">
        <v>2335</v>
      </c>
      <c r="F704" s="8" t="n">
        <v>7.5</v>
      </c>
      <c r="G704" s="8"/>
      <c r="H704" s="9" t="n">
        <v>7987</v>
      </c>
      <c r="I704" s="7" t="s">
        <v>292</v>
      </c>
      <c r="J704" s="7" t="s">
        <v>112</v>
      </c>
      <c r="K704" s="7" t="s">
        <v>54</v>
      </c>
      <c r="L704" s="10"/>
      <c r="M704" s="10" t="s">
        <v>3075</v>
      </c>
      <c r="N704" s="8" t="n">
        <v>0</v>
      </c>
      <c r="O704" s="8" t="n">
        <v>0</v>
      </c>
      <c r="P704" s="8" t="n">
        <v>0</v>
      </c>
      <c r="Q704" s="8" t="n">
        <v>0</v>
      </c>
      <c r="R704" s="13" t="n">
        <v>0</v>
      </c>
      <c r="S704" s="13" t="n">
        <v>0</v>
      </c>
      <c r="T704" s="13"/>
      <c r="U704" s="11" t="n">
        <f aca="false">O704*4 + P704*2 + MAX(0,N704-O704-P704)*1 + Q704*0.2 + R704*2 + S704*1 + IF(T704="",0,IF(T704&lt;=10,8,IF(T704&lt;=50,6,IF(T704&lt;=100,4,2))))</f>
        <v>0</v>
      </c>
      <c r="V704" s="7"/>
      <c r="W704" s="12"/>
      <c r="X704" s="13"/>
      <c r="Y704" s="13" t="s">
        <v>3076</v>
      </c>
    </row>
    <row r="705" customFormat="false" ht="15.75" hidden="false" customHeight="true" outlineLevel="0" collapsed="false">
      <c r="A705" s="7" t="s">
        <v>3077</v>
      </c>
      <c r="B705" s="8" t="n">
        <v>2010</v>
      </c>
      <c r="C705" s="8" t="s">
        <v>176</v>
      </c>
      <c r="D705" s="8" t="n">
        <v>94</v>
      </c>
      <c r="E705" s="7" t="s">
        <v>3078</v>
      </c>
      <c r="F705" s="8" t="n">
        <v>7.6</v>
      </c>
      <c r="G705" s="8"/>
      <c r="H705" s="9" t="n">
        <v>118597</v>
      </c>
      <c r="I705" s="7" t="s">
        <v>124</v>
      </c>
      <c r="J705" s="7" t="s">
        <v>579</v>
      </c>
      <c r="K705" s="7" t="s">
        <v>39</v>
      </c>
      <c r="L705" s="10" t="s">
        <v>238</v>
      </c>
      <c r="M705" s="10" t="s">
        <v>3079</v>
      </c>
      <c r="N705" s="8" t="n">
        <v>0</v>
      </c>
      <c r="O705" s="8" t="n">
        <v>0</v>
      </c>
      <c r="P705" s="8" t="n">
        <v>0</v>
      </c>
      <c r="Q705" s="8" t="n">
        <v>0</v>
      </c>
      <c r="R705" s="13" t="n">
        <v>0</v>
      </c>
      <c r="S705" s="13" t="n">
        <v>0</v>
      </c>
      <c r="T705" s="13"/>
      <c r="U705" s="11" t="n">
        <f aca="false">O705*4 + P705*2 + MAX(0,N705-O705-P705)*1 + Q705*0.2 + R705*2 + S705*1 + IF(T705="",0,IF(T705&lt;=10,8,IF(T705&lt;=50,6,IF(T705&lt;=100,4,2))))</f>
        <v>0</v>
      </c>
      <c r="V705" s="7"/>
      <c r="W705" s="12"/>
      <c r="X705" s="13"/>
      <c r="Y705" s="13" t="s">
        <v>3080</v>
      </c>
    </row>
    <row r="706" customFormat="false" ht="15.75" hidden="false" customHeight="true" outlineLevel="0" collapsed="false">
      <c r="A706" s="7" t="s">
        <v>3081</v>
      </c>
      <c r="B706" s="8" t="n">
        <v>2011</v>
      </c>
      <c r="C706" s="8" t="s">
        <v>176</v>
      </c>
      <c r="D706" s="8" t="n">
        <v>146</v>
      </c>
      <c r="E706" s="7" t="s">
        <v>966</v>
      </c>
      <c r="F706" s="8" t="n">
        <v>7.5</v>
      </c>
      <c r="G706" s="8"/>
      <c r="H706" s="9" t="n">
        <v>58663</v>
      </c>
      <c r="I706" s="7" t="s">
        <v>2562</v>
      </c>
      <c r="J706" s="7" t="s">
        <v>29</v>
      </c>
      <c r="K706" s="7" t="s">
        <v>453</v>
      </c>
      <c r="L706" s="10"/>
      <c r="M706" s="10" t="s">
        <v>3082</v>
      </c>
      <c r="N706" s="8" t="n">
        <v>0</v>
      </c>
      <c r="O706" s="8" t="n">
        <v>0</v>
      </c>
      <c r="P706" s="8" t="n">
        <v>0</v>
      </c>
      <c r="Q706" s="8" t="n">
        <v>0</v>
      </c>
      <c r="R706" s="13" t="n">
        <v>0</v>
      </c>
      <c r="S706" s="13" t="n">
        <v>0</v>
      </c>
      <c r="T706" s="13"/>
      <c r="U706" s="11" t="n">
        <f aca="false">O706*4 + P706*2 + MAX(0,N706-O706-P706)*1 + Q706*0.2 + R706*2 + S706*1 + IF(T706="",0,IF(T706&lt;=10,8,IF(T706&lt;=50,6,IF(T706&lt;=100,4,2))))</f>
        <v>0</v>
      </c>
      <c r="V706" s="7"/>
      <c r="W706" s="12"/>
      <c r="X706" s="13"/>
      <c r="Y706" s="13" t="s">
        <v>3083</v>
      </c>
    </row>
    <row r="707" customFormat="false" ht="15.75" hidden="false" customHeight="true" outlineLevel="0" collapsed="false">
      <c r="A707" s="7" t="s">
        <v>3084</v>
      </c>
      <c r="B707" s="8" t="n">
        <v>2023</v>
      </c>
      <c r="C707" s="8" t="s">
        <v>378</v>
      </c>
      <c r="D707" s="8" t="n">
        <v>103</v>
      </c>
      <c r="E707" s="7" t="s">
        <v>2758</v>
      </c>
      <c r="F707" s="8" t="n">
        <v>7.6</v>
      </c>
      <c r="G707" s="8"/>
      <c r="H707" s="9" t="n">
        <v>25581</v>
      </c>
      <c r="I707" s="7" t="s">
        <v>2721</v>
      </c>
      <c r="J707" s="7" t="s">
        <v>579</v>
      </c>
      <c r="K707" s="7" t="s">
        <v>30</v>
      </c>
      <c r="L707" s="10" t="s">
        <v>380</v>
      </c>
      <c r="M707" s="10" t="s">
        <v>3085</v>
      </c>
      <c r="N707" s="8" t="n">
        <v>0</v>
      </c>
      <c r="O707" s="8" t="n">
        <v>0</v>
      </c>
      <c r="P707" s="8" t="n">
        <v>0</v>
      </c>
      <c r="Q707" s="8" t="n">
        <v>1</v>
      </c>
      <c r="R707" s="8" t="n">
        <v>0</v>
      </c>
      <c r="S707" s="8" t="n">
        <v>0</v>
      </c>
      <c r="T707" s="13"/>
      <c r="U707" s="11" t="n">
        <f aca="false">O707*4 + P707*2 + MAX(0,N707-O707-P707)*1 + Q707*0.2 + R707*2 + S707*1 + IF(T707="",0,IF(T707&lt;=10,8,IF(T707&lt;=50,6,IF(T707&lt;=100,4,2))))</f>
        <v>0.2</v>
      </c>
      <c r="V707" s="7"/>
      <c r="W707" s="12"/>
      <c r="X707" s="13"/>
      <c r="Y707" s="13" t="s">
        <v>3086</v>
      </c>
    </row>
    <row r="708" customFormat="false" ht="15.75" hidden="false" customHeight="true" outlineLevel="0" collapsed="false">
      <c r="A708" s="7" t="s">
        <v>3087</v>
      </c>
      <c r="B708" s="8" t="n">
        <v>2002</v>
      </c>
      <c r="C708" s="8" t="s">
        <v>35</v>
      </c>
      <c r="D708" s="8" t="n">
        <v>111</v>
      </c>
      <c r="E708" s="7" t="s">
        <v>2266</v>
      </c>
      <c r="F708" s="8" t="n">
        <v>7.6</v>
      </c>
      <c r="G708" s="8"/>
      <c r="H708" s="9" t="n">
        <v>26833</v>
      </c>
      <c r="I708" s="7" t="s">
        <v>3088</v>
      </c>
      <c r="J708" s="7"/>
      <c r="K708" s="12"/>
      <c r="L708" s="10"/>
      <c r="M708" s="10" t="s">
        <v>3089</v>
      </c>
      <c r="N708" s="8" t="n">
        <v>0</v>
      </c>
      <c r="O708" s="8" t="n">
        <v>0</v>
      </c>
      <c r="P708" s="8" t="n">
        <v>0</v>
      </c>
      <c r="Q708" s="8" t="n">
        <v>0</v>
      </c>
      <c r="R708" s="13" t="n">
        <v>0</v>
      </c>
      <c r="S708" s="13" t="n">
        <v>0</v>
      </c>
      <c r="T708" s="13"/>
      <c r="U708" s="11" t="n">
        <f aca="false">O708*4 + P708*2 + MAX(0,N708-O708-P708)*1 + Q708*0.2 + R708*2 + S708*1 + IF(T708="",0,IF(T708&lt;=10,8,IF(T708&lt;=50,6,IF(T708&lt;=100,4,2))))</f>
        <v>0</v>
      </c>
      <c r="V708" s="7"/>
      <c r="W708" s="12"/>
      <c r="X708" s="13"/>
      <c r="Y708" s="13" t="s">
        <v>3090</v>
      </c>
    </row>
    <row r="709" customFormat="false" ht="15.75" hidden="false" customHeight="true" outlineLevel="0" collapsed="false">
      <c r="A709" s="7" t="s">
        <v>3091</v>
      </c>
      <c r="B709" s="8" t="n">
        <v>2008</v>
      </c>
      <c r="C709" s="8" t="s">
        <v>35</v>
      </c>
      <c r="D709" s="8" t="n">
        <v>114</v>
      </c>
      <c r="E709" s="7" t="s">
        <v>3092</v>
      </c>
      <c r="F709" s="8" t="n">
        <v>7.5</v>
      </c>
      <c r="G709" s="8"/>
      <c r="H709" s="9" t="n">
        <v>10493</v>
      </c>
      <c r="I709" s="7" t="s">
        <v>219</v>
      </c>
      <c r="J709" s="7" t="s">
        <v>47</v>
      </c>
      <c r="K709" s="7"/>
      <c r="L709" s="10"/>
      <c r="M709" s="10" t="s">
        <v>3093</v>
      </c>
      <c r="N709" s="8" t="n">
        <v>0</v>
      </c>
      <c r="O709" s="8" t="n">
        <v>0</v>
      </c>
      <c r="P709" s="8" t="n">
        <v>0</v>
      </c>
      <c r="Q709" s="8" t="n">
        <v>0</v>
      </c>
      <c r="R709" s="13" t="n">
        <v>0</v>
      </c>
      <c r="S709" s="13" t="n">
        <v>0</v>
      </c>
      <c r="T709" s="13"/>
      <c r="U709" s="11" t="n">
        <f aca="false">O709*4 + P709*2 + MAX(0,N709-O709-P709)*1 + Q709*0.2 + R709*2 + S709*1 + IF(T709="",0,IF(T709&lt;=10,8,IF(T709&lt;=50,6,IF(T709&lt;=100,4,2))))</f>
        <v>0</v>
      </c>
      <c r="V709" s="7"/>
      <c r="W709" s="12"/>
      <c r="X709" s="13"/>
      <c r="Y709" s="13" t="s">
        <v>3094</v>
      </c>
    </row>
    <row r="710" customFormat="false" ht="15.75" hidden="false" customHeight="true" outlineLevel="0" collapsed="false">
      <c r="A710" s="7" t="s">
        <v>3095</v>
      </c>
      <c r="B710" s="8" t="n">
        <v>2002</v>
      </c>
      <c r="C710" s="8" t="s">
        <v>35</v>
      </c>
      <c r="D710" s="8" t="n">
        <v>125</v>
      </c>
      <c r="E710" s="7" t="s">
        <v>3096</v>
      </c>
      <c r="F710" s="8" t="n">
        <v>7.1</v>
      </c>
      <c r="G710" s="8"/>
      <c r="H710" s="9" t="n">
        <v>2159</v>
      </c>
      <c r="I710" s="7" t="s">
        <v>2336</v>
      </c>
      <c r="J710" s="7" t="s">
        <v>47</v>
      </c>
      <c r="K710" s="7"/>
      <c r="L710" s="10"/>
      <c r="M710" s="10" t="s">
        <v>3097</v>
      </c>
      <c r="N710" s="8" t="n">
        <v>0</v>
      </c>
      <c r="O710" s="8" t="n">
        <v>0</v>
      </c>
      <c r="P710" s="8" t="n">
        <v>0</v>
      </c>
      <c r="Q710" s="8" t="n">
        <v>0</v>
      </c>
      <c r="R710" s="13" t="n">
        <v>0</v>
      </c>
      <c r="S710" s="13" t="n">
        <v>0</v>
      </c>
      <c r="T710" s="13"/>
      <c r="U710" s="11" t="n">
        <f aca="false">O710*4 + P710*2 + MAX(0,N710-O710-P710)*1 + Q710*0.2 + R710*2 + S710*1 + IF(T710="",0,IF(T710&lt;=10,8,IF(T710&lt;=50,6,IF(T710&lt;=100,4,2))))</f>
        <v>0</v>
      </c>
      <c r="V710" s="7"/>
      <c r="W710" s="12"/>
      <c r="X710" s="13"/>
      <c r="Y710" s="13" t="s">
        <v>3098</v>
      </c>
    </row>
    <row r="711" customFormat="false" ht="15.75" hidden="false" customHeight="true" outlineLevel="0" collapsed="false">
      <c r="A711" s="7" t="s">
        <v>3099</v>
      </c>
      <c r="B711" s="8" t="n">
        <v>2007</v>
      </c>
      <c r="C711" s="8" t="s">
        <v>35</v>
      </c>
      <c r="D711" s="8" t="n">
        <v>104</v>
      </c>
      <c r="E711" s="7" t="s">
        <v>2503</v>
      </c>
      <c r="F711" s="8" t="n">
        <v>7.6</v>
      </c>
      <c r="G711" s="8"/>
      <c r="H711" s="9" t="n">
        <v>46471</v>
      </c>
      <c r="I711" s="7" t="s">
        <v>46</v>
      </c>
      <c r="J711" s="7" t="s">
        <v>47</v>
      </c>
      <c r="K711" s="7"/>
      <c r="L711" s="10" t="s">
        <v>478</v>
      </c>
      <c r="M711" s="10" t="s">
        <v>3100</v>
      </c>
      <c r="N711" s="8" t="n">
        <v>0</v>
      </c>
      <c r="O711" s="8" t="n">
        <v>0</v>
      </c>
      <c r="P711" s="8" t="n">
        <v>0</v>
      </c>
      <c r="Q711" s="8" t="n">
        <v>1</v>
      </c>
      <c r="R711" s="8" t="n">
        <v>0</v>
      </c>
      <c r="S711" s="8" t="n">
        <v>0</v>
      </c>
      <c r="T711" s="13"/>
      <c r="U711" s="11" t="n">
        <f aca="false">O711*4 + P711*2 + MAX(0,N711-O711-P711)*1 + Q711*0.2 + R711*2 + S711*1 + IF(T711="",0,IF(T711&lt;=10,8,IF(T711&lt;=50,6,IF(T711&lt;=100,4,2))))</f>
        <v>0.2</v>
      </c>
      <c r="V711" s="7"/>
      <c r="W711" s="12"/>
      <c r="X711" s="13"/>
      <c r="Y711" s="13" t="s">
        <v>3101</v>
      </c>
    </row>
    <row r="712" customFormat="false" ht="15.75" hidden="false" customHeight="true" outlineLevel="0" collapsed="false">
      <c r="A712" s="7" t="s">
        <v>3102</v>
      </c>
      <c r="B712" s="8" t="n">
        <v>2012</v>
      </c>
      <c r="C712" s="8" t="s">
        <v>176</v>
      </c>
      <c r="D712" s="8" t="n">
        <v>111</v>
      </c>
      <c r="E712" s="7" t="s">
        <v>3103</v>
      </c>
      <c r="F712" s="8" t="n">
        <v>7.7</v>
      </c>
      <c r="G712" s="8"/>
      <c r="H712" s="9" t="n">
        <v>45445</v>
      </c>
      <c r="I712" s="7" t="s">
        <v>3104</v>
      </c>
      <c r="J712" s="7" t="s">
        <v>90</v>
      </c>
      <c r="K712" s="7" t="s">
        <v>29</v>
      </c>
      <c r="L712" s="10"/>
      <c r="M712" s="10" t="s">
        <v>3105</v>
      </c>
      <c r="N712" s="8" t="n">
        <v>0</v>
      </c>
      <c r="O712" s="8" t="n">
        <v>0</v>
      </c>
      <c r="P712" s="8" t="n">
        <v>0</v>
      </c>
      <c r="Q712" s="8" t="n">
        <v>1</v>
      </c>
      <c r="R712" s="8" t="n">
        <v>0</v>
      </c>
      <c r="S712" s="8" t="n">
        <v>0</v>
      </c>
      <c r="T712" s="13"/>
      <c r="U712" s="11" t="n">
        <f aca="false">O712*4 + P712*2 + MAX(0,N712-O712-P712)*1 + Q712*0.2 + R712*2 + S712*1 + IF(T712="",0,IF(T712&lt;=10,8,IF(T712&lt;=50,6,IF(T712&lt;=100,4,2))))</f>
        <v>0.2</v>
      </c>
      <c r="V712" s="7"/>
      <c r="W712" s="12"/>
      <c r="X712" s="13"/>
      <c r="Y712" s="13" t="s">
        <v>3106</v>
      </c>
    </row>
    <row r="713" customFormat="false" ht="15.75" hidden="false" customHeight="true" outlineLevel="0" collapsed="false">
      <c r="A713" s="7" t="s">
        <v>2202</v>
      </c>
      <c r="B713" s="8" t="n">
        <v>2010</v>
      </c>
      <c r="C713" s="8" t="s">
        <v>176</v>
      </c>
      <c r="D713" s="8" t="n">
        <v>80</v>
      </c>
      <c r="E713" s="7" t="s">
        <v>2919</v>
      </c>
      <c r="F713" s="8" t="n">
        <v>7.4</v>
      </c>
      <c r="G713" s="8" t="n">
        <v>7</v>
      </c>
      <c r="H713" s="9" t="n">
        <v>37791</v>
      </c>
      <c r="I713" s="7" t="s">
        <v>3107</v>
      </c>
      <c r="J713" s="7" t="s">
        <v>579</v>
      </c>
      <c r="K713" s="7" t="s">
        <v>47</v>
      </c>
      <c r="L713" s="10"/>
      <c r="M713" s="10" t="s">
        <v>3108</v>
      </c>
      <c r="N713" s="8" t="n">
        <v>0</v>
      </c>
      <c r="O713" s="8" t="n">
        <v>0</v>
      </c>
      <c r="P713" s="8" t="n">
        <v>0</v>
      </c>
      <c r="Q713" s="8" t="n">
        <v>1</v>
      </c>
      <c r="R713" s="8" t="n">
        <v>0</v>
      </c>
      <c r="S713" s="8" t="n">
        <v>0</v>
      </c>
      <c r="T713" s="13"/>
      <c r="U713" s="11" t="n">
        <f aca="false">O713*4 + P713*2 + MAX(0,N713-O713-P713)*1 + Q713*0.2 + R713*2 + S713*1 + IF(T713="",0,IF(T713&lt;=10,8,IF(T713&lt;=50,6,IF(T713&lt;=100,4,2))))</f>
        <v>0.2</v>
      </c>
      <c r="V713" s="7"/>
      <c r="W713" s="12"/>
      <c r="X713" s="13"/>
      <c r="Y713" s="13" t="s">
        <v>3109</v>
      </c>
    </row>
    <row r="714" customFormat="false" ht="15.75" hidden="false" customHeight="true" outlineLevel="0" collapsed="false">
      <c r="A714" s="7" t="s">
        <v>3110</v>
      </c>
      <c r="B714" s="8" t="n">
        <v>2022</v>
      </c>
      <c r="C714" s="8" t="s">
        <v>378</v>
      </c>
      <c r="D714" s="8" t="n">
        <v>115</v>
      </c>
      <c r="E714" s="7" t="s">
        <v>2701</v>
      </c>
      <c r="F714" s="8" t="n">
        <v>7</v>
      </c>
      <c r="G714" s="8"/>
      <c r="H714" s="9" t="n">
        <v>2323</v>
      </c>
      <c r="I714" s="7" t="s">
        <v>232</v>
      </c>
      <c r="J714" s="7" t="s">
        <v>47</v>
      </c>
      <c r="K714" s="7"/>
      <c r="L714" s="10" t="s">
        <v>205</v>
      </c>
      <c r="M714" s="10" t="s">
        <v>3111</v>
      </c>
      <c r="N714" s="8" t="n">
        <v>0</v>
      </c>
      <c r="O714" s="8" t="n">
        <v>0</v>
      </c>
      <c r="P714" s="8" t="n">
        <v>0</v>
      </c>
      <c r="Q714" s="8" t="n">
        <v>0</v>
      </c>
      <c r="R714" s="13" t="n">
        <v>0</v>
      </c>
      <c r="S714" s="13" t="n">
        <v>0</v>
      </c>
      <c r="T714" s="13"/>
      <c r="U714" s="11" t="n">
        <f aca="false">O714*4 + P714*2 + MAX(0,N714-O714-P714)*1 + Q714*0.2 + R714*2 + S714*1 + IF(T714="",0,IF(T714&lt;=10,8,IF(T714&lt;=50,6,IF(T714&lt;=100,4,2))))</f>
        <v>0</v>
      </c>
      <c r="V714" s="7"/>
      <c r="W714" s="12"/>
      <c r="X714" s="13"/>
      <c r="Y714" s="13" t="s">
        <v>3112</v>
      </c>
    </row>
    <row r="715" customFormat="false" ht="15.75" hidden="false" customHeight="true" outlineLevel="0" collapsed="false">
      <c r="A715" s="7" t="s">
        <v>3113</v>
      </c>
      <c r="B715" s="8" t="n">
        <v>2014</v>
      </c>
      <c r="C715" s="8" t="s">
        <v>176</v>
      </c>
      <c r="D715" s="8" t="n">
        <v>93</v>
      </c>
      <c r="E715" s="7" t="s">
        <v>3114</v>
      </c>
      <c r="F715" s="8" t="n">
        <v>8</v>
      </c>
      <c r="G715" s="8"/>
      <c r="H715" s="9" t="n">
        <v>68787</v>
      </c>
      <c r="I715" s="7" t="s">
        <v>3115</v>
      </c>
      <c r="J715" s="7" t="s">
        <v>579</v>
      </c>
      <c r="K715" s="7" t="s">
        <v>39</v>
      </c>
      <c r="L715" s="10" t="s">
        <v>416</v>
      </c>
      <c r="M715" s="10" t="s">
        <v>3116</v>
      </c>
      <c r="N715" s="8" t="n">
        <v>0</v>
      </c>
      <c r="O715" s="8" t="n">
        <v>0</v>
      </c>
      <c r="P715" s="8" t="n">
        <v>0</v>
      </c>
      <c r="Q715" s="8" t="n">
        <v>1</v>
      </c>
      <c r="R715" s="8" t="n">
        <v>0</v>
      </c>
      <c r="S715" s="8" t="n">
        <v>0</v>
      </c>
      <c r="T715" s="13"/>
      <c r="U715" s="11" t="n">
        <f aca="false">O715*4 + P715*2 + MAX(0,N715-O715-P715)*1 + Q715*0.2 + R715*2 + S715*1 + IF(T715="",0,IF(T715&lt;=10,8,IF(T715&lt;=50,6,IF(T715&lt;=100,4,2))))</f>
        <v>0.2</v>
      </c>
      <c r="V715" s="7"/>
      <c r="W715" s="12"/>
      <c r="X715" s="13"/>
      <c r="Y715" s="13" t="s">
        <v>3117</v>
      </c>
    </row>
    <row r="716" customFormat="false" ht="15.75" hidden="false" customHeight="true" outlineLevel="0" collapsed="false">
      <c r="A716" s="7" t="s">
        <v>3118</v>
      </c>
      <c r="B716" s="8" t="n">
        <v>2002</v>
      </c>
      <c r="C716" s="8" t="s">
        <v>35</v>
      </c>
      <c r="D716" s="8" t="n">
        <v>101</v>
      </c>
      <c r="E716" s="7" t="s">
        <v>3119</v>
      </c>
      <c r="F716" s="8" t="n">
        <v>8</v>
      </c>
      <c r="G716" s="8"/>
      <c r="H716" s="9" t="n">
        <v>139027</v>
      </c>
      <c r="I716" s="7" t="s">
        <v>803</v>
      </c>
      <c r="J716" s="7"/>
      <c r="K716" s="12"/>
      <c r="L716" s="10"/>
      <c r="M716" s="10" t="s">
        <v>3120</v>
      </c>
      <c r="N716" s="8" t="n">
        <v>0</v>
      </c>
      <c r="O716" s="8" t="n">
        <v>0</v>
      </c>
      <c r="P716" s="8" t="n">
        <v>0</v>
      </c>
      <c r="Q716" s="8" t="n">
        <v>0</v>
      </c>
      <c r="R716" s="13" t="n">
        <v>0</v>
      </c>
      <c r="S716" s="13" t="n">
        <v>0</v>
      </c>
      <c r="T716" s="13"/>
      <c r="U716" s="11" t="n">
        <f aca="false">O716*4 + P716*2 + MAX(0,N716-O716-P716)*1 + Q716*0.2 + R716*2 + S716*1 + IF(T716="",0,IF(T716&lt;=10,8,IF(T716&lt;=50,6,IF(T716&lt;=100,4,2))))</f>
        <v>0</v>
      </c>
      <c r="V716" s="10" t="s">
        <v>3121</v>
      </c>
      <c r="W716" s="12"/>
      <c r="X716" s="13" t="n">
        <v>63</v>
      </c>
      <c r="Y716" s="13" t="s">
        <v>3122</v>
      </c>
    </row>
    <row r="717" customFormat="false" ht="15.75" hidden="false" customHeight="true" outlineLevel="0" collapsed="false">
      <c r="A717" s="7" t="s">
        <v>3123</v>
      </c>
      <c r="B717" s="8" t="n">
        <v>2009</v>
      </c>
      <c r="C717" s="8" t="s">
        <v>35</v>
      </c>
      <c r="D717" s="8" t="n">
        <v>133</v>
      </c>
      <c r="E717" s="7" t="s">
        <v>3124</v>
      </c>
      <c r="F717" s="8" t="n">
        <v>7.7</v>
      </c>
      <c r="G717" s="8"/>
      <c r="H717" s="9" t="n">
        <v>12553</v>
      </c>
      <c r="I717" s="7" t="s">
        <v>2562</v>
      </c>
      <c r="J717" s="7" t="s">
        <v>154</v>
      </c>
      <c r="K717" s="7" t="s">
        <v>453</v>
      </c>
      <c r="L717" s="10"/>
      <c r="M717" s="10" t="s">
        <v>3125</v>
      </c>
      <c r="N717" s="8" t="n">
        <v>0</v>
      </c>
      <c r="O717" s="8" t="n">
        <v>0</v>
      </c>
      <c r="P717" s="8" t="n">
        <v>0</v>
      </c>
      <c r="Q717" s="8" t="n">
        <v>0</v>
      </c>
      <c r="R717" s="13" t="n">
        <v>0</v>
      </c>
      <c r="S717" s="13" t="n">
        <v>0</v>
      </c>
      <c r="T717" s="13"/>
      <c r="U717" s="11" t="n">
        <f aca="false">O717*4 + P717*2 + MAX(0,N717-O717-P717)*1 + Q717*0.2 + R717*2 + S717*1 + IF(T717="",0,IF(T717&lt;=10,8,IF(T717&lt;=50,6,IF(T717&lt;=100,4,2))))</f>
        <v>0</v>
      </c>
      <c r="V717" s="7"/>
      <c r="W717" s="12"/>
      <c r="X717" s="13"/>
      <c r="Y717" s="13" t="s">
        <v>3126</v>
      </c>
    </row>
    <row r="718" customFormat="false" ht="15.75" hidden="false" customHeight="true" outlineLevel="0" collapsed="false">
      <c r="A718" s="7" t="s">
        <v>3127</v>
      </c>
      <c r="B718" s="8" t="n">
        <v>2022</v>
      </c>
      <c r="C718" s="8" t="s">
        <v>378</v>
      </c>
      <c r="D718" s="8" t="n">
        <v>104</v>
      </c>
      <c r="E718" s="7" t="s">
        <v>3128</v>
      </c>
      <c r="F718" s="8" t="n">
        <v>7.8</v>
      </c>
      <c r="G718" s="8"/>
      <c r="H718" s="9" t="n">
        <v>48875</v>
      </c>
      <c r="I718" s="7" t="s">
        <v>3129</v>
      </c>
      <c r="J718" s="7" t="s">
        <v>47</v>
      </c>
      <c r="K718" s="7"/>
      <c r="L718" s="10" t="s">
        <v>3130</v>
      </c>
      <c r="M718" s="10" t="s">
        <v>3131</v>
      </c>
      <c r="N718" s="8" t="n">
        <v>0</v>
      </c>
      <c r="O718" s="8" t="n">
        <v>0</v>
      </c>
      <c r="P718" s="8" t="n">
        <v>0</v>
      </c>
      <c r="Q718" s="8" t="n">
        <v>1</v>
      </c>
      <c r="R718" s="8" t="n">
        <v>0</v>
      </c>
      <c r="S718" s="8" t="n">
        <v>0</v>
      </c>
      <c r="T718" s="13"/>
      <c r="U718" s="11" t="n">
        <f aca="false">O718*4 + P718*2 + MAX(0,N718-O718-P718)*1 + Q718*0.2 + R718*2 + S718*1 + IF(T718="",0,IF(T718&lt;=10,8,IF(T718&lt;=50,6,IF(T718&lt;=100,4,2))))</f>
        <v>0.2</v>
      </c>
      <c r="V718" s="7"/>
      <c r="W718" s="12"/>
      <c r="X718" s="13"/>
      <c r="Y718" s="13" t="s">
        <v>3132</v>
      </c>
    </row>
    <row r="719" customFormat="false" ht="15.75" hidden="false" customHeight="true" outlineLevel="0" collapsed="false">
      <c r="A719" s="7" t="s">
        <v>3133</v>
      </c>
      <c r="B719" s="8" t="n">
        <v>2013</v>
      </c>
      <c r="C719" s="8" t="s">
        <v>176</v>
      </c>
      <c r="D719" s="8" t="n">
        <v>87</v>
      </c>
      <c r="E719" s="7" t="s">
        <v>3134</v>
      </c>
      <c r="F719" s="8" t="n">
        <v>8.1</v>
      </c>
      <c r="G719" s="8"/>
      <c r="H719" s="9" t="n">
        <v>51960</v>
      </c>
      <c r="I719" s="7" t="s">
        <v>3135</v>
      </c>
      <c r="J719" s="7" t="s">
        <v>154</v>
      </c>
      <c r="K719" s="7" t="s">
        <v>47</v>
      </c>
      <c r="L719" s="10" t="s">
        <v>526</v>
      </c>
      <c r="M719" s="10" t="s">
        <v>3136</v>
      </c>
      <c r="N719" s="8" t="n">
        <v>0</v>
      </c>
      <c r="O719" s="8" t="n">
        <v>0</v>
      </c>
      <c r="P719" s="8" t="n">
        <v>0</v>
      </c>
      <c r="Q719" s="8" t="n">
        <v>1</v>
      </c>
      <c r="R719" s="8" t="n">
        <v>0</v>
      </c>
      <c r="S719" s="8" t="n">
        <v>0</v>
      </c>
      <c r="T719" s="13"/>
      <c r="U719" s="11" t="n">
        <f aca="false">O719*4 + P719*2 + MAX(0,N719-O719-P719)*1 + Q719*0.2 + R719*2 + S719*1 + IF(T719="",0,IF(T719&lt;=10,8,IF(T719&lt;=50,6,IF(T719&lt;=100,4,2))))</f>
        <v>0.2</v>
      </c>
      <c r="V719" s="7"/>
      <c r="W719" s="12"/>
      <c r="X719" s="13"/>
      <c r="Y719" s="13" t="s">
        <v>3137</v>
      </c>
    </row>
    <row r="720" customFormat="false" ht="15.75" hidden="false" customHeight="true" outlineLevel="0" collapsed="false">
      <c r="A720" s="7" t="s">
        <v>3138</v>
      </c>
      <c r="B720" s="8" t="n">
        <v>2009</v>
      </c>
      <c r="C720" s="8" t="s">
        <v>35</v>
      </c>
      <c r="D720" s="8" t="n">
        <v>100</v>
      </c>
      <c r="E720" s="7" t="s">
        <v>3139</v>
      </c>
      <c r="F720" s="8" t="n">
        <v>7.3</v>
      </c>
      <c r="G720" s="8"/>
      <c r="H720" s="9" t="n">
        <v>10232</v>
      </c>
      <c r="I720" s="7" t="s">
        <v>1383</v>
      </c>
      <c r="J720" s="7" t="s">
        <v>47</v>
      </c>
      <c r="K720" s="7"/>
      <c r="L720" s="10"/>
      <c r="M720" s="10" t="s">
        <v>3140</v>
      </c>
      <c r="N720" s="8" t="n">
        <v>0</v>
      </c>
      <c r="O720" s="8" t="n">
        <v>0</v>
      </c>
      <c r="P720" s="8" t="n">
        <v>0</v>
      </c>
      <c r="Q720" s="8" t="n">
        <v>0</v>
      </c>
      <c r="R720" s="13" t="n">
        <v>0</v>
      </c>
      <c r="S720" s="13" t="n">
        <v>0</v>
      </c>
      <c r="T720" s="13"/>
      <c r="U720" s="11" t="n">
        <f aca="false">O720*4 + P720*2 + MAX(0,N720-O720-P720)*1 + Q720*0.2 + R720*2 + S720*1 + IF(T720="",0,IF(T720&lt;=10,8,IF(T720&lt;=50,6,IF(T720&lt;=100,4,2))))</f>
        <v>0</v>
      </c>
      <c r="V720" s="7"/>
      <c r="W720" s="12"/>
      <c r="X720" s="13"/>
      <c r="Y720" s="13" t="s">
        <v>3141</v>
      </c>
    </row>
    <row r="721" customFormat="false" ht="15.75" hidden="false" customHeight="true" outlineLevel="0" collapsed="false">
      <c r="A721" s="7" t="s">
        <v>3142</v>
      </c>
      <c r="B721" s="8" t="n">
        <v>2005</v>
      </c>
      <c r="C721" s="8" t="s">
        <v>35</v>
      </c>
      <c r="D721" s="8" t="n">
        <v>133</v>
      </c>
      <c r="E721" s="7" t="s">
        <v>436</v>
      </c>
      <c r="F721" s="8" t="n">
        <v>7.2</v>
      </c>
      <c r="G721" s="8"/>
      <c r="H721" s="9" t="n">
        <v>26566</v>
      </c>
      <c r="I721" s="7" t="s">
        <v>3143</v>
      </c>
      <c r="J721" s="7" t="s">
        <v>47</v>
      </c>
      <c r="K721" s="7"/>
      <c r="L721" s="10"/>
      <c r="M721" s="10" t="s">
        <v>3144</v>
      </c>
      <c r="N721" s="8" t="n">
        <v>0</v>
      </c>
      <c r="O721" s="8" t="n">
        <v>0</v>
      </c>
      <c r="P721" s="8" t="n">
        <v>0</v>
      </c>
      <c r="Q721" s="8" t="n">
        <v>0</v>
      </c>
      <c r="R721" s="13" t="n">
        <v>0</v>
      </c>
      <c r="S721" s="13" t="n">
        <v>0</v>
      </c>
      <c r="T721" s="13"/>
      <c r="U721" s="11" t="n">
        <f aca="false">O721*4 + P721*2 + MAX(0,N721-O721-P721)*1 + Q721*0.2 + R721*2 + S721*1 + IF(T721="",0,IF(T721&lt;=10,8,IF(T721&lt;=50,6,IF(T721&lt;=100,4,2))))</f>
        <v>0</v>
      </c>
      <c r="V721" s="7"/>
      <c r="W721" s="12"/>
      <c r="X721" s="13"/>
      <c r="Y721" s="13" t="s">
        <v>3145</v>
      </c>
    </row>
    <row r="722" customFormat="false" ht="15.75" hidden="false" customHeight="true" outlineLevel="0" collapsed="false">
      <c r="A722" s="7" t="s">
        <v>3146</v>
      </c>
      <c r="B722" s="8" t="n">
        <v>2008</v>
      </c>
      <c r="C722" s="8" t="s">
        <v>35</v>
      </c>
      <c r="D722" s="8" t="n">
        <v>96</v>
      </c>
      <c r="E722" s="7" t="s">
        <v>2384</v>
      </c>
      <c r="F722" s="8" t="n">
        <v>7.5</v>
      </c>
      <c r="G722" s="8"/>
      <c r="H722" s="9" t="n">
        <v>76817</v>
      </c>
      <c r="I722" s="7" t="s">
        <v>280</v>
      </c>
      <c r="J722" s="7" t="s">
        <v>47</v>
      </c>
      <c r="K722" s="7" t="s">
        <v>82</v>
      </c>
      <c r="L722" s="10" t="s">
        <v>2308</v>
      </c>
      <c r="M722" s="10" t="s">
        <v>3147</v>
      </c>
      <c r="N722" s="8" t="n">
        <v>0</v>
      </c>
      <c r="O722" s="8" t="n">
        <v>0</v>
      </c>
      <c r="P722" s="8" t="n">
        <v>0</v>
      </c>
      <c r="Q722" s="8" t="n">
        <v>0</v>
      </c>
      <c r="R722" s="13" t="n">
        <v>0</v>
      </c>
      <c r="S722" s="13" t="n">
        <v>0</v>
      </c>
      <c r="T722" s="13"/>
      <c r="U722" s="11" t="n">
        <f aca="false">O722*4 + P722*2 + MAX(0,N722-O722-P722)*1 + Q722*0.2 + R722*2 + S722*1 + IF(T722="",0,IF(T722&lt;=10,8,IF(T722&lt;=50,6,IF(T722&lt;=100,4,2))))</f>
        <v>0</v>
      </c>
      <c r="V722" s="7"/>
      <c r="W722" s="12"/>
      <c r="X722" s="13"/>
      <c r="Y722" s="13" t="s">
        <v>3148</v>
      </c>
    </row>
    <row r="723" customFormat="false" ht="15.75" hidden="false" customHeight="true" outlineLevel="0" collapsed="false">
      <c r="A723" s="7" t="s">
        <v>3149</v>
      </c>
      <c r="B723" s="8" t="n">
        <v>2009</v>
      </c>
      <c r="C723" s="8" t="s">
        <v>35</v>
      </c>
      <c r="D723" s="8" t="n">
        <v>116</v>
      </c>
      <c r="E723" s="7" t="s">
        <v>3150</v>
      </c>
      <c r="F723" s="8" t="n">
        <v>7.9</v>
      </c>
      <c r="G723" s="8"/>
      <c r="H723" s="9" t="n">
        <v>21188</v>
      </c>
      <c r="I723" s="7" t="s">
        <v>430</v>
      </c>
      <c r="J723" s="7" t="s">
        <v>29</v>
      </c>
      <c r="K723" s="7" t="s">
        <v>30</v>
      </c>
      <c r="L723" s="10"/>
      <c r="M723" s="10" t="s">
        <v>3151</v>
      </c>
      <c r="N723" s="8" t="n">
        <v>0</v>
      </c>
      <c r="O723" s="8" t="n">
        <v>0</v>
      </c>
      <c r="P723" s="8" t="n">
        <v>0</v>
      </c>
      <c r="Q723" s="8" t="n">
        <v>0</v>
      </c>
      <c r="R723" s="13" t="n">
        <v>0</v>
      </c>
      <c r="S723" s="13" t="n">
        <v>0</v>
      </c>
      <c r="T723" s="13"/>
      <c r="U723" s="11" t="n">
        <f aca="false">O723*4 + P723*2 + MAX(0,N723-O723-P723)*1 + Q723*0.2 + R723*2 + S723*1 + IF(T723="",0,IF(T723&lt;=10,8,IF(T723&lt;=50,6,IF(T723&lt;=100,4,2))))</f>
        <v>0</v>
      </c>
      <c r="V723" s="7"/>
      <c r="W723" s="12"/>
      <c r="X723" s="13"/>
      <c r="Y723" s="13" t="s">
        <v>3152</v>
      </c>
    </row>
    <row r="724" customFormat="false" ht="15.75" hidden="false" customHeight="true" outlineLevel="0" collapsed="false">
      <c r="A724" s="7" t="s">
        <v>3153</v>
      </c>
      <c r="B724" s="8" t="n">
        <v>2017</v>
      </c>
      <c r="C724" s="8" t="s">
        <v>176</v>
      </c>
      <c r="D724" s="8" t="n">
        <v>94</v>
      </c>
      <c r="E724" s="7" t="s">
        <v>3154</v>
      </c>
      <c r="F724" s="8" t="n">
        <v>7.8</v>
      </c>
      <c r="G724" s="8"/>
      <c r="H724" s="9" t="n">
        <v>68745</v>
      </c>
      <c r="I724" s="7" t="s">
        <v>3155</v>
      </c>
      <c r="J724" s="7" t="s">
        <v>579</v>
      </c>
      <c r="K724" s="7" t="s">
        <v>125</v>
      </c>
      <c r="L724" s="10" t="s">
        <v>416</v>
      </c>
      <c r="M724" s="10" t="s">
        <v>3156</v>
      </c>
      <c r="N724" s="8" t="n">
        <v>0</v>
      </c>
      <c r="O724" s="8" t="n">
        <v>0</v>
      </c>
      <c r="P724" s="8" t="n">
        <v>0</v>
      </c>
      <c r="Q724" s="8" t="n">
        <v>1</v>
      </c>
      <c r="R724" s="8" t="n">
        <v>0</v>
      </c>
      <c r="S724" s="8" t="n">
        <v>0</v>
      </c>
      <c r="T724" s="13"/>
      <c r="U724" s="11" t="n">
        <f aca="false">O724*4 + P724*2 + MAX(0,N724-O724-P724)*1 + Q724*0.2 + R724*2 + S724*1 + IF(T724="",0,IF(T724&lt;=10,8,IF(T724&lt;=50,6,IF(T724&lt;=100,4,2))))</f>
        <v>0.2</v>
      </c>
      <c r="V724" s="7"/>
      <c r="W724" s="12"/>
      <c r="X724" s="13"/>
      <c r="Y724" s="13" t="s">
        <v>3157</v>
      </c>
    </row>
    <row r="725" customFormat="false" ht="15.75" hidden="false" customHeight="true" outlineLevel="0" collapsed="false">
      <c r="A725" s="7" t="s">
        <v>3158</v>
      </c>
      <c r="B725" s="8" t="n">
        <v>2023</v>
      </c>
      <c r="C725" s="8" t="s">
        <v>378</v>
      </c>
      <c r="D725" s="8" t="n">
        <v>129</v>
      </c>
      <c r="E725" s="7" t="s">
        <v>3159</v>
      </c>
      <c r="F725" s="8" t="n">
        <v>7.3</v>
      </c>
      <c r="G725" s="8"/>
      <c r="H725" s="9" t="n">
        <v>1455</v>
      </c>
      <c r="I725" s="7" t="s">
        <v>2336</v>
      </c>
      <c r="J725" s="7" t="s">
        <v>90</v>
      </c>
      <c r="K725" s="7" t="s">
        <v>47</v>
      </c>
      <c r="L725" s="10" t="s">
        <v>2965</v>
      </c>
      <c r="M725" s="10" t="s">
        <v>3160</v>
      </c>
      <c r="N725" s="8" t="n">
        <v>0</v>
      </c>
      <c r="O725" s="8" t="n">
        <v>0</v>
      </c>
      <c r="P725" s="8" t="n">
        <v>0</v>
      </c>
      <c r="Q725" s="8" t="n">
        <v>0</v>
      </c>
      <c r="R725" s="13" t="n">
        <v>0</v>
      </c>
      <c r="S725" s="13" t="n">
        <v>0</v>
      </c>
      <c r="T725" s="13"/>
      <c r="U725" s="11" t="n">
        <f aca="false">O725*4 + P725*2 + MAX(0,N725-O725-P725)*1 + Q725*0.2 + R725*2 + S725*1 + IF(T725="",0,IF(T725&lt;=10,8,IF(T725&lt;=50,6,IF(T725&lt;=100,4,2))))</f>
        <v>0</v>
      </c>
      <c r="V725" s="7"/>
      <c r="W725" s="12"/>
      <c r="X725" s="13"/>
      <c r="Y725" s="13" t="s">
        <v>3161</v>
      </c>
    </row>
    <row r="726" customFormat="false" ht="15.75" hidden="false" customHeight="true" outlineLevel="0" collapsed="false">
      <c r="A726" s="7" t="s">
        <v>3162</v>
      </c>
      <c r="B726" s="8" t="n">
        <v>2009</v>
      </c>
      <c r="C726" s="8" t="s">
        <v>35</v>
      </c>
      <c r="D726" s="8" t="n">
        <v>161</v>
      </c>
      <c r="E726" s="7" t="s">
        <v>3163</v>
      </c>
      <c r="F726" s="8" t="n">
        <v>7.2</v>
      </c>
      <c r="G726" s="8"/>
      <c r="H726" s="9" t="n">
        <v>95373</v>
      </c>
      <c r="I726" s="7" t="s">
        <v>3164</v>
      </c>
      <c r="J726" s="7" t="s">
        <v>38</v>
      </c>
      <c r="K726" s="7" t="s">
        <v>1005</v>
      </c>
      <c r="L726" s="10" t="s">
        <v>2572</v>
      </c>
      <c r="M726" s="10" t="s">
        <v>3165</v>
      </c>
      <c r="N726" s="8" t="n">
        <v>0</v>
      </c>
      <c r="O726" s="8" t="n">
        <v>0</v>
      </c>
      <c r="P726" s="8" t="n">
        <v>0</v>
      </c>
      <c r="Q726" s="8" t="n">
        <v>0</v>
      </c>
      <c r="R726" s="13" t="n">
        <v>0</v>
      </c>
      <c r="S726" s="13" t="n">
        <v>0</v>
      </c>
      <c r="T726" s="13"/>
      <c r="U726" s="11" t="n">
        <f aca="false">O726*4 + P726*2 + MAX(0,N726-O726-P726)*1 + Q726*0.2 + R726*2 + S726*1 + IF(T726="",0,IF(T726&lt;=10,8,IF(T726&lt;=50,6,IF(T726&lt;=100,4,2))))</f>
        <v>0</v>
      </c>
      <c r="V726" s="7"/>
      <c r="W726" s="12"/>
      <c r="X726" s="13"/>
      <c r="Y726" s="13" t="s">
        <v>3166</v>
      </c>
    </row>
    <row r="727" customFormat="false" ht="15.75" hidden="false" customHeight="true" outlineLevel="0" collapsed="false">
      <c r="A727" s="7" t="s">
        <v>3167</v>
      </c>
      <c r="B727" s="8" t="n">
        <v>2000</v>
      </c>
      <c r="C727" s="8" t="s">
        <v>35</v>
      </c>
      <c r="D727" s="8" t="n">
        <v>114</v>
      </c>
      <c r="E727" s="7" t="s">
        <v>1124</v>
      </c>
      <c r="F727" s="8" t="n">
        <v>7.1</v>
      </c>
      <c r="G727" s="8"/>
      <c r="H727" s="9" t="n">
        <v>26058</v>
      </c>
      <c r="I727" s="7" t="s">
        <v>3168</v>
      </c>
      <c r="J727" s="7" t="s">
        <v>131</v>
      </c>
      <c r="K727" s="7" t="s">
        <v>54</v>
      </c>
      <c r="L727" s="10"/>
      <c r="M727" s="10" t="s">
        <v>3169</v>
      </c>
      <c r="N727" s="8" t="n">
        <v>0</v>
      </c>
      <c r="O727" s="8" t="n">
        <v>0</v>
      </c>
      <c r="P727" s="8" t="n">
        <v>0</v>
      </c>
      <c r="Q727" s="8" t="n">
        <v>0</v>
      </c>
      <c r="R727" s="13" t="n">
        <v>0</v>
      </c>
      <c r="S727" s="13" t="n">
        <v>0</v>
      </c>
      <c r="T727" s="13"/>
      <c r="U727" s="11" t="n">
        <f aca="false">O727*4 + P727*2 + MAX(0,N727-O727-P727)*1 + Q727*0.2 + R727*2 + S727*1 + IF(T727="",0,IF(T727&lt;=10,8,IF(T727&lt;=50,6,IF(T727&lt;=100,4,2))))</f>
        <v>0</v>
      </c>
      <c r="V727" s="7"/>
      <c r="W727" s="12"/>
      <c r="X727" s="13"/>
      <c r="Y727" s="13" t="s">
        <v>3170</v>
      </c>
    </row>
    <row r="728" customFormat="false" ht="15.75" hidden="false" customHeight="true" outlineLevel="0" collapsed="false">
      <c r="A728" s="7" t="s">
        <v>3171</v>
      </c>
      <c r="B728" s="8" t="n">
        <v>2002</v>
      </c>
      <c r="C728" s="8" t="s">
        <v>35</v>
      </c>
      <c r="D728" s="8" t="n">
        <v>107</v>
      </c>
      <c r="E728" s="7" t="s">
        <v>1315</v>
      </c>
      <c r="F728" s="8" t="n">
        <v>7.3</v>
      </c>
      <c r="G728" s="8"/>
      <c r="H728" s="9" t="n">
        <v>51809</v>
      </c>
      <c r="I728" s="7" t="s">
        <v>46</v>
      </c>
      <c r="J728" s="7" t="s">
        <v>29</v>
      </c>
      <c r="K728" s="7" t="s">
        <v>47</v>
      </c>
      <c r="L728" s="10"/>
      <c r="M728" s="10" t="s">
        <v>3172</v>
      </c>
      <c r="N728" s="8" t="n">
        <v>0</v>
      </c>
      <c r="O728" s="8" t="n">
        <v>0</v>
      </c>
      <c r="P728" s="8" t="n">
        <v>0</v>
      </c>
      <c r="Q728" s="8" t="n">
        <v>4</v>
      </c>
      <c r="R728" s="8" t="n">
        <v>0</v>
      </c>
      <c r="S728" s="8" t="n">
        <v>0</v>
      </c>
      <c r="T728" s="13"/>
      <c r="U728" s="11" t="n">
        <f aca="false">O728*4 + P728*2 + MAX(0,N728-O728-P728)*1 + Q728*0.2 + R728*2 + S728*1 + IF(T728="",0,IF(T728&lt;=10,8,IF(T728&lt;=50,6,IF(T728&lt;=100,4,2))))</f>
        <v>0.8</v>
      </c>
      <c r="V728" s="7"/>
      <c r="W728" s="12"/>
      <c r="X728" s="13"/>
      <c r="Y728" s="13" t="s">
        <v>3173</v>
      </c>
    </row>
    <row r="729" customFormat="false" ht="15.75" hidden="false" customHeight="true" outlineLevel="0" collapsed="false">
      <c r="A729" s="7" t="s">
        <v>3174</v>
      </c>
      <c r="B729" s="8" t="n">
        <v>2013</v>
      </c>
      <c r="C729" s="8" t="s">
        <v>176</v>
      </c>
      <c r="D729" s="8" t="n">
        <v>137</v>
      </c>
      <c r="E729" s="7" t="s">
        <v>596</v>
      </c>
      <c r="F729" s="8" t="n">
        <v>8</v>
      </c>
      <c r="G729" s="8"/>
      <c r="H729" s="9" t="n">
        <v>62814</v>
      </c>
      <c r="I729" s="7" t="s">
        <v>124</v>
      </c>
      <c r="J729" s="7" t="s">
        <v>579</v>
      </c>
      <c r="K729" s="7" t="s">
        <v>259</v>
      </c>
      <c r="L729" s="10" t="s">
        <v>238</v>
      </c>
      <c r="M729" s="7" t="s">
        <v>3175</v>
      </c>
      <c r="N729" s="8" t="n">
        <v>0</v>
      </c>
      <c r="O729" s="8" t="n">
        <v>0</v>
      </c>
      <c r="P729" s="8" t="n">
        <v>0</v>
      </c>
      <c r="Q729" s="8" t="n">
        <v>1</v>
      </c>
      <c r="R729" s="8" t="n">
        <v>0</v>
      </c>
      <c r="S729" s="8" t="n">
        <v>0</v>
      </c>
      <c r="T729" s="8"/>
      <c r="U729" s="11" t="n">
        <f aca="false">O729*4 + P729*2 + MAX(0,N729-O729-P729)*1 + Q729*0.2 + R729*2 + S729*1 + IF(T729="",0,IF(T729&lt;=10,8,IF(T729&lt;=50,6,IF(T729&lt;=100,4,2))))</f>
        <v>0.2</v>
      </c>
      <c r="V729" s="10" t="s">
        <v>3176</v>
      </c>
      <c r="W729" s="12"/>
      <c r="X729" s="8" t="n">
        <v>101</v>
      </c>
      <c r="Y729" s="8" t="s">
        <v>3177</v>
      </c>
    </row>
    <row r="730" customFormat="false" ht="15.75" hidden="false" customHeight="true" outlineLevel="0" collapsed="false">
      <c r="A730" s="7" t="s">
        <v>3178</v>
      </c>
      <c r="B730" s="8" t="n">
        <v>2009</v>
      </c>
      <c r="C730" s="8" t="s">
        <v>35</v>
      </c>
      <c r="D730" s="8" t="n">
        <v>129</v>
      </c>
      <c r="E730" s="7" t="s">
        <v>429</v>
      </c>
      <c r="F730" s="8" t="n">
        <v>7.7</v>
      </c>
      <c r="G730" s="8" t="n">
        <v>8</v>
      </c>
      <c r="H730" s="9" t="n">
        <v>81312</v>
      </c>
      <c r="I730" s="7" t="s">
        <v>430</v>
      </c>
      <c r="J730" s="7" t="s">
        <v>47</v>
      </c>
      <c r="K730" s="7" t="s">
        <v>54</v>
      </c>
      <c r="L730" s="10" t="s">
        <v>205</v>
      </c>
      <c r="M730" s="7" t="s">
        <v>3179</v>
      </c>
      <c r="N730" s="8" t="n">
        <v>0</v>
      </c>
      <c r="O730" s="8" t="n">
        <v>0</v>
      </c>
      <c r="P730" s="8" t="n">
        <v>0</v>
      </c>
      <c r="Q730" s="8" t="n">
        <v>0</v>
      </c>
      <c r="R730" s="13" t="n">
        <v>0</v>
      </c>
      <c r="S730" s="13" t="n">
        <v>0</v>
      </c>
      <c r="T730" s="13"/>
      <c r="U730" s="11" t="n">
        <f aca="false">O730*4 + P730*2 + MAX(0,N730-O730-P730)*1 + Q730*0.2 + R730*2 + S730*1 + IF(T730="",0,IF(T730&lt;=10,8,IF(T730&lt;=50,6,IF(T730&lt;=100,4,2))))</f>
        <v>0</v>
      </c>
      <c r="V730" s="7"/>
      <c r="W730" s="12"/>
      <c r="X730" s="13"/>
      <c r="Y730" s="13" t="s">
        <v>3180</v>
      </c>
    </row>
    <row r="731" customFormat="false" ht="15.75" hidden="false" customHeight="true" outlineLevel="0" collapsed="false">
      <c r="A731" s="7" t="s">
        <v>3181</v>
      </c>
      <c r="B731" s="8" t="n">
        <v>2016</v>
      </c>
      <c r="C731" s="8" t="s">
        <v>176</v>
      </c>
      <c r="D731" s="8" t="n">
        <v>80</v>
      </c>
      <c r="E731" s="7" t="s">
        <v>3182</v>
      </c>
      <c r="F731" s="8" t="n">
        <v>7.5</v>
      </c>
      <c r="G731" s="8"/>
      <c r="H731" s="9" t="n">
        <v>42523</v>
      </c>
      <c r="I731" s="7" t="s">
        <v>3183</v>
      </c>
      <c r="J731" s="7" t="s">
        <v>579</v>
      </c>
      <c r="K731" s="7" t="s">
        <v>259</v>
      </c>
      <c r="L731" s="10" t="s">
        <v>416</v>
      </c>
      <c r="M731" s="10" t="s">
        <v>3184</v>
      </c>
      <c r="N731" s="8" t="n">
        <v>0</v>
      </c>
      <c r="O731" s="8" t="n">
        <v>0</v>
      </c>
      <c r="P731" s="8" t="n">
        <v>0</v>
      </c>
      <c r="Q731" s="8" t="n">
        <v>1</v>
      </c>
      <c r="R731" s="8" t="n">
        <v>0</v>
      </c>
      <c r="S731" s="8" t="n">
        <v>0</v>
      </c>
      <c r="T731" s="13"/>
      <c r="U731" s="11" t="n">
        <f aca="false">O731*4 + P731*2 + MAX(0,N731-O731-P731)*1 + Q731*0.2 + R731*2 + S731*1 + IF(T731="",0,IF(T731&lt;=10,8,IF(T731&lt;=50,6,IF(T731&lt;=100,4,2))))</f>
        <v>0.2</v>
      </c>
      <c r="V731" s="7"/>
      <c r="W731" s="12"/>
      <c r="X731" s="13"/>
      <c r="Y731" s="13" t="s">
        <v>3185</v>
      </c>
    </row>
    <row r="732" customFormat="false" ht="15.75" hidden="false" customHeight="true" outlineLevel="0" collapsed="false">
      <c r="A732" s="7" t="s">
        <v>3186</v>
      </c>
      <c r="B732" s="8" t="n">
        <v>2002</v>
      </c>
      <c r="C732" s="8" t="s">
        <v>35</v>
      </c>
      <c r="D732" s="8" t="n">
        <v>114</v>
      </c>
      <c r="E732" s="7" t="s">
        <v>1124</v>
      </c>
      <c r="F732" s="8" t="n">
        <v>7.5</v>
      </c>
      <c r="G732" s="8"/>
      <c r="H732" s="9" t="n">
        <v>18025</v>
      </c>
      <c r="I732" s="7" t="s">
        <v>124</v>
      </c>
      <c r="J732" s="7" t="s">
        <v>29</v>
      </c>
      <c r="K732" s="7" t="s">
        <v>47</v>
      </c>
      <c r="L732" s="10"/>
      <c r="M732" s="10" t="s">
        <v>3187</v>
      </c>
      <c r="N732" s="8" t="n">
        <v>0</v>
      </c>
      <c r="O732" s="8" t="n">
        <v>0</v>
      </c>
      <c r="P732" s="8" t="n">
        <v>0</v>
      </c>
      <c r="Q732" s="8" t="n">
        <v>0</v>
      </c>
      <c r="R732" s="13" t="n">
        <v>0</v>
      </c>
      <c r="S732" s="13" t="n">
        <v>0</v>
      </c>
      <c r="T732" s="13"/>
      <c r="U732" s="11" t="n">
        <f aca="false">O732*4 + P732*2 + MAX(0,N732-O732-P732)*1 + Q732*0.2 + R732*2 + S732*1 + IF(T732="",0,IF(T732&lt;=10,8,IF(T732&lt;=50,6,IF(T732&lt;=100,4,2))))</f>
        <v>0</v>
      </c>
      <c r="V732" s="7"/>
      <c r="W732" s="12"/>
      <c r="X732" s="13"/>
      <c r="Y732" s="13" t="s">
        <v>3188</v>
      </c>
    </row>
    <row r="733" customFormat="false" ht="15.75" hidden="false" customHeight="true" outlineLevel="0" collapsed="false">
      <c r="A733" s="7" t="s">
        <v>3189</v>
      </c>
      <c r="B733" s="8" t="n">
        <v>2003</v>
      </c>
      <c r="C733" s="8" t="s">
        <v>35</v>
      </c>
      <c r="D733" s="8" t="n">
        <v>89</v>
      </c>
      <c r="E733" s="7" t="s">
        <v>2503</v>
      </c>
      <c r="F733" s="8" t="n">
        <v>7.6</v>
      </c>
      <c r="G733" s="8"/>
      <c r="H733" s="9" t="n">
        <v>81129</v>
      </c>
      <c r="I733" s="7"/>
      <c r="J733" s="7"/>
      <c r="K733" s="12"/>
      <c r="L733" s="10"/>
      <c r="M733" s="10" t="s">
        <v>3190</v>
      </c>
      <c r="N733" s="8" t="n">
        <v>0</v>
      </c>
      <c r="O733" s="8" t="n">
        <v>0</v>
      </c>
      <c r="P733" s="8" t="n">
        <v>0</v>
      </c>
      <c r="Q733" s="8" t="n">
        <v>0</v>
      </c>
      <c r="R733" s="13" t="n">
        <v>0</v>
      </c>
      <c r="S733" s="13" t="n">
        <v>0</v>
      </c>
      <c r="T733" s="13"/>
      <c r="U733" s="11" t="n">
        <f aca="false">O733*4 + P733*2 + MAX(0,N733-O733-P733)*1 + Q733*0.2 + R733*2 + S733*1 + IF(T733="",0,IF(T733&lt;=10,8,IF(T733&lt;=50,6,IF(T733&lt;=100,4,2))))</f>
        <v>0</v>
      </c>
      <c r="V733" s="7"/>
      <c r="W733" s="12"/>
      <c r="X733" s="13"/>
      <c r="Y733" s="13" t="s">
        <v>3191</v>
      </c>
    </row>
    <row r="734" customFormat="false" ht="15.75" hidden="false" customHeight="true" outlineLevel="0" collapsed="false">
      <c r="A734" s="7" t="s">
        <v>3192</v>
      </c>
      <c r="B734" s="8" t="n">
        <v>2001</v>
      </c>
      <c r="C734" s="8" t="s">
        <v>35</v>
      </c>
      <c r="D734" s="8" t="n">
        <v>99</v>
      </c>
      <c r="E734" s="7" t="s">
        <v>675</v>
      </c>
      <c r="F734" s="8" t="n">
        <v>7.6</v>
      </c>
      <c r="G734" s="8"/>
      <c r="H734" s="9" t="n">
        <v>69801</v>
      </c>
      <c r="I734" s="7" t="s">
        <v>46</v>
      </c>
      <c r="J734" s="7" t="s">
        <v>579</v>
      </c>
      <c r="K734" s="7" t="s">
        <v>38</v>
      </c>
      <c r="L734" s="10"/>
      <c r="M734" s="10" t="s">
        <v>3193</v>
      </c>
      <c r="N734" s="8" t="n">
        <v>0</v>
      </c>
      <c r="O734" s="8" t="n">
        <v>0</v>
      </c>
      <c r="P734" s="8" t="n">
        <v>0</v>
      </c>
      <c r="Q734" s="8" t="n">
        <v>0</v>
      </c>
      <c r="R734" s="13" t="n">
        <v>0</v>
      </c>
      <c r="S734" s="13" t="n">
        <v>0</v>
      </c>
      <c r="T734" s="13"/>
      <c r="U734" s="11" t="n">
        <f aca="false">O734*4 + P734*2 + MAX(0,N734-O734-P734)*1 + Q734*0.2 + R734*2 + S734*1 + IF(T734="",0,IF(T734&lt;=10,8,IF(T734&lt;=50,6,IF(T734&lt;=100,4,2))))</f>
        <v>0</v>
      </c>
      <c r="V734" s="7"/>
      <c r="W734" s="12"/>
      <c r="X734" s="13"/>
      <c r="Y734" s="13" t="s">
        <v>3194</v>
      </c>
    </row>
    <row r="735" customFormat="false" ht="15.75" hidden="false" customHeight="true" outlineLevel="0" collapsed="false">
      <c r="A735" s="7" t="s">
        <v>3195</v>
      </c>
      <c r="B735" s="8" t="n">
        <v>2020</v>
      </c>
      <c r="C735" s="8" t="s">
        <v>378</v>
      </c>
      <c r="D735" s="8" t="n">
        <v>116</v>
      </c>
      <c r="E735" s="7" t="s">
        <v>3196</v>
      </c>
      <c r="F735" s="8" t="n">
        <v>7.5</v>
      </c>
      <c r="G735" s="8"/>
      <c r="H735" s="9" t="n">
        <v>77151</v>
      </c>
      <c r="I735" s="7" t="s">
        <v>2555</v>
      </c>
      <c r="J735" s="7" t="s">
        <v>112</v>
      </c>
      <c r="K735" s="7" t="s">
        <v>30</v>
      </c>
      <c r="L735" s="10" t="s">
        <v>210</v>
      </c>
      <c r="M735" s="10" t="s">
        <v>3197</v>
      </c>
      <c r="N735" s="8" t="n">
        <v>0</v>
      </c>
      <c r="O735" s="8" t="n">
        <v>0</v>
      </c>
      <c r="P735" s="8" t="n">
        <v>0</v>
      </c>
      <c r="Q735" s="8" t="n">
        <v>0</v>
      </c>
      <c r="R735" s="13" t="n">
        <v>0</v>
      </c>
      <c r="S735" s="13" t="n">
        <v>0</v>
      </c>
      <c r="T735" s="13"/>
      <c r="U735" s="11" t="n">
        <f aca="false">O735*4 + P735*2 + MAX(0,N735-O735-P735)*1 + Q735*0.2 + R735*2 + S735*1 + IF(T735="",0,IF(T735&lt;=10,8,IF(T735&lt;=50,6,IF(T735&lt;=100,4,2))))</f>
        <v>0</v>
      </c>
      <c r="V735" s="7"/>
      <c r="W735" s="12"/>
      <c r="X735" s="13"/>
      <c r="Y735" s="13" t="s">
        <v>3198</v>
      </c>
    </row>
    <row r="736" customFormat="false" ht="15.75" hidden="false" customHeight="true" outlineLevel="0" collapsed="false">
      <c r="A736" s="7" t="s">
        <v>3199</v>
      </c>
      <c r="B736" s="8" t="n">
        <v>2013</v>
      </c>
      <c r="C736" s="8" t="s">
        <v>176</v>
      </c>
      <c r="D736" s="8"/>
      <c r="E736" s="7" t="s">
        <v>3200</v>
      </c>
      <c r="F736" s="8"/>
      <c r="G736" s="8"/>
      <c r="H736" s="9"/>
      <c r="I736" s="7"/>
      <c r="J736" s="7"/>
      <c r="K736" s="12"/>
      <c r="L736" s="10"/>
      <c r="M736" s="10" t="s">
        <v>3201</v>
      </c>
      <c r="N736" s="8" t="n">
        <v>0</v>
      </c>
      <c r="O736" s="8" t="n">
        <v>0</v>
      </c>
      <c r="P736" s="8" t="n">
        <v>0</v>
      </c>
      <c r="Q736" s="8" t="n">
        <v>0</v>
      </c>
      <c r="R736" s="13" t="n">
        <v>0</v>
      </c>
      <c r="S736" s="13" t="n">
        <v>0</v>
      </c>
      <c r="T736" s="13"/>
      <c r="U736" s="11" t="n">
        <f aca="false">O736*4 + P736*2 + MAX(0,N736-O736-P736)*1 + Q736*0.2 + R736*2 + S736*1 + IF(T736="",0,IF(T736&lt;=10,8,IF(T736&lt;=50,6,IF(T736&lt;=100,4,2))))</f>
        <v>0</v>
      </c>
      <c r="V736" s="7"/>
      <c r="W736" s="12"/>
      <c r="X736" s="13"/>
      <c r="Y736" s="13" t="s">
        <v>3202</v>
      </c>
    </row>
    <row r="737" customFormat="false" ht="15.75" hidden="false" customHeight="true" outlineLevel="0" collapsed="false">
      <c r="A737" s="7" t="s">
        <v>3203</v>
      </c>
      <c r="B737" s="8" t="n">
        <v>2013</v>
      </c>
      <c r="C737" s="8" t="s">
        <v>176</v>
      </c>
      <c r="D737" s="8" t="n">
        <v>96</v>
      </c>
      <c r="E737" s="7" t="s">
        <v>3204</v>
      </c>
      <c r="F737" s="8" t="n">
        <v>7.9</v>
      </c>
      <c r="G737" s="8"/>
      <c r="H737" s="9" t="n">
        <v>95964</v>
      </c>
      <c r="I737" s="7" t="s">
        <v>46</v>
      </c>
      <c r="J737" s="7"/>
      <c r="K737" s="12"/>
      <c r="L737" s="10" t="s">
        <v>210</v>
      </c>
      <c r="M737" s="10" t="s">
        <v>3205</v>
      </c>
      <c r="N737" s="8" t="n">
        <v>0</v>
      </c>
      <c r="O737" s="8" t="n">
        <v>0</v>
      </c>
      <c r="P737" s="8" t="n">
        <v>0</v>
      </c>
      <c r="Q737" s="8" t="n">
        <v>0</v>
      </c>
      <c r="R737" s="13" t="n">
        <v>0</v>
      </c>
      <c r="S737" s="13" t="n">
        <v>0</v>
      </c>
      <c r="T737" s="13"/>
      <c r="U737" s="11" t="n">
        <f aca="false">O737*4 + P737*2 + MAX(0,N737-O737-P737)*1 + Q737*0.2 + R737*2 + S737*1 + IF(T737="",0,IF(T737&lt;=10,8,IF(T737&lt;=50,6,IF(T737&lt;=100,4,2))))</f>
        <v>0</v>
      </c>
      <c r="V737" s="7"/>
      <c r="W737" s="12"/>
      <c r="X737" s="13"/>
      <c r="Y737" s="13" t="s">
        <v>3206</v>
      </c>
    </row>
    <row r="738" customFormat="false" ht="15.75" hidden="false" customHeight="true" outlineLevel="0" collapsed="false">
      <c r="A738" s="7" t="s">
        <v>3207</v>
      </c>
      <c r="B738" s="8" t="n">
        <v>2007</v>
      </c>
      <c r="C738" s="8" t="s">
        <v>35</v>
      </c>
      <c r="D738" s="8" t="n">
        <v>116</v>
      </c>
      <c r="E738" s="7" t="s">
        <v>2987</v>
      </c>
      <c r="F738" s="8" t="n">
        <v>7.7</v>
      </c>
      <c r="G738" s="8"/>
      <c r="H738" s="9" t="n">
        <v>35661</v>
      </c>
      <c r="I738" s="7" t="s">
        <v>2988</v>
      </c>
      <c r="J738" s="7" t="s">
        <v>47</v>
      </c>
      <c r="K738" s="7"/>
      <c r="L738" s="10" t="s">
        <v>374</v>
      </c>
      <c r="M738" s="10" t="s">
        <v>3208</v>
      </c>
      <c r="N738" s="8" t="n">
        <v>0</v>
      </c>
      <c r="O738" s="8" t="n">
        <v>0</v>
      </c>
      <c r="P738" s="8" t="n">
        <v>0</v>
      </c>
      <c r="Q738" s="8" t="n">
        <v>0</v>
      </c>
      <c r="R738" s="13" t="n">
        <v>0</v>
      </c>
      <c r="S738" s="13" t="n">
        <v>0</v>
      </c>
      <c r="T738" s="13"/>
      <c r="U738" s="11" t="n">
        <f aca="false">O738*4 + P738*2 + MAX(0,N738-O738-P738)*1 + Q738*0.2 + R738*2 + S738*1 + IF(T738="",0,IF(T738&lt;=10,8,IF(T738&lt;=50,6,IF(T738&lt;=100,4,2))))</f>
        <v>0</v>
      </c>
      <c r="V738" s="7"/>
      <c r="W738" s="12"/>
      <c r="X738" s="13"/>
      <c r="Y738" s="13" t="s">
        <v>3209</v>
      </c>
    </row>
    <row r="739" customFormat="false" ht="15.75" hidden="false" customHeight="true" outlineLevel="0" collapsed="false">
      <c r="A739" s="7" t="s">
        <v>3210</v>
      </c>
      <c r="B739" s="8" t="n">
        <v>2015</v>
      </c>
      <c r="C739" s="8" t="s">
        <v>176</v>
      </c>
      <c r="D739" s="8" t="n">
        <v>100</v>
      </c>
      <c r="E739" s="7" t="s">
        <v>3211</v>
      </c>
      <c r="F739" s="8" t="n">
        <v>7.8</v>
      </c>
      <c r="G739" s="8"/>
      <c r="H739" s="9" t="n">
        <v>49647</v>
      </c>
      <c r="I739" s="7" t="s">
        <v>3212</v>
      </c>
      <c r="J739" s="7" t="s">
        <v>154</v>
      </c>
      <c r="K739" s="7" t="s">
        <v>453</v>
      </c>
      <c r="L739" s="10" t="s">
        <v>3213</v>
      </c>
      <c r="M739" s="10" t="s">
        <v>3214</v>
      </c>
      <c r="N739" s="8" t="n">
        <v>0</v>
      </c>
      <c r="O739" s="8" t="n">
        <v>0</v>
      </c>
      <c r="P739" s="8" t="n">
        <v>0</v>
      </c>
      <c r="Q739" s="8" t="n">
        <v>1</v>
      </c>
      <c r="R739" s="8" t="n">
        <v>0</v>
      </c>
      <c r="S739" s="8" t="n">
        <v>0</v>
      </c>
      <c r="T739" s="13"/>
      <c r="U739" s="11" t="n">
        <f aca="false">O739*4 + P739*2 + MAX(0,N739-O739-P739)*1 + Q739*0.2 + R739*2 + S739*1 + IF(T739="",0,IF(T739&lt;=10,8,IF(T739&lt;=50,6,IF(T739&lt;=100,4,2))))</f>
        <v>0.2</v>
      </c>
      <c r="V739" s="7"/>
      <c r="W739" s="12"/>
      <c r="X739" s="13"/>
      <c r="Y739" s="13" t="s">
        <v>3215</v>
      </c>
    </row>
    <row r="740" customFormat="false" ht="15.75" hidden="false" customHeight="true" outlineLevel="0" collapsed="false">
      <c r="A740" s="7" t="s">
        <v>3216</v>
      </c>
      <c r="B740" s="8" t="n">
        <v>2014</v>
      </c>
      <c r="C740" s="8" t="s">
        <v>176</v>
      </c>
      <c r="D740" s="8" t="n">
        <v>150</v>
      </c>
      <c r="E740" s="7" t="s">
        <v>3217</v>
      </c>
      <c r="F740" s="8" t="n">
        <v>7.9</v>
      </c>
      <c r="G740" s="8"/>
      <c r="H740" s="9" t="n">
        <v>140241</v>
      </c>
      <c r="I740" s="7" t="s">
        <v>3218</v>
      </c>
      <c r="J740" s="7"/>
      <c r="K740" s="12"/>
      <c r="L740" s="10" t="s">
        <v>210</v>
      </c>
      <c r="M740" s="10" t="s">
        <v>3219</v>
      </c>
      <c r="N740" s="8" t="n">
        <v>0</v>
      </c>
      <c r="O740" s="8" t="n">
        <v>0</v>
      </c>
      <c r="P740" s="8" t="n">
        <v>0</v>
      </c>
      <c r="Q740" s="8" t="n">
        <v>0</v>
      </c>
      <c r="R740" s="13" t="n">
        <v>0</v>
      </c>
      <c r="S740" s="13" t="n">
        <v>0</v>
      </c>
      <c r="T740" s="13"/>
      <c r="U740" s="11" t="n">
        <f aca="false">O740*4 + P740*2 + MAX(0,N740-O740-P740)*1 + Q740*0.2 + R740*2 + S740*1 + IF(T740="",0,IF(T740&lt;=10,8,IF(T740&lt;=50,6,IF(T740&lt;=100,4,2))))</f>
        <v>0</v>
      </c>
      <c r="V740" s="7"/>
      <c r="W740" s="12"/>
      <c r="X740" s="13"/>
      <c r="Y740" s="13" t="s">
        <v>3220</v>
      </c>
    </row>
    <row r="741" customFormat="false" ht="15.75" hidden="false" customHeight="true" outlineLevel="0" collapsed="false">
      <c r="A741" s="7" t="s">
        <v>3221</v>
      </c>
      <c r="B741" s="8" t="n">
        <v>2008</v>
      </c>
      <c r="C741" s="8" t="s">
        <v>35</v>
      </c>
      <c r="D741" s="8" t="n">
        <v>125</v>
      </c>
      <c r="E741" s="7" t="s">
        <v>3222</v>
      </c>
      <c r="F741" s="8" t="n">
        <v>7.8</v>
      </c>
      <c r="G741" s="8"/>
      <c r="H741" s="9" t="n">
        <v>81969</v>
      </c>
      <c r="I741" s="7" t="s">
        <v>430</v>
      </c>
      <c r="J741" s="7" t="s">
        <v>112</v>
      </c>
      <c r="K741" s="7" t="s">
        <v>464</v>
      </c>
      <c r="L741" s="10"/>
      <c r="M741" s="10" t="s">
        <v>3223</v>
      </c>
      <c r="N741" s="8" t="n">
        <v>0</v>
      </c>
      <c r="O741" s="8" t="n">
        <v>0</v>
      </c>
      <c r="P741" s="8" t="n">
        <v>0</v>
      </c>
      <c r="Q741" s="8" t="n">
        <v>0</v>
      </c>
      <c r="R741" s="13" t="n">
        <v>0</v>
      </c>
      <c r="S741" s="13" t="n">
        <v>0</v>
      </c>
      <c r="T741" s="13"/>
      <c r="U741" s="11" t="n">
        <f aca="false">O741*4 + P741*2 + MAX(0,N741-O741-P741)*1 + Q741*0.2 + R741*2 + S741*1 + IF(T741="",0,IF(T741&lt;=10,8,IF(T741&lt;=50,6,IF(T741&lt;=100,4,2))))</f>
        <v>0</v>
      </c>
      <c r="V741" s="7"/>
      <c r="W741" s="12"/>
      <c r="X741" s="13"/>
      <c r="Y741" s="13" t="s">
        <v>3224</v>
      </c>
    </row>
    <row r="742" customFormat="false" ht="15.75" hidden="false" customHeight="true" outlineLevel="0" collapsed="false">
      <c r="A742" s="7" t="s">
        <v>3225</v>
      </c>
      <c r="B742" s="8" t="n">
        <v>2007</v>
      </c>
      <c r="C742" s="8" t="s">
        <v>35</v>
      </c>
      <c r="D742" s="8" t="n">
        <v>157</v>
      </c>
      <c r="E742" s="7" t="s">
        <v>497</v>
      </c>
      <c r="F742" s="8" t="n">
        <v>7.5</v>
      </c>
      <c r="G742" s="8"/>
      <c r="H742" s="9" t="n">
        <v>48203</v>
      </c>
      <c r="I742" s="7" t="s">
        <v>3226</v>
      </c>
      <c r="J742" s="7" t="s">
        <v>29</v>
      </c>
      <c r="K742" s="7" t="s">
        <v>453</v>
      </c>
      <c r="L742" s="10" t="s">
        <v>192</v>
      </c>
      <c r="M742" s="10" t="s">
        <v>3227</v>
      </c>
      <c r="N742" s="8" t="n">
        <v>0</v>
      </c>
      <c r="O742" s="8" t="n">
        <v>0</v>
      </c>
      <c r="P742" s="8" t="n">
        <v>0</v>
      </c>
      <c r="Q742" s="8" t="n">
        <v>0</v>
      </c>
      <c r="R742" s="8" t="n">
        <v>1</v>
      </c>
      <c r="S742" s="13" t="n">
        <v>0</v>
      </c>
      <c r="T742" s="13"/>
      <c r="U742" s="11" t="n">
        <f aca="false">O742*4 + P742*2 + MAX(0,N742-O742-P742)*1 + Q742*0.2 + R742*2 + S742*1 + IF(T742="",0,IF(T742&lt;=10,8,IF(T742&lt;=50,6,IF(T742&lt;=100,4,2))))</f>
        <v>2</v>
      </c>
      <c r="V742" s="7"/>
      <c r="W742" s="12"/>
      <c r="X742" s="13"/>
      <c r="Y742" s="13" t="s">
        <v>3228</v>
      </c>
    </row>
    <row r="743" customFormat="false" ht="15.75" hidden="false" customHeight="true" outlineLevel="0" collapsed="false">
      <c r="A743" s="7" t="s">
        <v>3229</v>
      </c>
      <c r="B743" s="8" t="n">
        <v>2016</v>
      </c>
      <c r="C743" s="8" t="s">
        <v>176</v>
      </c>
      <c r="D743" s="8" t="n">
        <v>124</v>
      </c>
      <c r="E743" s="7" t="s">
        <v>2813</v>
      </c>
      <c r="F743" s="8" t="n">
        <v>7.7</v>
      </c>
      <c r="G743" s="8"/>
      <c r="H743" s="9" t="n">
        <v>69231</v>
      </c>
      <c r="I743" s="7" t="s">
        <v>3230</v>
      </c>
      <c r="J743" s="7" t="s">
        <v>131</v>
      </c>
      <c r="K743" s="7" t="s">
        <v>47</v>
      </c>
      <c r="L743" s="10" t="s">
        <v>205</v>
      </c>
      <c r="M743" s="10" t="s">
        <v>3231</v>
      </c>
      <c r="N743" s="8" t="n">
        <v>1</v>
      </c>
      <c r="O743" s="8" t="n">
        <v>0</v>
      </c>
      <c r="P743" s="8" t="n">
        <v>0</v>
      </c>
      <c r="Q743" s="8" t="n">
        <v>1</v>
      </c>
      <c r="R743" s="8" t="n">
        <v>0</v>
      </c>
      <c r="S743" s="8" t="n">
        <v>0</v>
      </c>
      <c r="T743" s="13"/>
      <c r="U743" s="11" t="n">
        <f aca="false">O743*4 + P743*2 + MAX(0,N743-O743-P743)*1 + Q743*0.2 + R743*2 + S743*1 + IF(T743="",0,IF(T743&lt;=10,8,IF(T743&lt;=50,6,IF(T743&lt;=100,4,2))))</f>
        <v>1.2</v>
      </c>
      <c r="V743" s="7"/>
      <c r="W743" s="12"/>
      <c r="X743" s="13"/>
      <c r="Y743" s="13" t="s">
        <v>3232</v>
      </c>
    </row>
    <row r="744" customFormat="false" ht="15.75" hidden="false" customHeight="true" outlineLevel="0" collapsed="false">
      <c r="A744" s="7" t="s">
        <v>3233</v>
      </c>
      <c r="B744" s="8" t="n">
        <v>2017</v>
      </c>
      <c r="C744" s="8" t="s">
        <v>176</v>
      </c>
      <c r="D744" s="8" t="n">
        <v>88</v>
      </c>
      <c r="E744" s="7" t="s">
        <v>3234</v>
      </c>
      <c r="F744" s="8" t="n">
        <v>7.3</v>
      </c>
      <c r="G744" s="8"/>
      <c r="H744" s="9" t="n">
        <v>28687</v>
      </c>
      <c r="I744" s="7" t="s">
        <v>46</v>
      </c>
      <c r="J744" s="7" t="s">
        <v>47</v>
      </c>
      <c r="K744" s="7"/>
      <c r="L744" s="10" t="s">
        <v>1280</v>
      </c>
      <c r="M744" s="10" t="s">
        <v>3235</v>
      </c>
      <c r="N744" s="8" t="n">
        <v>0</v>
      </c>
      <c r="O744" s="8" t="n">
        <v>0</v>
      </c>
      <c r="P744" s="8" t="n">
        <v>0</v>
      </c>
      <c r="Q744" s="8" t="n">
        <v>0</v>
      </c>
      <c r="R744" s="13" t="n">
        <v>0</v>
      </c>
      <c r="S744" s="13" t="n">
        <v>0</v>
      </c>
      <c r="T744" s="13"/>
      <c r="U744" s="11" t="n">
        <f aca="false">O744*4 + P744*2 + MAX(0,N744-O744-P744)*1 + Q744*0.2 + R744*2 + S744*1 + IF(T744="",0,IF(T744&lt;=10,8,IF(T744&lt;=50,6,IF(T744&lt;=100,4,2))))</f>
        <v>0</v>
      </c>
      <c r="V744" s="7"/>
      <c r="W744" s="12"/>
      <c r="X744" s="13"/>
      <c r="Y744" s="13" t="s">
        <v>3236</v>
      </c>
    </row>
    <row r="745" customFormat="false" ht="15.75" hidden="false" customHeight="true" outlineLevel="0" collapsed="false">
      <c r="A745" s="7" t="s">
        <v>3237</v>
      </c>
      <c r="B745" s="8" t="n">
        <v>2005</v>
      </c>
      <c r="C745" s="8" t="s">
        <v>35</v>
      </c>
      <c r="D745" s="8" t="n">
        <v>106</v>
      </c>
      <c r="E745" s="7" t="s">
        <v>3238</v>
      </c>
      <c r="F745" s="8" t="n">
        <v>7.4</v>
      </c>
      <c r="G745" s="8"/>
      <c r="H745" s="9" t="n">
        <v>61551</v>
      </c>
      <c r="I745" s="7" t="s">
        <v>46</v>
      </c>
      <c r="J745" s="7" t="s">
        <v>30</v>
      </c>
      <c r="K745" s="7" t="s">
        <v>47</v>
      </c>
      <c r="L745" s="10"/>
      <c r="M745" s="10" t="s">
        <v>3239</v>
      </c>
      <c r="N745" s="8" t="n">
        <v>0</v>
      </c>
      <c r="O745" s="8" t="n">
        <v>0</v>
      </c>
      <c r="P745" s="8" t="n">
        <v>0</v>
      </c>
      <c r="Q745" s="8" t="n">
        <v>0</v>
      </c>
      <c r="R745" s="13" t="n">
        <v>0</v>
      </c>
      <c r="S745" s="13" t="n">
        <v>0</v>
      </c>
      <c r="T745" s="13"/>
      <c r="U745" s="11" t="n">
        <f aca="false">O745*4 + P745*2 + MAX(0,N745-O745-P745)*1 + Q745*0.2 + R745*2 + S745*1 + IF(T745="",0,IF(T745&lt;=10,8,IF(T745&lt;=50,6,IF(T745&lt;=100,4,2))))</f>
        <v>0</v>
      </c>
      <c r="V745" s="7"/>
      <c r="W745" s="12"/>
      <c r="X745" s="13"/>
      <c r="Y745" s="13" t="s">
        <v>3240</v>
      </c>
    </row>
    <row r="746" customFormat="false" ht="15.75" hidden="false" customHeight="true" outlineLevel="0" collapsed="false">
      <c r="A746" s="7" t="s">
        <v>3241</v>
      </c>
      <c r="B746" s="8" t="n">
        <v>2002</v>
      </c>
      <c r="C746" s="8" t="s">
        <v>35</v>
      </c>
      <c r="D746" s="8" t="n">
        <v>132</v>
      </c>
      <c r="E746" s="7" t="s">
        <v>1837</v>
      </c>
      <c r="F746" s="8" t="n">
        <v>7.2</v>
      </c>
      <c r="G746" s="8"/>
      <c r="H746" s="9" t="n">
        <v>15840</v>
      </c>
      <c r="I746" s="7" t="s">
        <v>3242</v>
      </c>
      <c r="J746" s="7" t="s">
        <v>47</v>
      </c>
      <c r="K746" s="7" t="s">
        <v>54</v>
      </c>
      <c r="L746" s="10" t="s">
        <v>210</v>
      </c>
      <c r="M746" s="10" t="s">
        <v>3243</v>
      </c>
      <c r="N746" s="8" t="n">
        <v>0</v>
      </c>
      <c r="O746" s="8" t="n">
        <v>0</v>
      </c>
      <c r="P746" s="8" t="n">
        <v>0</v>
      </c>
      <c r="Q746" s="8" t="n">
        <v>0</v>
      </c>
      <c r="R746" s="13" t="n">
        <v>0</v>
      </c>
      <c r="S746" s="13" t="n">
        <v>0</v>
      </c>
      <c r="T746" s="13"/>
      <c r="U746" s="11" t="n">
        <f aca="false">O746*4 + P746*2 + MAX(0,N746-O746-P746)*1 + Q746*0.2 + R746*2 + S746*1 + IF(T746="",0,IF(T746&lt;=10,8,IF(T746&lt;=50,6,IF(T746&lt;=100,4,2))))</f>
        <v>0</v>
      </c>
      <c r="V746" s="7"/>
      <c r="W746" s="12"/>
      <c r="X746" s="13"/>
      <c r="Y746" s="13" t="s">
        <v>3244</v>
      </c>
    </row>
    <row r="747" customFormat="false" ht="15.75" hidden="false" customHeight="true" outlineLevel="0" collapsed="false">
      <c r="A747" s="7" t="s">
        <v>3245</v>
      </c>
      <c r="B747" s="8" t="n">
        <v>2001</v>
      </c>
      <c r="C747" s="8" t="s">
        <v>35</v>
      </c>
      <c r="D747" s="8" t="n">
        <v>95</v>
      </c>
      <c r="E747" s="7" t="s">
        <v>3246</v>
      </c>
      <c r="F747" s="8" t="n">
        <v>7.7</v>
      </c>
      <c r="G747" s="8"/>
      <c r="H747" s="9" t="n">
        <v>38155</v>
      </c>
      <c r="I747" s="7"/>
      <c r="J747" s="7"/>
      <c r="K747" s="12"/>
      <c r="L747" s="10"/>
      <c r="M747" s="10" t="s">
        <v>3247</v>
      </c>
      <c r="N747" s="8" t="n">
        <v>0</v>
      </c>
      <c r="O747" s="8" t="n">
        <v>0</v>
      </c>
      <c r="P747" s="8" t="n">
        <v>0</v>
      </c>
      <c r="Q747" s="8" t="n">
        <v>0</v>
      </c>
      <c r="R747" s="13" t="n">
        <v>0</v>
      </c>
      <c r="S747" s="13" t="n">
        <v>0</v>
      </c>
      <c r="T747" s="13"/>
      <c r="U747" s="11" t="n">
        <f aca="false">O747*4 + P747*2 + MAX(0,N747-O747-P747)*1 + Q747*0.2 + R747*2 + S747*1 + IF(T747="",0,IF(T747&lt;=10,8,IF(T747&lt;=50,6,IF(T747&lt;=100,4,2))))</f>
        <v>0</v>
      </c>
      <c r="V747" s="7"/>
      <c r="W747" s="12"/>
      <c r="X747" s="13"/>
      <c r="Y747" s="13" t="s">
        <v>3248</v>
      </c>
    </row>
    <row r="748" customFormat="false" ht="15.75" hidden="false" customHeight="true" outlineLevel="0" collapsed="false">
      <c r="A748" s="7" t="s">
        <v>3249</v>
      </c>
      <c r="B748" s="8" t="n">
        <v>2002</v>
      </c>
      <c r="C748" s="8" t="s">
        <v>35</v>
      </c>
      <c r="D748" s="8" t="n">
        <v>92</v>
      </c>
      <c r="E748" s="7" t="s">
        <v>3250</v>
      </c>
      <c r="F748" s="8" t="n">
        <v>7.4</v>
      </c>
      <c r="G748" s="8"/>
      <c r="H748" s="9" t="n">
        <v>5594</v>
      </c>
      <c r="I748" s="7" t="s">
        <v>2336</v>
      </c>
      <c r="J748" s="7" t="s">
        <v>30</v>
      </c>
      <c r="K748" s="7" t="s">
        <v>47</v>
      </c>
      <c r="L748" s="10" t="s">
        <v>205</v>
      </c>
      <c r="M748" s="10" t="s">
        <v>3251</v>
      </c>
      <c r="N748" s="8" t="n">
        <v>0</v>
      </c>
      <c r="O748" s="8" t="n">
        <v>0</v>
      </c>
      <c r="P748" s="8" t="n">
        <v>0</v>
      </c>
      <c r="Q748" s="8" t="n">
        <v>0</v>
      </c>
      <c r="R748" s="13" t="n">
        <v>0</v>
      </c>
      <c r="S748" s="13" t="n">
        <v>0</v>
      </c>
      <c r="T748" s="13"/>
      <c r="U748" s="11" t="n">
        <f aca="false">O748*4 + P748*2 + MAX(0,N748-O748-P748)*1 + Q748*0.2 + R748*2 + S748*1 + IF(T748="",0,IF(T748&lt;=10,8,IF(T748&lt;=50,6,IF(T748&lt;=100,4,2))))</f>
        <v>0</v>
      </c>
      <c r="V748" s="7"/>
      <c r="W748" s="12"/>
      <c r="X748" s="13"/>
      <c r="Y748" s="13" t="s">
        <v>3252</v>
      </c>
    </row>
    <row r="749" customFormat="false" ht="15.75" hidden="false" customHeight="true" outlineLevel="0" collapsed="false">
      <c r="A749" s="7" t="s">
        <v>3253</v>
      </c>
      <c r="B749" s="8" t="n">
        <v>2023</v>
      </c>
      <c r="C749" s="8" t="s">
        <v>378</v>
      </c>
      <c r="D749" s="8" t="n">
        <v>127</v>
      </c>
      <c r="E749" s="7" t="s">
        <v>3254</v>
      </c>
      <c r="F749" s="8" t="n">
        <v>7.7</v>
      </c>
      <c r="G749" s="8"/>
      <c r="H749" s="9" t="n">
        <v>41643</v>
      </c>
      <c r="I749" s="7" t="s">
        <v>3255</v>
      </c>
      <c r="J749" s="7" t="s">
        <v>112</v>
      </c>
      <c r="K749" s="7" t="s">
        <v>453</v>
      </c>
      <c r="L749" s="10" t="s">
        <v>2965</v>
      </c>
      <c r="M749" s="10" t="s">
        <v>3256</v>
      </c>
      <c r="N749" s="8" t="n">
        <v>0</v>
      </c>
      <c r="O749" s="8" t="n">
        <v>0</v>
      </c>
      <c r="P749" s="8" t="n">
        <v>0</v>
      </c>
      <c r="Q749" s="8" t="n">
        <v>0</v>
      </c>
      <c r="R749" s="13" t="n">
        <v>0</v>
      </c>
      <c r="S749" s="13" t="n">
        <v>0</v>
      </c>
      <c r="T749" s="13"/>
      <c r="U749" s="11" t="n">
        <f aca="false">O749*4 + P749*2 + MAX(0,N749-O749-P749)*1 + Q749*0.2 + R749*2 + S749*1 + IF(T749="",0,IF(T749&lt;=10,8,IF(T749&lt;=50,6,IF(T749&lt;=100,4,2))))</f>
        <v>0</v>
      </c>
      <c r="V749" s="7"/>
      <c r="W749" s="12"/>
      <c r="X749" s="13"/>
      <c r="Y749" s="13" t="s">
        <v>3257</v>
      </c>
    </row>
    <row r="750" customFormat="false" ht="15.75" hidden="false" customHeight="true" outlineLevel="0" collapsed="false">
      <c r="A750" s="7" t="s">
        <v>3258</v>
      </c>
      <c r="B750" s="8" t="n">
        <v>2022</v>
      </c>
      <c r="C750" s="8" t="s">
        <v>378</v>
      </c>
      <c r="D750" s="8" t="n">
        <v>118</v>
      </c>
      <c r="E750" s="7" t="s">
        <v>3259</v>
      </c>
      <c r="F750" s="8" t="n">
        <v>7.3</v>
      </c>
      <c r="G750" s="8"/>
      <c r="H750" s="9" t="n">
        <v>32430</v>
      </c>
      <c r="I750" s="7" t="s">
        <v>3260</v>
      </c>
      <c r="J750" s="7" t="s">
        <v>131</v>
      </c>
      <c r="K750" s="7" t="s">
        <v>54</v>
      </c>
      <c r="L750" s="10" t="s">
        <v>166</v>
      </c>
      <c r="M750" s="10" t="s">
        <v>3261</v>
      </c>
      <c r="N750" s="8" t="n">
        <v>0</v>
      </c>
      <c r="O750" s="8" t="n">
        <v>0</v>
      </c>
      <c r="P750" s="8" t="n">
        <v>0</v>
      </c>
      <c r="Q750" s="8" t="n">
        <v>0</v>
      </c>
      <c r="R750" s="13" t="n">
        <v>0</v>
      </c>
      <c r="S750" s="13" t="n">
        <v>0</v>
      </c>
      <c r="T750" s="13"/>
      <c r="U750" s="11" t="n">
        <f aca="false">O750*4 + P750*2 + MAX(0,N750-O750-P750)*1 + Q750*0.2 + R750*2 + S750*1 + IF(T750="",0,IF(T750&lt;=10,8,IF(T750&lt;=50,6,IF(T750&lt;=100,4,2))))</f>
        <v>0</v>
      </c>
      <c r="V750" s="7"/>
      <c r="W750" s="12"/>
      <c r="X750" s="13"/>
      <c r="Y750" s="13" t="s">
        <v>3262</v>
      </c>
    </row>
    <row r="751" customFormat="false" ht="15.75" hidden="false" customHeight="true" outlineLevel="0" collapsed="false">
      <c r="A751" s="7" t="s">
        <v>3263</v>
      </c>
      <c r="B751" s="8" t="n">
        <v>2012</v>
      </c>
      <c r="C751" s="8" t="s">
        <v>176</v>
      </c>
      <c r="D751" s="8" t="n">
        <v>117</v>
      </c>
      <c r="E751" s="7" t="s">
        <v>3029</v>
      </c>
      <c r="F751" s="8" t="n">
        <v>8.1</v>
      </c>
      <c r="G751" s="8"/>
      <c r="H751" s="9" t="n">
        <v>55531</v>
      </c>
      <c r="I751" s="7"/>
      <c r="J751" s="7"/>
      <c r="K751" s="12"/>
      <c r="L751" s="10" t="s">
        <v>1686</v>
      </c>
      <c r="M751" s="10" t="s">
        <v>3264</v>
      </c>
      <c r="N751" s="8" t="n">
        <v>0</v>
      </c>
      <c r="O751" s="8" t="n">
        <v>0</v>
      </c>
      <c r="P751" s="8" t="n">
        <v>0</v>
      </c>
      <c r="Q751" s="8" t="n">
        <v>0</v>
      </c>
      <c r="R751" s="13" t="n">
        <v>0</v>
      </c>
      <c r="S751" s="13" t="n">
        <v>0</v>
      </c>
      <c r="T751" s="13"/>
      <c r="U751" s="11" t="n">
        <f aca="false">O751*4 + P751*2 + MAX(0,N751-O751-P751)*1 + Q751*0.2 + R751*2 + S751*1 + IF(T751="",0,IF(T751&lt;=10,8,IF(T751&lt;=50,6,IF(T751&lt;=100,4,2))))</f>
        <v>0</v>
      </c>
      <c r="V751" s="7"/>
      <c r="W751" s="12"/>
      <c r="X751" s="13"/>
      <c r="Y751" s="13" t="s">
        <v>3265</v>
      </c>
    </row>
    <row r="752" customFormat="false" ht="15.75" hidden="false" customHeight="true" outlineLevel="0" collapsed="false">
      <c r="A752" s="7" t="s">
        <v>3266</v>
      </c>
      <c r="B752" s="8" t="n">
        <v>2012</v>
      </c>
      <c r="C752" s="8" t="s">
        <v>176</v>
      </c>
      <c r="D752" s="8" t="n">
        <v>118</v>
      </c>
      <c r="E752" s="7" t="s">
        <v>3046</v>
      </c>
      <c r="F752" s="8" t="n">
        <v>7.4</v>
      </c>
      <c r="G752" s="8"/>
      <c r="H752" s="9" t="n">
        <v>27262</v>
      </c>
      <c r="I752" s="7" t="s">
        <v>3267</v>
      </c>
      <c r="J752" s="7" t="s">
        <v>47</v>
      </c>
      <c r="K752" s="7" t="s">
        <v>453</v>
      </c>
      <c r="L752" s="10" t="s">
        <v>166</v>
      </c>
      <c r="M752" s="10" t="s">
        <v>3268</v>
      </c>
      <c r="N752" s="8" t="n">
        <v>0</v>
      </c>
      <c r="O752" s="8" t="n">
        <v>0</v>
      </c>
      <c r="P752" s="8" t="n">
        <v>0</v>
      </c>
      <c r="Q752" s="8" t="n">
        <v>1</v>
      </c>
      <c r="R752" s="8" t="n">
        <v>0</v>
      </c>
      <c r="S752" s="8" t="n">
        <v>0</v>
      </c>
      <c r="T752" s="13"/>
      <c r="U752" s="11" t="n">
        <f aca="false">O752*4 + P752*2 + MAX(0,N752-O752-P752)*1 + Q752*0.2 + R752*2 + S752*1 + IF(T752="",0,IF(T752&lt;=10,8,IF(T752&lt;=50,6,IF(T752&lt;=100,4,2))))</f>
        <v>0.2</v>
      </c>
      <c r="V752" s="7"/>
      <c r="W752" s="12"/>
      <c r="X752" s="13"/>
      <c r="Y752" s="13" t="s">
        <v>3269</v>
      </c>
    </row>
    <row r="753" customFormat="false" ht="15.75" hidden="false" customHeight="true" outlineLevel="0" collapsed="false">
      <c r="A753" s="7" t="s">
        <v>3270</v>
      </c>
      <c r="B753" s="8" t="n">
        <v>2004</v>
      </c>
      <c r="C753" s="8" t="s">
        <v>35</v>
      </c>
      <c r="D753" s="8" t="n">
        <v>100</v>
      </c>
      <c r="E753" s="7" t="s">
        <v>3271</v>
      </c>
      <c r="F753" s="8" t="n">
        <v>7.4</v>
      </c>
      <c r="G753" s="8"/>
      <c r="H753" s="9" t="n">
        <v>42974</v>
      </c>
      <c r="I753" s="7" t="s">
        <v>124</v>
      </c>
      <c r="J753" s="7" t="s">
        <v>579</v>
      </c>
      <c r="K753" s="7" t="s">
        <v>125</v>
      </c>
      <c r="L753" s="10" t="s">
        <v>1686</v>
      </c>
      <c r="M753" s="10" t="s">
        <v>3272</v>
      </c>
      <c r="N753" s="8" t="n">
        <v>0</v>
      </c>
      <c r="O753" s="8" t="n">
        <v>0</v>
      </c>
      <c r="P753" s="8" t="n">
        <v>0</v>
      </c>
      <c r="Q753" s="8" t="n">
        <v>0</v>
      </c>
      <c r="R753" s="13" t="n">
        <v>0</v>
      </c>
      <c r="S753" s="13" t="n">
        <v>0</v>
      </c>
      <c r="T753" s="13"/>
      <c r="U753" s="11" t="n">
        <f aca="false">O753*4 + P753*2 + MAX(0,N753-O753-P753)*1 + Q753*0.2 + R753*2 + S753*1 + IF(T753="",0,IF(T753&lt;=10,8,IF(T753&lt;=50,6,IF(T753&lt;=100,4,2))))</f>
        <v>0</v>
      </c>
      <c r="V753" s="7"/>
      <c r="W753" s="12"/>
      <c r="X753" s="13"/>
      <c r="Y753" s="13" t="s">
        <v>3273</v>
      </c>
    </row>
    <row r="754" customFormat="false" ht="15.75" hidden="false" customHeight="true" outlineLevel="0" collapsed="false">
      <c r="A754" s="7" t="s">
        <v>3274</v>
      </c>
      <c r="B754" s="8" t="n">
        <v>2002</v>
      </c>
      <c r="C754" s="8" t="s">
        <v>35</v>
      </c>
      <c r="D754" s="8" t="n">
        <v>97</v>
      </c>
      <c r="E754" s="7" t="s">
        <v>3275</v>
      </c>
      <c r="F754" s="8" t="n">
        <v>7.6</v>
      </c>
      <c r="G754" s="8"/>
      <c r="H754" s="9" t="n">
        <v>29208</v>
      </c>
      <c r="I754" s="7" t="s">
        <v>3276</v>
      </c>
      <c r="J754" s="7" t="s">
        <v>29</v>
      </c>
      <c r="K754" s="7" t="s">
        <v>30</v>
      </c>
      <c r="L754" s="10" t="s">
        <v>205</v>
      </c>
      <c r="M754" s="10" t="s">
        <v>3277</v>
      </c>
      <c r="N754" s="8" t="n">
        <v>0</v>
      </c>
      <c r="O754" s="8" t="n">
        <v>0</v>
      </c>
      <c r="P754" s="8" t="n">
        <v>0</v>
      </c>
      <c r="Q754" s="8" t="n">
        <v>1</v>
      </c>
      <c r="R754" s="8" t="n">
        <v>0</v>
      </c>
      <c r="S754" s="8" t="n">
        <v>0</v>
      </c>
      <c r="T754" s="13"/>
      <c r="U754" s="11" t="n">
        <f aca="false">O754*4 + P754*2 + MAX(0,N754-O754-P754)*1 + Q754*0.2 + R754*2 + S754*1 + IF(T754="",0,IF(T754&lt;=10,8,IF(T754&lt;=50,6,IF(T754&lt;=100,4,2))))</f>
        <v>0.2</v>
      </c>
      <c r="V754" s="7"/>
      <c r="W754" s="12"/>
      <c r="X754" s="13"/>
      <c r="Y754" s="13" t="s">
        <v>3278</v>
      </c>
    </row>
    <row r="755" customFormat="false" ht="15.75" hidden="false" customHeight="true" outlineLevel="0" collapsed="false">
      <c r="A755" s="7" t="s">
        <v>3279</v>
      </c>
      <c r="B755" s="8" t="n">
        <v>2019</v>
      </c>
      <c r="C755" s="8" t="s">
        <v>176</v>
      </c>
      <c r="D755" s="8" t="n">
        <v>81</v>
      </c>
      <c r="E755" s="7" t="s">
        <v>3280</v>
      </c>
      <c r="F755" s="8" t="n">
        <v>7.5</v>
      </c>
      <c r="G755" s="8"/>
      <c r="H755" s="9" t="n">
        <v>38980</v>
      </c>
      <c r="I755" s="7" t="s">
        <v>219</v>
      </c>
      <c r="J755" s="7" t="s">
        <v>579</v>
      </c>
      <c r="K755" s="7" t="s">
        <v>38</v>
      </c>
      <c r="L755" s="10" t="s">
        <v>238</v>
      </c>
      <c r="M755" s="10" t="s">
        <v>3281</v>
      </c>
      <c r="N755" s="8" t="n">
        <v>0</v>
      </c>
      <c r="O755" s="8" t="n">
        <v>0</v>
      </c>
      <c r="P755" s="8" t="n">
        <v>0</v>
      </c>
      <c r="Q755" s="8" t="n">
        <v>1</v>
      </c>
      <c r="R755" s="8" t="n">
        <v>0</v>
      </c>
      <c r="S755" s="8" t="n">
        <v>0</v>
      </c>
      <c r="T755" s="13"/>
      <c r="U755" s="11" t="n">
        <f aca="false">O755*4 + P755*2 + MAX(0,N755-O755-P755)*1 + Q755*0.2 + R755*2 + S755*1 + IF(T755="",0,IF(T755&lt;=10,8,IF(T755&lt;=50,6,IF(T755&lt;=100,4,2))))</f>
        <v>0.2</v>
      </c>
      <c r="V755" s="7"/>
      <c r="W755" s="12"/>
      <c r="X755" s="13"/>
      <c r="Y755" s="13" t="s">
        <v>3282</v>
      </c>
    </row>
    <row r="756" customFormat="false" ht="15.75" hidden="false" customHeight="true" outlineLevel="0" collapsed="false">
      <c r="A756" s="7" t="s">
        <v>3283</v>
      </c>
      <c r="B756" s="8" t="n">
        <v>2013</v>
      </c>
      <c r="C756" s="8" t="s">
        <v>176</v>
      </c>
      <c r="D756" s="8" t="n">
        <v>121</v>
      </c>
      <c r="E756" s="7" t="s">
        <v>2964</v>
      </c>
      <c r="F756" s="8" t="n">
        <v>7.8</v>
      </c>
      <c r="G756" s="8"/>
      <c r="H756" s="9" t="n">
        <v>31249</v>
      </c>
      <c r="I756" s="7" t="s">
        <v>124</v>
      </c>
      <c r="J756" s="7" t="s">
        <v>47</v>
      </c>
      <c r="K756" s="7"/>
      <c r="L756" s="10" t="s">
        <v>166</v>
      </c>
      <c r="M756" s="10" t="s">
        <v>3284</v>
      </c>
      <c r="N756" s="8" t="n">
        <v>0</v>
      </c>
      <c r="O756" s="8" t="n">
        <v>0</v>
      </c>
      <c r="P756" s="8" t="n">
        <v>0</v>
      </c>
      <c r="Q756" s="8" t="n">
        <v>0</v>
      </c>
      <c r="R756" s="13" t="n">
        <v>0</v>
      </c>
      <c r="S756" s="13" t="n">
        <v>0</v>
      </c>
      <c r="T756" s="13"/>
      <c r="U756" s="11" t="n">
        <f aca="false">O756*4 + P756*2 + MAX(0,N756-O756-P756)*1 + Q756*0.2 + R756*2 + S756*1 + IF(T756="",0,IF(T756&lt;=10,8,IF(T756&lt;=50,6,IF(T756&lt;=100,4,2))))</f>
        <v>0</v>
      </c>
      <c r="V756" s="7"/>
      <c r="W756" s="12"/>
      <c r="X756" s="13"/>
      <c r="Y756" s="13" t="s">
        <v>3285</v>
      </c>
    </row>
    <row r="757" customFormat="false" ht="15.75" hidden="false" customHeight="true" outlineLevel="0" collapsed="false">
      <c r="A757" s="7" t="s">
        <v>3286</v>
      </c>
      <c r="B757" s="8" t="n">
        <v>2018</v>
      </c>
      <c r="C757" s="8" t="s">
        <v>176</v>
      </c>
      <c r="D757" s="8" t="n">
        <v>128</v>
      </c>
      <c r="E757" s="7" t="s">
        <v>3287</v>
      </c>
      <c r="F757" s="8" t="n">
        <v>7.5</v>
      </c>
      <c r="G757" s="8"/>
      <c r="H757" s="9" t="n">
        <v>23454</v>
      </c>
      <c r="I757" s="7" t="s">
        <v>3288</v>
      </c>
      <c r="J757" s="7" t="s">
        <v>38</v>
      </c>
      <c r="K757" s="7" t="s">
        <v>125</v>
      </c>
      <c r="L757" s="10" t="s">
        <v>3130</v>
      </c>
      <c r="M757" s="10" t="s">
        <v>3289</v>
      </c>
      <c r="N757" s="8" t="n">
        <v>0</v>
      </c>
      <c r="O757" s="8" t="n">
        <v>0</v>
      </c>
      <c r="P757" s="8" t="n">
        <v>0</v>
      </c>
      <c r="Q757" s="8" t="n">
        <v>0</v>
      </c>
      <c r="R757" s="13" t="n">
        <v>0</v>
      </c>
      <c r="S757" s="13" t="n">
        <v>0</v>
      </c>
      <c r="T757" s="13"/>
      <c r="U757" s="11" t="n">
        <f aca="false">O757*4 + P757*2 + MAX(0,N757-O757-P757)*1 + Q757*0.2 + R757*2 + S757*1 + IF(T757="",0,IF(T757&lt;=10,8,IF(T757&lt;=50,6,IF(T757&lt;=100,4,2))))</f>
        <v>0</v>
      </c>
      <c r="V757" s="7"/>
      <c r="W757" s="12"/>
      <c r="X757" s="13"/>
      <c r="Y757" s="13" t="s">
        <v>3290</v>
      </c>
    </row>
    <row r="758" customFormat="false" ht="15.75" hidden="false" customHeight="true" outlineLevel="0" collapsed="false">
      <c r="A758" s="7" t="s">
        <v>3291</v>
      </c>
      <c r="B758" s="8" t="n">
        <v>2005</v>
      </c>
      <c r="C758" s="8" t="s">
        <v>35</v>
      </c>
      <c r="D758" s="8" t="n">
        <v>103</v>
      </c>
      <c r="E758" s="7" t="s">
        <v>3292</v>
      </c>
      <c r="F758" s="8" t="n">
        <v>7.3</v>
      </c>
      <c r="G758" s="8"/>
      <c r="H758" s="9" t="n">
        <v>43389</v>
      </c>
      <c r="I758" s="7" t="s">
        <v>46</v>
      </c>
      <c r="J758" s="7" t="s">
        <v>39</v>
      </c>
      <c r="K758" s="7" t="s">
        <v>1062</v>
      </c>
      <c r="L758" s="10"/>
      <c r="M758" s="10" t="s">
        <v>3293</v>
      </c>
      <c r="N758" s="8" t="n">
        <v>0</v>
      </c>
      <c r="O758" s="8" t="n">
        <v>0</v>
      </c>
      <c r="P758" s="8" t="n">
        <v>0</v>
      </c>
      <c r="Q758" s="8" t="n">
        <v>2</v>
      </c>
      <c r="R758" s="8" t="n">
        <v>0</v>
      </c>
      <c r="S758" s="8" t="n">
        <v>0</v>
      </c>
      <c r="T758" s="13"/>
      <c r="U758" s="11" t="n">
        <f aca="false">O758*4 + P758*2 + MAX(0,N758-O758-P758)*1 + Q758*0.2 + R758*2 + S758*1 + IF(T758="",0,IF(T758&lt;=10,8,IF(T758&lt;=50,6,IF(T758&lt;=100,4,2))))</f>
        <v>0.4</v>
      </c>
      <c r="V758" s="7"/>
      <c r="W758" s="12"/>
      <c r="X758" s="13"/>
      <c r="Y758" s="13" t="s">
        <v>3294</v>
      </c>
    </row>
    <row r="759" customFormat="false" ht="15.75" hidden="false" customHeight="true" outlineLevel="0" collapsed="false">
      <c r="A759" s="7" t="s">
        <v>3295</v>
      </c>
      <c r="B759" s="8" t="n">
        <v>2012</v>
      </c>
      <c r="C759" s="8" t="s">
        <v>176</v>
      </c>
      <c r="D759" s="8" t="n">
        <v>137</v>
      </c>
      <c r="E759" s="7" t="s">
        <v>3254</v>
      </c>
      <c r="F759" s="8" t="n">
        <v>7.5</v>
      </c>
      <c r="G759" s="8"/>
      <c r="H759" s="9" t="n">
        <v>54360</v>
      </c>
      <c r="I759" s="7" t="s">
        <v>3296</v>
      </c>
      <c r="J759" s="7" t="s">
        <v>47</v>
      </c>
      <c r="K759" s="7" t="s">
        <v>48</v>
      </c>
      <c r="L759" s="10" t="s">
        <v>205</v>
      </c>
      <c r="M759" s="10" t="s">
        <v>3297</v>
      </c>
      <c r="N759" s="8" t="n">
        <v>0</v>
      </c>
      <c r="O759" s="8" t="n">
        <v>0</v>
      </c>
      <c r="P759" s="8" t="n">
        <v>0</v>
      </c>
      <c r="Q759" s="8" t="n">
        <v>1</v>
      </c>
      <c r="R759" s="8" t="n">
        <v>0</v>
      </c>
      <c r="S759" s="8" t="n">
        <v>0</v>
      </c>
      <c r="T759" s="13"/>
      <c r="U759" s="11" t="n">
        <f aca="false">O759*4 + P759*2 + MAX(0,N759-O759-P759)*1 + Q759*0.2 + R759*2 + S759*1 + IF(T759="",0,IF(T759&lt;=10,8,IF(T759&lt;=50,6,IF(T759&lt;=100,4,2))))</f>
        <v>0.2</v>
      </c>
      <c r="V759" s="7"/>
      <c r="W759" s="12"/>
      <c r="X759" s="13"/>
      <c r="Y759" s="13" t="s">
        <v>3298</v>
      </c>
    </row>
    <row r="760" customFormat="false" ht="15.75" hidden="false" customHeight="true" outlineLevel="0" collapsed="false">
      <c r="A760" s="7" t="s">
        <v>3299</v>
      </c>
      <c r="B760" s="8" t="n">
        <v>2002</v>
      </c>
      <c r="C760" s="8" t="s">
        <v>35</v>
      </c>
      <c r="D760" s="8" t="n">
        <v>106</v>
      </c>
      <c r="E760" s="7" t="s">
        <v>1615</v>
      </c>
      <c r="F760" s="8" t="n">
        <v>7.4</v>
      </c>
      <c r="G760" s="8"/>
      <c r="H760" s="9" t="n">
        <v>15257</v>
      </c>
      <c r="I760" s="7" t="s">
        <v>3300</v>
      </c>
      <c r="J760" s="7"/>
      <c r="K760" s="12"/>
      <c r="L760" s="10" t="s">
        <v>547</v>
      </c>
      <c r="M760" s="10" t="s">
        <v>3301</v>
      </c>
      <c r="N760" s="8" t="n">
        <v>0</v>
      </c>
      <c r="O760" s="8" t="n">
        <v>0</v>
      </c>
      <c r="P760" s="8" t="n">
        <v>0</v>
      </c>
      <c r="Q760" s="8" t="n">
        <v>0</v>
      </c>
      <c r="R760" s="13" t="n">
        <v>0</v>
      </c>
      <c r="S760" s="13" t="n">
        <v>0</v>
      </c>
      <c r="T760" s="13"/>
      <c r="U760" s="11" t="n">
        <f aca="false">O760*4 + P760*2 + MAX(0,N760-O760-P760)*1 + Q760*0.2 + R760*2 + S760*1 + IF(T760="",0,IF(T760&lt;=10,8,IF(T760&lt;=50,6,IF(T760&lt;=100,4,2))))</f>
        <v>0</v>
      </c>
      <c r="V760" s="7"/>
      <c r="W760" s="12"/>
      <c r="X760" s="13"/>
      <c r="Y760" s="13" t="s">
        <v>3302</v>
      </c>
    </row>
    <row r="761" customFormat="false" ht="15.75" hidden="false" customHeight="true" outlineLevel="0" collapsed="false">
      <c r="A761" s="7" t="s">
        <v>3303</v>
      </c>
      <c r="B761" s="8" t="n">
        <v>2004</v>
      </c>
      <c r="C761" s="8" t="s">
        <v>35</v>
      </c>
      <c r="D761" s="8" t="n">
        <v>125</v>
      </c>
      <c r="E761" s="7" t="s">
        <v>1862</v>
      </c>
      <c r="F761" s="8" t="n">
        <v>7.6</v>
      </c>
      <c r="G761" s="8"/>
      <c r="H761" s="9" t="n">
        <v>28921</v>
      </c>
      <c r="I761" s="7" t="s">
        <v>3304</v>
      </c>
      <c r="J761" s="7" t="s">
        <v>47</v>
      </c>
      <c r="K761" s="7" t="s">
        <v>54</v>
      </c>
      <c r="L761" s="10"/>
      <c r="M761" s="10" t="s">
        <v>3305</v>
      </c>
      <c r="N761" s="8" t="n">
        <v>0</v>
      </c>
      <c r="O761" s="8" t="n">
        <v>0</v>
      </c>
      <c r="P761" s="8" t="n">
        <v>0</v>
      </c>
      <c r="Q761" s="8" t="n">
        <v>3</v>
      </c>
      <c r="R761" s="8" t="n">
        <v>1</v>
      </c>
      <c r="S761" s="8" t="n">
        <v>0</v>
      </c>
      <c r="T761" s="13"/>
      <c r="U761" s="11" t="n">
        <f aca="false">O761*4 + P761*2 + MAX(0,N761-O761-P761)*1 + Q761*0.2 + R761*2 + S761*1 + IF(T761="",0,IF(T761&lt;=10,8,IF(T761&lt;=50,6,IF(T761&lt;=100,4,2))))</f>
        <v>2.6</v>
      </c>
      <c r="V761" s="7"/>
      <c r="W761" s="12"/>
      <c r="X761" s="13"/>
      <c r="Y761" s="13" t="s">
        <v>3306</v>
      </c>
    </row>
    <row r="762" customFormat="false" ht="15.75" hidden="false" customHeight="true" outlineLevel="0" collapsed="false">
      <c r="A762" s="7" t="s">
        <v>3307</v>
      </c>
      <c r="B762" s="8" t="n">
        <v>2004</v>
      </c>
      <c r="C762" s="8" t="s">
        <v>35</v>
      </c>
      <c r="D762" s="8" t="n">
        <v>141</v>
      </c>
      <c r="E762" s="7" t="s">
        <v>2964</v>
      </c>
      <c r="F762" s="8" t="n">
        <v>8</v>
      </c>
      <c r="G762" s="8"/>
      <c r="H762" s="9" t="n">
        <v>35882</v>
      </c>
      <c r="I762" s="7" t="s">
        <v>124</v>
      </c>
      <c r="J762" s="7" t="s">
        <v>47</v>
      </c>
      <c r="K762" s="7"/>
      <c r="L762" s="10" t="s">
        <v>517</v>
      </c>
      <c r="M762" s="10" t="s">
        <v>3308</v>
      </c>
      <c r="N762" s="8" t="n">
        <v>0</v>
      </c>
      <c r="O762" s="8" t="n">
        <v>0</v>
      </c>
      <c r="P762" s="8" t="n">
        <v>0</v>
      </c>
      <c r="Q762" s="8" t="n">
        <v>0</v>
      </c>
      <c r="R762" s="13" t="n">
        <v>0</v>
      </c>
      <c r="S762" s="13" t="n">
        <v>0</v>
      </c>
      <c r="T762" s="13"/>
      <c r="U762" s="11" t="n">
        <f aca="false">O762*4 + P762*2 + MAX(0,N762-O762-P762)*1 + Q762*0.2 + R762*2 + S762*1 + IF(T762="",0,IF(T762&lt;=10,8,IF(T762&lt;=50,6,IF(T762&lt;=100,4,2))))</f>
        <v>0</v>
      </c>
      <c r="V762" s="7"/>
      <c r="W762" s="12"/>
      <c r="X762" s="13"/>
      <c r="Y762" s="13" t="s">
        <v>3309</v>
      </c>
    </row>
    <row r="763" customFormat="false" ht="15.75" hidden="false" customHeight="true" outlineLevel="0" collapsed="false">
      <c r="A763" s="7" t="s">
        <v>3310</v>
      </c>
      <c r="B763" s="8" t="n">
        <v>2010</v>
      </c>
      <c r="C763" s="8" t="s">
        <v>176</v>
      </c>
      <c r="D763" s="8" t="n">
        <v>149</v>
      </c>
      <c r="E763" s="7" t="s">
        <v>3311</v>
      </c>
      <c r="F763" s="8" t="n">
        <v>7.7</v>
      </c>
      <c r="G763" s="8"/>
      <c r="H763" s="9" t="n">
        <v>14050</v>
      </c>
      <c r="I763" s="7" t="s">
        <v>373</v>
      </c>
      <c r="J763" s="7"/>
      <c r="K763" s="12"/>
      <c r="L763" s="10" t="s">
        <v>238</v>
      </c>
      <c r="M763" s="10" t="s">
        <v>3312</v>
      </c>
      <c r="N763" s="8" t="n">
        <v>0</v>
      </c>
      <c r="O763" s="8" t="n">
        <v>0</v>
      </c>
      <c r="P763" s="8" t="n">
        <v>0</v>
      </c>
      <c r="Q763" s="8" t="n">
        <v>0</v>
      </c>
      <c r="R763" s="13" t="n">
        <v>0</v>
      </c>
      <c r="S763" s="13" t="n">
        <v>0</v>
      </c>
      <c r="T763" s="13"/>
      <c r="U763" s="11" t="n">
        <f aca="false">O763*4 + P763*2 + MAX(0,N763-O763-P763)*1 + Q763*0.2 + R763*2 + S763*1 + IF(T763="",0,IF(T763&lt;=10,8,IF(T763&lt;=50,6,IF(T763&lt;=100,4,2))))</f>
        <v>0</v>
      </c>
      <c r="V763" s="7"/>
      <c r="W763" s="12"/>
      <c r="X763" s="13"/>
      <c r="Y763" s="13" t="s">
        <v>3313</v>
      </c>
    </row>
    <row r="764" customFormat="false" ht="15.75" hidden="false" customHeight="true" outlineLevel="0" collapsed="false">
      <c r="A764" s="7" t="s">
        <v>3314</v>
      </c>
      <c r="B764" s="8" t="n">
        <v>2003</v>
      </c>
      <c r="C764" s="8" t="s">
        <v>35</v>
      </c>
      <c r="D764" s="8" t="n">
        <v>95</v>
      </c>
      <c r="E764" s="7" t="s">
        <v>3315</v>
      </c>
      <c r="F764" s="8" t="n">
        <v>7.3</v>
      </c>
      <c r="G764" s="8"/>
      <c r="H764" s="9" t="n">
        <v>12032</v>
      </c>
      <c r="I764" s="7" t="s">
        <v>219</v>
      </c>
      <c r="J764" s="7" t="s">
        <v>30</v>
      </c>
      <c r="K764" s="7" t="s">
        <v>47</v>
      </c>
      <c r="L764" s="10"/>
      <c r="M764" s="10" t="s">
        <v>3316</v>
      </c>
      <c r="N764" s="8" t="n">
        <v>0</v>
      </c>
      <c r="O764" s="8" t="n">
        <v>0</v>
      </c>
      <c r="P764" s="8" t="n">
        <v>0</v>
      </c>
      <c r="Q764" s="8" t="n">
        <v>0</v>
      </c>
      <c r="R764" s="13" t="n">
        <v>0</v>
      </c>
      <c r="S764" s="13" t="n">
        <v>0</v>
      </c>
      <c r="T764" s="13"/>
      <c r="U764" s="11" t="n">
        <f aca="false">O764*4 + P764*2 + MAX(0,N764-O764-P764)*1 + Q764*0.2 + R764*2 + S764*1 + IF(T764="",0,IF(T764&lt;=10,8,IF(T764&lt;=50,6,IF(T764&lt;=100,4,2))))</f>
        <v>0</v>
      </c>
      <c r="V764" s="7"/>
      <c r="W764" s="12"/>
      <c r="X764" s="13"/>
      <c r="Y764" s="13" t="s">
        <v>3317</v>
      </c>
    </row>
    <row r="765" customFormat="false" ht="15.75" hidden="false" customHeight="true" outlineLevel="0" collapsed="false">
      <c r="A765" s="7" t="s">
        <v>3318</v>
      </c>
      <c r="B765" s="8" t="n">
        <v>2017</v>
      </c>
      <c r="C765" s="8" t="s">
        <v>176</v>
      </c>
      <c r="D765" s="8" t="n">
        <v>96</v>
      </c>
      <c r="E765" s="7" t="s">
        <v>3319</v>
      </c>
      <c r="F765" s="8" t="n">
        <v>7.6</v>
      </c>
      <c r="G765" s="8"/>
      <c r="H765" s="9" t="n">
        <v>36012</v>
      </c>
      <c r="I765" s="7" t="s">
        <v>124</v>
      </c>
      <c r="J765" s="7" t="s">
        <v>147</v>
      </c>
      <c r="K765" s="7" t="s">
        <v>30</v>
      </c>
      <c r="L765" s="10" t="s">
        <v>3320</v>
      </c>
      <c r="M765" s="10" t="s">
        <v>3321</v>
      </c>
      <c r="N765" s="8" t="n">
        <v>0</v>
      </c>
      <c r="O765" s="8" t="n">
        <v>0</v>
      </c>
      <c r="P765" s="8" t="n">
        <v>0</v>
      </c>
      <c r="Q765" s="8" t="n">
        <v>0</v>
      </c>
      <c r="R765" s="13" t="n">
        <v>0</v>
      </c>
      <c r="S765" s="13" t="n">
        <v>0</v>
      </c>
      <c r="T765" s="13"/>
      <c r="U765" s="11" t="n">
        <f aca="false">O765*4 + P765*2 + MAX(0,N765-O765-P765)*1 + Q765*0.2 + R765*2 + S765*1 + IF(T765="",0,IF(T765&lt;=10,8,IF(T765&lt;=50,6,IF(T765&lt;=100,4,2))))</f>
        <v>0</v>
      </c>
      <c r="V765" s="7"/>
      <c r="W765" s="12"/>
      <c r="X765" s="13"/>
      <c r="Y765" s="13" t="s">
        <v>3322</v>
      </c>
    </row>
    <row r="766" customFormat="false" ht="15.75" hidden="false" customHeight="true" outlineLevel="0" collapsed="false">
      <c r="A766" s="7" t="s">
        <v>3323</v>
      </c>
      <c r="B766" s="8" t="n">
        <v>2014</v>
      </c>
      <c r="C766" s="8" t="s">
        <v>176</v>
      </c>
      <c r="D766" s="8" t="n">
        <v>140</v>
      </c>
      <c r="E766" s="7" t="s">
        <v>3324</v>
      </c>
      <c r="F766" s="8" t="n">
        <v>7.6</v>
      </c>
      <c r="G766" s="8"/>
      <c r="H766" s="9" t="n">
        <v>60441</v>
      </c>
      <c r="I766" s="7" t="s">
        <v>3325</v>
      </c>
      <c r="J766" s="7" t="s">
        <v>47</v>
      </c>
      <c r="K766" s="7" t="s">
        <v>54</v>
      </c>
      <c r="L766" s="10" t="s">
        <v>205</v>
      </c>
      <c r="M766" s="10" t="s">
        <v>3326</v>
      </c>
      <c r="N766" s="8" t="n">
        <v>0</v>
      </c>
      <c r="O766" s="8" t="n">
        <v>0</v>
      </c>
      <c r="P766" s="8" t="n">
        <v>0</v>
      </c>
      <c r="Q766" s="8" t="n">
        <v>1</v>
      </c>
      <c r="R766" s="8" t="n">
        <v>0</v>
      </c>
      <c r="S766" s="8" t="n">
        <v>0</v>
      </c>
      <c r="T766" s="13"/>
      <c r="U766" s="11" t="n">
        <f aca="false">O766*4 + P766*2 + MAX(0,N766-O766-P766)*1 + Q766*0.2 + R766*2 + S766*1 + IF(T766="",0,IF(T766&lt;=10,8,IF(T766&lt;=50,6,IF(T766&lt;=100,4,2))))</f>
        <v>0.2</v>
      </c>
      <c r="V766" s="7"/>
      <c r="W766" s="12"/>
      <c r="X766" s="13"/>
      <c r="Y766" s="13" t="s">
        <v>3327</v>
      </c>
    </row>
    <row r="767" customFormat="false" ht="15.75" hidden="false" customHeight="true" outlineLevel="0" collapsed="false">
      <c r="A767" s="7" t="s">
        <v>3328</v>
      </c>
      <c r="B767" s="8" t="n">
        <v>2011</v>
      </c>
      <c r="C767" s="8" t="s">
        <v>176</v>
      </c>
      <c r="D767" s="8" t="n">
        <v>92</v>
      </c>
      <c r="E767" s="7" t="s">
        <v>3329</v>
      </c>
      <c r="F767" s="8" t="n">
        <v>7.5</v>
      </c>
      <c r="G767" s="8" t="n">
        <v>6</v>
      </c>
      <c r="H767" s="9" t="n">
        <v>35581</v>
      </c>
      <c r="I767" s="7" t="s">
        <v>280</v>
      </c>
      <c r="J767" s="7" t="s">
        <v>47</v>
      </c>
      <c r="K767" s="7"/>
      <c r="L767" s="10" t="s">
        <v>205</v>
      </c>
      <c r="M767" s="10" t="s">
        <v>3330</v>
      </c>
      <c r="N767" s="8" t="n">
        <v>0</v>
      </c>
      <c r="O767" s="8" t="n">
        <v>0</v>
      </c>
      <c r="P767" s="8" t="n">
        <v>0</v>
      </c>
      <c r="Q767" s="8" t="n">
        <v>0</v>
      </c>
      <c r="R767" s="13" t="n">
        <v>0</v>
      </c>
      <c r="S767" s="13" t="n">
        <v>0</v>
      </c>
      <c r="T767" s="13"/>
      <c r="U767" s="11" t="n">
        <f aca="false">O767*4 + P767*2 + MAX(0,N767-O767-P767)*1 + Q767*0.2 + R767*2 + S767*1 + IF(T767="",0,IF(T767&lt;=10,8,IF(T767&lt;=50,6,IF(T767&lt;=100,4,2))))</f>
        <v>0</v>
      </c>
      <c r="V767" s="7"/>
      <c r="W767" s="12"/>
      <c r="X767" s="13"/>
      <c r="Y767" s="13" t="s">
        <v>3331</v>
      </c>
    </row>
    <row r="768" customFormat="false" ht="15.75" hidden="false" customHeight="true" outlineLevel="0" collapsed="false">
      <c r="A768" s="7" t="s">
        <v>3332</v>
      </c>
      <c r="B768" s="8" t="n">
        <v>2004</v>
      </c>
      <c r="C768" s="8" t="s">
        <v>35</v>
      </c>
      <c r="D768" s="8" t="n">
        <v>121</v>
      </c>
      <c r="E768" s="7" t="s">
        <v>3333</v>
      </c>
      <c r="F768" s="8" t="n">
        <v>7.7</v>
      </c>
      <c r="G768" s="8"/>
      <c r="H768" s="9" t="n">
        <v>13268</v>
      </c>
      <c r="I768" s="7" t="s">
        <v>3334</v>
      </c>
      <c r="J768" s="7" t="s">
        <v>47</v>
      </c>
      <c r="K768" s="7" t="s">
        <v>48</v>
      </c>
      <c r="L768" s="10" t="s">
        <v>447</v>
      </c>
      <c r="M768" s="10" t="s">
        <v>3335</v>
      </c>
      <c r="N768" s="8" t="n">
        <v>0</v>
      </c>
      <c r="O768" s="8" t="n">
        <v>0</v>
      </c>
      <c r="P768" s="8" t="n">
        <v>0</v>
      </c>
      <c r="Q768" s="8" t="n">
        <v>0</v>
      </c>
      <c r="R768" s="13" t="n">
        <v>0</v>
      </c>
      <c r="S768" s="13" t="n">
        <v>0</v>
      </c>
      <c r="T768" s="13"/>
      <c r="U768" s="11" t="n">
        <f aca="false">O768*4 + P768*2 + MAX(0,N768-O768-P768)*1 + Q768*0.2 + R768*2 + S768*1 + IF(T768="",0,IF(T768&lt;=10,8,IF(T768&lt;=50,6,IF(T768&lt;=100,4,2))))</f>
        <v>0</v>
      </c>
      <c r="V768" s="7"/>
      <c r="W768" s="12"/>
      <c r="X768" s="13"/>
      <c r="Y768" s="13" t="s">
        <v>3336</v>
      </c>
    </row>
    <row r="769" customFormat="false" ht="15.75" hidden="false" customHeight="true" outlineLevel="0" collapsed="false">
      <c r="A769" s="7" t="s">
        <v>3337</v>
      </c>
      <c r="B769" s="8" t="n">
        <v>2011</v>
      </c>
      <c r="C769" s="8" t="s">
        <v>176</v>
      </c>
      <c r="D769" s="8" t="n">
        <v>82</v>
      </c>
      <c r="E769" s="7" t="s">
        <v>1495</v>
      </c>
      <c r="F769" s="8" t="n">
        <v>7.4</v>
      </c>
      <c r="G769" s="8"/>
      <c r="H769" s="9" t="n">
        <v>23441</v>
      </c>
      <c r="I769" s="7" t="s">
        <v>219</v>
      </c>
      <c r="J769" s="7" t="s">
        <v>47</v>
      </c>
      <c r="K769" s="7" t="s">
        <v>1102</v>
      </c>
      <c r="L769" s="10" t="s">
        <v>478</v>
      </c>
      <c r="M769" s="10" t="s">
        <v>3338</v>
      </c>
      <c r="N769" s="8" t="n">
        <v>0</v>
      </c>
      <c r="O769" s="8" t="n">
        <v>0</v>
      </c>
      <c r="P769" s="8" t="n">
        <v>0</v>
      </c>
      <c r="Q769" s="8" t="n">
        <v>0</v>
      </c>
      <c r="R769" s="13" t="n">
        <v>0</v>
      </c>
      <c r="S769" s="13" t="n">
        <v>0</v>
      </c>
      <c r="T769" s="13"/>
      <c r="U769" s="11" t="n">
        <f aca="false">O769*4 + P769*2 + MAX(0,N769-O769-P769)*1 + Q769*0.2 + R769*2 + S769*1 + IF(T769="",0,IF(T769&lt;=10,8,IF(T769&lt;=50,6,IF(T769&lt;=100,4,2))))</f>
        <v>0</v>
      </c>
      <c r="V769" s="7"/>
      <c r="W769" s="12"/>
      <c r="X769" s="13"/>
      <c r="Y769" s="13" t="s">
        <v>3339</v>
      </c>
    </row>
    <row r="770" customFormat="false" ht="15.75" hidden="false" customHeight="true" outlineLevel="0" collapsed="false">
      <c r="A770" s="7" t="s">
        <v>3340</v>
      </c>
      <c r="B770" s="8" t="n">
        <v>2003</v>
      </c>
      <c r="C770" s="8" t="s">
        <v>35</v>
      </c>
      <c r="D770" s="8" t="n">
        <v>145</v>
      </c>
      <c r="E770" s="7" t="s">
        <v>3341</v>
      </c>
      <c r="F770" s="8" t="n">
        <v>7.6</v>
      </c>
      <c r="G770" s="8"/>
      <c r="H770" s="9" t="n">
        <v>25075</v>
      </c>
      <c r="I770" s="7" t="s">
        <v>139</v>
      </c>
      <c r="J770" s="7" t="s">
        <v>47</v>
      </c>
      <c r="K770" s="7" t="s">
        <v>82</v>
      </c>
      <c r="L770" s="10"/>
      <c r="M770" s="10" t="s">
        <v>3342</v>
      </c>
      <c r="N770" s="8" t="n">
        <v>0</v>
      </c>
      <c r="O770" s="8" t="n">
        <v>0</v>
      </c>
      <c r="P770" s="8" t="n">
        <v>0</v>
      </c>
      <c r="Q770" s="8" t="n">
        <v>0</v>
      </c>
      <c r="R770" s="13" t="n">
        <v>0</v>
      </c>
      <c r="S770" s="13" t="n">
        <v>0</v>
      </c>
      <c r="T770" s="13"/>
      <c r="U770" s="11" t="n">
        <f aca="false">O770*4 + P770*2 + MAX(0,N770-O770-P770)*1 + Q770*0.2 + R770*2 + S770*1 + IF(T770="",0,IF(T770&lt;=10,8,IF(T770&lt;=50,6,IF(T770&lt;=100,4,2))))</f>
        <v>0</v>
      </c>
      <c r="V770" s="7"/>
      <c r="W770" s="12"/>
      <c r="X770" s="13"/>
      <c r="Y770" s="13" t="s">
        <v>3343</v>
      </c>
    </row>
    <row r="771" customFormat="false" ht="15.75" hidden="false" customHeight="true" outlineLevel="0" collapsed="false">
      <c r="A771" s="7" t="s">
        <v>3344</v>
      </c>
      <c r="B771" s="8" t="n">
        <v>2010</v>
      </c>
      <c r="C771" s="8" t="s">
        <v>176</v>
      </c>
      <c r="D771" s="8" t="n">
        <v>165</v>
      </c>
      <c r="E771" s="7" t="s">
        <v>3345</v>
      </c>
      <c r="F771" s="8" t="n">
        <v>7.9</v>
      </c>
      <c r="G771" s="8"/>
      <c r="H771" s="9" t="n">
        <v>123886</v>
      </c>
      <c r="I771" s="7" t="s">
        <v>3346</v>
      </c>
      <c r="J771" s="7" t="s">
        <v>29</v>
      </c>
      <c r="K771" s="7" t="s">
        <v>47</v>
      </c>
      <c r="L771" s="10"/>
      <c r="M771" s="10" t="s">
        <v>3347</v>
      </c>
      <c r="N771" s="8" t="n">
        <v>0</v>
      </c>
      <c r="O771" s="8" t="n">
        <v>0</v>
      </c>
      <c r="P771" s="8" t="n">
        <v>0</v>
      </c>
      <c r="Q771" s="8" t="n">
        <v>0</v>
      </c>
      <c r="R771" s="13" t="n">
        <v>0</v>
      </c>
      <c r="S771" s="13" t="n">
        <v>0</v>
      </c>
      <c r="T771" s="13"/>
      <c r="U771" s="11" t="n">
        <f aca="false">O771*4 + P771*2 + MAX(0,N771-O771-P771)*1 + Q771*0.2 + R771*2 + S771*1 + IF(T771="",0,IF(T771&lt;=10,8,IF(T771&lt;=50,6,IF(T771&lt;=100,4,2))))</f>
        <v>0</v>
      </c>
      <c r="V771" s="7"/>
      <c r="W771" s="12"/>
      <c r="X771" s="13"/>
      <c r="Y771" s="13" t="s">
        <v>3348</v>
      </c>
    </row>
    <row r="772" customFormat="false" ht="15.75" hidden="false" customHeight="true" outlineLevel="0" collapsed="false">
      <c r="A772" s="7" t="s">
        <v>3349</v>
      </c>
      <c r="B772" s="8" t="n">
        <v>2016</v>
      </c>
      <c r="C772" s="8" t="s">
        <v>176</v>
      </c>
      <c r="D772" s="8" t="n">
        <v>113</v>
      </c>
      <c r="E772" s="7" t="s">
        <v>2697</v>
      </c>
      <c r="F772" s="8" t="n">
        <v>7.5</v>
      </c>
      <c r="G772" s="8"/>
      <c r="H772" s="9" t="n">
        <v>18892</v>
      </c>
      <c r="I772" s="7" t="s">
        <v>3350</v>
      </c>
      <c r="J772" s="7" t="s">
        <v>29</v>
      </c>
      <c r="K772" s="7" t="s">
        <v>453</v>
      </c>
      <c r="L772" s="10" t="s">
        <v>3351</v>
      </c>
      <c r="M772" s="10" t="s">
        <v>3352</v>
      </c>
      <c r="N772" s="8" t="n">
        <v>0</v>
      </c>
      <c r="O772" s="8" t="n">
        <v>0</v>
      </c>
      <c r="P772" s="8" t="n">
        <v>0</v>
      </c>
      <c r="Q772" s="8" t="n">
        <v>0</v>
      </c>
      <c r="R772" s="13" t="n">
        <v>0</v>
      </c>
      <c r="S772" s="13" t="n">
        <v>0</v>
      </c>
      <c r="T772" s="13"/>
      <c r="U772" s="11" t="n">
        <f aca="false">O772*4 + P772*2 + MAX(0,N772-O772-P772)*1 + Q772*0.2 + R772*2 + S772*1 + IF(T772="",0,IF(T772&lt;=10,8,IF(T772&lt;=50,6,IF(T772&lt;=100,4,2))))</f>
        <v>0</v>
      </c>
      <c r="V772" s="7"/>
      <c r="W772" s="12"/>
      <c r="X772" s="13"/>
      <c r="Y772" s="13" t="s">
        <v>3353</v>
      </c>
    </row>
    <row r="773" customFormat="false" ht="15.75" hidden="false" customHeight="true" outlineLevel="0" collapsed="false">
      <c r="A773" s="7" t="s">
        <v>3354</v>
      </c>
      <c r="B773" s="8" t="n">
        <v>2012</v>
      </c>
      <c r="C773" s="8" t="s">
        <v>176</v>
      </c>
      <c r="D773" s="8" t="n">
        <v>76</v>
      </c>
      <c r="E773" s="7" t="s">
        <v>3200</v>
      </c>
      <c r="F773" s="8" t="n">
        <v>7.9</v>
      </c>
      <c r="G773" s="8"/>
      <c r="H773" s="9" t="n">
        <v>68212</v>
      </c>
      <c r="I773" s="7"/>
      <c r="J773" s="7"/>
      <c r="K773" s="12"/>
      <c r="L773" s="10"/>
      <c r="M773" s="10" t="s">
        <v>3355</v>
      </c>
      <c r="N773" s="8" t="n">
        <v>0</v>
      </c>
      <c r="O773" s="8" t="n">
        <v>0</v>
      </c>
      <c r="P773" s="8" t="n">
        <v>0</v>
      </c>
      <c r="Q773" s="8" t="n">
        <v>0</v>
      </c>
      <c r="R773" s="13" t="n">
        <v>0</v>
      </c>
      <c r="S773" s="13" t="n">
        <v>0</v>
      </c>
      <c r="T773" s="13"/>
      <c r="U773" s="11" t="n">
        <f aca="false">O773*4 + P773*2 + MAX(0,N773-O773-P773)*1 + Q773*0.2 + R773*2 + S773*1 + IF(T773="",0,IF(T773&lt;=10,8,IF(T773&lt;=50,6,IF(T773&lt;=100,4,2))))</f>
        <v>0</v>
      </c>
      <c r="V773" s="7"/>
      <c r="W773" s="12"/>
      <c r="X773" s="13"/>
      <c r="Y773" s="13" t="s">
        <v>3356</v>
      </c>
    </row>
    <row r="774" customFormat="false" ht="15.75" hidden="false" customHeight="true" outlineLevel="0" collapsed="false">
      <c r="A774" s="7" t="s">
        <v>3357</v>
      </c>
      <c r="B774" s="8" t="n">
        <v>2022</v>
      </c>
      <c r="C774" s="8" t="s">
        <v>378</v>
      </c>
      <c r="D774" s="8" t="n">
        <v>147</v>
      </c>
      <c r="E774" s="7" t="s">
        <v>3358</v>
      </c>
      <c r="F774" s="8" t="n">
        <v>7.7</v>
      </c>
      <c r="G774" s="8"/>
      <c r="H774" s="9" t="n">
        <v>19880</v>
      </c>
      <c r="I774" s="7" t="s">
        <v>3359</v>
      </c>
      <c r="J774" s="7" t="s">
        <v>47</v>
      </c>
      <c r="K774" s="7"/>
      <c r="L774" s="10" t="s">
        <v>3360</v>
      </c>
      <c r="M774" s="10" t="s">
        <v>3361</v>
      </c>
      <c r="N774" s="8" t="n">
        <v>0</v>
      </c>
      <c r="O774" s="8" t="n">
        <v>0</v>
      </c>
      <c r="P774" s="8" t="n">
        <v>0</v>
      </c>
      <c r="Q774" s="8" t="n">
        <v>0</v>
      </c>
      <c r="R774" s="13" t="n">
        <v>0</v>
      </c>
      <c r="S774" s="13" t="n">
        <v>0</v>
      </c>
      <c r="T774" s="13"/>
      <c r="U774" s="11" t="n">
        <f aca="false">O774*4 + P774*2 + MAX(0,N774-O774-P774)*1 + Q774*0.2 + R774*2 + S774*1 + IF(T774="",0,IF(T774&lt;=10,8,IF(T774&lt;=50,6,IF(T774&lt;=100,4,2))))</f>
        <v>0</v>
      </c>
      <c r="V774" s="7"/>
      <c r="W774" s="12"/>
      <c r="X774" s="13"/>
      <c r="Y774" s="13" t="s">
        <v>3362</v>
      </c>
    </row>
    <row r="775" customFormat="false" ht="15.75" hidden="false" customHeight="true" outlineLevel="0" collapsed="false">
      <c r="A775" s="7" t="s">
        <v>3363</v>
      </c>
      <c r="B775" s="8" t="n">
        <v>2003</v>
      </c>
      <c r="C775" s="8" t="s">
        <v>35</v>
      </c>
      <c r="D775" s="8" t="n">
        <v>110</v>
      </c>
      <c r="E775" s="7" t="s">
        <v>3324</v>
      </c>
      <c r="F775" s="8" t="n">
        <v>7.9</v>
      </c>
      <c r="G775" s="8"/>
      <c r="H775" s="9" t="n">
        <v>49799</v>
      </c>
      <c r="I775" s="7" t="s">
        <v>3325</v>
      </c>
      <c r="J775" s="7" t="s">
        <v>131</v>
      </c>
      <c r="K775" s="7" t="s">
        <v>47</v>
      </c>
      <c r="L775" s="10" t="s">
        <v>205</v>
      </c>
      <c r="M775" s="10" t="s">
        <v>3364</v>
      </c>
      <c r="N775" s="8" t="n">
        <v>0</v>
      </c>
      <c r="O775" s="8" t="n">
        <v>0</v>
      </c>
      <c r="P775" s="8" t="n">
        <v>0</v>
      </c>
      <c r="Q775" s="8" t="n">
        <v>0</v>
      </c>
      <c r="R775" s="8" t="n">
        <v>1</v>
      </c>
      <c r="S775" s="13" t="n">
        <v>0</v>
      </c>
      <c r="T775" s="13"/>
      <c r="U775" s="11" t="n">
        <f aca="false">O775*4 + P775*2 + MAX(0,N775-O775-P775)*1 + Q775*0.2 + R775*2 + S775*1 + IF(T775="",0,IF(T775&lt;=10,8,IF(T775&lt;=50,6,IF(T775&lt;=100,4,2))))</f>
        <v>2</v>
      </c>
      <c r="V775" s="7"/>
      <c r="W775" s="12"/>
      <c r="X775" s="13"/>
      <c r="Y775" s="13" t="s">
        <v>3365</v>
      </c>
    </row>
    <row r="776" customFormat="false" ht="15.75" hidden="false" customHeight="true" outlineLevel="0" collapsed="false">
      <c r="A776" s="7" t="s">
        <v>3366</v>
      </c>
      <c r="B776" s="8" t="n">
        <v>2015</v>
      </c>
      <c r="C776" s="8" t="s">
        <v>176</v>
      </c>
      <c r="D776" s="8" t="n">
        <v>119</v>
      </c>
      <c r="E776" s="7" t="s">
        <v>3029</v>
      </c>
      <c r="F776" s="8" t="n">
        <v>7.6</v>
      </c>
      <c r="G776" s="8"/>
      <c r="H776" s="9" t="n">
        <v>30224</v>
      </c>
      <c r="I776" s="7" t="s">
        <v>124</v>
      </c>
      <c r="J776" s="7" t="s">
        <v>579</v>
      </c>
      <c r="K776" s="7" t="s">
        <v>112</v>
      </c>
      <c r="L776" s="10" t="s">
        <v>126</v>
      </c>
      <c r="M776" s="10" t="s">
        <v>3367</v>
      </c>
      <c r="N776" s="8" t="n">
        <v>0</v>
      </c>
      <c r="O776" s="8" t="n">
        <v>0</v>
      </c>
      <c r="P776" s="8" t="n">
        <v>0</v>
      </c>
      <c r="Q776" s="8" t="n">
        <v>0</v>
      </c>
      <c r="R776" s="13" t="n">
        <v>0</v>
      </c>
      <c r="S776" s="13" t="n">
        <v>0</v>
      </c>
      <c r="T776" s="13"/>
      <c r="U776" s="11" t="n">
        <f aca="false">O776*4 + P776*2 + MAX(0,N776-O776-P776)*1 + Q776*0.2 + R776*2 + S776*1 + IF(T776="",0,IF(T776&lt;=10,8,IF(T776&lt;=50,6,IF(T776&lt;=100,4,2))))</f>
        <v>0</v>
      </c>
      <c r="V776" s="7"/>
      <c r="W776" s="12"/>
      <c r="X776" s="13"/>
      <c r="Y776" s="13" t="s">
        <v>3368</v>
      </c>
    </row>
    <row r="777" customFormat="false" ht="15.75" hidden="false" customHeight="true" outlineLevel="0" collapsed="false">
      <c r="A777" s="7" t="s">
        <v>3369</v>
      </c>
      <c r="B777" s="8" t="n">
        <v>2016</v>
      </c>
      <c r="C777" s="8" t="s">
        <v>176</v>
      </c>
      <c r="D777" s="8" t="n">
        <v>70</v>
      </c>
      <c r="E777" s="7" t="s">
        <v>3370</v>
      </c>
      <c r="F777" s="8" t="n">
        <v>7.8</v>
      </c>
      <c r="G777" s="8"/>
      <c r="H777" s="9" t="n">
        <v>33326</v>
      </c>
      <c r="I777" s="7" t="s">
        <v>3371</v>
      </c>
      <c r="J777" s="7" t="s">
        <v>579</v>
      </c>
      <c r="K777" s="7" t="s">
        <v>30</v>
      </c>
      <c r="L777" s="10" t="s">
        <v>113</v>
      </c>
      <c r="M777" s="10" t="s">
        <v>3372</v>
      </c>
      <c r="N777" s="8" t="n">
        <v>0</v>
      </c>
      <c r="O777" s="8" t="n">
        <v>0</v>
      </c>
      <c r="P777" s="8" t="n">
        <v>0</v>
      </c>
      <c r="Q777" s="8" t="n">
        <v>1</v>
      </c>
      <c r="R777" s="8" t="n">
        <v>0</v>
      </c>
      <c r="S777" s="8" t="n">
        <v>0</v>
      </c>
      <c r="T777" s="13"/>
      <c r="U777" s="11" t="n">
        <f aca="false">O777*4 + P777*2 + MAX(0,N777-O777-P777)*1 + Q777*0.2 + R777*2 + S777*1 + IF(T777="",0,IF(T777&lt;=10,8,IF(T777&lt;=50,6,IF(T777&lt;=100,4,2))))</f>
        <v>0.2</v>
      </c>
      <c r="V777" s="7"/>
      <c r="W777" s="12"/>
      <c r="X777" s="13"/>
      <c r="Y777" s="13" t="s">
        <v>3373</v>
      </c>
    </row>
    <row r="778" customFormat="false" ht="15.75" hidden="false" customHeight="true" outlineLevel="0" collapsed="false">
      <c r="A778" s="7" t="s">
        <v>2497</v>
      </c>
      <c r="B778" s="8" t="n">
        <v>2025</v>
      </c>
      <c r="C778" s="8" t="s">
        <v>378</v>
      </c>
      <c r="D778" s="8" t="n">
        <v>125</v>
      </c>
      <c r="E778" s="7" t="s">
        <v>3374</v>
      </c>
      <c r="F778" s="8" t="n">
        <v>7.7</v>
      </c>
      <c r="G778" s="8"/>
      <c r="H778" s="9" t="n">
        <v>139878</v>
      </c>
      <c r="I778" s="7" t="s">
        <v>46</v>
      </c>
      <c r="J778" s="7" t="s">
        <v>112</v>
      </c>
      <c r="K778" s="7" t="s">
        <v>39</v>
      </c>
      <c r="L778" s="10" t="s">
        <v>192</v>
      </c>
      <c r="M778" s="10" t="s">
        <v>2500</v>
      </c>
      <c r="N778" s="8" t="n">
        <v>0</v>
      </c>
      <c r="O778" s="8" t="n">
        <v>0</v>
      </c>
      <c r="P778" s="8" t="n">
        <v>0</v>
      </c>
      <c r="Q778" s="8" t="n">
        <v>0</v>
      </c>
      <c r="R778" s="13" t="n">
        <v>0</v>
      </c>
      <c r="S778" s="13" t="n">
        <v>0</v>
      </c>
      <c r="T778" s="13"/>
      <c r="U778" s="11" t="n">
        <f aca="false">O778*4 + P778*2 + MAX(0,N778-O778-P778)*1 + Q778*0.2 + R778*2 + S778*1 + IF(T778="",0,IF(T778&lt;=10,8,IF(T778&lt;=50,6,IF(T778&lt;=100,4,2))))</f>
        <v>0</v>
      </c>
      <c r="V778" s="7"/>
      <c r="W778" s="12"/>
      <c r="X778" s="13"/>
      <c r="Y778" s="13" t="s">
        <v>3375</v>
      </c>
    </row>
    <row r="779" customFormat="false" ht="15.75" hidden="false" customHeight="true" outlineLevel="0" collapsed="false">
      <c r="A779" s="7" t="s">
        <v>3376</v>
      </c>
      <c r="B779" s="8" t="n">
        <v>2003</v>
      </c>
      <c r="C779" s="8" t="s">
        <v>35</v>
      </c>
      <c r="D779" s="8" t="n">
        <v>92</v>
      </c>
      <c r="E779" s="7" t="s">
        <v>3377</v>
      </c>
      <c r="F779" s="8" t="n">
        <v>7.8</v>
      </c>
      <c r="G779" s="8"/>
      <c r="H779" s="9" t="n">
        <v>55634</v>
      </c>
      <c r="I779" s="7" t="s">
        <v>124</v>
      </c>
      <c r="J779" s="7" t="s">
        <v>579</v>
      </c>
      <c r="K779" s="7" t="s">
        <v>39</v>
      </c>
      <c r="L779" s="10"/>
      <c r="M779" s="10" t="s">
        <v>3378</v>
      </c>
      <c r="N779" s="8" t="n">
        <v>0</v>
      </c>
      <c r="O779" s="8" t="n">
        <v>0</v>
      </c>
      <c r="P779" s="8" t="n">
        <v>0</v>
      </c>
      <c r="Q779" s="8" t="n">
        <v>0</v>
      </c>
      <c r="R779" s="13" t="n">
        <v>0</v>
      </c>
      <c r="S779" s="13" t="n">
        <v>0</v>
      </c>
      <c r="T779" s="13"/>
      <c r="U779" s="11" t="n">
        <f aca="false">O779*4 + P779*2 + MAX(0,N779-O779-P779)*1 + Q779*0.2 + R779*2 + S779*1 + IF(T779="",0,IF(T779&lt;=10,8,IF(T779&lt;=50,6,IF(T779&lt;=100,4,2))))</f>
        <v>0</v>
      </c>
      <c r="V779" s="7"/>
      <c r="W779" s="12"/>
      <c r="X779" s="13"/>
      <c r="Y779" s="13" t="s">
        <v>3379</v>
      </c>
    </row>
    <row r="780" customFormat="false" ht="15.75" hidden="false" customHeight="true" outlineLevel="0" collapsed="false">
      <c r="A780" s="7" t="s">
        <v>3380</v>
      </c>
      <c r="B780" s="8" t="n">
        <v>2022</v>
      </c>
      <c r="C780" s="8" t="s">
        <v>378</v>
      </c>
      <c r="D780" s="8" t="n">
        <v>95</v>
      </c>
      <c r="E780" s="7" t="s">
        <v>3381</v>
      </c>
      <c r="F780" s="8" t="n">
        <v>7.7</v>
      </c>
      <c r="G780" s="8"/>
      <c r="H780" s="9" t="n">
        <v>29580</v>
      </c>
      <c r="I780" s="7" t="s">
        <v>700</v>
      </c>
      <c r="J780" s="7" t="s">
        <v>47</v>
      </c>
      <c r="K780" s="7"/>
      <c r="L780" s="10" t="s">
        <v>416</v>
      </c>
      <c r="M780" s="10" t="s">
        <v>3382</v>
      </c>
      <c r="N780" s="8" t="n">
        <v>0</v>
      </c>
      <c r="O780" s="8" t="n">
        <v>0</v>
      </c>
      <c r="P780" s="8" t="n">
        <v>0</v>
      </c>
      <c r="Q780" s="8" t="n">
        <v>1</v>
      </c>
      <c r="R780" s="8" t="n">
        <v>0</v>
      </c>
      <c r="S780" s="8" t="n">
        <v>0</v>
      </c>
      <c r="T780" s="13"/>
      <c r="U780" s="11" t="n">
        <f aca="false">O780*4 + P780*2 + MAX(0,N780-O780-P780)*1 + Q780*0.2 + R780*2 + S780*1 + IF(T780="",0,IF(T780&lt;=10,8,IF(T780&lt;=50,6,IF(T780&lt;=100,4,2))))</f>
        <v>0.2</v>
      </c>
      <c r="V780" s="7"/>
      <c r="W780" s="12"/>
      <c r="X780" s="13"/>
      <c r="Y780" s="13" t="s">
        <v>3383</v>
      </c>
    </row>
    <row r="781" customFormat="false" ht="15.75" hidden="false" customHeight="true" outlineLevel="0" collapsed="false">
      <c r="A781" s="7" t="s">
        <v>3384</v>
      </c>
      <c r="B781" s="8" t="n">
        <v>2023</v>
      </c>
      <c r="C781" s="8" t="s">
        <v>378</v>
      </c>
      <c r="D781" s="8" t="n">
        <v>127</v>
      </c>
      <c r="E781" s="7" t="s">
        <v>2964</v>
      </c>
      <c r="F781" s="8" t="n">
        <v>7.8</v>
      </c>
      <c r="G781" s="8"/>
      <c r="H781" s="9" t="n">
        <v>42936</v>
      </c>
      <c r="I781" s="7" t="s">
        <v>219</v>
      </c>
      <c r="J781" s="7" t="s">
        <v>131</v>
      </c>
      <c r="K781" s="7" t="s">
        <v>125</v>
      </c>
      <c r="L781" s="10" t="s">
        <v>205</v>
      </c>
      <c r="M781" s="10" t="s">
        <v>3385</v>
      </c>
      <c r="N781" s="8" t="n">
        <v>0</v>
      </c>
      <c r="O781" s="8" t="n">
        <v>0</v>
      </c>
      <c r="P781" s="8" t="n">
        <v>0</v>
      </c>
      <c r="Q781" s="8" t="n">
        <v>0</v>
      </c>
      <c r="R781" s="13" t="n">
        <v>0</v>
      </c>
      <c r="S781" s="13" t="n">
        <v>0</v>
      </c>
      <c r="T781" s="13"/>
      <c r="U781" s="11" t="n">
        <f aca="false">O781*4 + P781*2 + MAX(0,N781-O781-P781)*1 + Q781*0.2 + R781*2 + S781*1 + IF(T781="",0,IF(T781&lt;=10,8,IF(T781&lt;=50,6,IF(T781&lt;=100,4,2))))</f>
        <v>0</v>
      </c>
      <c r="V781" s="7"/>
      <c r="W781" s="12"/>
      <c r="X781" s="13"/>
      <c r="Y781" s="13" t="s">
        <v>3386</v>
      </c>
    </row>
    <row r="782" customFormat="false" ht="15.75" hidden="false" customHeight="true" outlineLevel="0" collapsed="false">
      <c r="A782" s="7" t="s">
        <v>3387</v>
      </c>
      <c r="B782" s="8" t="n">
        <v>2017</v>
      </c>
      <c r="C782" s="8" t="s">
        <v>176</v>
      </c>
      <c r="D782" s="8" t="n">
        <v>93</v>
      </c>
      <c r="E782" s="7" t="s">
        <v>3388</v>
      </c>
      <c r="F782" s="8" t="n">
        <v>7.5</v>
      </c>
      <c r="G782" s="8"/>
      <c r="H782" s="9" t="n">
        <v>11446</v>
      </c>
      <c r="I782" s="7" t="s">
        <v>232</v>
      </c>
      <c r="J782" s="7" t="s">
        <v>131</v>
      </c>
      <c r="K782" s="7" t="s">
        <v>47</v>
      </c>
      <c r="L782" s="10" t="s">
        <v>3389</v>
      </c>
      <c r="M782" s="10" t="s">
        <v>3390</v>
      </c>
      <c r="N782" s="8" t="n">
        <v>0</v>
      </c>
      <c r="O782" s="8" t="n">
        <v>0</v>
      </c>
      <c r="P782" s="8" t="n">
        <v>0</v>
      </c>
      <c r="Q782" s="8" t="n">
        <v>0</v>
      </c>
      <c r="R782" s="13" t="n">
        <v>0</v>
      </c>
      <c r="S782" s="13" t="n">
        <v>0</v>
      </c>
      <c r="T782" s="13"/>
      <c r="U782" s="11" t="n">
        <f aca="false">O782*4 + P782*2 + MAX(0,N782-O782-P782)*1 + Q782*0.2 + R782*2 + S782*1 + IF(T782="",0,IF(T782&lt;=10,8,IF(T782&lt;=50,6,IF(T782&lt;=100,4,2))))</f>
        <v>0</v>
      </c>
      <c r="V782" s="7"/>
      <c r="W782" s="12"/>
      <c r="X782" s="13"/>
      <c r="Y782" s="13" t="s">
        <v>3391</v>
      </c>
    </row>
    <row r="783" customFormat="false" ht="15.75" hidden="false" customHeight="true" outlineLevel="0" collapsed="false">
      <c r="A783" s="7" t="s">
        <v>3392</v>
      </c>
      <c r="B783" s="8" t="n">
        <v>2001</v>
      </c>
      <c r="C783" s="8" t="s">
        <v>35</v>
      </c>
      <c r="D783" s="8" t="n">
        <v>115</v>
      </c>
      <c r="E783" s="7" t="s">
        <v>3393</v>
      </c>
      <c r="F783" s="8" t="n">
        <v>7.8</v>
      </c>
      <c r="G783" s="8"/>
      <c r="H783" s="9" t="n">
        <v>57700</v>
      </c>
      <c r="I783" s="7" t="s">
        <v>2186</v>
      </c>
      <c r="J783" s="7" t="s">
        <v>579</v>
      </c>
      <c r="K783" s="7" t="s">
        <v>54</v>
      </c>
      <c r="L783" s="10"/>
      <c r="M783" s="10" t="s">
        <v>3394</v>
      </c>
      <c r="N783" s="8" t="n">
        <v>0</v>
      </c>
      <c r="O783" s="8" t="n">
        <v>0</v>
      </c>
      <c r="P783" s="8" t="n">
        <v>0</v>
      </c>
      <c r="Q783" s="8" t="n">
        <v>0</v>
      </c>
      <c r="R783" s="13" t="n">
        <v>0</v>
      </c>
      <c r="S783" s="13" t="n">
        <v>0</v>
      </c>
      <c r="T783" s="13"/>
      <c r="U783" s="11" t="n">
        <f aca="false">O783*4 + P783*2 + MAX(0,N783-O783-P783)*1 + Q783*0.2 + R783*2 + S783*1 + IF(T783="",0,IF(T783&lt;=10,8,IF(T783&lt;=50,6,IF(T783&lt;=100,4,2))))</f>
        <v>0</v>
      </c>
      <c r="V783" s="7"/>
      <c r="W783" s="12"/>
      <c r="X783" s="13"/>
      <c r="Y783" s="13" t="s">
        <v>3395</v>
      </c>
    </row>
    <row r="784" customFormat="false" ht="15.75" hidden="false" customHeight="true" outlineLevel="0" collapsed="false">
      <c r="A784" s="7" t="s">
        <v>3396</v>
      </c>
      <c r="B784" s="8" t="n">
        <v>2005</v>
      </c>
      <c r="C784" s="8" t="s">
        <v>35</v>
      </c>
      <c r="D784" s="8" t="n">
        <v>95</v>
      </c>
      <c r="E784" s="7" t="s">
        <v>3397</v>
      </c>
      <c r="F784" s="8" t="n">
        <v>7.4</v>
      </c>
      <c r="G784" s="8" t="n">
        <v>6</v>
      </c>
      <c r="H784" s="9" t="n">
        <v>20179</v>
      </c>
      <c r="I784" s="7" t="s">
        <v>3398</v>
      </c>
      <c r="J784" s="7" t="s">
        <v>29</v>
      </c>
      <c r="K784" s="7" t="s">
        <v>54</v>
      </c>
      <c r="L784" s="10"/>
      <c r="M784" s="7" t="s">
        <v>3399</v>
      </c>
      <c r="N784" s="8" t="n">
        <v>0</v>
      </c>
      <c r="O784" s="8" t="n">
        <v>0</v>
      </c>
      <c r="P784" s="8" t="n">
        <v>0</v>
      </c>
      <c r="Q784" s="8" t="n">
        <v>0</v>
      </c>
      <c r="R784" s="8" t="n">
        <v>1</v>
      </c>
      <c r="S784" s="13" t="n">
        <v>0</v>
      </c>
      <c r="T784" s="8"/>
      <c r="U784" s="11" t="n">
        <f aca="false">O784*4 + P784*2 + MAX(0,N784-O784-P784)*1 + Q784*0.2 + R784*2 + S784*1 + IF(T784="",0,IF(T784&lt;=10,8,IF(T784&lt;=50,6,IF(T784&lt;=100,4,2))))</f>
        <v>2</v>
      </c>
      <c r="V784" s="10" t="s">
        <v>3400</v>
      </c>
      <c r="W784" s="12"/>
      <c r="X784" s="8" t="n">
        <v>77</v>
      </c>
      <c r="Y784" s="8" t="s">
        <v>3401</v>
      </c>
    </row>
    <row r="785" customFormat="false" ht="15.75" hidden="false" customHeight="true" outlineLevel="0" collapsed="false">
      <c r="A785" s="7" t="s">
        <v>3402</v>
      </c>
      <c r="B785" s="8" t="n">
        <v>2019</v>
      </c>
      <c r="C785" s="8" t="s">
        <v>176</v>
      </c>
      <c r="D785" s="8" t="n">
        <v>115</v>
      </c>
      <c r="E785" s="7" t="s">
        <v>3403</v>
      </c>
      <c r="F785" s="8" t="n">
        <v>7.7</v>
      </c>
      <c r="G785" s="8"/>
      <c r="H785" s="9" t="n">
        <v>24333</v>
      </c>
      <c r="I785" s="7" t="s">
        <v>89</v>
      </c>
      <c r="J785" s="7" t="s">
        <v>47</v>
      </c>
      <c r="K785" s="7"/>
      <c r="L785" s="10" t="s">
        <v>205</v>
      </c>
      <c r="M785" s="10" t="s">
        <v>3404</v>
      </c>
      <c r="N785" s="8" t="n">
        <v>0</v>
      </c>
      <c r="O785" s="8" t="n">
        <v>0</v>
      </c>
      <c r="P785" s="8" t="n">
        <v>0</v>
      </c>
      <c r="Q785" s="8" t="n">
        <v>1</v>
      </c>
      <c r="R785" s="8" t="n">
        <v>0</v>
      </c>
      <c r="S785" s="8" t="n">
        <v>0</v>
      </c>
      <c r="T785" s="13"/>
      <c r="U785" s="11" t="n">
        <f aca="false">O785*4 + P785*2 + MAX(0,N785-O785-P785)*1 + Q785*0.2 + R785*2 + S785*1 + IF(T785="",0,IF(T785&lt;=10,8,IF(T785&lt;=50,6,IF(T785&lt;=100,4,2))))</f>
        <v>0.2</v>
      </c>
      <c r="V785" s="7"/>
      <c r="W785" s="12"/>
      <c r="X785" s="13"/>
      <c r="Y785" s="13" t="s">
        <v>3405</v>
      </c>
    </row>
    <row r="786" customFormat="false" ht="15.75" hidden="false" customHeight="true" outlineLevel="0" collapsed="false">
      <c r="A786" s="7" t="s">
        <v>3406</v>
      </c>
      <c r="B786" s="8" t="n">
        <v>2012</v>
      </c>
      <c r="C786" s="8" t="s">
        <v>176</v>
      </c>
      <c r="D786" s="8" t="n">
        <v>98</v>
      </c>
      <c r="E786" s="7" t="s">
        <v>3407</v>
      </c>
      <c r="F786" s="8" t="n">
        <v>7.5</v>
      </c>
      <c r="G786" s="8"/>
      <c r="H786" s="9" t="n">
        <v>22539</v>
      </c>
      <c r="I786" s="7" t="s">
        <v>3408</v>
      </c>
      <c r="J786" s="7" t="s">
        <v>30</v>
      </c>
      <c r="K786" s="7" t="s">
        <v>47</v>
      </c>
      <c r="L786" s="10" t="s">
        <v>374</v>
      </c>
      <c r="M786" s="10" t="s">
        <v>3409</v>
      </c>
      <c r="N786" s="8" t="n">
        <v>0</v>
      </c>
      <c r="O786" s="8" t="n">
        <v>0</v>
      </c>
      <c r="P786" s="8" t="n">
        <v>0</v>
      </c>
      <c r="Q786" s="8" t="n">
        <v>0</v>
      </c>
      <c r="R786" s="13" t="n">
        <v>0</v>
      </c>
      <c r="S786" s="13" t="n">
        <v>0</v>
      </c>
      <c r="T786" s="13"/>
      <c r="U786" s="11" t="n">
        <f aca="false">O786*4 + P786*2 + MAX(0,N786-O786-P786)*1 + Q786*0.2 + R786*2 + S786*1 + IF(T786="",0,IF(T786&lt;=10,8,IF(T786&lt;=50,6,IF(T786&lt;=100,4,2))))</f>
        <v>0</v>
      </c>
      <c r="V786" s="7"/>
      <c r="W786" s="12"/>
      <c r="X786" s="13"/>
      <c r="Y786" s="13" t="s">
        <v>3410</v>
      </c>
    </row>
    <row r="787" customFormat="false" ht="15.75" hidden="false" customHeight="true" outlineLevel="0" collapsed="false">
      <c r="A787" s="7" t="s">
        <v>3411</v>
      </c>
      <c r="B787" s="8" t="n">
        <v>2004</v>
      </c>
      <c r="C787" s="8" t="s">
        <v>35</v>
      </c>
      <c r="D787" s="8" t="n">
        <v>105</v>
      </c>
      <c r="E787" s="7" t="s">
        <v>3412</v>
      </c>
      <c r="F787" s="8" t="n">
        <v>7.6</v>
      </c>
      <c r="G787" s="8"/>
      <c r="H787" s="9" t="n">
        <v>86508</v>
      </c>
      <c r="I787" s="7" t="s">
        <v>3413</v>
      </c>
      <c r="J787" s="7" t="s">
        <v>47</v>
      </c>
      <c r="K787" s="7"/>
      <c r="L787" s="10"/>
      <c r="M787" s="10" t="s">
        <v>3414</v>
      </c>
      <c r="N787" s="8" t="n">
        <v>0</v>
      </c>
      <c r="O787" s="8" t="n">
        <v>0</v>
      </c>
      <c r="P787" s="8" t="n">
        <v>0</v>
      </c>
      <c r="Q787" s="8" t="n">
        <v>0</v>
      </c>
      <c r="R787" s="13" t="n">
        <v>0</v>
      </c>
      <c r="S787" s="13" t="n">
        <v>0</v>
      </c>
      <c r="T787" s="13"/>
      <c r="U787" s="11" t="n">
        <f aca="false">O787*4 + P787*2 + MAX(0,N787-O787-P787)*1 + Q787*0.2 + R787*2 + S787*1 + IF(T787="",0,IF(T787&lt;=10,8,IF(T787&lt;=50,6,IF(T787&lt;=100,4,2))))</f>
        <v>0</v>
      </c>
      <c r="V787" s="10" t="s">
        <v>3415</v>
      </c>
      <c r="W787" s="12"/>
      <c r="X787" s="8" t="n">
        <v>131</v>
      </c>
      <c r="Y787" s="8" t="s">
        <v>3416</v>
      </c>
    </row>
    <row r="788" customFormat="false" ht="15.75" hidden="false" customHeight="true" outlineLevel="0" collapsed="false">
      <c r="A788" s="7" t="s">
        <v>3417</v>
      </c>
      <c r="B788" s="8" t="n">
        <v>2015</v>
      </c>
      <c r="C788" s="8" t="s">
        <v>176</v>
      </c>
      <c r="D788" s="8" t="n">
        <v>94</v>
      </c>
      <c r="E788" s="7" t="s">
        <v>3418</v>
      </c>
      <c r="F788" s="8" t="n">
        <v>7.4</v>
      </c>
      <c r="G788" s="8"/>
      <c r="H788" s="9" t="n">
        <v>10456</v>
      </c>
      <c r="I788" s="7" t="s">
        <v>3419</v>
      </c>
      <c r="J788" s="7" t="s">
        <v>29</v>
      </c>
      <c r="K788" s="7" t="s">
        <v>47</v>
      </c>
      <c r="L788" s="10" t="s">
        <v>205</v>
      </c>
      <c r="M788" s="10" t="s">
        <v>3420</v>
      </c>
      <c r="N788" s="8" t="n">
        <v>0</v>
      </c>
      <c r="O788" s="8" t="n">
        <v>0</v>
      </c>
      <c r="P788" s="8" t="n">
        <v>0</v>
      </c>
      <c r="Q788" s="8" t="n">
        <v>0</v>
      </c>
      <c r="R788" s="13" t="n">
        <v>0</v>
      </c>
      <c r="S788" s="13" t="n">
        <v>0</v>
      </c>
      <c r="T788" s="13"/>
      <c r="U788" s="11" t="n">
        <f aca="false">O788*4 + P788*2 + MAX(0,N788-O788-P788)*1 + Q788*0.2 + R788*2 + S788*1 + IF(T788="",0,IF(T788&lt;=10,8,IF(T788&lt;=50,6,IF(T788&lt;=100,4,2))))</f>
        <v>0</v>
      </c>
      <c r="V788" s="7"/>
      <c r="W788" s="12"/>
      <c r="X788" s="13"/>
      <c r="Y788" s="13" t="s">
        <v>3421</v>
      </c>
    </row>
    <row r="789" customFormat="false" ht="15.75" hidden="false" customHeight="true" outlineLevel="0" collapsed="false">
      <c r="A789" s="7" t="s">
        <v>3422</v>
      </c>
      <c r="B789" s="8" t="n">
        <v>2015</v>
      </c>
      <c r="C789" s="8" t="s">
        <v>176</v>
      </c>
      <c r="D789" s="8" t="n">
        <v>108</v>
      </c>
      <c r="E789" s="7" t="s">
        <v>3423</v>
      </c>
      <c r="F789" s="8" t="n">
        <v>7.6</v>
      </c>
      <c r="G789" s="8"/>
      <c r="H789" s="9" t="n">
        <v>72106</v>
      </c>
      <c r="I789" s="7" t="s">
        <v>219</v>
      </c>
      <c r="J789" s="7" t="s">
        <v>579</v>
      </c>
      <c r="K789" s="7" t="s">
        <v>39</v>
      </c>
      <c r="L789" s="10"/>
      <c r="M789" s="10" t="s">
        <v>3424</v>
      </c>
      <c r="N789" s="8" t="n">
        <v>0</v>
      </c>
      <c r="O789" s="8" t="n">
        <v>0</v>
      </c>
      <c r="P789" s="8" t="n">
        <v>0</v>
      </c>
      <c r="Q789" s="8" t="n">
        <v>0</v>
      </c>
      <c r="R789" s="13" t="n">
        <v>0</v>
      </c>
      <c r="S789" s="13" t="n">
        <v>0</v>
      </c>
      <c r="T789" s="13"/>
      <c r="U789" s="11" t="n">
        <f aca="false">O789*4 + P789*2 + MAX(0,N789-O789-P789)*1 + Q789*0.2 + R789*2 + S789*1 + IF(T789="",0,IF(T789&lt;=10,8,IF(T789&lt;=50,6,IF(T789&lt;=100,4,2))))</f>
        <v>0</v>
      </c>
      <c r="V789" s="7"/>
      <c r="W789" s="12"/>
      <c r="X789" s="13"/>
      <c r="Y789" s="13" t="s">
        <v>3425</v>
      </c>
    </row>
    <row r="790" customFormat="false" ht="15.75" hidden="false" customHeight="true" outlineLevel="0" collapsed="false">
      <c r="A790" s="7" t="s">
        <v>2693</v>
      </c>
      <c r="B790" s="8" t="n">
        <v>2004</v>
      </c>
      <c r="C790" s="8" t="s">
        <v>35</v>
      </c>
      <c r="D790" s="8" t="n">
        <v>155</v>
      </c>
      <c r="E790" s="7" t="s">
        <v>1799</v>
      </c>
      <c r="F790" s="8" t="n">
        <v>7.4</v>
      </c>
      <c r="G790" s="8"/>
      <c r="H790" s="9" t="n">
        <v>1404</v>
      </c>
      <c r="I790" s="7" t="s">
        <v>3426</v>
      </c>
      <c r="J790" s="7" t="s">
        <v>47</v>
      </c>
      <c r="K790" s="7"/>
      <c r="L790" s="10"/>
      <c r="M790" s="10" t="s">
        <v>3427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1</v>
      </c>
      <c r="S790" s="13" t="n">
        <v>0</v>
      </c>
      <c r="T790" s="13"/>
      <c r="U790" s="11" t="n">
        <f aca="false">O790*4 + P790*2 + MAX(0,N790-O790-P790)*1 + Q790*0.2 + R790*2 + S790*1 + IF(T790="",0,IF(T790&lt;=10,8,IF(T790&lt;=50,6,IF(T790&lt;=100,4,2))))</f>
        <v>2</v>
      </c>
      <c r="V790" s="7"/>
      <c r="W790" s="12"/>
      <c r="X790" s="13"/>
      <c r="Y790" s="13" t="s">
        <v>3428</v>
      </c>
    </row>
    <row r="791" customFormat="false" ht="15.75" hidden="false" customHeight="true" outlineLevel="0" collapsed="false">
      <c r="A791" s="7" t="s">
        <v>3429</v>
      </c>
      <c r="B791" s="8" t="n">
        <v>2007</v>
      </c>
      <c r="C791" s="8" t="s">
        <v>35</v>
      </c>
      <c r="D791" s="8" t="n">
        <v>81</v>
      </c>
      <c r="E791" s="7" t="s">
        <v>3430</v>
      </c>
      <c r="F791" s="8" t="n">
        <v>7.3</v>
      </c>
      <c r="G791" s="8"/>
      <c r="H791" s="9" t="n">
        <v>2484</v>
      </c>
      <c r="I791" s="7" t="s">
        <v>1424</v>
      </c>
      <c r="J791" s="7" t="s">
        <v>154</v>
      </c>
      <c r="K791" s="7" t="s">
        <v>47</v>
      </c>
      <c r="L791" s="10"/>
      <c r="M791" s="10" t="s">
        <v>3431</v>
      </c>
      <c r="N791" s="8" t="n">
        <v>0</v>
      </c>
      <c r="O791" s="8" t="n">
        <v>0</v>
      </c>
      <c r="P791" s="8" t="n">
        <v>0</v>
      </c>
      <c r="Q791" s="8" t="n">
        <v>0</v>
      </c>
      <c r="R791" s="13" t="n">
        <v>0</v>
      </c>
      <c r="S791" s="13" t="n">
        <v>0</v>
      </c>
      <c r="T791" s="13"/>
      <c r="U791" s="11" t="n">
        <f aca="false">O791*4 + P791*2 + MAX(0,N791-O791-P791)*1 + Q791*0.2 + R791*2 + S791*1 + IF(T791="",0,IF(T791&lt;=10,8,IF(T791&lt;=50,6,IF(T791&lt;=100,4,2))))</f>
        <v>0</v>
      </c>
      <c r="V791" s="7"/>
      <c r="W791" s="12"/>
      <c r="X791" s="13"/>
      <c r="Y791" s="13" t="s">
        <v>3432</v>
      </c>
    </row>
    <row r="792" customFormat="false" ht="15.75" hidden="false" customHeight="true" outlineLevel="0" collapsed="false">
      <c r="A792" s="7" t="s">
        <v>3433</v>
      </c>
      <c r="B792" s="8" t="n">
        <v>2009</v>
      </c>
      <c r="C792" s="8" t="s">
        <v>35</v>
      </c>
      <c r="D792" s="8" t="n">
        <v>75</v>
      </c>
      <c r="E792" s="7" t="s">
        <v>3434</v>
      </c>
      <c r="F792" s="8" t="n">
        <v>7.5</v>
      </c>
      <c r="G792" s="8"/>
      <c r="H792" s="9" t="n">
        <v>41135</v>
      </c>
      <c r="I792" s="7" t="s">
        <v>3435</v>
      </c>
      <c r="J792" s="7" t="s">
        <v>579</v>
      </c>
      <c r="K792" s="7" t="s">
        <v>259</v>
      </c>
      <c r="L792" s="10" t="s">
        <v>416</v>
      </c>
      <c r="M792" s="10" t="s">
        <v>3436</v>
      </c>
      <c r="N792" s="8" t="n">
        <v>0</v>
      </c>
      <c r="O792" s="8" t="n">
        <v>0</v>
      </c>
      <c r="P792" s="8" t="n">
        <v>0</v>
      </c>
      <c r="Q792" s="8" t="n">
        <v>1</v>
      </c>
      <c r="R792" s="8" t="n">
        <v>0</v>
      </c>
      <c r="S792" s="8" t="n">
        <v>0</v>
      </c>
      <c r="T792" s="13"/>
      <c r="U792" s="11" t="n">
        <f aca="false">O792*4 + P792*2 + MAX(0,N792-O792-P792)*1 + Q792*0.2 + R792*2 + S792*1 + IF(T792="",0,IF(T792&lt;=10,8,IF(T792&lt;=50,6,IF(T792&lt;=100,4,2))))</f>
        <v>0.2</v>
      </c>
      <c r="V792" s="7"/>
      <c r="W792" s="12"/>
      <c r="X792" s="13"/>
      <c r="Y792" s="13" t="s">
        <v>3437</v>
      </c>
    </row>
    <row r="793" customFormat="false" ht="15.75" hidden="false" customHeight="true" outlineLevel="0" collapsed="false">
      <c r="A793" s="7" t="s">
        <v>3438</v>
      </c>
      <c r="B793" s="8" t="n">
        <v>2005</v>
      </c>
      <c r="C793" s="8" t="s">
        <v>35</v>
      </c>
      <c r="D793" s="8" t="n">
        <v>117</v>
      </c>
      <c r="E793" s="7" t="s">
        <v>1837</v>
      </c>
      <c r="F793" s="8" t="n">
        <v>7.3</v>
      </c>
      <c r="G793" s="8"/>
      <c r="H793" s="9" t="n">
        <v>9248</v>
      </c>
      <c r="I793" s="7" t="s">
        <v>219</v>
      </c>
      <c r="J793" s="7" t="s">
        <v>30</v>
      </c>
      <c r="K793" s="7" t="s">
        <v>54</v>
      </c>
      <c r="L793" s="10" t="s">
        <v>205</v>
      </c>
      <c r="M793" s="10" t="s">
        <v>3439</v>
      </c>
      <c r="N793" s="8" t="n">
        <v>0</v>
      </c>
      <c r="O793" s="8" t="n">
        <v>0</v>
      </c>
      <c r="P793" s="8" t="n">
        <v>0</v>
      </c>
      <c r="Q793" s="8" t="n">
        <v>0</v>
      </c>
      <c r="R793" s="13" t="n">
        <v>0</v>
      </c>
      <c r="S793" s="13" t="n">
        <v>0</v>
      </c>
      <c r="T793" s="13"/>
      <c r="U793" s="11" t="n">
        <f aca="false">O793*4 + P793*2 + MAX(0,N793-O793-P793)*1 + Q793*0.2 + R793*2 + S793*1 + IF(T793="",0,IF(T793&lt;=10,8,IF(T793&lt;=50,6,IF(T793&lt;=100,4,2))))</f>
        <v>0</v>
      </c>
      <c r="V793" s="7"/>
      <c r="W793" s="12"/>
      <c r="X793" s="13"/>
      <c r="Y793" s="13" t="s">
        <v>3440</v>
      </c>
    </row>
    <row r="794" customFormat="false" ht="15.75" hidden="false" customHeight="true" outlineLevel="0" collapsed="false">
      <c r="A794" s="7" t="s">
        <v>3441</v>
      </c>
      <c r="B794" s="8" t="n">
        <v>2002</v>
      </c>
      <c r="C794" s="8" t="s">
        <v>35</v>
      </c>
      <c r="D794" s="8" t="n">
        <v>105</v>
      </c>
      <c r="E794" s="7" t="s">
        <v>321</v>
      </c>
      <c r="F794" s="8" t="n">
        <v>7.6</v>
      </c>
      <c r="G794" s="8"/>
      <c r="H794" s="9" t="n">
        <v>44468</v>
      </c>
      <c r="I794" s="7" t="s">
        <v>3442</v>
      </c>
      <c r="J794" s="7" t="s">
        <v>47</v>
      </c>
      <c r="K794" s="7"/>
      <c r="L794" s="10"/>
      <c r="M794" s="10" t="s">
        <v>3443</v>
      </c>
      <c r="N794" s="8" t="n">
        <v>0</v>
      </c>
      <c r="O794" s="8" t="n">
        <v>0</v>
      </c>
      <c r="P794" s="8" t="n">
        <v>0</v>
      </c>
      <c r="Q794" s="8" t="n">
        <v>3</v>
      </c>
      <c r="R794" s="8" t="n">
        <v>0</v>
      </c>
      <c r="S794" s="8" t="n">
        <v>0</v>
      </c>
      <c r="T794" s="13"/>
      <c r="U794" s="11" t="n">
        <f aca="false">O794*4 + P794*2 + MAX(0,N794-O794-P794)*1 + Q794*0.2 + R794*2 + S794*1 + IF(T794="",0,IF(T794&lt;=10,8,IF(T794&lt;=50,6,IF(T794&lt;=100,4,2))))</f>
        <v>0.6</v>
      </c>
      <c r="V794" s="7"/>
      <c r="W794" s="12"/>
      <c r="X794" s="13"/>
      <c r="Y794" s="13" t="s">
        <v>3444</v>
      </c>
    </row>
    <row r="795" customFormat="false" ht="15.75" hidden="false" customHeight="true" outlineLevel="0" collapsed="false">
      <c r="A795" s="7" t="s">
        <v>3445</v>
      </c>
      <c r="B795" s="8" t="n">
        <v>2015</v>
      </c>
      <c r="C795" s="8" t="s">
        <v>176</v>
      </c>
      <c r="D795" s="8" t="n">
        <v>125</v>
      </c>
      <c r="E795" s="7" t="s">
        <v>3446</v>
      </c>
      <c r="F795" s="8" t="n">
        <v>7.8</v>
      </c>
      <c r="G795" s="8"/>
      <c r="H795" s="9" t="n">
        <v>26036</v>
      </c>
      <c r="I795" s="7" t="s">
        <v>3447</v>
      </c>
      <c r="J795" s="7" t="s">
        <v>39</v>
      </c>
      <c r="K795" s="7" t="s">
        <v>48</v>
      </c>
      <c r="L795" s="10" t="s">
        <v>3213</v>
      </c>
      <c r="M795" s="10" t="s">
        <v>3448</v>
      </c>
      <c r="N795" s="8" t="n">
        <v>0</v>
      </c>
      <c r="O795" s="8" t="n">
        <v>0</v>
      </c>
      <c r="P795" s="8" t="n">
        <v>0</v>
      </c>
      <c r="Q795" s="8" t="n">
        <v>1</v>
      </c>
      <c r="R795" s="8" t="n">
        <v>0</v>
      </c>
      <c r="S795" s="8" t="n">
        <v>0</v>
      </c>
      <c r="T795" s="13"/>
      <c r="U795" s="11" t="n">
        <f aca="false">O795*4 + P795*2 + MAX(0,N795-O795-P795)*1 + Q795*0.2 + R795*2 + S795*1 + IF(T795="",0,IF(T795&lt;=10,8,IF(T795&lt;=50,6,IF(T795&lt;=100,4,2))))</f>
        <v>0.2</v>
      </c>
      <c r="V795" s="7"/>
      <c r="W795" s="12"/>
      <c r="X795" s="13"/>
      <c r="Y795" s="13" t="s">
        <v>3449</v>
      </c>
    </row>
    <row r="796" customFormat="false" ht="15.75" hidden="false" customHeight="true" outlineLevel="0" collapsed="false">
      <c r="A796" s="7" t="s">
        <v>3450</v>
      </c>
      <c r="B796" s="8" t="n">
        <v>2001</v>
      </c>
      <c r="C796" s="8" t="s">
        <v>35</v>
      </c>
      <c r="D796" s="8" t="n">
        <v>87</v>
      </c>
      <c r="E796" s="7" t="s">
        <v>2910</v>
      </c>
      <c r="F796" s="8" t="n">
        <v>7.8</v>
      </c>
      <c r="G796" s="8"/>
      <c r="H796" s="9" t="n">
        <v>37431</v>
      </c>
      <c r="I796" s="7" t="s">
        <v>124</v>
      </c>
      <c r="J796" s="7" t="s">
        <v>579</v>
      </c>
      <c r="K796" s="7" t="s">
        <v>38</v>
      </c>
      <c r="L796" s="10"/>
      <c r="M796" s="10" t="s">
        <v>3451</v>
      </c>
      <c r="N796" s="8" t="n">
        <v>0</v>
      </c>
      <c r="O796" s="8" t="n">
        <v>0</v>
      </c>
      <c r="P796" s="8" t="n">
        <v>0</v>
      </c>
      <c r="Q796" s="8" t="n">
        <v>0</v>
      </c>
      <c r="R796" s="13" t="n">
        <v>0</v>
      </c>
      <c r="S796" s="13" t="n">
        <v>0</v>
      </c>
      <c r="T796" s="13"/>
      <c r="U796" s="11" t="n">
        <f aca="false">O796*4 + P796*2 + MAX(0,N796-O796-P796)*1 + Q796*0.2 + R796*2 + S796*1 + IF(T796="",0,IF(T796&lt;=10,8,IF(T796&lt;=50,6,IF(T796&lt;=100,4,2))))</f>
        <v>0</v>
      </c>
      <c r="V796" s="7"/>
      <c r="W796" s="12"/>
      <c r="X796" s="13"/>
      <c r="Y796" s="13" t="s">
        <v>3452</v>
      </c>
    </row>
    <row r="797" customFormat="false" ht="15.75" hidden="false" customHeight="true" outlineLevel="0" collapsed="false">
      <c r="A797" s="7" t="s">
        <v>3453</v>
      </c>
      <c r="B797" s="8" t="n">
        <v>2016</v>
      </c>
      <c r="C797" s="8" t="s">
        <v>176</v>
      </c>
      <c r="D797" s="8" t="n">
        <v>130</v>
      </c>
      <c r="E797" s="7" t="s">
        <v>3454</v>
      </c>
      <c r="F797" s="8" t="n">
        <v>8.2</v>
      </c>
      <c r="G797" s="8"/>
      <c r="H797" s="9" t="n">
        <v>147899</v>
      </c>
      <c r="I797" s="7" t="s">
        <v>124</v>
      </c>
      <c r="J797" s="7" t="s">
        <v>579</v>
      </c>
      <c r="K797" s="7" t="s">
        <v>251</v>
      </c>
      <c r="L797" s="10" t="s">
        <v>3455</v>
      </c>
      <c r="M797" s="10" t="s">
        <v>3456</v>
      </c>
      <c r="N797" s="8" t="n">
        <v>0</v>
      </c>
      <c r="O797" s="8" t="n">
        <v>0</v>
      </c>
      <c r="P797" s="8" t="n">
        <v>0</v>
      </c>
      <c r="Q797" s="8" t="n">
        <v>0</v>
      </c>
      <c r="R797" s="13" t="n">
        <v>0</v>
      </c>
      <c r="S797" s="13" t="n">
        <v>0</v>
      </c>
      <c r="T797" s="13"/>
      <c r="U797" s="11" t="n">
        <f aca="false">O797*4 + P797*2 + MAX(0,N797-O797-P797)*1 + Q797*0.2 + R797*2 + S797*1 + IF(T797="",0,IF(T797&lt;=10,8,IF(T797&lt;=50,6,IF(T797&lt;=100,4,2))))</f>
        <v>0</v>
      </c>
      <c r="V797" s="7"/>
      <c r="W797" s="12"/>
      <c r="X797" s="13"/>
      <c r="Y797" s="13" t="s">
        <v>3457</v>
      </c>
    </row>
    <row r="798" customFormat="false" ht="15.75" hidden="false" customHeight="true" outlineLevel="0" collapsed="false">
      <c r="A798" s="7" t="s">
        <v>3458</v>
      </c>
      <c r="B798" s="8" t="n">
        <v>2024</v>
      </c>
      <c r="C798" s="8" t="s">
        <v>378</v>
      </c>
      <c r="D798" s="8" t="n">
        <v>137</v>
      </c>
      <c r="E798" s="7" t="s">
        <v>1903</v>
      </c>
      <c r="F798" s="8" t="n">
        <v>8.1</v>
      </c>
      <c r="G798" s="8"/>
      <c r="H798" s="9" t="n">
        <v>170927</v>
      </c>
      <c r="I798" s="7"/>
      <c r="J798" s="7" t="s">
        <v>47</v>
      </c>
      <c r="K798" s="7" t="s">
        <v>48</v>
      </c>
      <c r="L798" s="10" t="s">
        <v>205</v>
      </c>
      <c r="M798" s="10" t="s">
        <v>3459</v>
      </c>
      <c r="N798" s="8" t="n">
        <v>1</v>
      </c>
      <c r="O798" s="8" t="n">
        <v>0</v>
      </c>
      <c r="P798" s="8" t="n">
        <v>0</v>
      </c>
      <c r="Q798" s="8" t="n">
        <v>3</v>
      </c>
      <c r="R798" s="8" t="n">
        <v>0</v>
      </c>
      <c r="S798" s="8" t="n">
        <v>0</v>
      </c>
      <c r="T798" s="13"/>
      <c r="U798" s="11" t="n">
        <f aca="false">O798*4 + P798*2 + MAX(0,N798-O798-P798)*1 + Q798*0.2 + R798*2 + S798*1 + IF(T798="",0,IF(T798&lt;=10,8,IF(T798&lt;=50,6,IF(T798&lt;=100,4,2))))</f>
        <v>1.6</v>
      </c>
      <c r="V798" s="7"/>
      <c r="W798" s="12"/>
      <c r="X798" s="13"/>
      <c r="Y798" s="13" t="s">
        <v>3460</v>
      </c>
    </row>
    <row r="799" customFormat="false" ht="15.75" hidden="false" customHeight="true" outlineLevel="0" collapsed="false">
      <c r="A799" s="7" t="s">
        <v>3461</v>
      </c>
      <c r="B799" s="8" t="n">
        <v>2008</v>
      </c>
      <c r="C799" s="8" t="s">
        <v>35</v>
      </c>
      <c r="D799" s="8" t="n">
        <v>117</v>
      </c>
      <c r="E799" s="7" t="s">
        <v>3462</v>
      </c>
      <c r="F799" s="8" t="n">
        <v>7.6</v>
      </c>
      <c r="G799" s="8"/>
      <c r="H799" s="9" t="n">
        <v>21109</v>
      </c>
      <c r="I799" s="7" t="s">
        <v>3350</v>
      </c>
      <c r="J799" s="7" t="s">
        <v>47</v>
      </c>
      <c r="K799" s="7"/>
      <c r="L799" s="10"/>
      <c r="M799" s="10" t="s">
        <v>3463</v>
      </c>
      <c r="N799" s="8" t="n">
        <v>0</v>
      </c>
      <c r="O799" s="8" t="n">
        <v>0</v>
      </c>
      <c r="P799" s="8" t="n">
        <v>0</v>
      </c>
      <c r="Q799" s="8" t="n">
        <v>0</v>
      </c>
      <c r="R799" s="13" t="n">
        <v>0</v>
      </c>
      <c r="S799" s="13" t="n">
        <v>0</v>
      </c>
      <c r="T799" s="13"/>
      <c r="U799" s="11" t="n">
        <f aca="false">O799*4 + P799*2 + MAX(0,N799-O799-P799)*1 + Q799*0.2 + R799*2 + S799*1 + IF(T799="",0,IF(T799&lt;=10,8,IF(T799&lt;=50,6,IF(T799&lt;=100,4,2))))</f>
        <v>0</v>
      </c>
      <c r="V799" s="7"/>
      <c r="W799" s="12"/>
      <c r="X799" s="13"/>
      <c r="Y799" s="13" t="s">
        <v>3464</v>
      </c>
    </row>
    <row r="800" customFormat="false" ht="15.75" hidden="false" customHeight="true" outlineLevel="0" collapsed="false">
      <c r="A800" s="7" t="s">
        <v>3465</v>
      </c>
      <c r="B800" s="8" t="n">
        <v>2002</v>
      </c>
      <c r="C800" s="8" t="s">
        <v>35</v>
      </c>
      <c r="D800" s="8" t="n">
        <v>114</v>
      </c>
      <c r="E800" s="7" t="s">
        <v>3466</v>
      </c>
      <c r="F800" s="8" t="n">
        <v>7.7</v>
      </c>
      <c r="G800" s="8"/>
      <c r="H800" s="9" t="n">
        <v>30177</v>
      </c>
      <c r="I800" s="7" t="s">
        <v>3088</v>
      </c>
      <c r="J800" s="7" t="s">
        <v>47</v>
      </c>
      <c r="K800" s="7"/>
      <c r="L800" s="10"/>
      <c r="M800" s="10" t="s">
        <v>3467</v>
      </c>
      <c r="N800" s="8" t="n">
        <v>0</v>
      </c>
      <c r="O800" s="8" t="n">
        <v>0</v>
      </c>
      <c r="P800" s="8" t="n">
        <v>0</v>
      </c>
      <c r="Q800" s="8" t="n">
        <v>0</v>
      </c>
      <c r="R800" s="8" t="n">
        <v>1</v>
      </c>
      <c r="S800" s="13" t="n">
        <v>0</v>
      </c>
      <c r="T800" s="13"/>
      <c r="U800" s="11" t="n">
        <f aca="false">O800*4 + P800*2 + MAX(0,N800-O800-P800)*1 + Q800*0.2 + R800*2 + S800*1 + IF(T800="",0,IF(T800&lt;=10,8,IF(T800&lt;=50,6,IF(T800&lt;=100,4,2))))</f>
        <v>2</v>
      </c>
      <c r="V800" s="7"/>
      <c r="W800" s="12"/>
      <c r="X800" s="13"/>
      <c r="Y800" s="13" t="s">
        <v>3468</v>
      </c>
    </row>
    <row r="801" customFormat="false" ht="15.75" hidden="false" customHeight="true" outlineLevel="0" collapsed="false">
      <c r="A801" s="7" t="s">
        <v>3469</v>
      </c>
      <c r="B801" s="8" t="n">
        <v>2023</v>
      </c>
      <c r="C801" s="8" t="s">
        <v>378</v>
      </c>
      <c r="D801" s="8" t="n">
        <v>118</v>
      </c>
      <c r="E801" s="7" t="s">
        <v>3470</v>
      </c>
      <c r="F801" s="8" t="n">
        <v>7.7</v>
      </c>
      <c r="G801" s="8"/>
      <c r="H801" s="9" t="n">
        <v>18682</v>
      </c>
      <c r="I801" s="7" t="s">
        <v>28</v>
      </c>
      <c r="J801" s="7" t="s">
        <v>30</v>
      </c>
      <c r="K801" s="7" t="s">
        <v>453</v>
      </c>
      <c r="L801" s="10"/>
      <c r="M801" s="10" t="s">
        <v>3471</v>
      </c>
      <c r="N801" s="8" t="n">
        <v>0</v>
      </c>
      <c r="O801" s="8" t="n">
        <v>0</v>
      </c>
      <c r="P801" s="8" t="n">
        <v>0</v>
      </c>
      <c r="Q801" s="8" t="n">
        <v>0</v>
      </c>
      <c r="R801" s="13" t="n">
        <v>0</v>
      </c>
      <c r="S801" s="13" t="n">
        <v>0</v>
      </c>
      <c r="T801" s="13"/>
      <c r="U801" s="11" t="n">
        <f aca="false">O801*4 + P801*2 + MAX(0,N801-O801-P801)*1 + Q801*0.2 + R801*2 + S801*1 + IF(T801="",0,IF(T801&lt;=10,8,IF(T801&lt;=50,6,IF(T801&lt;=100,4,2))))</f>
        <v>0</v>
      </c>
      <c r="V801" s="7"/>
      <c r="W801" s="12"/>
      <c r="X801" s="13"/>
      <c r="Y801" s="13" t="s">
        <v>3472</v>
      </c>
    </row>
    <row r="802" customFormat="false" ht="15.75" hidden="false" customHeight="true" outlineLevel="0" collapsed="false">
      <c r="A802" s="7" t="s">
        <v>3473</v>
      </c>
      <c r="B802" s="8" t="n">
        <v>2019</v>
      </c>
      <c r="C802" s="8" t="s">
        <v>176</v>
      </c>
      <c r="D802" s="8" t="n">
        <v>113</v>
      </c>
      <c r="E802" s="7" t="s">
        <v>3474</v>
      </c>
      <c r="F802" s="8" t="n">
        <v>7.9</v>
      </c>
      <c r="G802" s="8"/>
      <c r="H802" s="9" t="n">
        <v>62923</v>
      </c>
      <c r="I802" s="7" t="s">
        <v>46</v>
      </c>
      <c r="J802" s="7" t="s">
        <v>39</v>
      </c>
      <c r="K802" s="7" t="s">
        <v>48</v>
      </c>
      <c r="L802" s="10"/>
      <c r="M802" s="10" t="s">
        <v>3475</v>
      </c>
      <c r="N802" s="8" t="n">
        <v>0</v>
      </c>
      <c r="O802" s="8" t="n">
        <v>0</v>
      </c>
      <c r="P802" s="8" t="n">
        <v>0</v>
      </c>
      <c r="Q802" s="8" t="n">
        <v>0</v>
      </c>
      <c r="R802" s="13" t="n">
        <v>0</v>
      </c>
      <c r="S802" s="13" t="n">
        <v>0</v>
      </c>
      <c r="T802" s="13"/>
      <c r="U802" s="11" t="n">
        <f aca="false">O802*4 + P802*2 + MAX(0,N802-O802-P802)*1 + Q802*0.2 + R802*2 + S802*1 + IF(T802="",0,IF(T802&lt;=10,8,IF(T802&lt;=50,6,IF(T802&lt;=100,4,2))))</f>
        <v>0</v>
      </c>
      <c r="V802" s="7"/>
      <c r="W802" s="12"/>
      <c r="X802" s="13"/>
      <c r="Y802" s="13" t="s">
        <v>3476</v>
      </c>
    </row>
    <row r="803" customFormat="false" ht="15.75" hidden="false" customHeight="true" outlineLevel="0" collapsed="false">
      <c r="A803" s="7" t="s">
        <v>3477</v>
      </c>
      <c r="B803" s="8" t="n">
        <v>2017</v>
      </c>
      <c r="C803" s="8" t="s">
        <v>176</v>
      </c>
      <c r="D803" s="8" t="n">
        <v>127</v>
      </c>
      <c r="E803" s="7" t="s">
        <v>3324</v>
      </c>
      <c r="F803" s="8" t="n">
        <v>7.6</v>
      </c>
      <c r="G803" s="8"/>
      <c r="H803" s="9" t="n">
        <v>37909</v>
      </c>
      <c r="I803" s="7" t="s">
        <v>3478</v>
      </c>
      <c r="J803" s="7"/>
      <c r="K803" s="12"/>
      <c r="L803" s="10" t="s">
        <v>205</v>
      </c>
      <c r="M803" s="10" t="s">
        <v>3479</v>
      </c>
      <c r="N803" s="8" t="n">
        <v>0</v>
      </c>
      <c r="O803" s="8" t="n">
        <v>0</v>
      </c>
      <c r="P803" s="8" t="n">
        <v>0</v>
      </c>
      <c r="Q803" s="8" t="n">
        <v>0</v>
      </c>
      <c r="R803" s="13" t="n">
        <v>0</v>
      </c>
      <c r="S803" s="13" t="n">
        <v>0</v>
      </c>
      <c r="T803" s="13"/>
      <c r="U803" s="11" t="n">
        <f aca="false">O803*4 + P803*2 + MAX(0,N803-O803-P803)*1 + Q803*0.2 + R803*2 + S803*1 + IF(T803="",0,IF(T803&lt;=10,8,IF(T803&lt;=50,6,IF(T803&lt;=100,4,2))))</f>
        <v>0</v>
      </c>
      <c r="V803" s="7"/>
      <c r="W803" s="12"/>
      <c r="X803" s="13"/>
      <c r="Y803" s="13" t="s">
        <v>3480</v>
      </c>
    </row>
    <row r="804" customFormat="false" ht="15.75" hidden="false" customHeight="true" outlineLevel="0" collapsed="false">
      <c r="A804" s="7" t="s">
        <v>3481</v>
      </c>
      <c r="B804" s="8" t="n">
        <v>2020</v>
      </c>
      <c r="C804" s="8" t="s">
        <v>378</v>
      </c>
      <c r="D804" s="8" t="n">
        <v>103</v>
      </c>
      <c r="E804" s="7" t="s">
        <v>3482</v>
      </c>
      <c r="F804" s="8" t="n">
        <v>8</v>
      </c>
      <c r="G804" s="8"/>
      <c r="H804" s="9" t="n">
        <v>45860</v>
      </c>
      <c r="I804" s="7" t="s">
        <v>3483</v>
      </c>
      <c r="J804" s="7" t="s">
        <v>579</v>
      </c>
      <c r="K804" s="7" t="s">
        <v>112</v>
      </c>
      <c r="L804" s="10" t="s">
        <v>1293</v>
      </c>
      <c r="M804" s="10" t="s">
        <v>3484</v>
      </c>
      <c r="N804" s="8" t="n">
        <v>0</v>
      </c>
      <c r="O804" s="8" t="n">
        <v>0</v>
      </c>
      <c r="P804" s="8" t="n">
        <v>0</v>
      </c>
      <c r="Q804" s="8" t="n">
        <v>1</v>
      </c>
      <c r="R804" s="8" t="n">
        <v>0</v>
      </c>
      <c r="S804" s="8" t="n">
        <v>0</v>
      </c>
      <c r="T804" s="13"/>
      <c r="U804" s="11" t="n">
        <f aca="false">O804*4 + P804*2 + MAX(0,N804-O804-P804)*1 + Q804*0.2 + R804*2 + S804*1 + IF(T804="",0,IF(T804&lt;=10,8,IF(T804&lt;=50,6,IF(T804&lt;=100,4,2))))</f>
        <v>0.2</v>
      </c>
      <c r="V804" s="7"/>
      <c r="W804" s="12"/>
      <c r="X804" s="13"/>
      <c r="Y804" s="13" t="s">
        <v>3485</v>
      </c>
    </row>
    <row r="805" customFormat="false" ht="15.75" hidden="false" customHeight="true" outlineLevel="0" collapsed="false">
      <c r="A805" s="7" t="s">
        <v>3486</v>
      </c>
      <c r="B805" s="8" t="n">
        <v>2010</v>
      </c>
      <c r="C805" s="8" t="s">
        <v>176</v>
      </c>
      <c r="D805" s="8" t="n">
        <v>114</v>
      </c>
      <c r="E805" s="7" t="s">
        <v>966</v>
      </c>
      <c r="F805" s="8" t="n">
        <v>7.2</v>
      </c>
      <c r="G805" s="8"/>
      <c r="H805" s="9" t="n">
        <v>4285</v>
      </c>
      <c r="I805" s="7" t="s">
        <v>967</v>
      </c>
      <c r="J805" s="7" t="s">
        <v>29</v>
      </c>
      <c r="K805" s="7" t="s">
        <v>47</v>
      </c>
      <c r="L805" s="10"/>
      <c r="M805" s="10" t="s">
        <v>3487</v>
      </c>
      <c r="N805" s="8" t="n">
        <v>0</v>
      </c>
      <c r="O805" s="8" t="n">
        <v>0</v>
      </c>
      <c r="P805" s="8" t="n">
        <v>0</v>
      </c>
      <c r="Q805" s="8" t="n">
        <v>0</v>
      </c>
      <c r="R805" s="13" t="n">
        <v>0</v>
      </c>
      <c r="S805" s="13" t="n">
        <v>0</v>
      </c>
      <c r="T805" s="13"/>
      <c r="U805" s="11" t="n">
        <f aca="false">O805*4 + P805*2 + MAX(0,N805-O805-P805)*1 + Q805*0.2 + R805*2 + S805*1 + IF(T805="",0,IF(T805&lt;=10,8,IF(T805&lt;=50,6,IF(T805&lt;=100,4,2))))</f>
        <v>0</v>
      </c>
      <c r="V805" s="7"/>
      <c r="W805" s="12"/>
      <c r="X805" s="13"/>
      <c r="Y805" s="13" t="s">
        <v>3488</v>
      </c>
    </row>
    <row r="806" customFormat="false" ht="15.75" hidden="false" customHeight="true" outlineLevel="0" collapsed="false">
      <c r="A806" s="7" t="s">
        <v>3489</v>
      </c>
      <c r="B806" s="8" t="n">
        <v>2015</v>
      </c>
      <c r="C806" s="8" t="s">
        <v>176</v>
      </c>
      <c r="D806" s="8" t="n">
        <v>130</v>
      </c>
      <c r="E806" s="7" t="s">
        <v>3490</v>
      </c>
      <c r="F806" s="8" t="n">
        <v>7.4</v>
      </c>
      <c r="G806" s="8"/>
      <c r="H806" s="9" t="n">
        <v>23320</v>
      </c>
      <c r="I806" s="7" t="s">
        <v>28</v>
      </c>
      <c r="J806" s="7" t="s">
        <v>112</v>
      </c>
      <c r="K806" s="7" t="s">
        <v>103</v>
      </c>
      <c r="L806" s="10" t="s">
        <v>3491</v>
      </c>
      <c r="M806" s="10" t="s">
        <v>3492</v>
      </c>
      <c r="N806" s="8" t="n">
        <v>0</v>
      </c>
      <c r="O806" s="8" t="n">
        <v>0</v>
      </c>
      <c r="P806" s="8" t="n">
        <v>0</v>
      </c>
      <c r="Q806" s="8" t="n">
        <v>0</v>
      </c>
      <c r="R806" s="13" t="n">
        <v>0</v>
      </c>
      <c r="S806" s="13" t="n">
        <v>0</v>
      </c>
      <c r="T806" s="13"/>
      <c r="U806" s="11" t="n">
        <f aca="false">O806*4 + P806*2 + MAX(0,N806-O806-P806)*1 + Q806*0.2 + R806*2 + S806*1 + IF(T806="",0,IF(T806&lt;=10,8,IF(T806&lt;=50,6,IF(T806&lt;=100,4,2))))</f>
        <v>0</v>
      </c>
      <c r="V806" s="7"/>
      <c r="W806" s="12"/>
      <c r="X806" s="13"/>
      <c r="Y806" s="13" t="s">
        <v>3493</v>
      </c>
    </row>
    <row r="807" customFormat="false" ht="15.75" hidden="false" customHeight="true" outlineLevel="0" collapsed="false">
      <c r="A807" s="7" t="s">
        <v>3494</v>
      </c>
      <c r="B807" s="8" t="n">
        <v>2002</v>
      </c>
      <c r="C807" s="8" t="s">
        <v>35</v>
      </c>
      <c r="D807" s="8" t="n">
        <v>86</v>
      </c>
      <c r="E807" s="7" t="s">
        <v>3495</v>
      </c>
      <c r="F807" s="8" t="n">
        <v>7.5</v>
      </c>
      <c r="G807" s="8"/>
      <c r="H807" s="9" t="n">
        <v>4659</v>
      </c>
      <c r="I807" s="7" t="s">
        <v>292</v>
      </c>
      <c r="J807" s="7" t="s">
        <v>29</v>
      </c>
      <c r="K807" s="7" t="s">
        <v>30</v>
      </c>
      <c r="L807" s="10" t="s">
        <v>3496</v>
      </c>
      <c r="M807" s="10" t="s">
        <v>3497</v>
      </c>
      <c r="N807" s="8" t="n">
        <v>0</v>
      </c>
      <c r="O807" s="8" t="n">
        <v>0</v>
      </c>
      <c r="P807" s="8" t="n">
        <v>0</v>
      </c>
      <c r="Q807" s="8" t="n">
        <v>0</v>
      </c>
      <c r="R807" s="13" t="n">
        <v>0</v>
      </c>
      <c r="S807" s="13" t="n">
        <v>0</v>
      </c>
      <c r="T807" s="13"/>
      <c r="U807" s="11" t="n">
        <f aca="false">O807*4 + P807*2 + MAX(0,N807-O807-P807)*1 + Q807*0.2 + R807*2 + S807*1 + IF(T807="",0,IF(T807&lt;=10,8,IF(T807&lt;=50,6,IF(T807&lt;=100,4,2))))</f>
        <v>0</v>
      </c>
      <c r="V807" s="7"/>
      <c r="W807" s="12"/>
      <c r="X807" s="13"/>
      <c r="Y807" s="13" t="s">
        <v>3498</v>
      </c>
    </row>
    <row r="808" customFormat="false" ht="15.75" hidden="false" customHeight="true" outlineLevel="0" collapsed="false">
      <c r="A808" s="7" t="s">
        <v>3499</v>
      </c>
      <c r="B808" s="8" t="n">
        <v>2014</v>
      </c>
      <c r="C808" s="8" t="s">
        <v>176</v>
      </c>
      <c r="D808" s="8" t="n">
        <v>103</v>
      </c>
      <c r="E808" s="7" t="s">
        <v>3078</v>
      </c>
      <c r="F808" s="8" t="n">
        <v>7.6</v>
      </c>
      <c r="G808" s="8"/>
      <c r="H808" s="9" t="n">
        <v>56029</v>
      </c>
      <c r="I808" s="7" t="s">
        <v>124</v>
      </c>
      <c r="J808" s="7" t="s">
        <v>579</v>
      </c>
      <c r="K808" s="7" t="s">
        <v>259</v>
      </c>
      <c r="L808" s="10" t="s">
        <v>238</v>
      </c>
      <c r="M808" s="10" t="s">
        <v>3500</v>
      </c>
      <c r="N808" s="8" t="n">
        <v>0</v>
      </c>
      <c r="O808" s="8" t="n">
        <v>0</v>
      </c>
      <c r="P808" s="8" t="n">
        <v>0</v>
      </c>
      <c r="Q808" s="8" t="n">
        <v>1</v>
      </c>
      <c r="R808" s="8" t="n">
        <v>0</v>
      </c>
      <c r="S808" s="8" t="n">
        <v>0</v>
      </c>
      <c r="T808" s="13"/>
      <c r="U808" s="11" t="n">
        <f aca="false">O808*4 + P808*2 + MAX(0,N808-O808-P808)*1 + Q808*0.2 + R808*2 + S808*1 + IF(T808="",0,IF(T808&lt;=10,8,IF(T808&lt;=50,6,IF(T808&lt;=100,4,2))))</f>
        <v>0.2</v>
      </c>
      <c r="V808" s="7"/>
      <c r="W808" s="12"/>
      <c r="X808" s="13"/>
      <c r="Y808" s="13" t="s">
        <v>3501</v>
      </c>
    </row>
    <row r="809" customFormat="false" ht="15.75" hidden="false" customHeight="true" outlineLevel="0" collapsed="false">
      <c r="A809" s="7" t="s">
        <v>3502</v>
      </c>
      <c r="B809" s="8" t="n">
        <v>2024</v>
      </c>
      <c r="C809" s="8" t="s">
        <v>378</v>
      </c>
      <c r="D809" s="8" t="n">
        <v>135</v>
      </c>
      <c r="E809" s="7" t="s">
        <v>3503</v>
      </c>
      <c r="F809" s="8" t="n">
        <v>7.5</v>
      </c>
      <c r="G809" s="8"/>
      <c r="H809" s="9" t="n">
        <v>47084</v>
      </c>
      <c r="I809" s="7" t="s">
        <v>46</v>
      </c>
      <c r="J809" s="7" t="s">
        <v>90</v>
      </c>
      <c r="K809" s="7" t="s">
        <v>48</v>
      </c>
      <c r="L809" s="10"/>
      <c r="M809" s="10" t="s">
        <v>3504</v>
      </c>
      <c r="N809" s="8" t="n">
        <v>0</v>
      </c>
      <c r="O809" s="8" t="n">
        <v>0</v>
      </c>
      <c r="P809" s="8" t="n">
        <v>0</v>
      </c>
      <c r="Q809" s="8" t="n">
        <v>1</v>
      </c>
      <c r="R809" s="8" t="n">
        <v>0</v>
      </c>
      <c r="S809" s="8" t="n">
        <v>0</v>
      </c>
      <c r="T809" s="13"/>
      <c r="U809" s="11" t="n">
        <f aca="false">O809*4 + P809*2 + MAX(0,N809-O809-P809)*1 + Q809*0.2 + R809*2 + S809*1 + IF(T809="",0,IF(T809&lt;=10,8,IF(T809&lt;=50,6,IF(T809&lt;=100,4,2))))</f>
        <v>0.2</v>
      </c>
      <c r="V809" s="7"/>
      <c r="W809" s="12"/>
      <c r="X809" s="13"/>
      <c r="Y809" s="13" t="s">
        <v>3505</v>
      </c>
    </row>
    <row r="810" customFormat="false" ht="15.75" hidden="false" customHeight="true" outlineLevel="0" collapsed="false">
      <c r="A810" s="7" t="s">
        <v>3506</v>
      </c>
      <c r="B810" s="8" t="n">
        <v>2018</v>
      </c>
      <c r="C810" s="8" t="s">
        <v>176</v>
      </c>
      <c r="D810" s="8" t="n">
        <v>105</v>
      </c>
      <c r="E810" s="7" t="s">
        <v>3128</v>
      </c>
      <c r="F810" s="8" t="n">
        <v>7.2</v>
      </c>
      <c r="G810" s="8"/>
      <c r="H810" s="9" t="n">
        <v>18155</v>
      </c>
      <c r="I810" s="7" t="s">
        <v>3507</v>
      </c>
      <c r="J810" s="7" t="s">
        <v>47</v>
      </c>
      <c r="K810" s="7"/>
      <c r="L810" s="10" t="s">
        <v>2965</v>
      </c>
      <c r="M810" s="10" t="s">
        <v>3508</v>
      </c>
      <c r="N810" s="8" t="n">
        <v>0</v>
      </c>
      <c r="O810" s="8" t="n">
        <v>0</v>
      </c>
      <c r="P810" s="8" t="n">
        <v>0</v>
      </c>
      <c r="Q810" s="8" t="n">
        <v>0</v>
      </c>
      <c r="R810" s="13" t="n">
        <v>0</v>
      </c>
      <c r="S810" s="13" t="n">
        <v>0</v>
      </c>
      <c r="T810" s="13"/>
      <c r="U810" s="11" t="n">
        <f aca="false">O810*4 + P810*2 + MAX(0,N810-O810-P810)*1 + Q810*0.2 + R810*2 + S810*1 + IF(T810="",0,IF(T810&lt;=10,8,IF(T810&lt;=50,6,IF(T810&lt;=100,4,2))))</f>
        <v>0</v>
      </c>
      <c r="V810" s="7"/>
      <c r="W810" s="12"/>
      <c r="X810" s="13"/>
      <c r="Y810" s="13" t="s">
        <v>3509</v>
      </c>
    </row>
    <row r="811" customFormat="false" ht="15.75" hidden="false" customHeight="true" outlineLevel="0" collapsed="false">
      <c r="A811" s="7" t="s">
        <v>3510</v>
      </c>
      <c r="B811" s="8" t="n">
        <v>2019</v>
      </c>
      <c r="C811" s="8" t="s">
        <v>176</v>
      </c>
      <c r="D811" s="8" t="n">
        <v>101</v>
      </c>
      <c r="E811" s="7" t="s">
        <v>1615</v>
      </c>
      <c r="F811" s="8" t="n">
        <v>7.6</v>
      </c>
      <c r="G811" s="8"/>
      <c r="H811" s="9" t="n">
        <v>28432</v>
      </c>
      <c r="I811" s="7" t="s">
        <v>2979</v>
      </c>
      <c r="J811" s="7" t="s">
        <v>47</v>
      </c>
      <c r="K811" s="7"/>
      <c r="L811" s="10" t="s">
        <v>3511</v>
      </c>
      <c r="M811" s="10" t="s">
        <v>3512</v>
      </c>
      <c r="N811" s="8" t="n">
        <v>0</v>
      </c>
      <c r="O811" s="8" t="n">
        <v>0</v>
      </c>
      <c r="P811" s="8" t="n">
        <v>0</v>
      </c>
      <c r="Q811" s="8" t="n">
        <v>0</v>
      </c>
      <c r="R811" s="13" t="n">
        <v>0</v>
      </c>
      <c r="S811" s="13" t="n">
        <v>0</v>
      </c>
      <c r="T811" s="13"/>
      <c r="U811" s="11" t="n">
        <f aca="false">O811*4 + P811*2 + MAX(0,N811-O811-P811)*1 + Q811*0.2 + R811*2 + S811*1 + IF(T811="",0,IF(T811&lt;=10,8,IF(T811&lt;=50,6,IF(T811&lt;=100,4,2))))</f>
        <v>0</v>
      </c>
      <c r="V811" s="7"/>
      <c r="W811" s="12"/>
      <c r="X811" s="13"/>
      <c r="Y811" s="13" t="s">
        <v>3513</v>
      </c>
    </row>
    <row r="812" customFormat="false" ht="15.75" hidden="false" customHeight="true" outlineLevel="0" collapsed="false">
      <c r="A812" s="7" t="s">
        <v>3514</v>
      </c>
      <c r="B812" s="8" t="n">
        <v>2009</v>
      </c>
      <c r="C812" s="8" t="s">
        <v>35</v>
      </c>
      <c r="D812" s="8" t="n">
        <v>96</v>
      </c>
      <c r="E812" s="7" t="s">
        <v>2843</v>
      </c>
      <c r="F812" s="8" t="n">
        <v>7.4</v>
      </c>
      <c r="G812" s="8"/>
      <c r="H812" s="9" t="n">
        <v>32802</v>
      </c>
      <c r="I812" s="7" t="s">
        <v>1111</v>
      </c>
      <c r="J812" s="7" t="s">
        <v>29</v>
      </c>
      <c r="K812" s="7" t="s">
        <v>47</v>
      </c>
      <c r="L812" s="10"/>
      <c r="M812" s="10" t="s">
        <v>3515</v>
      </c>
      <c r="N812" s="8" t="n">
        <v>0</v>
      </c>
      <c r="O812" s="8" t="n">
        <v>0</v>
      </c>
      <c r="P812" s="8" t="n">
        <v>0</v>
      </c>
      <c r="Q812" s="8" t="n">
        <v>0</v>
      </c>
      <c r="R812" s="13" t="n">
        <v>0</v>
      </c>
      <c r="S812" s="13" t="n">
        <v>0</v>
      </c>
      <c r="T812" s="13"/>
      <c r="U812" s="11" t="n">
        <f aca="false">O812*4 + P812*2 + MAX(0,N812-O812-P812)*1 + Q812*0.2 + R812*2 + S812*1 + IF(T812="",0,IF(T812&lt;=10,8,IF(T812&lt;=50,6,IF(T812&lt;=100,4,2))))</f>
        <v>0</v>
      </c>
      <c r="V812" s="7"/>
      <c r="W812" s="12"/>
      <c r="X812" s="13"/>
      <c r="Y812" s="13" t="s">
        <v>3516</v>
      </c>
    </row>
    <row r="813" customFormat="false" ht="15.75" hidden="false" customHeight="true" outlineLevel="0" collapsed="false">
      <c r="A813" s="7" t="s">
        <v>3517</v>
      </c>
      <c r="B813" s="8" t="n">
        <v>2001</v>
      </c>
      <c r="C813" s="8" t="s">
        <v>35</v>
      </c>
      <c r="D813" s="8" t="n">
        <v>123</v>
      </c>
      <c r="E813" s="7" t="s">
        <v>3518</v>
      </c>
      <c r="F813" s="8" t="n">
        <v>7.9</v>
      </c>
      <c r="G813" s="8"/>
      <c r="H813" s="9" t="n">
        <v>53301</v>
      </c>
      <c r="I813" s="7" t="s">
        <v>430</v>
      </c>
      <c r="J813" s="7" t="s">
        <v>29</v>
      </c>
      <c r="K813" s="7" t="s">
        <v>30</v>
      </c>
      <c r="L813" s="10" t="s">
        <v>113</v>
      </c>
      <c r="M813" s="10" t="s">
        <v>3519</v>
      </c>
      <c r="N813" s="8" t="n">
        <v>0</v>
      </c>
      <c r="O813" s="8" t="n">
        <v>0</v>
      </c>
      <c r="P813" s="8" t="n">
        <v>0</v>
      </c>
      <c r="Q813" s="8" t="n">
        <v>0</v>
      </c>
      <c r="R813" s="13" t="n">
        <v>0</v>
      </c>
      <c r="S813" s="13" t="n">
        <v>0</v>
      </c>
      <c r="T813" s="13"/>
      <c r="U813" s="11" t="n">
        <f aca="false">O813*4 + P813*2 + MAX(0,N813-O813-P813)*1 + Q813*0.2 + R813*2 + S813*1 + IF(T813="",0,IF(T813&lt;=10,8,IF(T813&lt;=50,6,IF(T813&lt;=100,4,2))))</f>
        <v>0</v>
      </c>
      <c r="V813" s="7"/>
      <c r="W813" s="12"/>
      <c r="X813" s="13"/>
      <c r="Y813" s="13" t="s">
        <v>3520</v>
      </c>
    </row>
    <row r="814" customFormat="false" ht="15.75" hidden="false" customHeight="true" outlineLevel="0" collapsed="false">
      <c r="A814" s="7" t="s">
        <v>3521</v>
      </c>
      <c r="B814" s="8" t="n">
        <v>2022</v>
      </c>
      <c r="C814" s="8" t="s">
        <v>378</v>
      </c>
      <c r="D814" s="8" t="n">
        <v>122</v>
      </c>
      <c r="E814" s="7" t="s">
        <v>2677</v>
      </c>
      <c r="F814" s="8" t="n">
        <v>7.6</v>
      </c>
      <c r="G814" s="8"/>
      <c r="H814" s="9" t="n">
        <v>65106</v>
      </c>
      <c r="I814" s="7" t="s">
        <v>124</v>
      </c>
      <c r="J814" s="7" t="s">
        <v>579</v>
      </c>
      <c r="K814" s="7" t="s">
        <v>39</v>
      </c>
      <c r="L814" s="10" t="s">
        <v>3522</v>
      </c>
      <c r="M814" s="10" t="s">
        <v>3523</v>
      </c>
      <c r="N814" s="8" t="n">
        <v>0</v>
      </c>
      <c r="O814" s="8" t="n">
        <v>0</v>
      </c>
      <c r="P814" s="8" t="n">
        <v>0</v>
      </c>
      <c r="Q814" s="8" t="n">
        <v>0</v>
      </c>
      <c r="R814" s="13" t="n">
        <v>0</v>
      </c>
      <c r="S814" s="13" t="n">
        <v>0</v>
      </c>
      <c r="T814" s="13"/>
      <c r="U814" s="11" t="n">
        <f aca="false">O814*4 + P814*2 + MAX(0,N814-O814-P814)*1 + Q814*0.2 + R814*2 + S814*1 + IF(T814="",0,IF(T814&lt;=10,8,IF(T814&lt;=50,6,IF(T814&lt;=100,4,2))))</f>
        <v>0</v>
      </c>
      <c r="V814" s="7"/>
      <c r="W814" s="12"/>
      <c r="X814" s="13"/>
      <c r="Y814" s="13" t="s">
        <v>3524</v>
      </c>
    </row>
    <row r="815" customFormat="false" ht="15.75" hidden="false" customHeight="true" outlineLevel="0" collapsed="false">
      <c r="A815" s="7" t="s">
        <v>3525</v>
      </c>
      <c r="B815" s="8" t="n">
        <v>2005</v>
      </c>
      <c r="C815" s="8" t="s">
        <v>35</v>
      </c>
      <c r="D815" s="8" t="n">
        <v>108</v>
      </c>
      <c r="E815" s="7" t="s">
        <v>3526</v>
      </c>
      <c r="F815" s="8" t="n">
        <v>7.5</v>
      </c>
      <c r="G815" s="8"/>
      <c r="H815" s="9" t="n">
        <v>3790</v>
      </c>
      <c r="I815" s="7" t="s">
        <v>2336</v>
      </c>
      <c r="J815" s="7" t="s">
        <v>29</v>
      </c>
      <c r="K815" s="7" t="s">
        <v>30</v>
      </c>
      <c r="L815" s="10" t="s">
        <v>3527</v>
      </c>
      <c r="M815" s="10" t="s">
        <v>3528</v>
      </c>
      <c r="N815" s="8" t="n">
        <v>0</v>
      </c>
      <c r="O815" s="8" t="n">
        <v>0</v>
      </c>
      <c r="P815" s="8" t="n">
        <v>0</v>
      </c>
      <c r="Q815" s="8" t="n">
        <v>0</v>
      </c>
      <c r="R815" s="13" t="n">
        <v>0</v>
      </c>
      <c r="S815" s="13" t="n">
        <v>0</v>
      </c>
      <c r="T815" s="13"/>
      <c r="U815" s="11" t="n">
        <f aca="false">O815*4 + P815*2 + MAX(0,N815-O815-P815)*1 + Q815*0.2 + R815*2 + S815*1 + IF(T815="",0,IF(T815&lt;=10,8,IF(T815&lt;=50,6,IF(T815&lt;=100,4,2))))</f>
        <v>0</v>
      </c>
      <c r="V815" s="7"/>
      <c r="W815" s="12"/>
      <c r="X815" s="13"/>
      <c r="Y815" s="13" t="s">
        <v>3529</v>
      </c>
    </row>
    <row r="816" customFormat="false" ht="15.75" hidden="false" customHeight="true" outlineLevel="0" collapsed="false">
      <c r="A816" s="7" t="s">
        <v>3530</v>
      </c>
      <c r="B816" s="8" t="n">
        <v>2002</v>
      </c>
      <c r="C816" s="8" t="s">
        <v>35</v>
      </c>
      <c r="D816" s="8" t="n">
        <v>129</v>
      </c>
      <c r="E816" s="7" t="s">
        <v>3531</v>
      </c>
      <c r="F816" s="8" t="n">
        <v>8</v>
      </c>
      <c r="G816" s="8"/>
      <c r="H816" s="9" t="n">
        <v>27221</v>
      </c>
      <c r="I816" s="7" t="s">
        <v>124</v>
      </c>
      <c r="J816" s="7" t="s">
        <v>29</v>
      </c>
      <c r="K816" s="7" t="s">
        <v>47</v>
      </c>
      <c r="L816" s="10"/>
      <c r="M816" s="10" t="s">
        <v>3532</v>
      </c>
      <c r="N816" s="8" t="n">
        <v>0</v>
      </c>
      <c r="O816" s="8" t="n">
        <v>0</v>
      </c>
      <c r="P816" s="8" t="n">
        <v>0</v>
      </c>
      <c r="Q816" s="8" t="n">
        <v>1</v>
      </c>
      <c r="R816" s="8" t="n">
        <v>0</v>
      </c>
      <c r="S816" s="8" t="n">
        <v>0</v>
      </c>
      <c r="T816" s="13"/>
      <c r="U816" s="11" t="n">
        <f aca="false">O816*4 + P816*2 + MAX(0,N816-O816-P816)*1 + Q816*0.2 + R816*2 + S816*1 + IF(T816="",0,IF(T816&lt;=10,8,IF(T816&lt;=50,6,IF(T816&lt;=100,4,2))))</f>
        <v>0.2</v>
      </c>
      <c r="V816" s="7"/>
      <c r="W816" s="12"/>
      <c r="X816" s="13"/>
      <c r="Y816" s="13" t="s">
        <v>3533</v>
      </c>
    </row>
    <row r="817" customFormat="false" ht="15.75" hidden="false" customHeight="true" outlineLevel="0" collapsed="false">
      <c r="A817" s="7" t="s">
        <v>3534</v>
      </c>
      <c r="B817" s="8" t="n">
        <v>2001</v>
      </c>
      <c r="C817" s="8" t="s">
        <v>35</v>
      </c>
      <c r="D817" s="8" t="n">
        <v>77</v>
      </c>
      <c r="E817" s="7" t="s">
        <v>3535</v>
      </c>
      <c r="F817" s="8" t="n">
        <v>8</v>
      </c>
      <c r="G817" s="8"/>
      <c r="H817" s="9" t="n">
        <v>141</v>
      </c>
      <c r="I817" s="7"/>
      <c r="J817" s="7"/>
      <c r="K817" s="12"/>
      <c r="L817" s="10"/>
      <c r="M817" s="10" t="s">
        <v>3536</v>
      </c>
      <c r="N817" s="8" t="n">
        <v>0</v>
      </c>
      <c r="O817" s="8" t="n">
        <v>0</v>
      </c>
      <c r="P817" s="8" t="n">
        <v>0</v>
      </c>
      <c r="Q817" s="8" t="n">
        <v>0</v>
      </c>
      <c r="R817" s="13" t="n">
        <v>0</v>
      </c>
      <c r="S817" s="13" t="n">
        <v>0</v>
      </c>
      <c r="T817" s="13"/>
      <c r="U817" s="11" t="n">
        <f aca="false">O817*4 + P817*2 + MAX(0,N817-O817-P817)*1 + Q817*0.2 + R817*2 + S817*1 + IF(T817="",0,IF(T817&lt;=10,8,IF(T817&lt;=50,6,IF(T817&lt;=100,4,2))))</f>
        <v>0</v>
      </c>
      <c r="V817" s="7"/>
      <c r="W817" s="12"/>
      <c r="X817" s="13"/>
      <c r="Y817" s="13" t="s">
        <v>3537</v>
      </c>
    </row>
    <row r="818" customFormat="false" ht="15.75" hidden="false" customHeight="true" outlineLevel="0" collapsed="false">
      <c r="A818" s="7" t="s">
        <v>3538</v>
      </c>
      <c r="B818" s="8" t="n">
        <v>2023</v>
      </c>
      <c r="C818" s="8" t="s">
        <v>378</v>
      </c>
      <c r="D818" s="8" t="n">
        <v>101</v>
      </c>
      <c r="E818" s="7" t="s">
        <v>3539</v>
      </c>
      <c r="F818" s="8" t="n">
        <v>7.5</v>
      </c>
      <c r="G818" s="8"/>
      <c r="H818" s="9" t="n">
        <v>63128</v>
      </c>
      <c r="I818" s="7" t="s">
        <v>359</v>
      </c>
      <c r="J818" s="7" t="s">
        <v>579</v>
      </c>
      <c r="K818" s="7" t="s">
        <v>112</v>
      </c>
      <c r="L818" s="10" t="s">
        <v>238</v>
      </c>
      <c r="M818" s="10" t="s">
        <v>3540</v>
      </c>
      <c r="N818" s="8" t="n">
        <v>0</v>
      </c>
      <c r="O818" s="8" t="n">
        <v>0</v>
      </c>
      <c r="P818" s="8" t="n">
        <v>0</v>
      </c>
      <c r="Q818" s="8" t="n">
        <v>1</v>
      </c>
      <c r="R818" s="8" t="n">
        <v>0</v>
      </c>
      <c r="S818" s="8" t="n">
        <v>0</v>
      </c>
      <c r="T818" s="13"/>
      <c r="U818" s="11" t="n">
        <f aca="false">O818*4 + P818*2 + MAX(0,N818-O818-P818)*1 + Q818*0.2 + R818*2 + S818*1 + IF(T818="",0,IF(T818&lt;=10,8,IF(T818&lt;=50,6,IF(T818&lt;=100,4,2))))</f>
        <v>0.2</v>
      </c>
      <c r="V818" s="7"/>
      <c r="W818" s="12"/>
      <c r="X818" s="13"/>
      <c r="Y818" s="13" t="s">
        <v>3541</v>
      </c>
    </row>
    <row r="819" customFormat="false" ht="15.75" hidden="false" customHeight="true" outlineLevel="0" collapsed="false">
      <c r="A819" s="7" t="s">
        <v>3542</v>
      </c>
      <c r="B819" s="8" t="n">
        <v>2004</v>
      </c>
      <c r="C819" s="8" t="s">
        <v>35</v>
      </c>
      <c r="D819" s="8" t="n">
        <v>140</v>
      </c>
      <c r="E819" s="7" t="s">
        <v>3543</v>
      </c>
      <c r="F819" s="8" t="n">
        <v>8</v>
      </c>
      <c r="G819" s="8"/>
      <c r="H819" s="9" t="n">
        <v>42474</v>
      </c>
      <c r="I819" s="7" t="s">
        <v>430</v>
      </c>
      <c r="J819" s="7" t="s">
        <v>154</v>
      </c>
      <c r="K819" s="7" t="s">
        <v>112</v>
      </c>
      <c r="L819" s="10"/>
      <c r="M819" s="10" t="s">
        <v>3544</v>
      </c>
      <c r="N819" s="8" t="n">
        <v>0</v>
      </c>
      <c r="O819" s="8" t="n">
        <v>0</v>
      </c>
      <c r="P819" s="8" t="n">
        <v>0</v>
      </c>
      <c r="Q819" s="8" t="n">
        <v>0</v>
      </c>
      <c r="R819" s="13" t="n">
        <v>0</v>
      </c>
      <c r="S819" s="13" t="n">
        <v>0</v>
      </c>
      <c r="T819" s="13"/>
      <c r="U819" s="11" t="n">
        <f aca="false">O819*4 + P819*2 + MAX(0,N819-O819-P819)*1 + Q819*0.2 + R819*2 + S819*1 + IF(T819="",0,IF(T819&lt;=10,8,IF(T819&lt;=50,6,IF(T819&lt;=100,4,2))))</f>
        <v>0</v>
      </c>
      <c r="V819" s="7"/>
      <c r="W819" s="12"/>
      <c r="X819" s="13"/>
      <c r="Y819" s="13" t="s">
        <v>3545</v>
      </c>
    </row>
    <row r="820" customFormat="false" ht="15.75" hidden="false" customHeight="true" outlineLevel="0" collapsed="false">
      <c r="A820" s="7" t="s">
        <v>3546</v>
      </c>
      <c r="B820" s="8" t="n">
        <v>2025</v>
      </c>
      <c r="C820" s="8" t="s">
        <v>378</v>
      </c>
      <c r="D820" s="8" t="n">
        <v>99</v>
      </c>
      <c r="E820" s="7" t="s">
        <v>3547</v>
      </c>
      <c r="F820" s="8" t="n">
        <v>7.3</v>
      </c>
      <c r="G820" s="8"/>
      <c r="H820" s="9" t="n">
        <v>2815</v>
      </c>
      <c r="I820" s="7"/>
      <c r="J820" s="7" t="s">
        <v>47</v>
      </c>
      <c r="K820" s="7"/>
      <c r="L820" s="10" t="s">
        <v>210</v>
      </c>
      <c r="M820" s="10" t="s">
        <v>3548</v>
      </c>
      <c r="N820" s="8" t="n">
        <v>0</v>
      </c>
      <c r="O820" s="8" t="n">
        <v>0</v>
      </c>
      <c r="P820" s="8" t="n">
        <v>0</v>
      </c>
      <c r="Q820" s="8" t="n">
        <v>0</v>
      </c>
      <c r="R820" s="13" t="n">
        <v>0</v>
      </c>
      <c r="S820" s="13" t="n">
        <v>0</v>
      </c>
      <c r="T820" s="13"/>
      <c r="U820" s="11" t="n">
        <f aca="false">O820*4 + P820*2 + MAX(0,N820-O820-P820)*1 + Q820*0.2 + R820*2 + S820*1 + IF(T820="",0,IF(T820&lt;=10,8,IF(T820&lt;=50,6,IF(T820&lt;=100,4,2))))</f>
        <v>0</v>
      </c>
      <c r="V820" s="7"/>
      <c r="W820" s="12"/>
      <c r="X820" s="13"/>
      <c r="Y820" s="13" t="s">
        <v>3549</v>
      </c>
    </row>
    <row r="821" customFormat="false" ht="15.75" hidden="false" customHeight="true" outlineLevel="0" collapsed="false">
      <c r="A821" s="7" t="s">
        <v>3550</v>
      </c>
      <c r="B821" s="8" t="n">
        <v>2020</v>
      </c>
      <c r="C821" s="8" t="s">
        <v>378</v>
      </c>
      <c r="D821" s="8" t="n">
        <v>101</v>
      </c>
      <c r="E821" s="7" t="s">
        <v>3551</v>
      </c>
      <c r="F821" s="8" t="n">
        <v>8</v>
      </c>
      <c r="G821" s="8"/>
      <c r="H821" s="9" t="n">
        <v>42223</v>
      </c>
      <c r="I821" s="7" t="s">
        <v>3552</v>
      </c>
      <c r="J821" s="7" t="s">
        <v>154</v>
      </c>
      <c r="K821" s="7" t="s">
        <v>453</v>
      </c>
      <c r="L821" s="10" t="s">
        <v>205</v>
      </c>
      <c r="M821" s="10" t="s">
        <v>3553</v>
      </c>
      <c r="N821" s="8" t="n">
        <v>0</v>
      </c>
      <c r="O821" s="8" t="n">
        <v>0</v>
      </c>
      <c r="P821" s="8" t="n">
        <v>0</v>
      </c>
      <c r="Q821" s="8" t="n">
        <v>1</v>
      </c>
      <c r="R821" s="8" t="n">
        <v>0</v>
      </c>
      <c r="S821" s="8" t="n">
        <v>0</v>
      </c>
      <c r="T821" s="13"/>
      <c r="U821" s="11" t="n">
        <f aca="false">O821*4 + P821*2 + MAX(0,N821-O821-P821)*1 + Q821*0.2 + R821*2 + S821*1 + IF(T821="",0,IF(T821&lt;=10,8,IF(T821&lt;=50,6,IF(T821&lt;=100,4,2))))</f>
        <v>0.2</v>
      </c>
      <c r="V821" s="7"/>
      <c r="W821" s="12"/>
      <c r="X821" s="13"/>
      <c r="Y821" s="13" t="s">
        <v>3554</v>
      </c>
    </row>
    <row r="822" customFormat="false" ht="15.75" hidden="false" customHeight="true" outlineLevel="0" collapsed="false">
      <c r="A822" s="7" t="s">
        <v>3555</v>
      </c>
      <c r="B822" s="8" t="n">
        <v>2017</v>
      </c>
      <c r="C822" s="8" t="s">
        <v>176</v>
      </c>
      <c r="D822" s="8" t="n">
        <v>104</v>
      </c>
      <c r="E822" s="7" t="s">
        <v>3556</v>
      </c>
      <c r="F822" s="8" t="n">
        <v>7.6</v>
      </c>
      <c r="G822" s="8"/>
      <c r="H822" s="9" t="n">
        <v>41995</v>
      </c>
      <c r="I822" s="7" t="s">
        <v>280</v>
      </c>
      <c r="J822" s="7" t="s">
        <v>29</v>
      </c>
      <c r="K822" s="7" t="s">
        <v>47</v>
      </c>
      <c r="L822" s="10" t="s">
        <v>416</v>
      </c>
      <c r="M822" s="10" t="s">
        <v>3557</v>
      </c>
      <c r="N822" s="8" t="n">
        <v>0</v>
      </c>
      <c r="O822" s="8" t="n">
        <v>0</v>
      </c>
      <c r="P822" s="8" t="n">
        <v>0</v>
      </c>
      <c r="Q822" s="8" t="n">
        <v>0</v>
      </c>
      <c r="R822" s="13" t="n">
        <v>0</v>
      </c>
      <c r="S822" s="13" t="n">
        <v>0</v>
      </c>
      <c r="T822" s="13"/>
      <c r="U822" s="11" t="n">
        <f aca="false">O822*4 + P822*2 + MAX(0,N822-O822-P822)*1 + Q822*0.2 + R822*2 + S822*1 + IF(T822="",0,IF(T822&lt;=10,8,IF(T822&lt;=50,6,IF(T822&lt;=100,4,2))))</f>
        <v>0</v>
      </c>
      <c r="V822" s="7"/>
      <c r="W822" s="12"/>
      <c r="X822" s="13"/>
      <c r="Y822" s="13" t="s">
        <v>3558</v>
      </c>
    </row>
    <row r="823" customFormat="false" ht="15.75" hidden="false" customHeight="true" outlineLevel="0" collapsed="false">
      <c r="A823" s="7" t="s">
        <v>3559</v>
      </c>
      <c r="B823" s="8" t="n">
        <v>2007</v>
      </c>
      <c r="C823" s="8" t="s">
        <v>35</v>
      </c>
      <c r="D823" s="8" t="n">
        <v>98</v>
      </c>
      <c r="E823" s="7" t="s">
        <v>3560</v>
      </c>
      <c r="F823" s="8" t="n">
        <v>7.5</v>
      </c>
      <c r="G823" s="8"/>
      <c r="H823" s="9" t="n">
        <v>32235</v>
      </c>
      <c r="I823" s="7" t="s">
        <v>124</v>
      </c>
      <c r="J823" s="7" t="s">
        <v>579</v>
      </c>
      <c r="K823" s="7" t="s">
        <v>259</v>
      </c>
      <c r="L823" s="10" t="s">
        <v>1686</v>
      </c>
      <c r="M823" s="10" t="s">
        <v>3561</v>
      </c>
      <c r="N823" s="8" t="n">
        <v>0</v>
      </c>
      <c r="O823" s="8" t="n">
        <v>0</v>
      </c>
      <c r="P823" s="8" t="n">
        <v>0</v>
      </c>
      <c r="Q823" s="8" t="n">
        <v>0</v>
      </c>
      <c r="R823" s="13" t="n">
        <v>0</v>
      </c>
      <c r="S823" s="13" t="n">
        <v>0</v>
      </c>
      <c r="T823" s="13"/>
      <c r="U823" s="11" t="n">
        <f aca="false">O823*4 + P823*2 + MAX(0,N823-O823-P823)*1 + Q823*0.2 + R823*2 + S823*1 + IF(T823="",0,IF(T823&lt;=10,8,IF(T823&lt;=50,6,IF(T823&lt;=100,4,2))))</f>
        <v>0</v>
      </c>
      <c r="V823" s="7"/>
      <c r="W823" s="12"/>
      <c r="X823" s="13"/>
      <c r="Y823" s="13" t="s">
        <v>3562</v>
      </c>
    </row>
    <row r="824" customFormat="false" ht="15.75" hidden="false" customHeight="true" outlineLevel="0" collapsed="false">
      <c r="A824" s="7" t="s">
        <v>3563</v>
      </c>
      <c r="B824" s="8" t="n">
        <v>2007</v>
      </c>
      <c r="C824" s="8" t="s">
        <v>35</v>
      </c>
      <c r="D824" s="8" t="n">
        <v>109</v>
      </c>
      <c r="E824" s="7" t="s">
        <v>3564</v>
      </c>
      <c r="F824" s="8" t="n">
        <v>7.1</v>
      </c>
      <c r="G824" s="8"/>
      <c r="H824" s="9" t="n">
        <v>4052</v>
      </c>
      <c r="I824" s="7" t="s">
        <v>219</v>
      </c>
      <c r="J824" s="7" t="s">
        <v>30</v>
      </c>
      <c r="K824" s="7" t="s">
        <v>47</v>
      </c>
      <c r="L824" s="10"/>
      <c r="M824" s="10" t="s">
        <v>3565</v>
      </c>
      <c r="N824" s="8" t="n">
        <v>0</v>
      </c>
      <c r="O824" s="8" t="n">
        <v>0</v>
      </c>
      <c r="P824" s="8" t="n">
        <v>0</v>
      </c>
      <c r="Q824" s="8" t="n">
        <v>0</v>
      </c>
      <c r="R824" s="13" t="n">
        <v>0</v>
      </c>
      <c r="S824" s="13" t="n">
        <v>0</v>
      </c>
      <c r="T824" s="13"/>
      <c r="U824" s="11" t="n">
        <f aca="false">O824*4 + P824*2 + MAX(0,N824-O824-P824)*1 + Q824*0.2 + R824*2 + S824*1 + IF(T824="",0,IF(T824&lt;=10,8,IF(T824&lt;=50,6,IF(T824&lt;=100,4,2))))</f>
        <v>0</v>
      </c>
      <c r="V824" s="7"/>
      <c r="W824" s="12"/>
      <c r="X824" s="13"/>
      <c r="Y824" s="13" t="s">
        <v>3566</v>
      </c>
    </row>
    <row r="825" customFormat="false" ht="15.75" hidden="false" customHeight="true" outlineLevel="0" collapsed="false">
      <c r="A825" s="7" t="s">
        <v>3567</v>
      </c>
      <c r="B825" s="8" t="n">
        <v>2017</v>
      </c>
      <c r="C825" s="8" t="s">
        <v>176</v>
      </c>
      <c r="D825" s="8" t="n">
        <v>113</v>
      </c>
      <c r="E825" s="7" t="s">
        <v>3568</v>
      </c>
      <c r="F825" s="8" t="n">
        <v>7.6</v>
      </c>
      <c r="G825" s="8"/>
      <c r="H825" s="9" t="n">
        <v>19199</v>
      </c>
      <c r="I825" s="7" t="s">
        <v>3569</v>
      </c>
      <c r="J825" s="7" t="s">
        <v>131</v>
      </c>
      <c r="K825" s="7" t="s">
        <v>54</v>
      </c>
      <c r="L825" s="10" t="s">
        <v>3213</v>
      </c>
      <c r="M825" s="10" t="s">
        <v>3570</v>
      </c>
      <c r="N825" s="8" t="n">
        <v>0</v>
      </c>
      <c r="O825" s="8" t="n">
        <v>0</v>
      </c>
      <c r="P825" s="8" t="n">
        <v>0</v>
      </c>
      <c r="Q825" s="8" t="n">
        <v>1</v>
      </c>
      <c r="R825" s="8" t="n">
        <v>0</v>
      </c>
      <c r="S825" s="8" t="n">
        <v>0</v>
      </c>
      <c r="T825" s="13"/>
      <c r="U825" s="11" t="n">
        <f aca="false">O825*4 + P825*2 + MAX(0,N825-O825-P825)*1 + Q825*0.2 + R825*2 + S825*1 + IF(T825="",0,IF(T825&lt;=10,8,IF(T825&lt;=50,6,IF(T825&lt;=100,4,2))))</f>
        <v>0.2</v>
      </c>
      <c r="V825" s="7"/>
      <c r="W825" s="12"/>
      <c r="X825" s="13"/>
      <c r="Y825" s="13" t="s">
        <v>3571</v>
      </c>
    </row>
    <row r="826" customFormat="false" ht="15.75" hidden="false" customHeight="true" outlineLevel="0" collapsed="false">
      <c r="A826" s="7" t="s">
        <v>3572</v>
      </c>
      <c r="B826" s="8" t="n">
        <v>2025</v>
      </c>
      <c r="C826" s="8" t="s">
        <v>378</v>
      </c>
      <c r="D826" s="8" t="n">
        <v>115</v>
      </c>
      <c r="E826" s="7" t="s">
        <v>2792</v>
      </c>
      <c r="F826" s="8" t="n">
        <v>7.3</v>
      </c>
      <c r="G826" s="8"/>
      <c r="H826" s="9" t="n">
        <v>5081</v>
      </c>
      <c r="I826" s="7"/>
      <c r="J826" s="7" t="s">
        <v>131</v>
      </c>
      <c r="K826" s="7" t="s">
        <v>47</v>
      </c>
      <c r="L826" s="10" t="s">
        <v>210</v>
      </c>
      <c r="M826" s="10" t="s">
        <v>3573</v>
      </c>
      <c r="N826" s="8" t="n">
        <v>0</v>
      </c>
      <c r="O826" s="8" t="n">
        <v>0</v>
      </c>
      <c r="P826" s="8" t="n">
        <v>0</v>
      </c>
      <c r="Q826" s="8" t="n">
        <v>0</v>
      </c>
      <c r="R826" s="13" t="n">
        <v>0</v>
      </c>
      <c r="S826" s="13" t="n">
        <v>0</v>
      </c>
      <c r="T826" s="13"/>
      <c r="U826" s="11" t="n">
        <f aca="false">O826*4 + P826*2 + MAX(0,N826-O826-P826)*1 + Q826*0.2 + R826*2 + S826*1 + IF(T826="",0,IF(T826&lt;=10,8,IF(T826&lt;=50,6,IF(T826&lt;=100,4,2))))</f>
        <v>0</v>
      </c>
      <c r="V826" s="7"/>
      <c r="W826" s="12"/>
      <c r="X826" s="13"/>
      <c r="Y826" s="13" t="s">
        <v>3574</v>
      </c>
    </row>
    <row r="827" customFormat="false" ht="15.75" hidden="false" customHeight="true" outlineLevel="0" collapsed="false">
      <c r="A827" s="7" t="s">
        <v>3575</v>
      </c>
      <c r="B827" s="8" t="n">
        <v>2004</v>
      </c>
      <c r="C827" s="8" t="s">
        <v>35</v>
      </c>
      <c r="D827" s="8" t="n">
        <v>155</v>
      </c>
      <c r="E827" s="7" t="s">
        <v>1808</v>
      </c>
      <c r="F827" s="8" t="n">
        <v>7.5</v>
      </c>
      <c r="G827" s="8"/>
      <c r="H827" s="9" t="n">
        <v>13937</v>
      </c>
      <c r="I827" s="7" t="s">
        <v>3576</v>
      </c>
      <c r="J827" s="7" t="s">
        <v>90</v>
      </c>
      <c r="K827" s="7" t="s">
        <v>30</v>
      </c>
      <c r="L827" s="10"/>
      <c r="M827" s="10" t="s">
        <v>3577</v>
      </c>
      <c r="N827" s="8" t="n">
        <v>0</v>
      </c>
      <c r="O827" s="8" t="n">
        <v>0</v>
      </c>
      <c r="P827" s="8" t="n">
        <v>0</v>
      </c>
      <c r="Q827" s="8" t="n">
        <v>0</v>
      </c>
      <c r="R827" s="13" t="n">
        <v>0</v>
      </c>
      <c r="S827" s="13" t="n">
        <v>0</v>
      </c>
      <c r="T827" s="13"/>
      <c r="U827" s="11" t="n">
        <f aca="false">O827*4 + P827*2 + MAX(0,N827-O827-P827)*1 + Q827*0.2 + R827*2 + S827*1 + IF(T827="",0,IF(T827&lt;=10,8,IF(T827&lt;=50,6,IF(T827&lt;=100,4,2))))</f>
        <v>0</v>
      </c>
      <c r="V827" s="7"/>
      <c r="W827" s="12"/>
      <c r="X827" s="13"/>
      <c r="Y827" s="13" t="s">
        <v>3578</v>
      </c>
    </row>
    <row r="828" customFormat="false" ht="15.75" hidden="false" customHeight="true" outlineLevel="0" collapsed="false">
      <c r="A828" s="7" t="s">
        <v>3579</v>
      </c>
      <c r="B828" s="8" t="n">
        <v>2017</v>
      </c>
      <c r="C828" s="8" t="s">
        <v>176</v>
      </c>
      <c r="D828" s="8" t="n">
        <v>94</v>
      </c>
      <c r="E828" s="7" t="s">
        <v>3580</v>
      </c>
      <c r="F828" s="8" t="n">
        <v>7.7</v>
      </c>
      <c r="G828" s="8"/>
      <c r="H828" s="9" t="n">
        <v>31162</v>
      </c>
      <c r="I828" s="7" t="s">
        <v>3581</v>
      </c>
      <c r="J828" s="7"/>
      <c r="K828" s="12"/>
      <c r="L828" s="10"/>
      <c r="M828" s="10" t="s">
        <v>3582</v>
      </c>
      <c r="N828" s="8" t="n">
        <v>0</v>
      </c>
      <c r="O828" s="8" t="n">
        <v>0</v>
      </c>
      <c r="P828" s="8" t="n">
        <v>0</v>
      </c>
      <c r="Q828" s="8" t="n">
        <v>0</v>
      </c>
      <c r="R828" s="13" t="n">
        <v>0</v>
      </c>
      <c r="S828" s="13" t="n">
        <v>0</v>
      </c>
      <c r="T828" s="13"/>
      <c r="U828" s="11" t="n">
        <f aca="false">O828*4 + P828*2 + MAX(0,N828-O828-P828)*1 + Q828*0.2 + R828*2 + S828*1 + IF(T828="",0,IF(T828&lt;=10,8,IF(T828&lt;=50,6,IF(T828&lt;=100,4,2))))</f>
        <v>0</v>
      </c>
      <c r="V828" s="7"/>
      <c r="W828" s="12"/>
      <c r="X828" s="13"/>
      <c r="Y828" s="13" t="s">
        <v>3583</v>
      </c>
    </row>
    <row r="829" customFormat="false" ht="15.75" hidden="false" customHeight="true" outlineLevel="0" collapsed="false">
      <c r="A829" s="7" t="s">
        <v>3584</v>
      </c>
      <c r="B829" s="8" t="n">
        <v>2016</v>
      </c>
      <c r="C829" s="8" t="s">
        <v>176</v>
      </c>
      <c r="D829" s="8" t="n">
        <v>115</v>
      </c>
      <c r="E829" s="7" t="s">
        <v>3585</v>
      </c>
      <c r="F829" s="8" t="n">
        <v>7.6</v>
      </c>
      <c r="G829" s="8"/>
      <c r="H829" s="9" t="n">
        <v>25960</v>
      </c>
      <c r="I829" s="7" t="s">
        <v>1111</v>
      </c>
      <c r="J829" s="7" t="s">
        <v>29</v>
      </c>
      <c r="K829" s="7" t="s">
        <v>48</v>
      </c>
      <c r="L829" s="10" t="s">
        <v>3042</v>
      </c>
      <c r="M829" s="10" t="s">
        <v>3586</v>
      </c>
      <c r="N829" s="8" t="n">
        <v>0</v>
      </c>
      <c r="O829" s="8" t="n">
        <v>0</v>
      </c>
      <c r="P829" s="8" t="n">
        <v>0</v>
      </c>
      <c r="Q829" s="8" t="n">
        <v>0</v>
      </c>
      <c r="R829" s="13" t="n">
        <v>0</v>
      </c>
      <c r="S829" s="13" t="n">
        <v>0</v>
      </c>
      <c r="T829" s="13"/>
      <c r="U829" s="11" t="n">
        <f aca="false">O829*4 + P829*2 + MAX(0,N829-O829-P829)*1 + Q829*0.2 + R829*2 + S829*1 + IF(T829="",0,IF(T829&lt;=10,8,IF(T829&lt;=50,6,IF(T829&lt;=100,4,2))))</f>
        <v>0</v>
      </c>
      <c r="V829" s="7"/>
      <c r="W829" s="12"/>
      <c r="X829" s="13"/>
      <c r="Y829" s="13" t="s">
        <v>3587</v>
      </c>
    </row>
    <row r="830" customFormat="false" ht="15.75" hidden="false" customHeight="true" outlineLevel="0" collapsed="false">
      <c r="A830" s="7" t="s">
        <v>3588</v>
      </c>
      <c r="B830" s="8" t="n">
        <v>2011</v>
      </c>
      <c r="C830" s="8" t="s">
        <v>176</v>
      </c>
      <c r="D830" s="8" t="n">
        <v>155</v>
      </c>
      <c r="E830" s="7" t="s">
        <v>3589</v>
      </c>
      <c r="F830" s="8" t="n">
        <v>7.7</v>
      </c>
      <c r="G830" s="8"/>
      <c r="H830" s="9" t="n">
        <v>21640</v>
      </c>
      <c r="I830" s="7" t="s">
        <v>3590</v>
      </c>
      <c r="J830" s="7" t="s">
        <v>47</v>
      </c>
      <c r="K830" s="7"/>
      <c r="L830" s="10" t="s">
        <v>205</v>
      </c>
      <c r="M830" s="10" t="s">
        <v>3591</v>
      </c>
      <c r="N830" s="8" t="n">
        <v>0</v>
      </c>
      <c r="O830" s="8" t="n">
        <v>0</v>
      </c>
      <c r="P830" s="8" t="n">
        <v>0</v>
      </c>
      <c r="Q830" s="8" t="n">
        <v>0</v>
      </c>
      <c r="R830" s="13" t="n">
        <v>0</v>
      </c>
      <c r="S830" s="13" t="n">
        <v>0</v>
      </c>
      <c r="T830" s="13"/>
      <c r="U830" s="11" t="n">
        <f aca="false">O830*4 + P830*2 + MAX(0,N830-O830-P830)*1 + Q830*0.2 + R830*2 + S830*1 + IF(T830="",0,IF(T830&lt;=10,8,IF(T830&lt;=50,6,IF(T830&lt;=100,4,2))))</f>
        <v>0</v>
      </c>
      <c r="V830" s="7"/>
      <c r="W830" s="12"/>
      <c r="X830" s="13"/>
      <c r="Y830" s="13" t="s">
        <v>3592</v>
      </c>
    </row>
    <row r="831" customFormat="false" ht="15.75" hidden="false" customHeight="true" outlineLevel="0" collapsed="false">
      <c r="A831" s="7" t="s">
        <v>3593</v>
      </c>
      <c r="B831" s="8" t="n">
        <v>2012</v>
      </c>
      <c r="C831" s="8" t="s">
        <v>176</v>
      </c>
      <c r="D831" s="8" t="n">
        <v>168</v>
      </c>
      <c r="E831" s="7" t="s">
        <v>2843</v>
      </c>
      <c r="F831" s="8" t="n">
        <v>7.6</v>
      </c>
      <c r="G831" s="8"/>
      <c r="H831" s="9" t="n">
        <v>23311</v>
      </c>
      <c r="I831" s="7" t="s">
        <v>3594</v>
      </c>
      <c r="J831" s="7" t="s">
        <v>29</v>
      </c>
      <c r="K831" s="7" t="s">
        <v>1102</v>
      </c>
      <c r="L831" s="10"/>
      <c r="M831" s="10" t="s">
        <v>3595</v>
      </c>
      <c r="N831" s="8" t="n">
        <v>0</v>
      </c>
      <c r="O831" s="8" t="n">
        <v>0</v>
      </c>
      <c r="P831" s="8" t="n">
        <v>0</v>
      </c>
      <c r="Q831" s="8" t="n">
        <v>0</v>
      </c>
      <c r="R831" s="13" t="n">
        <v>0</v>
      </c>
      <c r="S831" s="13" t="n">
        <v>0</v>
      </c>
      <c r="T831" s="13"/>
      <c r="U831" s="11" t="n">
        <f aca="false">O831*4 + P831*2 + MAX(0,N831-O831-P831)*1 + Q831*0.2 + R831*2 + S831*1 + IF(T831="",0,IF(T831&lt;=10,8,IF(T831&lt;=50,6,IF(T831&lt;=100,4,2))))</f>
        <v>0</v>
      </c>
      <c r="V831" s="7"/>
      <c r="W831" s="12"/>
      <c r="X831" s="13"/>
      <c r="Y831" s="13" t="s">
        <v>3596</v>
      </c>
    </row>
    <row r="832" customFormat="false" ht="15.75" hidden="false" customHeight="true" outlineLevel="0" collapsed="false">
      <c r="A832" s="7" t="s">
        <v>3597</v>
      </c>
      <c r="B832" s="8" t="n">
        <v>2021</v>
      </c>
      <c r="C832" s="8" t="s">
        <v>378</v>
      </c>
      <c r="D832" s="8" t="n">
        <v>100</v>
      </c>
      <c r="E832" s="7" t="s">
        <v>3598</v>
      </c>
      <c r="F832" s="8" t="n">
        <v>7.4</v>
      </c>
      <c r="G832" s="8"/>
      <c r="H832" s="9" t="n">
        <v>14049</v>
      </c>
      <c r="I832" s="7" t="s">
        <v>219</v>
      </c>
      <c r="J832" s="7" t="s">
        <v>47</v>
      </c>
      <c r="K832" s="7"/>
      <c r="L832" s="10" t="s">
        <v>2965</v>
      </c>
      <c r="M832" s="10" t="s">
        <v>3599</v>
      </c>
      <c r="N832" s="8" t="n">
        <v>0</v>
      </c>
      <c r="O832" s="8" t="n">
        <v>0</v>
      </c>
      <c r="P832" s="8" t="n">
        <v>0</v>
      </c>
      <c r="Q832" s="8" t="n">
        <v>0</v>
      </c>
      <c r="R832" s="13" t="n">
        <v>0</v>
      </c>
      <c r="S832" s="13" t="n">
        <v>0</v>
      </c>
      <c r="T832" s="13"/>
      <c r="U832" s="11" t="n">
        <f aca="false">O832*4 + P832*2 + MAX(0,N832-O832-P832)*1 + Q832*0.2 + R832*2 + S832*1 + IF(T832="",0,IF(T832&lt;=10,8,IF(T832&lt;=50,6,IF(T832&lt;=100,4,2))))</f>
        <v>0</v>
      </c>
      <c r="V832" s="7"/>
      <c r="W832" s="12"/>
      <c r="X832" s="13"/>
      <c r="Y832" s="13" t="s">
        <v>3600</v>
      </c>
    </row>
    <row r="833" customFormat="false" ht="15.75" hidden="false" customHeight="true" outlineLevel="0" collapsed="false">
      <c r="A833" s="7" t="s">
        <v>3601</v>
      </c>
      <c r="B833" s="8" t="n">
        <v>2018</v>
      </c>
      <c r="C833" s="8" t="s">
        <v>176</v>
      </c>
      <c r="D833" s="8" t="n">
        <v>85</v>
      </c>
      <c r="E833" s="7" t="s">
        <v>3602</v>
      </c>
      <c r="F833" s="8" t="n">
        <v>7.3</v>
      </c>
      <c r="G833" s="8"/>
      <c r="H833" s="9" t="n">
        <v>2992</v>
      </c>
      <c r="I833" s="7" t="s">
        <v>3603</v>
      </c>
      <c r="J833" s="7" t="s">
        <v>579</v>
      </c>
      <c r="K833" s="7" t="s">
        <v>48</v>
      </c>
      <c r="L833" s="10" t="s">
        <v>380</v>
      </c>
      <c r="M833" s="10" t="s">
        <v>3604</v>
      </c>
      <c r="N833" s="8" t="n">
        <v>0</v>
      </c>
      <c r="O833" s="8" t="n">
        <v>0</v>
      </c>
      <c r="P833" s="8" t="n">
        <v>0</v>
      </c>
      <c r="Q833" s="8" t="n">
        <v>0</v>
      </c>
      <c r="R833" s="13" t="n">
        <v>0</v>
      </c>
      <c r="S833" s="13" t="n">
        <v>0</v>
      </c>
      <c r="T833" s="13"/>
      <c r="U833" s="11" t="n">
        <f aca="false">O833*4 + P833*2 + MAX(0,N833-O833-P833)*1 + Q833*0.2 + R833*2 + S833*1 + IF(T833="",0,IF(T833&lt;=10,8,IF(T833&lt;=50,6,IF(T833&lt;=100,4,2))))</f>
        <v>0</v>
      </c>
      <c r="V833" s="7"/>
      <c r="W833" s="12"/>
      <c r="X833" s="13"/>
      <c r="Y833" s="13" t="s">
        <v>3605</v>
      </c>
    </row>
    <row r="834" customFormat="false" ht="15.75" hidden="false" customHeight="true" outlineLevel="0" collapsed="false">
      <c r="A834" s="7" t="s">
        <v>3606</v>
      </c>
      <c r="B834" s="8" t="n">
        <v>2004</v>
      </c>
      <c r="C834" s="8" t="s">
        <v>35</v>
      </c>
      <c r="D834" s="8" t="n">
        <v>100</v>
      </c>
      <c r="E834" s="7" t="s">
        <v>1342</v>
      </c>
      <c r="F834" s="8" t="n">
        <v>7.4</v>
      </c>
      <c r="G834" s="8"/>
      <c r="H834" s="9" t="n">
        <v>20855</v>
      </c>
      <c r="I834" s="7" t="s">
        <v>28</v>
      </c>
      <c r="J834" s="7" t="s">
        <v>29</v>
      </c>
      <c r="K834" s="7" t="s">
        <v>54</v>
      </c>
      <c r="L834" s="10"/>
      <c r="M834" s="10" t="s">
        <v>3607</v>
      </c>
      <c r="N834" s="8" t="n">
        <v>0</v>
      </c>
      <c r="O834" s="8" t="n">
        <v>0</v>
      </c>
      <c r="P834" s="8" t="n">
        <v>0</v>
      </c>
      <c r="Q834" s="8" t="n">
        <v>0</v>
      </c>
      <c r="R834" s="13" t="n">
        <v>0</v>
      </c>
      <c r="S834" s="13" t="n">
        <v>0</v>
      </c>
      <c r="T834" s="13"/>
      <c r="U834" s="11" t="n">
        <f aca="false">O834*4 + P834*2 + MAX(0,N834-O834-P834)*1 + Q834*0.2 + R834*2 + S834*1 + IF(T834="",0,IF(T834&lt;=10,8,IF(T834&lt;=50,6,IF(T834&lt;=100,4,2))))</f>
        <v>0</v>
      </c>
      <c r="V834" s="7"/>
      <c r="W834" s="12"/>
      <c r="X834" s="13"/>
      <c r="Y834" s="13" t="s">
        <v>3608</v>
      </c>
    </row>
    <row r="835" customFormat="false" ht="15.75" hidden="false" customHeight="true" outlineLevel="0" collapsed="false">
      <c r="A835" s="7" t="s">
        <v>3609</v>
      </c>
      <c r="B835" s="8" t="n">
        <v>2002</v>
      </c>
      <c r="C835" s="8" t="s">
        <v>35</v>
      </c>
      <c r="D835" s="8" t="n">
        <v>99</v>
      </c>
      <c r="E835" s="7" t="s">
        <v>3610</v>
      </c>
      <c r="F835" s="8" t="n">
        <v>7.2</v>
      </c>
      <c r="G835" s="8"/>
      <c r="H835" s="9" t="n">
        <v>23140</v>
      </c>
      <c r="I835" s="7" t="s">
        <v>3325</v>
      </c>
      <c r="J835" s="7" t="s">
        <v>38</v>
      </c>
      <c r="K835" s="7" t="s">
        <v>453</v>
      </c>
      <c r="L835" s="10" t="s">
        <v>478</v>
      </c>
      <c r="M835" s="10" t="s">
        <v>3611</v>
      </c>
      <c r="N835" s="8" t="n">
        <v>0</v>
      </c>
      <c r="O835" s="8" t="n">
        <v>0</v>
      </c>
      <c r="P835" s="8" t="n">
        <v>0</v>
      </c>
      <c r="Q835" s="8" t="n">
        <v>0</v>
      </c>
      <c r="R835" s="13" t="n">
        <v>0</v>
      </c>
      <c r="S835" s="13" t="n">
        <v>0</v>
      </c>
      <c r="T835" s="13"/>
      <c r="U835" s="11" t="n">
        <f aca="false">O835*4 + P835*2 + MAX(0,N835-O835-P835)*1 + Q835*0.2 + R835*2 + S835*1 + IF(T835="",0,IF(T835&lt;=10,8,IF(T835&lt;=50,6,IF(T835&lt;=100,4,2))))</f>
        <v>0</v>
      </c>
      <c r="V835" s="7"/>
      <c r="W835" s="12"/>
      <c r="X835" s="13"/>
      <c r="Y835" s="13" t="s">
        <v>3612</v>
      </c>
    </row>
    <row r="836" customFormat="false" ht="15.75" hidden="false" customHeight="true" outlineLevel="0" collapsed="false">
      <c r="A836" s="7" t="s">
        <v>3613</v>
      </c>
      <c r="B836" s="8" t="n">
        <v>2000</v>
      </c>
      <c r="C836" s="8" t="s">
        <v>35</v>
      </c>
      <c r="D836" s="8" t="n">
        <v>110</v>
      </c>
      <c r="E836" s="7" t="s">
        <v>2307</v>
      </c>
      <c r="F836" s="8" t="n">
        <v>7.7</v>
      </c>
      <c r="G836" s="8"/>
      <c r="H836" s="9" t="n">
        <v>39351</v>
      </c>
      <c r="I836" s="7" t="s">
        <v>430</v>
      </c>
      <c r="J836" s="7" t="s">
        <v>131</v>
      </c>
      <c r="K836" s="7" t="s">
        <v>112</v>
      </c>
      <c r="L836" s="10" t="s">
        <v>3614</v>
      </c>
      <c r="M836" s="10" t="s">
        <v>3615</v>
      </c>
      <c r="N836" s="8" t="n">
        <v>0</v>
      </c>
      <c r="O836" s="8" t="n">
        <v>0</v>
      </c>
      <c r="P836" s="8" t="n">
        <v>0</v>
      </c>
      <c r="Q836" s="8" t="n">
        <v>0</v>
      </c>
      <c r="R836" s="13" t="n">
        <v>0</v>
      </c>
      <c r="S836" s="13" t="n">
        <v>0</v>
      </c>
      <c r="T836" s="13"/>
      <c r="U836" s="11" t="n">
        <f aca="false">O836*4 + P836*2 + MAX(0,N836-O836-P836)*1 + Q836*0.2 + R836*2 + S836*1 + IF(T836="",0,IF(T836&lt;=10,8,IF(T836&lt;=50,6,IF(T836&lt;=100,4,2))))</f>
        <v>0</v>
      </c>
      <c r="V836" s="7"/>
      <c r="W836" s="12"/>
      <c r="X836" s="13"/>
      <c r="Y836" s="13" t="s">
        <v>3616</v>
      </c>
    </row>
    <row r="837" customFormat="false" ht="15.75" hidden="false" customHeight="true" outlineLevel="0" collapsed="false">
      <c r="A837" s="7" t="s">
        <v>3617</v>
      </c>
      <c r="B837" s="8" t="n">
        <v>2006</v>
      </c>
      <c r="C837" s="8" t="s">
        <v>35</v>
      </c>
      <c r="D837" s="8" t="n">
        <v>120</v>
      </c>
      <c r="E837" s="7" t="s">
        <v>2938</v>
      </c>
      <c r="F837" s="8" t="n">
        <v>7.6</v>
      </c>
      <c r="G837" s="8"/>
      <c r="H837" s="9" t="n">
        <v>39415</v>
      </c>
      <c r="I837" s="7" t="s">
        <v>2555</v>
      </c>
      <c r="J837" s="7" t="s">
        <v>47</v>
      </c>
      <c r="K837" s="7"/>
      <c r="L837" s="10"/>
      <c r="M837" s="10" t="s">
        <v>3618</v>
      </c>
      <c r="N837" s="8" t="n">
        <v>0</v>
      </c>
      <c r="O837" s="8" t="n">
        <v>0</v>
      </c>
      <c r="P837" s="8" t="n">
        <v>0</v>
      </c>
      <c r="Q837" s="8" t="n">
        <v>1</v>
      </c>
      <c r="R837" s="8" t="n">
        <v>0</v>
      </c>
      <c r="S837" s="8" t="n">
        <v>0</v>
      </c>
      <c r="T837" s="13"/>
      <c r="U837" s="11" t="n">
        <f aca="false">O837*4 + P837*2 + MAX(0,N837-O837-P837)*1 + Q837*0.2 + R837*2 + S837*1 + IF(T837="",0,IF(T837&lt;=10,8,IF(T837&lt;=50,6,IF(T837&lt;=100,4,2))))</f>
        <v>0.2</v>
      </c>
      <c r="V837" s="7"/>
      <c r="W837" s="12"/>
      <c r="X837" s="13"/>
      <c r="Y837" s="13" t="s">
        <v>3619</v>
      </c>
    </row>
    <row r="838" customFormat="false" ht="15.75" hidden="false" customHeight="true" outlineLevel="0" collapsed="false">
      <c r="A838" s="7" t="s">
        <v>3620</v>
      </c>
      <c r="B838" s="8" t="n">
        <v>2003</v>
      </c>
      <c r="C838" s="8" t="s">
        <v>35</v>
      </c>
      <c r="D838" s="8" t="n">
        <v>94</v>
      </c>
      <c r="E838" s="7" t="s">
        <v>3585</v>
      </c>
      <c r="F838" s="8" t="n">
        <v>7.5</v>
      </c>
      <c r="G838" s="8"/>
      <c r="H838" s="9" t="n">
        <v>5283</v>
      </c>
      <c r="I838" s="7" t="s">
        <v>3621</v>
      </c>
      <c r="J838" s="7" t="s">
        <v>47</v>
      </c>
      <c r="K838" s="7" t="s">
        <v>453</v>
      </c>
      <c r="L838" s="10" t="s">
        <v>547</v>
      </c>
      <c r="M838" s="10" t="s">
        <v>3622</v>
      </c>
      <c r="N838" s="8" t="n">
        <v>0</v>
      </c>
      <c r="O838" s="8" t="n">
        <v>0</v>
      </c>
      <c r="P838" s="8" t="n">
        <v>0</v>
      </c>
      <c r="Q838" s="8" t="n">
        <v>0</v>
      </c>
      <c r="R838" s="13" t="n">
        <v>0</v>
      </c>
      <c r="S838" s="13" t="n">
        <v>0</v>
      </c>
      <c r="T838" s="13"/>
      <c r="U838" s="11" t="n">
        <f aca="false">O838*4 + P838*2 + MAX(0,N838-O838-P838)*1 + Q838*0.2 + R838*2 + S838*1 + IF(T838="",0,IF(T838&lt;=10,8,IF(T838&lt;=50,6,IF(T838&lt;=100,4,2))))</f>
        <v>0</v>
      </c>
      <c r="V838" s="7"/>
      <c r="W838" s="12"/>
      <c r="X838" s="13"/>
      <c r="Y838" s="13" t="s">
        <v>3623</v>
      </c>
    </row>
    <row r="839" customFormat="false" ht="15.75" hidden="false" customHeight="true" outlineLevel="0" collapsed="false">
      <c r="A839" s="7" t="s">
        <v>3624</v>
      </c>
      <c r="B839" s="8" t="n">
        <v>2009</v>
      </c>
      <c r="C839" s="8" t="s">
        <v>35</v>
      </c>
      <c r="D839" s="8" t="n">
        <v>108</v>
      </c>
      <c r="E839" s="7" t="s">
        <v>3625</v>
      </c>
      <c r="F839" s="8" t="n">
        <v>7.9</v>
      </c>
      <c r="G839" s="8"/>
      <c r="H839" s="9" t="n">
        <v>29343</v>
      </c>
      <c r="I839" s="7" t="s">
        <v>124</v>
      </c>
      <c r="J839" s="7" t="s">
        <v>579</v>
      </c>
      <c r="K839" s="7" t="s">
        <v>112</v>
      </c>
      <c r="L839" s="10" t="s">
        <v>1686</v>
      </c>
      <c r="M839" s="10" t="s">
        <v>3626</v>
      </c>
      <c r="N839" s="8" t="n">
        <v>0</v>
      </c>
      <c r="O839" s="8" t="n">
        <v>0</v>
      </c>
      <c r="P839" s="8" t="n">
        <v>0</v>
      </c>
      <c r="Q839" s="8" t="n">
        <v>0</v>
      </c>
      <c r="R839" s="13" t="n">
        <v>0</v>
      </c>
      <c r="S839" s="13" t="n">
        <v>0</v>
      </c>
      <c r="T839" s="13"/>
      <c r="U839" s="11" t="n">
        <f aca="false">O839*4 + P839*2 + MAX(0,N839-O839-P839)*1 + Q839*0.2 + R839*2 + S839*1 + IF(T839="",0,IF(T839&lt;=10,8,IF(T839&lt;=50,6,IF(T839&lt;=100,4,2))))</f>
        <v>0</v>
      </c>
      <c r="V839" s="7"/>
      <c r="W839" s="12"/>
      <c r="X839" s="13"/>
      <c r="Y839" s="13" t="s">
        <v>3627</v>
      </c>
    </row>
    <row r="840" customFormat="false" ht="15.75" hidden="false" customHeight="true" outlineLevel="0" collapsed="false">
      <c r="A840" s="7" t="s">
        <v>3628</v>
      </c>
      <c r="B840" s="8" t="n">
        <v>2024</v>
      </c>
      <c r="C840" s="8" t="s">
        <v>378</v>
      </c>
      <c r="D840" s="8" t="n">
        <v>105</v>
      </c>
      <c r="E840" s="7" t="s">
        <v>3629</v>
      </c>
      <c r="F840" s="8" t="n">
        <v>7.6</v>
      </c>
      <c r="G840" s="8"/>
      <c r="H840" s="9" t="n">
        <v>25715</v>
      </c>
      <c r="I840" s="7" t="s">
        <v>3088</v>
      </c>
      <c r="J840" s="7" t="s">
        <v>90</v>
      </c>
      <c r="K840" s="7" t="s">
        <v>30</v>
      </c>
      <c r="L840" s="10" t="s">
        <v>205</v>
      </c>
      <c r="M840" s="10" t="s">
        <v>3630</v>
      </c>
      <c r="N840" s="8" t="n">
        <v>0</v>
      </c>
      <c r="O840" s="8" t="n">
        <v>0</v>
      </c>
      <c r="P840" s="8" t="n">
        <v>0</v>
      </c>
      <c r="Q840" s="8" t="n">
        <v>0</v>
      </c>
      <c r="R840" s="13" t="n">
        <v>0</v>
      </c>
      <c r="S840" s="13" t="n">
        <v>0</v>
      </c>
      <c r="T840" s="13"/>
      <c r="U840" s="11" t="n">
        <f aca="false">O840*4 + P840*2 + MAX(0,N840-O840-P840)*1 + Q840*0.2 + R840*2 + S840*1 + IF(T840="",0,IF(T840&lt;=10,8,IF(T840&lt;=50,6,IF(T840&lt;=100,4,2))))</f>
        <v>0</v>
      </c>
      <c r="V840" s="7"/>
      <c r="W840" s="12"/>
      <c r="X840" s="13"/>
      <c r="Y840" s="13" t="s">
        <v>3631</v>
      </c>
    </row>
    <row r="841" customFormat="false" ht="15.75" hidden="false" customHeight="true" outlineLevel="0" collapsed="false">
      <c r="A841" s="7" t="s">
        <v>3632</v>
      </c>
      <c r="B841" s="8" t="n">
        <v>2011</v>
      </c>
      <c r="C841" s="8" t="s">
        <v>176</v>
      </c>
      <c r="D841" s="8" t="n">
        <v>135</v>
      </c>
      <c r="E841" s="7" t="s">
        <v>3061</v>
      </c>
      <c r="F841" s="8" t="n">
        <v>7.2</v>
      </c>
      <c r="G841" s="8"/>
      <c r="H841" s="9" t="n">
        <v>4369</v>
      </c>
      <c r="I841" s="7" t="s">
        <v>3633</v>
      </c>
      <c r="J841" s="7" t="s">
        <v>30</v>
      </c>
      <c r="K841" s="7" t="s">
        <v>47</v>
      </c>
      <c r="L841" s="10" t="s">
        <v>113</v>
      </c>
      <c r="M841" s="10" t="s">
        <v>3634</v>
      </c>
      <c r="N841" s="8" t="n">
        <v>0</v>
      </c>
      <c r="O841" s="8" t="n">
        <v>0</v>
      </c>
      <c r="P841" s="8" t="n">
        <v>0</v>
      </c>
      <c r="Q841" s="8" t="n">
        <v>0</v>
      </c>
      <c r="R841" s="13" t="n">
        <v>0</v>
      </c>
      <c r="S841" s="13" t="n">
        <v>0</v>
      </c>
      <c r="T841" s="13"/>
      <c r="U841" s="11" t="n">
        <f aca="false">O841*4 + P841*2 + MAX(0,N841-O841-P841)*1 + Q841*0.2 + R841*2 + S841*1 + IF(T841="",0,IF(T841&lt;=10,8,IF(T841&lt;=50,6,IF(T841&lt;=100,4,2))))</f>
        <v>0</v>
      </c>
      <c r="V841" s="7"/>
      <c r="W841" s="12"/>
      <c r="X841" s="13"/>
      <c r="Y841" s="13" t="s">
        <v>3635</v>
      </c>
    </row>
    <row r="842" customFormat="false" ht="15.75" hidden="false" customHeight="true" outlineLevel="0" collapsed="false">
      <c r="A842" s="7" t="s">
        <v>3636</v>
      </c>
      <c r="B842" s="8" t="n">
        <v>2013</v>
      </c>
      <c r="C842" s="8" t="s">
        <v>176</v>
      </c>
      <c r="D842" s="8" t="n">
        <v>115</v>
      </c>
      <c r="E842" s="7" t="s">
        <v>3637</v>
      </c>
      <c r="F842" s="8" t="n">
        <v>7.6</v>
      </c>
      <c r="G842" s="8"/>
      <c r="H842" s="9" t="n">
        <v>9648</v>
      </c>
      <c r="I842" s="7" t="s">
        <v>280</v>
      </c>
      <c r="J842" s="7" t="s">
        <v>47</v>
      </c>
      <c r="K842" s="7" t="s">
        <v>54</v>
      </c>
      <c r="L842" s="10"/>
      <c r="M842" s="10" t="s">
        <v>3638</v>
      </c>
      <c r="N842" s="8" t="n">
        <v>0</v>
      </c>
      <c r="O842" s="8" t="n">
        <v>0</v>
      </c>
      <c r="P842" s="8" t="n">
        <v>0</v>
      </c>
      <c r="Q842" s="8" t="n">
        <v>0</v>
      </c>
      <c r="R842" s="13" t="n">
        <v>0</v>
      </c>
      <c r="S842" s="13" t="n">
        <v>0</v>
      </c>
      <c r="T842" s="13"/>
      <c r="U842" s="11" t="n">
        <f aca="false">O842*4 + P842*2 + MAX(0,N842-O842-P842)*1 + Q842*0.2 + R842*2 + S842*1 + IF(T842="",0,IF(T842&lt;=10,8,IF(T842&lt;=50,6,IF(T842&lt;=100,4,2))))</f>
        <v>0</v>
      </c>
      <c r="V842" s="7"/>
      <c r="W842" s="12"/>
      <c r="X842" s="13"/>
      <c r="Y842" s="13" t="s">
        <v>3639</v>
      </c>
    </row>
    <row r="843" customFormat="false" ht="15.75" hidden="false" customHeight="true" outlineLevel="0" collapsed="false">
      <c r="A843" s="7" t="s">
        <v>3640</v>
      </c>
      <c r="B843" s="8" t="n">
        <v>2006</v>
      </c>
      <c r="C843" s="8" t="s">
        <v>35</v>
      </c>
      <c r="D843" s="8" t="n">
        <v>97</v>
      </c>
      <c r="E843" s="7" t="s">
        <v>2626</v>
      </c>
      <c r="F843" s="8" t="n">
        <v>7.1</v>
      </c>
      <c r="G843" s="8"/>
      <c r="H843" s="9" t="n">
        <v>13367</v>
      </c>
      <c r="I843" s="7" t="s">
        <v>3641</v>
      </c>
      <c r="J843" s="7" t="s">
        <v>29</v>
      </c>
      <c r="K843" s="7" t="s">
        <v>125</v>
      </c>
      <c r="L843" s="10" t="s">
        <v>1280</v>
      </c>
      <c r="M843" s="10" t="s">
        <v>3642</v>
      </c>
      <c r="N843" s="8" t="n">
        <v>0</v>
      </c>
      <c r="O843" s="8" t="n">
        <v>0</v>
      </c>
      <c r="P843" s="8" t="n">
        <v>0</v>
      </c>
      <c r="Q843" s="8" t="n">
        <v>0</v>
      </c>
      <c r="R843" s="13" t="n">
        <v>0</v>
      </c>
      <c r="S843" s="13" t="n">
        <v>0</v>
      </c>
      <c r="T843" s="13"/>
      <c r="U843" s="11" t="n">
        <f aca="false">O843*4 + P843*2 + MAX(0,N843-O843-P843)*1 + Q843*0.2 + R843*2 + S843*1 + IF(T843="",0,IF(T843&lt;=10,8,IF(T843&lt;=50,6,IF(T843&lt;=100,4,2))))</f>
        <v>0</v>
      </c>
      <c r="V843" s="7"/>
      <c r="W843" s="12"/>
      <c r="X843" s="13"/>
      <c r="Y843" s="13" t="s">
        <v>3643</v>
      </c>
    </row>
    <row r="844" customFormat="false" ht="15.75" hidden="false" customHeight="true" outlineLevel="0" collapsed="false">
      <c r="A844" s="7" t="s">
        <v>3644</v>
      </c>
      <c r="B844" s="8" t="n">
        <v>2008</v>
      </c>
      <c r="C844" s="8" t="s">
        <v>35</v>
      </c>
      <c r="D844" s="8" t="n">
        <v>115</v>
      </c>
      <c r="E844" s="7" t="s">
        <v>2964</v>
      </c>
      <c r="F844" s="8" t="n">
        <v>7.9</v>
      </c>
      <c r="G844" s="8"/>
      <c r="H844" s="9" t="n">
        <v>21283</v>
      </c>
      <c r="I844" s="7" t="s">
        <v>124</v>
      </c>
      <c r="J844" s="7" t="s">
        <v>47</v>
      </c>
      <c r="K844" s="7"/>
      <c r="L844" s="10" t="s">
        <v>252</v>
      </c>
      <c r="M844" s="10" t="s">
        <v>3645</v>
      </c>
      <c r="N844" s="8" t="n">
        <v>0</v>
      </c>
      <c r="O844" s="8" t="n">
        <v>0</v>
      </c>
      <c r="P844" s="8" t="n">
        <v>0</v>
      </c>
      <c r="Q844" s="8" t="n">
        <v>0</v>
      </c>
      <c r="R844" s="13" t="n">
        <v>0</v>
      </c>
      <c r="S844" s="13" t="n">
        <v>0</v>
      </c>
      <c r="T844" s="13"/>
      <c r="U844" s="11" t="n">
        <f aca="false">O844*4 + P844*2 + MAX(0,N844-O844-P844)*1 + Q844*0.2 + R844*2 + S844*1 + IF(T844="",0,IF(T844&lt;=10,8,IF(T844&lt;=50,6,IF(T844&lt;=100,4,2))))</f>
        <v>0</v>
      </c>
      <c r="V844" s="7"/>
      <c r="W844" s="12"/>
      <c r="X844" s="13"/>
      <c r="Y844" s="13" t="s">
        <v>3646</v>
      </c>
    </row>
    <row r="845" customFormat="false" ht="15.75" hidden="false" customHeight="true" outlineLevel="0" collapsed="false">
      <c r="A845" s="7" t="s">
        <v>3647</v>
      </c>
      <c r="B845" s="8" t="n">
        <v>2010</v>
      </c>
      <c r="C845" s="8" t="s">
        <v>176</v>
      </c>
      <c r="D845" s="8" t="n">
        <v>105</v>
      </c>
      <c r="E845" s="7" t="s">
        <v>1160</v>
      </c>
      <c r="F845" s="8" t="n">
        <v>7.5</v>
      </c>
      <c r="G845" s="8"/>
      <c r="H845" s="9" t="n">
        <v>12571</v>
      </c>
      <c r="I845" s="7" t="s">
        <v>437</v>
      </c>
      <c r="J845" s="7" t="s">
        <v>47</v>
      </c>
      <c r="K845" s="7"/>
      <c r="L845" s="10" t="s">
        <v>374</v>
      </c>
      <c r="M845" s="10" t="s">
        <v>3648</v>
      </c>
      <c r="N845" s="8" t="n">
        <v>0</v>
      </c>
      <c r="O845" s="8" t="n">
        <v>0</v>
      </c>
      <c r="P845" s="8" t="n">
        <v>0</v>
      </c>
      <c r="Q845" s="8" t="n">
        <v>0</v>
      </c>
      <c r="R845" s="13" t="n">
        <v>0</v>
      </c>
      <c r="S845" s="13" t="n">
        <v>0</v>
      </c>
      <c r="T845" s="13"/>
      <c r="U845" s="11" t="n">
        <f aca="false">O845*4 + P845*2 + MAX(0,N845-O845-P845)*1 + Q845*0.2 + R845*2 + S845*1 + IF(T845="",0,IF(T845&lt;=10,8,IF(T845&lt;=50,6,IF(T845&lt;=100,4,2))))</f>
        <v>0</v>
      </c>
      <c r="V845" s="7"/>
      <c r="W845" s="12"/>
      <c r="X845" s="13"/>
      <c r="Y845" s="13" t="s">
        <v>3649</v>
      </c>
    </row>
    <row r="846" customFormat="false" ht="15.75" hidden="false" customHeight="true" outlineLevel="0" collapsed="false">
      <c r="A846" s="7" t="s">
        <v>3650</v>
      </c>
      <c r="B846" s="8" t="n">
        <v>2008</v>
      </c>
      <c r="C846" s="8" t="s">
        <v>35</v>
      </c>
      <c r="D846" s="8" t="n">
        <v>85</v>
      </c>
      <c r="E846" s="7" t="s">
        <v>3564</v>
      </c>
      <c r="F846" s="8" t="n">
        <v>7.1</v>
      </c>
      <c r="G846" s="8"/>
      <c r="H846" s="9" t="n">
        <v>3882</v>
      </c>
      <c r="I846" s="7" t="s">
        <v>219</v>
      </c>
      <c r="J846" s="7" t="s">
        <v>29</v>
      </c>
      <c r="K846" s="7" t="s">
        <v>47</v>
      </c>
      <c r="L846" s="10"/>
      <c r="M846" s="10" t="s">
        <v>3651</v>
      </c>
      <c r="N846" s="8" t="n">
        <v>0</v>
      </c>
      <c r="O846" s="8" t="n">
        <v>0</v>
      </c>
      <c r="P846" s="8" t="n">
        <v>0</v>
      </c>
      <c r="Q846" s="8" t="n">
        <v>0</v>
      </c>
      <c r="R846" s="13" t="n">
        <v>0</v>
      </c>
      <c r="S846" s="13" t="n">
        <v>0</v>
      </c>
      <c r="T846" s="13"/>
      <c r="U846" s="11" t="n">
        <f aca="false">O846*4 + P846*2 + MAX(0,N846-O846-P846)*1 + Q846*0.2 + R846*2 + S846*1 + IF(T846="",0,IF(T846&lt;=10,8,IF(T846&lt;=50,6,IF(T846&lt;=100,4,2))))</f>
        <v>0</v>
      </c>
      <c r="V846" s="7"/>
      <c r="W846" s="12"/>
      <c r="X846" s="13"/>
      <c r="Y846" s="13" t="s">
        <v>3652</v>
      </c>
    </row>
    <row r="847" customFormat="false" ht="15.75" hidden="false" customHeight="true" outlineLevel="0" collapsed="false">
      <c r="A847" s="7" t="s">
        <v>3653</v>
      </c>
      <c r="B847" s="8" t="n">
        <v>2014</v>
      </c>
      <c r="C847" s="8" t="s">
        <v>176</v>
      </c>
      <c r="D847" s="8" t="n">
        <v>196</v>
      </c>
      <c r="E847" s="7" t="s">
        <v>3654</v>
      </c>
      <c r="F847" s="8" t="n">
        <v>8</v>
      </c>
      <c r="G847" s="8"/>
      <c r="H847" s="9" t="n">
        <v>59337</v>
      </c>
      <c r="I847" s="7" t="s">
        <v>3655</v>
      </c>
      <c r="J847" s="7"/>
      <c r="K847" s="12"/>
      <c r="L847" s="10" t="s">
        <v>205</v>
      </c>
      <c r="M847" s="10" t="s">
        <v>3656</v>
      </c>
      <c r="N847" s="8" t="n">
        <v>0</v>
      </c>
      <c r="O847" s="8" t="n">
        <v>0</v>
      </c>
      <c r="P847" s="8" t="n">
        <v>0</v>
      </c>
      <c r="Q847" s="8" t="n">
        <v>0</v>
      </c>
      <c r="R847" s="13" t="n">
        <v>0</v>
      </c>
      <c r="S847" s="13" t="n">
        <v>0</v>
      </c>
      <c r="T847" s="13"/>
      <c r="U847" s="11" t="n">
        <f aca="false">O847*4 + P847*2 + MAX(0,N847-O847-P847)*1 + Q847*0.2 + R847*2 + S847*1 + IF(T847="",0,IF(T847&lt;=10,8,IF(T847&lt;=50,6,IF(T847&lt;=100,4,2))))</f>
        <v>0</v>
      </c>
      <c r="V847" s="7"/>
      <c r="W847" s="12"/>
      <c r="X847" s="13"/>
      <c r="Y847" s="13" t="s">
        <v>3657</v>
      </c>
    </row>
    <row r="848" customFormat="false" ht="15.75" hidden="false" customHeight="true" outlineLevel="0" collapsed="false">
      <c r="A848" s="7" t="s">
        <v>3658</v>
      </c>
      <c r="B848" s="8" t="n">
        <v>2004</v>
      </c>
      <c r="C848" s="8" t="s">
        <v>35</v>
      </c>
      <c r="D848" s="8" t="n">
        <v>97</v>
      </c>
      <c r="E848" s="7" t="s">
        <v>3250</v>
      </c>
      <c r="F848" s="8" t="n">
        <v>7.1</v>
      </c>
      <c r="G848" s="8"/>
      <c r="H848" s="9" t="n">
        <v>4569</v>
      </c>
      <c r="I848" s="7" t="s">
        <v>2336</v>
      </c>
      <c r="J848" s="7" t="s">
        <v>47</v>
      </c>
      <c r="K848" s="7"/>
      <c r="L848" s="10" t="s">
        <v>205</v>
      </c>
      <c r="M848" s="10" t="s">
        <v>3659</v>
      </c>
      <c r="N848" s="8" t="n">
        <v>0</v>
      </c>
      <c r="O848" s="8" t="n">
        <v>0</v>
      </c>
      <c r="P848" s="8" t="n">
        <v>0</v>
      </c>
      <c r="Q848" s="8" t="n">
        <v>0</v>
      </c>
      <c r="R848" s="13" t="n">
        <v>0</v>
      </c>
      <c r="S848" s="13" t="n">
        <v>0</v>
      </c>
      <c r="T848" s="13"/>
      <c r="U848" s="11" t="n">
        <f aca="false">O848*4 + P848*2 + MAX(0,N848-O848-P848)*1 + Q848*0.2 + R848*2 + S848*1 + IF(T848="",0,IF(T848&lt;=10,8,IF(T848&lt;=50,6,IF(T848&lt;=100,4,2))))</f>
        <v>0</v>
      </c>
      <c r="V848" s="7"/>
      <c r="W848" s="12"/>
      <c r="X848" s="13"/>
      <c r="Y848" s="13" t="s">
        <v>3660</v>
      </c>
    </row>
    <row r="849" customFormat="false" ht="15.75" hidden="false" customHeight="true" outlineLevel="0" collapsed="false">
      <c r="A849" s="7" t="s">
        <v>3661</v>
      </c>
      <c r="B849" s="8" t="n">
        <v>2019</v>
      </c>
      <c r="C849" s="8" t="s">
        <v>176</v>
      </c>
      <c r="D849" s="8" t="n">
        <v>114</v>
      </c>
      <c r="E849" s="7" t="s">
        <v>2138</v>
      </c>
      <c r="F849" s="8" t="n">
        <v>7.4</v>
      </c>
      <c r="G849" s="8"/>
      <c r="H849" s="9" t="n">
        <v>12511</v>
      </c>
      <c r="I849" s="7" t="s">
        <v>219</v>
      </c>
      <c r="J849" s="7" t="s">
        <v>30</v>
      </c>
      <c r="K849" s="7" t="s">
        <v>47</v>
      </c>
      <c r="L849" s="10" t="s">
        <v>1048</v>
      </c>
      <c r="M849" s="10" t="s">
        <v>3662</v>
      </c>
      <c r="N849" s="8" t="n">
        <v>0</v>
      </c>
      <c r="O849" s="8" t="n">
        <v>0</v>
      </c>
      <c r="P849" s="8" t="n">
        <v>0</v>
      </c>
      <c r="Q849" s="8" t="n">
        <v>0</v>
      </c>
      <c r="R849" s="13" t="n">
        <v>0</v>
      </c>
      <c r="S849" s="13" t="n">
        <v>0</v>
      </c>
      <c r="T849" s="13"/>
      <c r="U849" s="11" t="n">
        <f aca="false">O849*4 + P849*2 + MAX(0,N849-O849-P849)*1 + Q849*0.2 + R849*2 + S849*1 + IF(T849="",0,IF(T849&lt;=10,8,IF(T849&lt;=50,6,IF(T849&lt;=100,4,2))))</f>
        <v>0</v>
      </c>
      <c r="V849" s="7"/>
      <c r="W849" s="12"/>
      <c r="X849" s="13"/>
      <c r="Y849" s="13" t="s">
        <v>3663</v>
      </c>
    </row>
    <row r="850" customFormat="false" ht="15.75" hidden="false" customHeight="true" outlineLevel="0" collapsed="false">
      <c r="A850" s="7" t="s">
        <v>3664</v>
      </c>
      <c r="B850" s="8" t="n">
        <v>2011</v>
      </c>
      <c r="C850" s="8" t="s">
        <v>176</v>
      </c>
      <c r="D850" s="8" t="n">
        <v>95</v>
      </c>
      <c r="E850" s="7" t="s">
        <v>2800</v>
      </c>
      <c r="F850" s="8" t="n">
        <v>7.6</v>
      </c>
      <c r="G850" s="8"/>
      <c r="H850" s="9" t="n">
        <v>34553</v>
      </c>
      <c r="I850" s="7" t="s">
        <v>3665</v>
      </c>
      <c r="J850" s="7" t="s">
        <v>47</v>
      </c>
      <c r="K850" s="7"/>
      <c r="L850" s="10"/>
      <c r="M850" s="10" t="s">
        <v>3666</v>
      </c>
      <c r="N850" s="8" t="n">
        <v>0</v>
      </c>
      <c r="O850" s="8" t="n">
        <v>0</v>
      </c>
      <c r="P850" s="8" t="n">
        <v>0</v>
      </c>
      <c r="Q850" s="8" t="n">
        <v>0</v>
      </c>
      <c r="R850" s="13" t="n">
        <v>0</v>
      </c>
      <c r="S850" s="13" t="n">
        <v>0</v>
      </c>
      <c r="T850" s="13"/>
      <c r="U850" s="11" t="n">
        <f aca="false">O850*4 + P850*2 + MAX(0,N850-O850-P850)*1 + Q850*0.2 + R850*2 + S850*1 + IF(T850="",0,IF(T850&lt;=10,8,IF(T850&lt;=50,6,IF(T850&lt;=100,4,2))))</f>
        <v>0</v>
      </c>
      <c r="V850" s="7"/>
      <c r="W850" s="12"/>
      <c r="X850" s="13"/>
      <c r="Y850" s="13" t="s">
        <v>3667</v>
      </c>
    </row>
    <row r="851" customFormat="false" ht="15.75" hidden="false" customHeight="true" outlineLevel="0" collapsed="false">
      <c r="A851" s="7" t="s">
        <v>3668</v>
      </c>
      <c r="B851" s="8" t="n">
        <v>2001</v>
      </c>
      <c r="C851" s="8" t="s">
        <v>35</v>
      </c>
      <c r="D851" s="8" t="n">
        <v>89</v>
      </c>
      <c r="E851" s="7" t="s">
        <v>3669</v>
      </c>
      <c r="F851" s="8" t="n">
        <v>7.4</v>
      </c>
      <c r="G851" s="8"/>
      <c r="H851" s="9" t="n">
        <v>16758</v>
      </c>
      <c r="I851" s="7" t="s">
        <v>3665</v>
      </c>
      <c r="J851" s="7" t="s">
        <v>30</v>
      </c>
      <c r="K851" s="7" t="s">
        <v>47</v>
      </c>
      <c r="L851" s="10" t="s">
        <v>238</v>
      </c>
      <c r="M851" s="10" t="s">
        <v>3670</v>
      </c>
      <c r="N851" s="8" t="n">
        <v>0</v>
      </c>
      <c r="O851" s="8" t="n">
        <v>0</v>
      </c>
      <c r="P851" s="8" t="n">
        <v>0</v>
      </c>
      <c r="Q851" s="8" t="n">
        <v>1</v>
      </c>
      <c r="R851" s="8" t="n">
        <v>0</v>
      </c>
      <c r="S851" s="8" t="n">
        <v>0</v>
      </c>
      <c r="T851" s="13"/>
      <c r="U851" s="11" t="n">
        <f aca="false">O851*4 + P851*2 + MAX(0,N851-O851-P851)*1 + Q851*0.2 + R851*2 + S851*1 + IF(T851="",0,IF(T851&lt;=10,8,IF(T851&lt;=50,6,IF(T851&lt;=100,4,2))))</f>
        <v>0.2</v>
      </c>
      <c r="V851" s="7"/>
      <c r="W851" s="12"/>
      <c r="X851" s="13"/>
      <c r="Y851" s="13" t="s">
        <v>3671</v>
      </c>
    </row>
    <row r="852" customFormat="false" ht="15.75" hidden="false" customHeight="true" outlineLevel="0" collapsed="false">
      <c r="A852" s="7" t="s">
        <v>3672</v>
      </c>
      <c r="B852" s="8" t="n">
        <v>2025</v>
      </c>
      <c r="C852" s="8" t="s">
        <v>378</v>
      </c>
      <c r="D852" s="8" t="n">
        <v>111</v>
      </c>
      <c r="E852" s="7" t="s">
        <v>3673</v>
      </c>
      <c r="F852" s="8" t="n">
        <v>6.8</v>
      </c>
      <c r="G852" s="8"/>
      <c r="H852" s="9" t="n">
        <v>3321</v>
      </c>
      <c r="I852" s="7"/>
      <c r="J852" s="7" t="s">
        <v>29</v>
      </c>
      <c r="K852" s="7" t="s">
        <v>48</v>
      </c>
      <c r="L852" s="10" t="s">
        <v>210</v>
      </c>
      <c r="M852" s="10" t="s">
        <v>3674</v>
      </c>
      <c r="N852" s="8" t="n">
        <v>0</v>
      </c>
      <c r="O852" s="8" t="n">
        <v>0</v>
      </c>
      <c r="P852" s="8" t="n">
        <v>0</v>
      </c>
      <c r="Q852" s="8" t="n">
        <v>0</v>
      </c>
      <c r="R852" s="13" t="n">
        <v>0</v>
      </c>
      <c r="S852" s="13" t="n">
        <v>0</v>
      </c>
      <c r="T852" s="13"/>
      <c r="U852" s="11" t="n">
        <f aca="false">O852*4 + P852*2 + MAX(0,N852-O852-P852)*1 + Q852*0.2 + R852*2 + S852*1 + IF(T852="",0,IF(T852&lt;=10,8,IF(T852&lt;=50,6,IF(T852&lt;=100,4,2))))</f>
        <v>0</v>
      </c>
      <c r="V852" s="7"/>
      <c r="W852" s="12"/>
      <c r="X852" s="13"/>
      <c r="Y852" s="13" t="s">
        <v>3675</v>
      </c>
    </row>
    <row r="853" customFormat="false" ht="15.75" hidden="false" customHeight="true" outlineLevel="0" collapsed="false">
      <c r="A853" s="7" t="s">
        <v>3676</v>
      </c>
      <c r="B853" s="8" t="n">
        <v>2024</v>
      </c>
      <c r="C853" s="8" t="s">
        <v>378</v>
      </c>
      <c r="D853" s="8" t="n">
        <v>94</v>
      </c>
      <c r="E853" s="7" t="s">
        <v>1230</v>
      </c>
      <c r="F853" s="8" t="n">
        <v>7.8</v>
      </c>
      <c r="G853" s="8"/>
      <c r="H853" s="9" t="n">
        <v>26383</v>
      </c>
      <c r="I853" s="7" t="s">
        <v>1231</v>
      </c>
      <c r="J853" s="7" t="s">
        <v>579</v>
      </c>
      <c r="K853" s="7" t="s">
        <v>47</v>
      </c>
      <c r="L853" s="10" t="s">
        <v>113</v>
      </c>
      <c r="M853" s="10" t="s">
        <v>3677</v>
      </c>
      <c r="N853" s="8" t="n">
        <v>0</v>
      </c>
      <c r="O853" s="8" t="n">
        <v>0</v>
      </c>
      <c r="P853" s="8" t="n">
        <v>0</v>
      </c>
      <c r="Q853" s="8" t="n">
        <v>1</v>
      </c>
      <c r="R853" s="8" t="n">
        <v>0</v>
      </c>
      <c r="S853" s="8" t="n">
        <v>0</v>
      </c>
      <c r="T853" s="13"/>
      <c r="U853" s="11" t="n">
        <f aca="false">O853*4 + P853*2 + MAX(0,N853-O853-P853)*1 + Q853*0.2 + R853*2 + S853*1 + IF(T853="",0,IF(T853&lt;=10,8,IF(T853&lt;=50,6,IF(T853&lt;=100,4,2))))</f>
        <v>0.2</v>
      </c>
      <c r="V853" s="7"/>
      <c r="W853" s="12"/>
      <c r="X853" s="13"/>
      <c r="Y853" s="13" t="s">
        <v>3678</v>
      </c>
    </row>
    <row r="854" customFormat="false" ht="15.75" hidden="false" customHeight="true" outlineLevel="0" collapsed="false">
      <c r="A854" s="7" t="s">
        <v>3679</v>
      </c>
      <c r="B854" s="8" t="n">
        <v>2011</v>
      </c>
      <c r="C854" s="8" t="s">
        <v>176</v>
      </c>
      <c r="D854" s="8" t="n">
        <v>97</v>
      </c>
      <c r="E854" s="7" t="s">
        <v>3680</v>
      </c>
      <c r="F854" s="8" t="n">
        <v>7.6</v>
      </c>
      <c r="G854" s="8"/>
      <c r="H854" s="9" t="n">
        <v>34824</v>
      </c>
      <c r="I854" s="7" t="s">
        <v>280</v>
      </c>
      <c r="J854" s="7" t="s">
        <v>29</v>
      </c>
      <c r="K854" s="7" t="s">
        <v>1102</v>
      </c>
      <c r="L854" s="10" t="s">
        <v>3681</v>
      </c>
      <c r="M854" s="10" t="s">
        <v>3682</v>
      </c>
      <c r="N854" s="8" t="n">
        <v>0</v>
      </c>
      <c r="O854" s="8" t="n">
        <v>0</v>
      </c>
      <c r="P854" s="8" t="n">
        <v>0</v>
      </c>
      <c r="Q854" s="8" t="n">
        <v>0</v>
      </c>
      <c r="R854" s="13" t="n">
        <v>0</v>
      </c>
      <c r="S854" s="13" t="n">
        <v>0</v>
      </c>
      <c r="T854" s="13"/>
      <c r="U854" s="11" t="n">
        <f aca="false">O854*4 + P854*2 + MAX(0,N854-O854-P854)*1 + Q854*0.2 + R854*2 + S854*1 + IF(T854="",0,IF(T854&lt;=10,8,IF(T854&lt;=50,6,IF(T854&lt;=100,4,2))))</f>
        <v>0</v>
      </c>
      <c r="V854" s="7"/>
      <c r="W854" s="12"/>
      <c r="X854" s="13"/>
      <c r="Y854" s="13" t="s">
        <v>3683</v>
      </c>
    </row>
    <row r="855" customFormat="false" ht="15.75" hidden="false" customHeight="true" outlineLevel="0" collapsed="false">
      <c r="A855" s="7" t="s">
        <v>3684</v>
      </c>
      <c r="B855" s="8" t="n">
        <v>2023</v>
      </c>
      <c r="C855" s="8" t="s">
        <v>378</v>
      </c>
      <c r="D855" s="8" t="n">
        <v>121</v>
      </c>
      <c r="E855" s="7" t="s">
        <v>3685</v>
      </c>
      <c r="F855" s="8" t="n">
        <v>7.6</v>
      </c>
      <c r="G855" s="8"/>
      <c r="H855" s="9" t="n">
        <v>18207</v>
      </c>
      <c r="I855" s="7" t="s">
        <v>3686</v>
      </c>
      <c r="J855" s="7" t="s">
        <v>39</v>
      </c>
      <c r="K855" s="7" t="s">
        <v>47</v>
      </c>
      <c r="L855" s="10" t="s">
        <v>69</v>
      </c>
      <c r="M855" s="10" t="s">
        <v>3687</v>
      </c>
      <c r="N855" s="8" t="n">
        <v>0</v>
      </c>
      <c r="O855" s="8" t="n">
        <v>0</v>
      </c>
      <c r="P855" s="8" t="n">
        <v>0</v>
      </c>
      <c r="Q855" s="8" t="n">
        <v>1</v>
      </c>
      <c r="R855" s="8" t="n">
        <v>0</v>
      </c>
      <c r="S855" s="8" t="n">
        <v>0</v>
      </c>
      <c r="T855" s="13"/>
      <c r="U855" s="11" t="n">
        <f aca="false">O855*4 + P855*2 + MAX(0,N855-O855-P855)*1 + Q855*0.2 + R855*2 + S855*1 + IF(T855="",0,IF(T855&lt;=10,8,IF(T855&lt;=50,6,IF(T855&lt;=100,4,2))))</f>
        <v>0.2</v>
      </c>
      <c r="V855" s="7"/>
      <c r="W855" s="12"/>
      <c r="X855" s="13"/>
      <c r="Y855" s="13" t="s">
        <v>3688</v>
      </c>
    </row>
    <row r="856" customFormat="false" ht="15.75" hidden="false" customHeight="true" outlineLevel="0" collapsed="false">
      <c r="A856" s="7" t="s">
        <v>3689</v>
      </c>
      <c r="B856" s="8" t="n">
        <v>2021</v>
      </c>
      <c r="C856" s="8" t="s">
        <v>378</v>
      </c>
      <c r="D856" s="8" t="n">
        <v>127</v>
      </c>
      <c r="E856" s="7" t="s">
        <v>2813</v>
      </c>
      <c r="F856" s="8" t="n">
        <v>7.5</v>
      </c>
      <c r="G856" s="8"/>
      <c r="H856" s="9" t="n">
        <v>33480</v>
      </c>
      <c r="I856" s="7" t="s">
        <v>3230</v>
      </c>
      <c r="J856" s="7" t="s">
        <v>47</v>
      </c>
      <c r="K856" s="7"/>
      <c r="L856" s="10" t="s">
        <v>2420</v>
      </c>
      <c r="M856" s="10" t="s">
        <v>3690</v>
      </c>
      <c r="N856" s="8" t="n">
        <v>0</v>
      </c>
      <c r="O856" s="8" t="n">
        <v>0</v>
      </c>
      <c r="P856" s="8" t="n">
        <v>0</v>
      </c>
      <c r="Q856" s="8" t="n">
        <v>0</v>
      </c>
      <c r="R856" s="13" t="n">
        <v>0</v>
      </c>
      <c r="S856" s="13" t="n">
        <v>0</v>
      </c>
      <c r="T856" s="13"/>
      <c r="U856" s="11" t="n">
        <f aca="false">O856*4 + P856*2 + MAX(0,N856-O856-P856)*1 + Q856*0.2 + R856*2 + S856*1 + IF(T856="",0,IF(T856&lt;=10,8,IF(T856&lt;=50,6,IF(T856&lt;=100,4,2))))</f>
        <v>0</v>
      </c>
      <c r="V856" s="7"/>
      <c r="W856" s="12"/>
      <c r="X856" s="13"/>
      <c r="Y856" s="13" t="s">
        <v>3691</v>
      </c>
    </row>
    <row r="857" customFormat="false" ht="15.75" hidden="false" customHeight="true" outlineLevel="0" collapsed="false">
      <c r="A857" s="7" t="s">
        <v>3692</v>
      </c>
      <c r="B857" s="8" t="n">
        <v>2007</v>
      </c>
      <c r="C857" s="8" t="s">
        <v>35</v>
      </c>
      <c r="D857" s="8" t="n">
        <v>113</v>
      </c>
      <c r="E857" s="7" t="s">
        <v>3693</v>
      </c>
      <c r="F857" s="8" t="n">
        <v>7.8</v>
      </c>
      <c r="G857" s="8"/>
      <c r="H857" s="9" t="n">
        <v>10327</v>
      </c>
      <c r="I857" s="7" t="s">
        <v>3694</v>
      </c>
      <c r="J857" s="7" t="s">
        <v>30</v>
      </c>
      <c r="K857" s="7" t="s">
        <v>54</v>
      </c>
      <c r="L857" s="10"/>
      <c r="M857" s="10" t="s">
        <v>3695</v>
      </c>
      <c r="N857" s="8" t="n">
        <v>0</v>
      </c>
      <c r="O857" s="8" t="n">
        <v>0</v>
      </c>
      <c r="P857" s="8" t="n">
        <v>0</v>
      </c>
      <c r="Q857" s="8" t="n">
        <v>0</v>
      </c>
      <c r="R857" s="13" t="n">
        <v>0</v>
      </c>
      <c r="S857" s="13" t="n">
        <v>0</v>
      </c>
      <c r="T857" s="13"/>
      <c r="U857" s="11" t="n">
        <f aca="false">O857*4 + P857*2 + MAX(0,N857-O857-P857)*1 + Q857*0.2 + R857*2 + S857*1 + IF(T857="",0,IF(T857&lt;=10,8,IF(T857&lt;=50,6,IF(T857&lt;=100,4,2))))</f>
        <v>0</v>
      </c>
      <c r="V857" s="7"/>
      <c r="W857" s="12"/>
      <c r="X857" s="13"/>
      <c r="Y857" s="13" t="s">
        <v>3696</v>
      </c>
    </row>
    <row r="858" customFormat="false" ht="15.75" hidden="false" customHeight="true" outlineLevel="0" collapsed="false">
      <c r="A858" s="7" t="s">
        <v>3697</v>
      </c>
      <c r="B858" s="8" t="n">
        <v>2005</v>
      </c>
      <c r="C858" s="8" t="s">
        <v>35</v>
      </c>
      <c r="D858" s="8" t="n">
        <v>117</v>
      </c>
      <c r="E858" s="7" t="s">
        <v>3698</v>
      </c>
      <c r="F858" s="8" t="n">
        <v>7.7</v>
      </c>
      <c r="G858" s="8"/>
      <c r="H858" s="9" t="n">
        <v>15849</v>
      </c>
      <c r="I858" s="7" t="s">
        <v>1111</v>
      </c>
      <c r="J858" s="7" t="s">
        <v>47</v>
      </c>
      <c r="K858" s="7"/>
      <c r="L858" s="10" t="s">
        <v>98</v>
      </c>
      <c r="M858" s="10" t="s">
        <v>3699</v>
      </c>
      <c r="N858" s="8" t="n">
        <v>0</v>
      </c>
      <c r="O858" s="8" t="n">
        <v>0</v>
      </c>
      <c r="P858" s="8" t="n">
        <v>0</v>
      </c>
      <c r="Q858" s="8" t="n">
        <v>1</v>
      </c>
      <c r="R858" s="8" t="n">
        <v>0</v>
      </c>
      <c r="S858" s="8" t="n">
        <v>0</v>
      </c>
      <c r="T858" s="13"/>
      <c r="U858" s="11" t="n">
        <f aca="false">O858*4 + P858*2 + MAX(0,N858-O858-P858)*1 + Q858*0.2 + R858*2 + S858*1 + IF(T858="",0,IF(T858&lt;=10,8,IF(T858&lt;=50,6,IF(T858&lt;=100,4,2))))</f>
        <v>0.2</v>
      </c>
      <c r="V858" s="7"/>
      <c r="W858" s="12"/>
      <c r="X858" s="13"/>
      <c r="Y858" s="13" t="s">
        <v>3700</v>
      </c>
    </row>
    <row r="859" customFormat="false" ht="15.75" hidden="false" customHeight="true" outlineLevel="0" collapsed="false">
      <c r="A859" s="7" t="s">
        <v>3701</v>
      </c>
      <c r="B859" s="8" t="n">
        <v>2023</v>
      </c>
      <c r="C859" s="8" t="s">
        <v>378</v>
      </c>
      <c r="D859" s="8" t="n">
        <v>125</v>
      </c>
      <c r="E859" s="7" t="s">
        <v>3702</v>
      </c>
      <c r="F859" s="8" t="n">
        <v>7.8</v>
      </c>
      <c r="G859" s="8"/>
      <c r="H859" s="9" t="n">
        <v>7883</v>
      </c>
      <c r="I859" s="7" t="s">
        <v>3703</v>
      </c>
      <c r="J859" s="7" t="s">
        <v>47</v>
      </c>
      <c r="K859" s="7"/>
      <c r="L859" s="10"/>
      <c r="M859" s="10" t="s">
        <v>3704</v>
      </c>
      <c r="N859" s="8" t="n">
        <v>0</v>
      </c>
      <c r="O859" s="8" t="n">
        <v>0</v>
      </c>
      <c r="P859" s="8" t="n">
        <v>0</v>
      </c>
      <c r="Q859" s="8" t="n">
        <v>0</v>
      </c>
      <c r="R859" s="13" t="n">
        <v>0</v>
      </c>
      <c r="S859" s="13" t="n">
        <v>0</v>
      </c>
      <c r="T859" s="13"/>
      <c r="U859" s="11" t="n">
        <f aca="false">O859*4 + P859*2 + MAX(0,N859-O859-P859)*1 + Q859*0.2 + R859*2 + S859*1 + IF(T859="",0,IF(T859&lt;=10,8,IF(T859&lt;=50,6,IF(T859&lt;=100,4,2))))</f>
        <v>0</v>
      </c>
      <c r="V859" s="7"/>
      <c r="W859" s="12"/>
      <c r="X859" s="13"/>
      <c r="Y859" s="13" t="s">
        <v>3705</v>
      </c>
    </row>
    <row r="860" customFormat="false" ht="15.75" hidden="false" customHeight="true" outlineLevel="0" collapsed="false">
      <c r="A860" s="7" t="s">
        <v>3706</v>
      </c>
      <c r="B860" s="8" t="n">
        <v>2015</v>
      </c>
      <c r="C860" s="8" t="s">
        <v>176</v>
      </c>
      <c r="D860" s="8" t="n">
        <v>127</v>
      </c>
      <c r="E860" s="7" t="s">
        <v>2964</v>
      </c>
      <c r="F860" s="8" t="n">
        <v>7.6</v>
      </c>
      <c r="G860" s="8"/>
      <c r="H860" s="9" t="n">
        <v>19212</v>
      </c>
      <c r="I860" s="7" t="s">
        <v>124</v>
      </c>
      <c r="J860" s="7" t="s">
        <v>47</v>
      </c>
      <c r="K860" s="7" t="s">
        <v>259</v>
      </c>
      <c r="L860" s="10" t="s">
        <v>205</v>
      </c>
      <c r="M860" s="10" t="s">
        <v>3707</v>
      </c>
      <c r="N860" s="8" t="n">
        <v>0</v>
      </c>
      <c r="O860" s="8" t="n">
        <v>0</v>
      </c>
      <c r="P860" s="8" t="n">
        <v>0</v>
      </c>
      <c r="Q860" s="8" t="n">
        <v>0</v>
      </c>
      <c r="R860" s="13" t="n">
        <v>0</v>
      </c>
      <c r="S860" s="13" t="n">
        <v>0</v>
      </c>
      <c r="T860" s="13"/>
      <c r="U860" s="11" t="n">
        <f aca="false">O860*4 + P860*2 + MAX(0,N860-O860-P860)*1 + Q860*0.2 + R860*2 + S860*1 + IF(T860="",0,IF(T860&lt;=10,8,IF(T860&lt;=50,6,IF(T860&lt;=100,4,2))))</f>
        <v>0</v>
      </c>
      <c r="V860" s="7"/>
      <c r="W860" s="12"/>
      <c r="X860" s="13"/>
      <c r="Y860" s="13" t="s">
        <v>3708</v>
      </c>
    </row>
    <row r="861" customFormat="false" ht="15.75" hidden="false" customHeight="true" outlineLevel="0" collapsed="false">
      <c r="A861" s="7" t="s">
        <v>3709</v>
      </c>
      <c r="B861" s="8" t="n">
        <v>2003</v>
      </c>
      <c r="C861" s="8" t="s">
        <v>35</v>
      </c>
      <c r="D861" s="8" t="n">
        <v>83</v>
      </c>
      <c r="E861" s="7" t="s">
        <v>3710</v>
      </c>
      <c r="F861" s="8" t="n">
        <v>7.3</v>
      </c>
      <c r="G861" s="8"/>
      <c r="H861" s="9" t="n">
        <v>9935</v>
      </c>
      <c r="I861" s="7" t="s">
        <v>3711</v>
      </c>
      <c r="J861" s="7" t="s">
        <v>47</v>
      </c>
      <c r="K861" s="7"/>
      <c r="L861" s="10"/>
      <c r="M861" s="10" t="s">
        <v>3712</v>
      </c>
      <c r="N861" s="8" t="n">
        <v>0</v>
      </c>
      <c r="O861" s="8" t="n">
        <v>0</v>
      </c>
      <c r="P861" s="8" t="n">
        <v>0</v>
      </c>
      <c r="Q861" s="8" t="n">
        <v>0</v>
      </c>
      <c r="R861" s="13" t="n">
        <v>0</v>
      </c>
      <c r="S861" s="13" t="n">
        <v>0</v>
      </c>
      <c r="T861" s="13"/>
      <c r="U861" s="11" t="n">
        <f aca="false">O861*4 + P861*2 + MAX(0,N861-O861-P861)*1 + Q861*0.2 + R861*2 + S861*1 + IF(T861="",0,IF(T861&lt;=10,8,IF(T861&lt;=50,6,IF(T861&lt;=100,4,2))))</f>
        <v>0</v>
      </c>
      <c r="V861" s="7"/>
      <c r="W861" s="12"/>
      <c r="X861" s="13"/>
      <c r="Y861" s="13" t="s">
        <v>3713</v>
      </c>
    </row>
    <row r="862" customFormat="false" ht="15.75" hidden="false" customHeight="true" outlineLevel="0" collapsed="false">
      <c r="A862" s="7" t="s">
        <v>3714</v>
      </c>
      <c r="B862" s="8" t="n">
        <v>2009</v>
      </c>
      <c r="C862" s="8" t="s">
        <v>35</v>
      </c>
      <c r="D862" s="8" t="n">
        <v>119</v>
      </c>
      <c r="E862" s="7" t="s">
        <v>2813</v>
      </c>
      <c r="F862" s="8" t="n">
        <v>7.9</v>
      </c>
      <c r="G862" s="8"/>
      <c r="H862" s="9" t="n">
        <v>61448</v>
      </c>
      <c r="I862" s="7" t="s">
        <v>2814</v>
      </c>
      <c r="J862" s="7" t="s">
        <v>47</v>
      </c>
      <c r="K862" s="7" t="s">
        <v>125</v>
      </c>
      <c r="L862" s="10"/>
      <c r="M862" s="10" t="s">
        <v>3715</v>
      </c>
      <c r="N862" s="8" t="n">
        <v>0</v>
      </c>
      <c r="O862" s="8" t="n">
        <v>0</v>
      </c>
      <c r="P862" s="8" t="n">
        <v>0</v>
      </c>
      <c r="Q862" s="8" t="n">
        <v>0</v>
      </c>
      <c r="R862" s="13" t="n">
        <v>0</v>
      </c>
      <c r="S862" s="13" t="n">
        <v>0</v>
      </c>
      <c r="T862" s="13"/>
      <c r="U862" s="11" t="n">
        <f aca="false">O862*4 + P862*2 + MAX(0,N862-O862-P862)*1 + Q862*0.2 + R862*2 + S862*1 + IF(T862="",0,IF(T862&lt;=10,8,IF(T862&lt;=50,6,IF(T862&lt;=100,4,2))))</f>
        <v>0</v>
      </c>
      <c r="V862" s="7"/>
      <c r="W862" s="12"/>
      <c r="X862" s="13"/>
      <c r="Y862" s="13" t="s">
        <v>3716</v>
      </c>
    </row>
    <row r="863" customFormat="false" ht="15.75" hidden="false" customHeight="true" outlineLevel="0" collapsed="false">
      <c r="A863" s="7" t="s">
        <v>3717</v>
      </c>
      <c r="B863" s="8" t="n">
        <v>2020</v>
      </c>
      <c r="C863" s="8" t="s">
        <v>378</v>
      </c>
      <c r="D863" s="8" t="n">
        <v>117</v>
      </c>
      <c r="E863" s="7" t="s">
        <v>3718</v>
      </c>
      <c r="F863" s="8" t="n">
        <v>8.2</v>
      </c>
      <c r="G863" s="8"/>
      <c r="H863" s="9" t="n">
        <v>102668</v>
      </c>
      <c r="I863" s="7"/>
      <c r="J863" s="7"/>
      <c r="K863" s="12"/>
      <c r="L863" s="10" t="s">
        <v>1936</v>
      </c>
      <c r="M863" s="10" t="s">
        <v>3719</v>
      </c>
      <c r="N863" s="8" t="n">
        <v>0</v>
      </c>
      <c r="O863" s="8" t="n">
        <v>0</v>
      </c>
      <c r="P863" s="8" t="n">
        <v>0</v>
      </c>
      <c r="Q863" s="8" t="n">
        <v>0</v>
      </c>
      <c r="R863" s="13" t="n">
        <v>0</v>
      </c>
      <c r="S863" s="13" t="n">
        <v>0</v>
      </c>
      <c r="T863" s="13"/>
      <c r="U863" s="11" t="n">
        <f aca="false">O863*4 + P863*2 + MAX(0,N863-O863-P863)*1 + Q863*0.2 + R863*2 + S863*1 + IF(T863="",0,IF(T863&lt;=10,8,IF(T863&lt;=50,6,IF(T863&lt;=100,4,2))))</f>
        <v>0</v>
      </c>
      <c r="V863" s="7"/>
      <c r="W863" s="12"/>
      <c r="X863" s="13"/>
      <c r="Y863" s="13" t="s">
        <v>3720</v>
      </c>
    </row>
    <row r="864" customFormat="false" ht="15.75" hidden="false" customHeight="true" outlineLevel="0" collapsed="false">
      <c r="A864" s="7" t="s">
        <v>3721</v>
      </c>
      <c r="B864" s="8" t="n">
        <v>2018</v>
      </c>
      <c r="C864" s="8" t="s">
        <v>176</v>
      </c>
      <c r="D864" s="8" t="n">
        <v>80</v>
      </c>
      <c r="E864" s="7" t="s">
        <v>3722</v>
      </c>
      <c r="F864" s="8" t="n">
        <v>7.1</v>
      </c>
      <c r="G864" s="8"/>
      <c r="H864" s="9" t="n">
        <v>2643</v>
      </c>
      <c r="I864" s="7" t="s">
        <v>3723</v>
      </c>
      <c r="J864" s="7" t="s">
        <v>579</v>
      </c>
      <c r="K864" s="7" t="s">
        <v>48</v>
      </c>
      <c r="L864" s="10" t="s">
        <v>380</v>
      </c>
      <c r="M864" s="10" t="s">
        <v>3724</v>
      </c>
      <c r="N864" s="8" t="n">
        <v>0</v>
      </c>
      <c r="O864" s="8" t="n">
        <v>0</v>
      </c>
      <c r="P864" s="8" t="n">
        <v>0</v>
      </c>
      <c r="Q864" s="8" t="n">
        <v>0</v>
      </c>
      <c r="R864" s="13" t="n">
        <v>0</v>
      </c>
      <c r="S864" s="13" t="n">
        <v>0</v>
      </c>
      <c r="T864" s="13"/>
      <c r="U864" s="11" t="n">
        <f aca="false">O864*4 + P864*2 + MAX(0,N864-O864-P864)*1 + Q864*0.2 + R864*2 + S864*1 + IF(T864="",0,IF(T864&lt;=10,8,IF(T864&lt;=50,6,IF(T864&lt;=100,4,2))))</f>
        <v>0</v>
      </c>
      <c r="V864" s="7"/>
      <c r="W864" s="12"/>
      <c r="X864" s="13"/>
      <c r="Y864" s="13" t="s">
        <v>3725</v>
      </c>
    </row>
    <row r="865" customFormat="false" ht="15.75" hidden="false" customHeight="true" outlineLevel="0" collapsed="false">
      <c r="A865" s="7" t="s">
        <v>3726</v>
      </c>
      <c r="B865" s="8" t="n">
        <v>2004</v>
      </c>
      <c r="C865" s="8" t="s">
        <v>35</v>
      </c>
      <c r="D865" s="8" t="n">
        <v>120</v>
      </c>
      <c r="E865" s="7" t="s">
        <v>3727</v>
      </c>
      <c r="F865" s="8" t="n">
        <v>7.8</v>
      </c>
      <c r="G865" s="8"/>
      <c r="H865" s="9" t="n">
        <v>8680</v>
      </c>
      <c r="I865" s="7" t="s">
        <v>3728</v>
      </c>
      <c r="J865" s="7" t="s">
        <v>154</v>
      </c>
      <c r="K865" s="7" t="s">
        <v>131</v>
      </c>
      <c r="L865" s="10"/>
      <c r="M865" s="10" t="s">
        <v>3729</v>
      </c>
      <c r="N865" s="8" t="n">
        <v>0</v>
      </c>
      <c r="O865" s="8" t="n">
        <v>0</v>
      </c>
      <c r="P865" s="8" t="n">
        <v>0</v>
      </c>
      <c r="Q865" s="8" t="n">
        <v>0</v>
      </c>
      <c r="R865" s="13" t="n">
        <v>0</v>
      </c>
      <c r="S865" s="13" t="n">
        <v>0</v>
      </c>
      <c r="T865" s="13"/>
      <c r="U865" s="11" t="n">
        <f aca="false">O865*4 + P865*2 + MAX(0,N865-O865-P865)*1 + Q865*0.2 + R865*2 + S865*1 + IF(T865="",0,IF(T865&lt;=10,8,IF(T865&lt;=50,6,IF(T865&lt;=100,4,2))))</f>
        <v>0</v>
      </c>
      <c r="V865" s="7"/>
      <c r="W865" s="12"/>
      <c r="X865" s="13"/>
      <c r="Y865" s="13" t="s">
        <v>3730</v>
      </c>
    </row>
    <row r="866" customFormat="false" ht="15.75" hidden="false" customHeight="true" outlineLevel="0" collapsed="false">
      <c r="A866" s="7" t="s">
        <v>3731</v>
      </c>
      <c r="B866" s="8" t="n">
        <v>2021</v>
      </c>
      <c r="C866" s="8" t="s">
        <v>378</v>
      </c>
      <c r="D866" s="8" t="n">
        <v>95</v>
      </c>
      <c r="E866" s="7" t="s">
        <v>3732</v>
      </c>
      <c r="F866" s="8" t="n">
        <v>7.5</v>
      </c>
      <c r="G866" s="8"/>
      <c r="H866" s="9" t="n">
        <v>11589</v>
      </c>
      <c r="I866" s="7" t="s">
        <v>3733</v>
      </c>
      <c r="J866" s="7" t="s">
        <v>579</v>
      </c>
      <c r="K866" s="7" t="s">
        <v>39</v>
      </c>
      <c r="L866" s="10" t="s">
        <v>238</v>
      </c>
      <c r="M866" s="10" t="s">
        <v>3734</v>
      </c>
      <c r="N866" s="8" t="n">
        <v>0</v>
      </c>
      <c r="O866" s="8" t="n">
        <v>0</v>
      </c>
      <c r="P866" s="8" t="n">
        <v>0</v>
      </c>
      <c r="Q866" s="8" t="n">
        <v>0</v>
      </c>
      <c r="R866" s="13" t="n">
        <v>0</v>
      </c>
      <c r="S866" s="13" t="n">
        <v>0</v>
      </c>
      <c r="T866" s="13"/>
      <c r="U866" s="11" t="n">
        <f aca="false">O866*4 + P866*2 + MAX(0,N866-O866-P866)*1 + Q866*0.2 + R866*2 + S866*1 + IF(T866="",0,IF(T866&lt;=10,8,IF(T866&lt;=50,6,IF(T866&lt;=100,4,2))))</f>
        <v>0</v>
      </c>
      <c r="V866" s="7"/>
      <c r="W866" s="12"/>
      <c r="X866" s="13"/>
      <c r="Y866" s="13" t="s">
        <v>3735</v>
      </c>
    </row>
    <row r="867" customFormat="false" ht="15.75" hidden="false" customHeight="true" outlineLevel="0" collapsed="false">
      <c r="A867" s="7" t="s">
        <v>3736</v>
      </c>
      <c r="B867" s="8" t="n">
        <v>2021</v>
      </c>
      <c r="C867" s="8" t="s">
        <v>378</v>
      </c>
      <c r="D867" s="8" t="n">
        <v>138</v>
      </c>
      <c r="E867" s="7" t="s">
        <v>3737</v>
      </c>
      <c r="F867" s="8" t="n">
        <v>7</v>
      </c>
      <c r="G867" s="8"/>
      <c r="H867" s="9" t="n">
        <v>2391</v>
      </c>
      <c r="I867" s="7" t="s">
        <v>219</v>
      </c>
      <c r="J867" s="7" t="s">
        <v>47</v>
      </c>
      <c r="K867" s="7" t="s">
        <v>54</v>
      </c>
      <c r="L867" s="10" t="s">
        <v>416</v>
      </c>
      <c r="M867" s="10" t="s">
        <v>3738</v>
      </c>
      <c r="N867" s="8" t="n">
        <v>0</v>
      </c>
      <c r="O867" s="8" t="n">
        <v>0</v>
      </c>
      <c r="P867" s="8" t="n">
        <v>0</v>
      </c>
      <c r="Q867" s="8" t="n">
        <v>0</v>
      </c>
      <c r="R867" s="13" t="n">
        <v>0</v>
      </c>
      <c r="S867" s="13" t="n">
        <v>0</v>
      </c>
      <c r="T867" s="13"/>
      <c r="U867" s="11" t="n">
        <f aca="false">O867*4 + P867*2 + MAX(0,N867-O867-P867)*1 + Q867*0.2 + R867*2 + S867*1 + IF(T867="",0,IF(T867&lt;=10,8,IF(T867&lt;=50,6,IF(T867&lt;=100,4,2))))</f>
        <v>0</v>
      </c>
      <c r="V867" s="7"/>
      <c r="W867" s="12"/>
      <c r="X867" s="13"/>
      <c r="Y867" s="13" t="s">
        <v>3739</v>
      </c>
    </row>
    <row r="868" customFormat="false" ht="15.75" hidden="false" customHeight="true" outlineLevel="0" collapsed="false">
      <c r="A868" s="7" t="s">
        <v>3740</v>
      </c>
      <c r="B868" s="8" t="n">
        <v>2000</v>
      </c>
      <c r="C868" s="8" t="s">
        <v>35</v>
      </c>
      <c r="D868" s="8" t="n">
        <v>112</v>
      </c>
      <c r="E868" s="7" t="s">
        <v>3741</v>
      </c>
      <c r="F868" s="8" t="n">
        <v>7.2</v>
      </c>
      <c r="G868" s="8"/>
      <c r="H868" s="9" t="n">
        <v>11257</v>
      </c>
      <c r="I868" s="7" t="s">
        <v>219</v>
      </c>
      <c r="J868" s="7" t="s">
        <v>29</v>
      </c>
      <c r="K868" s="7" t="s">
        <v>30</v>
      </c>
      <c r="L868" s="10"/>
      <c r="M868" s="10" t="s">
        <v>3742</v>
      </c>
      <c r="N868" s="8" t="n">
        <v>0</v>
      </c>
      <c r="O868" s="8" t="n">
        <v>0</v>
      </c>
      <c r="P868" s="8" t="n">
        <v>0</v>
      </c>
      <c r="Q868" s="8" t="n">
        <v>1</v>
      </c>
      <c r="R868" s="8" t="n">
        <v>0</v>
      </c>
      <c r="S868" s="8" t="n">
        <v>0</v>
      </c>
      <c r="T868" s="13"/>
      <c r="U868" s="11" t="n">
        <f aca="false">O868*4 + P868*2 + MAX(0,N868-O868-P868)*1 + Q868*0.2 + R868*2 + S868*1 + IF(T868="",0,IF(T868&lt;=10,8,IF(T868&lt;=50,6,IF(T868&lt;=100,4,2))))</f>
        <v>0.2</v>
      </c>
      <c r="V868" s="7"/>
      <c r="W868" s="12"/>
      <c r="X868" s="13"/>
      <c r="Y868" s="13" t="s">
        <v>3743</v>
      </c>
    </row>
    <row r="869" customFormat="false" ht="15.75" hidden="false" customHeight="true" outlineLevel="0" collapsed="false">
      <c r="A869" s="7" t="s">
        <v>3744</v>
      </c>
      <c r="B869" s="8" t="n">
        <v>2000</v>
      </c>
      <c r="C869" s="8" t="s">
        <v>35</v>
      </c>
      <c r="D869" s="8" t="n">
        <v>145</v>
      </c>
      <c r="E869" s="7" t="s">
        <v>3589</v>
      </c>
      <c r="F869" s="8" t="n">
        <v>7.9</v>
      </c>
      <c r="G869" s="8"/>
      <c r="H869" s="9" t="n">
        <v>18336</v>
      </c>
      <c r="I869" s="7" t="s">
        <v>3745</v>
      </c>
      <c r="J869" s="7" t="s">
        <v>47</v>
      </c>
      <c r="K869" s="7" t="s">
        <v>125</v>
      </c>
      <c r="L869" s="10" t="s">
        <v>205</v>
      </c>
      <c r="M869" s="7" t="s">
        <v>3746</v>
      </c>
      <c r="N869" s="8" t="n">
        <v>0</v>
      </c>
      <c r="O869" s="8" t="n">
        <v>0</v>
      </c>
      <c r="P869" s="8" t="n">
        <v>0</v>
      </c>
      <c r="Q869" s="8" t="n">
        <v>0</v>
      </c>
      <c r="R869" s="13" t="n">
        <v>0</v>
      </c>
      <c r="S869" s="13" t="n">
        <v>0</v>
      </c>
      <c r="T869" s="8" t="n">
        <v>243</v>
      </c>
      <c r="U869" s="11" t="n">
        <f aca="false">O869*4 + P869*2 + MAX(0,N869-O869-P869)*1 + Q869*0.2 + R869*2 + S869*1 + IF(T869="",0,IF(T869&lt;=10,8,IF(T869&lt;=50,6,IF(T869&lt;=100,4,2))))</f>
        <v>2</v>
      </c>
      <c r="V869" s="10" t="s">
        <v>3747</v>
      </c>
      <c r="W869" s="12"/>
      <c r="X869" s="13"/>
      <c r="Y869" s="13" t="s">
        <v>3748</v>
      </c>
    </row>
    <row r="870" customFormat="false" ht="15.75" hidden="false" customHeight="true" outlineLevel="0" collapsed="false">
      <c r="A870" s="7" t="s">
        <v>3749</v>
      </c>
      <c r="B870" s="8" t="n">
        <v>2018</v>
      </c>
      <c r="C870" s="8" t="s">
        <v>176</v>
      </c>
      <c r="D870" s="8" t="n">
        <v>125</v>
      </c>
      <c r="E870" s="7" t="s">
        <v>3750</v>
      </c>
      <c r="F870" s="8" t="n">
        <v>7.5</v>
      </c>
      <c r="G870" s="8"/>
      <c r="H870" s="9" t="n">
        <v>13982</v>
      </c>
      <c r="I870" s="7" t="s">
        <v>3751</v>
      </c>
      <c r="J870" s="7" t="s">
        <v>47</v>
      </c>
      <c r="K870" s="7" t="s">
        <v>54</v>
      </c>
      <c r="L870" s="10" t="s">
        <v>1280</v>
      </c>
      <c r="M870" s="10" t="s">
        <v>3752</v>
      </c>
      <c r="N870" s="8" t="n">
        <v>0</v>
      </c>
      <c r="O870" s="8" t="n">
        <v>0</v>
      </c>
      <c r="P870" s="8" t="n">
        <v>0</v>
      </c>
      <c r="Q870" s="8" t="n">
        <v>0</v>
      </c>
      <c r="R870" s="13" t="n">
        <v>0</v>
      </c>
      <c r="S870" s="13" t="n">
        <v>0</v>
      </c>
      <c r="T870" s="13"/>
      <c r="U870" s="11" t="n">
        <f aca="false">O870*4 + P870*2 + MAX(0,N870-O870-P870)*1 + Q870*0.2 + R870*2 + S870*1 + IF(T870="",0,IF(T870&lt;=10,8,IF(T870&lt;=50,6,IF(T870&lt;=100,4,2))))</f>
        <v>0</v>
      </c>
      <c r="V870" s="7"/>
      <c r="W870" s="12"/>
      <c r="X870" s="13"/>
      <c r="Y870" s="13" t="s">
        <v>3753</v>
      </c>
    </row>
    <row r="871" customFormat="false" ht="15.75" hidden="false" customHeight="true" outlineLevel="0" collapsed="false">
      <c r="A871" s="7" t="s">
        <v>3754</v>
      </c>
      <c r="B871" s="8" t="n">
        <v>2024</v>
      </c>
      <c r="C871" s="8" t="s">
        <v>378</v>
      </c>
      <c r="D871" s="8" t="n">
        <v>167</v>
      </c>
      <c r="E871" s="7" t="s">
        <v>3755</v>
      </c>
      <c r="F871" s="8" t="n">
        <v>7.5</v>
      </c>
      <c r="G871" s="8"/>
      <c r="H871" s="9" t="n">
        <v>20974</v>
      </c>
      <c r="I871" s="7"/>
      <c r="J871" s="7" t="s">
        <v>131</v>
      </c>
      <c r="K871" s="7" t="s">
        <v>54</v>
      </c>
      <c r="L871" s="10"/>
      <c r="M871" s="10" t="s">
        <v>3756</v>
      </c>
      <c r="N871" s="8" t="n">
        <v>0</v>
      </c>
      <c r="O871" s="8" t="n">
        <v>0</v>
      </c>
      <c r="P871" s="8" t="n">
        <v>0</v>
      </c>
      <c r="Q871" s="8" t="n">
        <v>1</v>
      </c>
      <c r="R871" s="8" t="n">
        <v>0</v>
      </c>
      <c r="S871" s="8" t="n">
        <v>0</v>
      </c>
      <c r="T871" s="13"/>
      <c r="U871" s="11" t="n">
        <f aca="false">O871*4 + P871*2 + MAX(0,N871-O871-P871)*1 + Q871*0.2 + R871*2 + S871*1 + IF(T871="",0,IF(T871&lt;=10,8,IF(T871&lt;=50,6,IF(T871&lt;=100,4,2))))</f>
        <v>0.2</v>
      </c>
      <c r="V871" s="7"/>
      <c r="W871" s="12"/>
      <c r="X871" s="13"/>
      <c r="Y871" s="13" t="s">
        <v>3757</v>
      </c>
    </row>
    <row r="872" customFormat="false" ht="15.75" hidden="false" customHeight="true" outlineLevel="0" collapsed="false">
      <c r="A872" s="7" t="s">
        <v>3758</v>
      </c>
      <c r="B872" s="8" t="n">
        <v>2008</v>
      </c>
      <c r="C872" s="8" t="s">
        <v>35</v>
      </c>
      <c r="D872" s="8" t="n">
        <v>106</v>
      </c>
      <c r="E872" s="7" t="s">
        <v>3759</v>
      </c>
      <c r="F872" s="8" t="n">
        <v>7.3</v>
      </c>
      <c r="G872" s="8"/>
      <c r="H872" s="9" t="n">
        <v>7121</v>
      </c>
      <c r="I872" s="7" t="s">
        <v>3760</v>
      </c>
      <c r="J872" s="7" t="s">
        <v>154</v>
      </c>
      <c r="K872" s="7" t="s">
        <v>47</v>
      </c>
      <c r="L872" s="10" t="s">
        <v>478</v>
      </c>
      <c r="M872" s="10" t="s">
        <v>3761</v>
      </c>
      <c r="N872" s="8" t="n">
        <v>0</v>
      </c>
      <c r="O872" s="8" t="n">
        <v>0</v>
      </c>
      <c r="P872" s="8" t="n">
        <v>0</v>
      </c>
      <c r="Q872" s="8" t="n">
        <v>0</v>
      </c>
      <c r="R872" s="13" t="n">
        <v>0</v>
      </c>
      <c r="S872" s="13" t="n">
        <v>0</v>
      </c>
      <c r="T872" s="13"/>
      <c r="U872" s="11" t="n">
        <f aca="false">O872*4 + P872*2 + MAX(0,N872-O872-P872)*1 + Q872*0.2 + R872*2 + S872*1 + IF(T872="",0,IF(T872&lt;=10,8,IF(T872&lt;=50,6,IF(T872&lt;=100,4,2))))</f>
        <v>0</v>
      </c>
      <c r="V872" s="7"/>
      <c r="W872" s="12"/>
      <c r="X872" s="13"/>
      <c r="Y872" s="13" t="s">
        <v>3762</v>
      </c>
    </row>
    <row r="873" customFormat="false" ht="15.75" hidden="false" customHeight="true" outlineLevel="0" collapsed="false">
      <c r="A873" s="7" t="s">
        <v>3763</v>
      </c>
      <c r="B873" s="8" t="n">
        <v>2003</v>
      </c>
      <c r="C873" s="8" t="s">
        <v>35</v>
      </c>
      <c r="D873" s="8" t="n">
        <v>113</v>
      </c>
      <c r="E873" s="7" t="s">
        <v>3764</v>
      </c>
      <c r="F873" s="8" t="n">
        <v>7.7</v>
      </c>
      <c r="G873" s="8"/>
      <c r="H873" s="9" t="n">
        <v>44983</v>
      </c>
      <c r="I873" s="7" t="s">
        <v>2555</v>
      </c>
      <c r="J873" s="7"/>
      <c r="K873" s="12"/>
      <c r="L873" s="10" t="s">
        <v>205</v>
      </c>
      <c r="M873" s="10" t="s">
        <v>3765</v>
      </c>
      <c r="N873" s="8" t="n">
        <v>0</v>
      </c>
      <c r="O873" s="8" t="n">
        <v>0</v>
      </c>
      <c r="P873" s="8" t="n">
        <v>0</v>
      </c>
      <c r="Q873" s="8" t="n">
        <v>0</v>
      </c>
      <c r="R873" s="13" t="n">
        <v>0</v>
      </c>
      <c r="S873" s="13" t="n">
        <v>0</v>
      </c>
      <c r="T873" s="13"/>
      <c r="U873" s="11" t="n">
        <f aca="false">O873*4 + P873*2 + MAX(0,N873-O873-P873)*1 + Q873*0.2 + R873*2 + S873*1 + IF(T873="",0,IF(T873&lt;=10,8,IF(T873&lt;=50,6,IF(T873&lt;=100,4,2))))</f>
        <v>0</v>
      </c>
      <c r="V873" s="7"/>
      <c r="W873" s="12"/>
      <c r="X873" s="13"/>
      <c r="Y873" s="13" t="s">
        <v>3766</v>
      </c>
    </row>
    <row r="874" customFormat="false" ht="15.75" hidden="false" customHeight="true" outlineLevel="0" collapsed="false">
      <c r="A874" s="7" t="s">
        <v>3767</v>
      </c>
      <c r="B874" s="8" t="n">
        <v>2013</v>
      </c>
      <c r="C874" s="8" t="s">
        <v>176</v>
      </c>
      <c r="D874" s="8" t="n">
        <v>146</v>
      </c>
      <c r="E874" s="7" t="s">
        <v>3531</v>
      </c>
      <c r="F874" s="8" t="n">
        <v>7.5</v>
      </c>
      <c r="G874" s="8"/>
      <c r="H874" s="9" t="n">
        <v>2384</v>
      </c>
      <c r="I874" s="7" t="s">
        <v>124</v>
      </c>
      <c r="J874" s="7" t="s">
        <v>47</v>
      </c>
      <c r="K874" s="7"/>
      <c r="L874" s="10" t="s">
        <v>3768</v>
      </c>
      <c r="M874" s="10" t="s">
        <v>3769</v>
      </c>
      <c r="N874" s="8" t="n">
        <v>0</v>
      </c>
      <c r="O874" s="8" t="n">
        <v>0</v>
      </c>
      <c r="P874" s="8" t="n">
        <v>0</v>
      </c>
      <c r="Q874" s="8" t="n">
        <v>0</v>
      </c>
      <c r="R874" s="13" t="n">
        <v>0</v>
      </c>
      <c r="S874" s="13" t="n">
        <v>0</v>
      </c>
      <c r="T874" s="13"/>
      <c r="U874" s="11" t="n">
        <f aca="false">O874*4 + P874*2 + MAX(0,N874-O874-P874)*1 + Q874*0.2 + R874*2 + S874*1 + IF(T874="",0,IF(T874&lt;=10,8,IF(T874&lt;=50,6,IF(T874&lt;=100,4,2))))</f>
        <v>0</v>
      </c>
      <c r="V874" s="7"/>
      <c r="W874" s="12"/>
      <c r="X874" s="13"/>
      <c r="Y874" s="13" t="s">
        <v>3770</v>
      </c>
    </row>
    <row r="875" customFormat="false" ht="15.75" hidden="false" customHeight="true" outlineLevel="0" collapsed="false">
      <c r="A875" s="7" t="s">
        <v>3771</v>
      </c>
      <c r="B875" s="8" t="n">
        <v>2007</v>
      </c>
      <c r="C875" s="8" t="s">
        <v>35</v>
      </c>
      <c r="D875" s="8" t="n">
        <v>99</v>
      </c>
      <c r="E875" s="7" t="s">
        <v>3772</v>
      </c>
      <c r="F875" s="8" t="n">
        <v>7.9</v>
      </c>
      <c r="G875" s="8"/>
      <c r="H875" s="9" t="n">
        <v>16755</v>
      </c>
      <c r="I875" s="7" t="s">
        <v>3773</v>
      </c>
      <c r="J875" s="7"/>
      <c r="K875" s="12"/>
      <c r="L875" s="10"/>
      <c r="M875" s="10" t="s">
        <v>3774</v>
      </c>
      <c r="N875" s="8" t="n">
        <v>0</v>
      </c>
      <c r="O875" s="8" t="n">
        <v>0</v>
      </c>
      <c r="P875" s="8" t="n">
        <v>0</v>
      </c>
      <c r="Q875" s="8" t="n">
        <v>0</v>
      </c>
      <c r="R875" s="13" t="n">
        <v>0</v>
      </c>
      <c r="S875" s="13" t="n">
        <v>0</v>
      </c>
      <c r="T875" s="13"/>
      <c r="U875" s="11" t="n">
        <f aca="false">O875*4 + P875*2 + MAX(0,N875-O875-P875)*1 + Q875*0.2 + R875*2 + S875*1 + IF(T875="",0,IF(T875&lt;=10,8,IF(T875&lt;=50,6,IF(T875&lt;=100,4,2))))</f>
        <v>0</v>
      </c>
      <c r="V875" s="7"/>
      <c r="W875" s="12"/>
      <c r="X875" s="13"/>
      <c r="Y875" s="13" t="s">
        <v>3775</v>
      </c>
    </row>
    <row r="876" customFormat="false" ht="15.75" hidden="false" customHeight="true" outlineLevel="0" collapsed="false">
      <c r="A876" s="7" t="s">
        <v>3776</v>
      </c>
      <c r="B876" s="8" t="n">
        <v>2014</v>
      </c>
      <c r="C876" s="8" t="s">
        <v>176</v>
      </c>
      <c r="D876" s="8" t="n">
        <v>109</v>
      </c>
      <c r="E876" s="7" t="s">
        <v>966</v>
      </c>
      <c r="F876" s="8" t="n">
        <v>7.3</v>
      </c>
      <c r="G876" s="8"/>
      <c r="H876" s="9" t="n">
        <v>7184</v>
      </c>
      <c r="I876" s="7" t="s">
        <v>967</v>
      </c>
      <c r="J876" s="7" t="s">
        <v>29</v>
      </c>
      <c r="K876" s="7" t="s">
        <v>453</v>
      </c>
      <c r="L876" s="10" t="s">
        <v>166</v>
      </c>
      <c r="M876" s="10" t="s">
        <v>3777</v>
      </c>
      <c r="N876" s="8" t="n">
        <v>0</v>
      </c>
      <c r="O876" s="8" t="n">
        <v>0</v>
      </c>
      <c r="P876" s="8" t="n">
        <v>0</v>
      </c>
      <c r="Q876" s="8" t="n">
        <v>0</v>
      </c>
      <c r="R876" s="13" t="n">
        <v>0</v>
      </c>
      <c r="S876" s="13" t="n">
        <v>0</v>
      </c>
      <c r="T876" s="13"/>
      <c r="U876" s="11" t="n">
        <f aca="false">O876*4 + P876*2 + MAX(0,N876-O876-P876)*1 + Q876*0.2 + R876*2 + S876*1 + IF(T876="",0,IF(T876&lt;=10,8,IF(T876&lt;=50,6,IF(T876&lt;=100,4,2))))</f>
        <v>0</v>
      </c>
      <c r="V876" s="7"/>
      <c r="W876" s="12"/>
      <c r="X876" s="13"/>
      <c r="Y876" s="13" t="s">
        <v>3778</v>
      </c>
    </row>
    <row r="877" customFormat="false" ht="15.75" hidden="false" customHeight="true" outlineLevel="0" collapsed="false">
      <c r="A877" s="7" t="s">
        <v>3779</v>
      </c>
      <c r="B877" s="8" t="n">
        <v>2012</v>
      </c>
      <c r="C877" s="8" t="s">
        <v>176</v>
      </c>
      <c r="D877" s="8" t="n">
        <v>80</v>
      </c>
      <c r="E877" s="7" t="s">
        <v>3780</v>
      </c>
      <c r="F877" s="8" t="n">
        <v>7.8</v>
      </c>
      <c r="G877" s="8"/>
      <c r="H877" s="9" t="n">
        <v>24555</v>
      </c>
      <c r="I877" s="7" t="s">
        <v>3781</v>
      </c>
      <c r="J877" s="7" t="s">
        <v>579</v>
      </c>
      <c r="K877" s="7" t="s">
        <v>39</v>
      </c>
      <c r="L877" s="10"/>
      <c r="M877" s="10" t="s">
        <v>3782</v>
      </c>
      <c r="N877" s="8" t="n">
        <v>0</v>
      </c>
      <c r="O877" s="8" t="n">
        <v>0</v>
      </c>
      <c r="P877" s="8" t="n">
        <v>0</v>
      </c>
      <c r="Q877" s="8" t="n">
        <v>1</v>
      </c>
      <c r="R877" s="8" t="n">
        <v>0</v>
      </c>
      <c r="S877" s="8" t="n">
        <v>0</v>
      </c>
      <c r="T877" s="13"/>
      <c r="U877" s="11" t="n">
        <f aca="false">O877*4 + P877*2 + MAX(0,N877-O877-P877)*1 + Q877*0.2 + R877*2 + S877*1 + IF(T877="",0,IF(T877&lt;=10,8,IF(T877&lt;=50,6,IF(T877&lt;=100,4,2))))</f>
        <v>0.2</v>
      </c>
      <c r="V877" s="7"/>
      <c r="W877" s="12"/>
      <c r="X877" s="13"/>
      <c r="Y877" s="13" t="s">
        <v>3783</v>
      </c>
    </row>
    <row r="878" customFormat="false" ht="15.75" hidden="false" customHeight="true" outlineLevel="0" collapsed="false">
      <c r="A878" s="7" t="s">
        <v>3784</v>
      </c>
      <c r="B878" s="8" t="n">
        <v>2009</v>
      </c>
      <c r="C878" s="8" t="s">
        <v>35</v>
      </c>
      <c r="D878" s="8" t="n">
        <v>110</v>
      </c>
      <c r="E878" s="7" t="s">
        <v>3785</v>
      </c>
      <c r="F878" s="8" t="n">
        <v>7.5</v>
      </c>
      <c r="G878" s="8"/>
      <c r="H878" s="9" t="n">
        <v>7834</v>
      </c>
      <c r="I878" s="7" t="s">
        <v>3107</v>
      </c>
      <c r="J878" s="7" t="s">
        <v>47</v>
      </c>
      <c r="K878" s="7"/>
      <c r="L878" s="10"/>
      <c r="M878" s="10" t="s">
        <v>3786</v>
      </c>
      <c r="N878" s="8" t="n">
        <v>0</v>
      </c>
      <c r="O878" s="8" t="n">
        <v>0</v>
      </c>
      <c r="P878" s="8" t="n">
        <v>0</v>
      </c>
      <c r="Q878" s="8" t="n">
        <v>0</v>
      </c>
      <c r="R878" s="13" t="n">
        <v>0</v>
      </c>
      <c r="S878" s="13" t="n">
        <v>0</v>
      </c>
      <c r="T878" s="13"/>
      <c r="U878" s="11" t="n">
        <f aca="false">O878*4 + P878*2 + MAX(0,N878-O878-P878)*1 + Q878*0.2 + R878*2 + S878*1 + IF(T878="",0,IF(T878&lt;=10,8,IF(T878&lt;=50,6,IF(T878&lt;=100,4,2))))</f>
        <v>0</v>
      </c>
      <c r="V878" s="7"/>
      <c r="W878" s="12"/>
      <c r="X878" s="13"/>
      <c r="Y878" s="13" t="s">
        <v>3787</v>
      </c>
    </row>
    <row r="879" customFormat="false" ht="15.75" hidden="false" customHeight="true" outlineLevel="0" collapsed="false">
      <c r="A879" s="7" t="s">
        <v>3788</v>
      </c>
      <c r="B879" s="8" t="n">
        <v>2008</v>
      </c>
      <c r="C879" s="8" t="s">
        <v>35</v>
      </c>
      <c r="D879" s="8" t="n">
        <v>127</v>
      </c>
      <c r="E879" s="7" t="s">
        <v>3789</v>
      </c>
      <c r="F879" s="8" t="n">
        <v>7.6</v>
      </c>
      <c r="G879" s="8"/>
      <c r="H879" s="9" t="n">
        <v>6356</v>
      </c>
      <c r="I879" s="7" t="s">
        <v>258</v>
      </c>
      <c r="J879" s="7" t="s">
        <v>29</v>
      </c>
      <c r="K879" s="7" t="s">
        <v>47</v>
      </c>
      <c r="L879" s="10"/>
      <c r="M879" s="10" t="s">
        <v>3790</v>
      </c>
      <c r="N879" s="8" t="n">
        <v>0</v>
      </c>
      <c r="O879" s="8" t="n">
        <v>0</v>
      </c>
      <c r="P879" s="8" t="n">
        <v>0</v>
      </c>
      <c r="Q879" s="8" t="n">
        <v>0</v>
      </c>
      <c r="R879" s="13" t="n">
        <v>0</v>
      </c>
      <c r="S879" s="13" t="n">
        <v>0</v>
      </c>
      <c r="T879" s="13"/>
      <c r="U879" s="11" t="n">
        <f aca="false">O879*4 + P879*2 + MAX(0,N879-O879-P879)*1 + Q879*0.2 + R879*2 + S879*1 + IF(T879="",0,IF(T879&lt;=10,8,IF(T879&lt;=50,6,IF(T879&lt;=100,4,2))))</f>
        <v>0</v>
      </c>
      <c r="V879" s="7"/>
      <c r="W879" s="12"/>
      <c r="X879" s="13"/>
      <c r="Y879" s="13" t="s">
        <v>3791</v>
      </c>
    </row>
    <row r="880" customFormat="false" ht="15.75" hidden="false" customHeight="true" outlineLevel="0" collapsed="false">
      <c r="A880" s="7" t="s">
        <v>3792</v>
      </c>
      <c r="B880" s="8" t="n">
        <v>2019</v>
      </c>
      <c r="C880" s="8" t="s">
        <v>176</v>
      </c>
      <c r="D880" s="8" t="n">
        <v>113</v>
      </c>
      <c r="E880" s="7" t="s">
        <v>3793</v>
      </c>
      <c r="F880" s="8" t="n">
        <v>7.6</v>
      </c>
      <c r="G880" s="8"/>
      <c r="H880" s="9" t="n">
        <v>15781</v>
      </c>
      <c r="I880" s="7" t="s">
        <v>3794</v>
      </c>
      <c r="J880" s="7" t="s">
        <v>29</v>
      </c>
      <c r="K880" s="7" t="s">
        <v>47</v>
      </c>
      <c r="L880" s="10" t="s">
        <v>3491</v>
      </c>
      <c r="M880" s="10" t="s">
        <v>3795</v>
      </c>
      <c r="N880" s="8" t="n">
        <v>0</v>
      </c>
      <c r="O880" s="8" t="n">
        <v>0</v>
      </c>
      <c r="P880" s="8" t="n">
        <v>0</v>
      </c>
      <c r="Q880" s="8" t="n">
        <v>0</v>
      </c>
      <c r="R880" s="13" t="n">
        <v>0</v>
      </c>
      <c r="S880" s="13" t="n">
        <v>0</v>
      </c>
      <c r="T880" s="13"/>
      <c r="U880" s="11" t="n">
        <f aca="false">O880*4 + P880*2 + MAX(0,N880-O880-P880)*1 + Q880*0.2 + R880*2 + S880*1 + IF(T880="",0,IF(T880&lt;=10,8,IF(T880&lt;=50,6,IF(T880&lt;=100,4,2))))</f>
        <v>0</v>
      </c>
      <c r="V880" s="7"/>
      <c r="W880" s="12"/>
      <c r="X880" s="13"/>
      <c r="Y880" s="13" t="s">
        <v>3796</v>
      </c>
    </row>
    <row r="881" customFormat="false" ht="15.75" hidden="false" customHeight="true" outlineLevel="0" collapsed="false">
      <c r="A881" s="7" t="s">
        <v>3797</v>
      </c>
      <c r="B881" s="8" t="n">
        <v>2007</v>
      </c>
      <c r="C881" s="8" t="s">
        <v>35</v>
      </c>
      <c r="D881" s="8" t="n">
        <v>103</v>
      </c>
      <c r="E881" s="7" t="s">
        <v>3798</v>
      </c>
      <c r="F881" s="8" t="n">
        <v>7.7</v>
      </c>
      <c r="G881" s="8"/>
      <c r="H881" s="9" t="n">
        <v>20060</v>
      </c>
      <c r="I881" s="7" t="s">
        <v>124</v>
      </c>
      <c r="J881" s="7"/>
      <c r="K881" s="12"/>
      <c r="L881" s="10"/>
      <c r="M881" s="10" t="s">
        <v>3799</v>
      </c>
      <c r="N881" s="8" t="n">
        <v>0</v>
      </c>
      <c r="O881" s="8" t="n">
        <v>0</v>
      </c>
      <c r="P881" s="8" t="n">
        <v>0</v>
      </c>
      <c r="Q881" s="8" t="n">
        <v>0</v>
      </c>
      <c r="R881" s="13" t="n">
        <v>0</v>
      </c>
      <c r="S881" s="13" t="n">
        <v>0</v>
      </c>
      <c r="T881" s="13"/>
      <c r="U881" s="11" t="n">
        <f aca="false">O881*4 + P881*2 + MAX(0,N881-O881-P881)*1 + Q881*0.2 + R881*2 + S881*1 + IF(T881="",0,IF(T881&lt;=10,8,IF(T881&lt;=50,6,IF(T881&lt;=100,4,2))))</f>
        <v>0</v>
      </c>
      <c r="V881" s="7"/>
      <c r="W881" s="12"/>
      <c r="X881" s="13"/>
      <c r="Y881" s="13" t="s">
        <v>3800</v>
      </c>
    </row>
    <row r="882" customFormat="false" ht="15.75" hidden="false" customHeight="true" outlineLevel="0" collapsed="false">
      <c r="A882" s="7" t="s">
        <v>3801</v>
      </c>
      <c r="B882" s="8" t="n">
        <v>2006</v>
      </c>
      <c r="C882" s="8" t="s">
        <v>35</v>
      </c>
      <c r="D882" s="8" t="n">
        <v>118</v>
      </c>
      <c r="E882" s="7" t="s">
        <v>250</v>
      </c>
      <c r="F882" s="8" t="n">
        <v>7.4</v>
      </c>
      <c r="G882" s="8"/>
      <c r="H882" s="9" t="n">
        <v>16894</v>
      </c>
      <c r="I882" s="7" t="s">
        <v>1383</v>
      </c>
      <c r="J882" s="7" t="s">
        <v>131</v>
      </c>
      <c r="K882" s="7" t="s">
        <v>125</v>
      </c>
      <c r="L882" s="10"/>
      <c r="M882" s="10" t="s">
        <v>3802</v>
      </c>
      <c r="N882" s="8" t="n">
        <v>0</v>
      </c>
      <c r="O882" s="8" t="n">
        <v>0</v>
      </c>
      <c r="P882" s="8" t="n">
        <v>0</v>
      </c>
      <c r="Q882" s="8" t="n">
        <v>0</v>
      </c>
      <c r="R882" s="13" t="n">
        <v>0</v>
      </c>
      <c r="S882" s="13" t="n">
        <v>0</v>
      </c>
      <c r="T882" s="13"/>
      <c r="U882" s="11" t="n">
        <f aca="false">O882*4 + P882*2 + MAX(0,N882-O882-P882)*1 + Q882*0.2 + R882*2 + S882*1 + IF(T882="",0,IF(T882&lt;=10,8,IF(T882&lt;=50,6,IF(T882&lt;=100,4,2))))</f>
        <v>0</v>
      </c>
      <c r="V882" s="7"/>
      <c r="W882" s="12"/>
      <c r="X882" s="13"/>
      <c r="Y882" s="13" t="s">
        <v>3803</v>
      </c>
    </row>
    <row r="883" customFormat="false" ht="15.75" hidden="false" customHeight="true" outlineLevel="0" collapsed="false">
      <c r="A883" s="7" t="s">
        <v>3804</v>
      </c>
      <c r="B883" s="8" t="n">
        <v>2000</v>
      </c>
      <c r="C883" s="8" t="s">
        <v>35</v>
      </c>
      <c r="D883" s="8" t="n">
        <v>103</v>
      </c>
      <c r="E883" s="7" t="s">
        <v>1684</v>
      </c>
      <c r="F883" s="8" t="n">
        <v>7.7</v>
      </c>
      <c r="G883" s="8"/>
      <c r="H883" s="9" t="n">
        <v>42148</v>
      </c>
      <c r="I883" s="7" t="s">
        <v>2186</v>
      </c>
      <c r="J883" s="7" t="s">
        <v>579</v>
      </c>
      <c r="K883" s="7" t="s">
        <v>3805</v>
      </c>
      <c r="L883" s="10"/>
      <c r="M883" s="10" t="s">
        <v>3806</v>
      </c>
      <c r="N883" s="8" t="n">
        <v>0</v>
      </c>
      <c r="O883" s="8" t="n">
        <v>0</v>
      </c>
      <c r="P883" s="8" t="n">
        <v>0</v>
      </c>
      <c r="Q883" s="8" t="n">
        <v>0</v>
      </c>
      <c r="R883" s="13" t="n">
        <v>0</v>
      </c>
      <c r="S883" s="13" t="n">
        <v>0</v>
      </c>
      <c r="T883" s="13"/>
      <c r="U883" s="11" t="n">
        <f aca="false">O883*4 + P883*2 + MAX(0,N883-O883-P883)*1 + Q883*0.2 + R883*2 + S883*1 + IF(T883="",0,IF(T883&lt;=10,8,IF(T883&lt;=50,6,IF(T883&lt;=100,4,2))))</f>
        <v>0</v>
      </c>
      <c r="V883" s="7"/>
      <c r="W883" s="12"/>
      <c r="X883" s="13"/>
      <c r="Y883" s="13" t="s">
        <v>3807</v>
      </c>
    </row>
    <row r="884" customFormat="false" ht="15.75" hidden="false" customHeight="true" outlineLevel="0" collapsed="false">
      <c r="A884" s="7" t="s">
        <v>3808</v>
      </c>
      <c r="B884" s="8" t="n">
        <v>2008</v>
      </c>
      <c r="C884" s="8" t="s">
        <v>35</v>
      </c>
      <c r="D884" s="8" t="n">
        <v>67</v>
      </c>
      <c r="E884" s="7" t="s">
        <v>3809</v>
      </c>
      <c r="F884" s="8" t="n">
        <v>8.4</v>
      </c>
      <c r="G884" s="8"/>
      <c r="H884" s="9" t="n">
        <v>11516</v>
      </c>
      <c r="I884" s="7" t="s">
        <v>46</v>
      </c>
      <c r="J884" s="7"/>
      <c r="K884" s="12"/>
      <c r="L884" s="10"/>
      <c r="M884" s="10" t="s">
        <v>3810</v>
      </c>
      <c r="N884" s="8" t="n">
        <v>0</v>
      </c>
      <c r="O884" s="8" t="n">
        <v>0</v>
      </c>
      <c r="P884" s="8" t="n">
        <v>0</v>
      </c>
      <c r="Q884" s="8" t="n">
        <v>0</v>
      </c>
      <c r="R884" s="13" t="n">
        <v>0</v>
      </c>
      <c r="S884" s="13" t="n">
        <v>0</v>
      </c>
      <c r="T884" s="13"/>
      <c r="U884" s="11" t="n">
        <f aca="false">O884*4 + P884*2 + MAX(0,N884-O884-P884)*1 + Q884*0.2 + R884*2 + S884*1 + IF(T884="",0,IF(T884&lt;=10,8,IF(T884&lt;=50,6,IF(T884&lt;=100,4,2))))</f>
        <v>0</v>
      </c>
      <c r="V884" s="7"/>
      <c r="W884" s="12"/>
      <c r="X884" s="13"/>
      <c r="Y884" s="13" t="s">
        <v>3811</v>
      </c>
    </row>
    <row r="885" customFormat="false" ht="15.75" hidden="false" customHeight="true" outlineLevel="0" collapsed="false">
      <c r="A885" s="7" t="s">
        <v>3812</v>
      </c>
      <c r="B885" s="8" t="n">
        <v>2010</v>
      </c>
      <c r="C885" s="8" t="s">
        <v>176</v>
      </c>
      <c r="D885" s="8" t="n">
        <v>139</v>
      </c>
      <c r="E885" s="7" t="s">
        <v>3813</v>
      </c>
      <c r="F885" s="8" t="n">
        <v>7.8</v>
      </c>
      <c r="G885" s="8"/>
      <c r="H885" s="9" t="n">
        <v>14991</v>
      </c>
      <c r="I885" s="7" t="s">
        <v>430</v>
      </c>
      <c r="J885" s="7" t="s">
        <v>47</v>
      </c>
      <c r="K885" s="7"/>
      <c r="L885" s="10" t="s">
        <v>238</v>
      </c>
      <c r="M885" s="10" t="s">
        <v>3814</v>
      </c>
      <c r="N885" s="8" t="n">
        <v>0</v>
      </c>
      <c r="O885" s="8" t="n">
        <v>0</v>
      </c>
      <c r="P885" s="8" t="n">
        <v>0</v>
      </c>
      <c r="Q885" s="8" t="n">
        <v>0</v>
      </c>
      <c r="R885" s="13" t="n">
        <v>0</v>
      </c>
      <c r="S885" s="13" t="n">
        <v>0</v>
      </c>
      <c r="T885" s="13"/>
      <c r="U885" s="11" t="n">
        <f aca="false">O885*4 + P885*2 + MAX(0,N885-O885-P885)*1 + Q885*0.2 + R885*2 + S885*1 + IF(T885="",0,IF(T885&lt;=10,8,IF(T885&lt;=50,6,IF(T885&lt;=100,4,2))))</f>
        <v>0</v>
      </c>
      <c r="V885" s="7"/>
      <c r="W885" s="12"/>
      <c r="X885" s="13"/>
      <c r="Y885" s="13" t="s">
        <v>3815</v>
      </c>
    </row>
    <row r="886" customFormat="false" ht="15.75" hidden="false" customHeight="true" outlineLevel="0" collapsed="false">
      <c r="A886" s="7" t="s">
        <v>3816</v>
      </c>
      <c r="B886" s="8" t="n">
        <v>2012</v>
      </c>
      <c r="C886" s="8" t="s">
        <v>176</v>
      </c>
      <c r="D886" s="8" t="n">
        <v>62</v>
      </c>
      <c r="E886" s="7" t="s">
        <v>3817</v>
      </c>
      <c r="F886" s="8" t="n">
        <v>8.2</v>
      </c>
      <c r="G886" s="8"/>
      <c r="H886" s="9" t="n">
        <v>3284</v>
      </c>
      <c r="I886" s="7" t="s">
        <v>46</v>
      </c>
      <c r="J886" s="7"/>
      <c r="K886" s="12"/>
      <c r="L886" s="10" t="s">
        <v>205</v>
      </c>
      <c r="M886" s="10" t="s">
        <v>3818</v>
      </c>
      <c r="N886" s="8" t="n">
        <v>0</v>
      </c>
      <c r="O886" s="8" t="n">
        <v>0</v>
      </c>
      <c r="P886" s="8" t="n">
        <v>0</v>
      </c>
      <c r="Q886" s="8" t="n">
        <v>0</v>
      </c>
      <c r="R886" s="13" t="n">
        <v>0</v>
      </c>
      <c r="S886" s="13" t="n">
        <v>0</v>
      </c>
      <c r="T886" s="13"/>
      <c r="U886" s="11" t="n">
        <f aca="false">O886*4 + P886*2 + MAX(0,N886-O886-P886)*1 + Q886*0.2 + R886*2 + S886*1 + IF(T886="",0,IF(T886&lt;=10,8,IF(T886&lt;=50,6,IF(T886&lt;=100,4,2))))</f>
        <v>0</v>
      </c>
      <c r="V886" s="7"/>
      <c r="W886" s="12"/>
      <c r="X886" s="13"/>
      <c r="Y886" s="13" t="s">
        <v>3819</v>
      </c>
    </row>
    <row r="887" customFormat="false" ht="15.75" hidden="false" customHeight="true" outlineLevel="0" collapsed="false">
      <c r="A887" s="7" t="s">
        <v>3820</v>
      </c>
      <c r="B887" s="8" t="n">
        <v>2013</v>
      </c>
      <c r="C887" s="8" t="s">
        <v>176</v>
      </c>
      <c r="D887" s="8" t="n">
        <v>98</v>
      </c>
      <c r="E887" s="7" t="s">
        <v>3012</v>
      </c>
      <c r="F887" s="8" t="n">
        <v>7.5</v>
      </c>
      <c r="G887" s="8"/>
      <c r="H887" s="9" t="n">
        <v>16335</v>
      </c>
      <c r="I887" s="7" t="s">
        <v>3821</v>
      </c>
      <c r="J887" s="7" t="s">
        <v>29</v>
      </c>
      <c r="K887" s="7" t="s">
        <v>54</v>
      </c>
      <c r="L887" s="10"/>
      <c r="M887" s="10" t="s">
        <v>3822</v>
      </c>
      <c r="N887" s="8" t="n">
        <v>0</v>
      </c>
      <c r="O887" s="8" t="n">
        <v>0</v>
      </c>
      <c r="P887" s="8" t="n">
        <v>0</v>
      </c>
      <c r="Q887" s="8" t="n">
        <v>1</v>
      </c>
      <c r="R887" s="8" t="n">
        <v>0</v>
      </c>
      <c r="S887" s="8" t="n">
        <v>0</v>
      </c>
      <c r="T887" s="13"/>
      <c r="U887" s="11" t="n">
        <f aca="false">O887*4 + P887*2 + MAX(0,N887-O887-P887)*1 + Q887*0.2 + R887*2 + S887*1 + IF(T887="",0,IF(T887&lt;=10,8,IF(T887&lt;=50,6,IF(T887&lt;=100,4,2))))</f>
        <v>0.2</v>
      </c>
      <c r="V887" s="7"/>
      <c r="W887" s="12"/>
      <c r="X887" s="13"/>
      <c r="Y887" s="13" t="s">
        <v>3823</v>
      </c>
    </row>
    <row r="888" customFormat="false" ht="15.75" hidden="false" customHeight="true" outlineLevel="0" collapsed="false">
      <c r="A888" s="7" t="s">
        <v>3824</v>
      </c>
      <c r="B888" s="8" t="n">
        <v>2020</v>
      </c>
      <c r="C888" s="8" t="s">
        <v>378</v>
      </c>
      <c r="D888" s="8" t="n">
        <v>160</v>
      </c>
      <c r="E888" s="7" t="s">
        <v>3825</v>
      </c>
      <c r="F888" s="8" t="n">
        <v>8.3</v>
      </c>
      <c r="G888" s="8"/>
      <c r="H888" s="9" t="n">
        <v>141918</v>
      </c>
      <c r="I888" s="7" t="s">
        <v>46</v>
      </c>
      <c r="J888" s="7" t="s">
        <v>47</v>
      </c>
      <c r="K888" s="7" t="s">
        <v>48</v>
      </c>
      <c r="L888" s="10" t="s">
        <v>177</v>
      </c>
      <c r="M888" s="10" t="s">
        <v>3826</v>
      </c>
      <c r="N888" s="8" t="n">
        <v>0</v>
      </c>
      <c r="O888" s="8" t="n">
        <v>0</v>
      </c>
      <c r="P888" s="8" t="n">
        <v>0</v>
      </c>
      <c r="Q888" s="8" t="n">
        <v>0</v>
      </c>
      <c r="R888" s="13" t="n">
        <v>0</v>
      </c>
      <c r="S888" s="13" t="n">
        <v>0</v>
      </c>
      <c r="T888" s="13"/>
      <c r="U888" s="11" t="n">
        <f aca="false">O888*4 + P888*2 + MAX(0,N888-O888-P888)*1 + Q888*0.2 + R888*2 + S888*1 + IF(T888="",0,IF(T888&lt;=10,8,IF(T888&lt;=50,6,IF(T888&lt;=100,4,2))))</f>
        <v>0</v>
      </c>
      <c r="V888" s="7"/>
      <c r="W888" s="12"/>
      <c r="X888" s="13"/>
      <c r="Y888" s="13" t="s">
        <v>3827</v>
      </c>
    </row>
    <row r="889" customFormat="false" ht="15.75" hidden="false" customHeight="true" outlineLevel="0" collapsed="false">
      <c r="A889" s="7" t="s">
        <v>3828</v>
      </c>
      <c r="B889" s="8" t="n">
        <v>2005</v>
      </c>
      <c r="C889" s="8" t="s">
        <v>35</v>
      </c>
      <c r="D889" s="8" t="n">
        <v>140</v>
      </c>
      <c r="E889" s="7" t="s">
        <v>3061</v>
      </c>
      <c r="F889" s="8" t="n">
        <v>7.8</v>
      </c>
      <c r="G889" s="8"/>
      <c r="H889" s="9" t="n">
        <v>6598</v>
      </c>
      <c r="I889" s="7" t="s">
        <v>3829</v>
      </c>
      <c r="J889" s="7" t="s">
        <v>47</v>
      </c>
      <c r="K889" s="7"/>
      <c r="L889" s="10" t="s">
        <v>517</v>
      </c>
      <c r="M889" s="10" t="s">
        <v>3830</v>
      </c>
      <c r="N889" s="8" t="n">
        <v>0</v>
      </c>
      <c r="O889" s="8" t="n">
        <v>0</v>
      </c>
      <c r="P889" s="8" t="n">
        <v>0</v>
      </c>
      <c r="Q889" s="8" t="n">
        <v>0</v>
      </c>
      <c r="R889" s="13" t="n">
        <v>0</v>
      </c>
      <c r="S889" s="13" t="n">
        <v>0</v>
      </c>
      <c r="T889" s="13"/>
      <c r="U889" s="11" t="n">
        <f aca="false">O889*4 + P889*2 + MAX(0,N889-O889-P889)*1 + Q889*0.2 + R889*2 + S889*1 + IF(T889="",0,IF(T889&lt;=10,8,IF(T889&lt;=50,6,IF(T889&lt;=100,4,2))))</f>
        <v>0</v>
      </c>
      <c r="V889" s="7"/>
      <c r="W889" s="12"/>
      <c r="X889" s="13"/>
      <c r="Y889" s="13" t="s">
        <v>3831</v>
      </c>
    </row>
    <row r="890" customFormat="false" ht="15.75" hidden="false" customHeight="true" outlineLevel="0" collapsed="false">
      <c r="A890" s="7" t="s">
        <v>3832</v>
      </c>
      <c r="B890" s="8" t="n">
        <v>2021</v>
      </c>
      <c r="C890" s="8" t="s">
        <v>378</v>
      </c>
      <c r="D890" s="8" t="n">
        <v>149</v>
      </c>
      <c r="E890" s="7" t="s">
        <v>3833</v>
      </c>
      <c r="F890" s="8" t="n">
        <v>7.4</v>
      </c>
      <c r="G890" s="8"/>
      <c r="H890" s="9" t="n">
        <v>7846</v>
      </c>
      <c r="I890" s="7" t="s">
        <v>3398</v>
      </c>
      <c r="J890" s="7" t="s">
        <v>29</v>
      </c>
      <c r="K890" s="7" t="s">
        <v>47</v>
      </c>
      <c r="L890" s="10" t="s">
        <v>3681</v>
      </c>
      <c r="M890" s="10" t="s">
        <v>3834</v>
      </c>
      <c r="N890" s="8" t="n">
        <v>0</v>
      </c>
      <c r="O890" s="8" t="n">
        <v>0</v>
      </c>
      <c r="P890" s="8" t="n">
        <v>0</v>
      </c>
      <c r="Q890" s="8" t="n">
        <v>0</v>
      </c>
      <c r="R890" s="13" t="n">
        <v>0</v>
      </c>
      <c r="S890" s="13" t="n">
        <v>0</v>
      </c>
      <c r="T890" s="13"/>
      <c r="U890" s="11" t="n">
        <f aca="false">O890*4 + P890*2 + MAX(0,N890-O890-P890)*1 + Q890*0.2 + R890*2 + S890*1 + IF(T890="",0,IF(T890&lt;=10,8,IF(T890&lt;=50,6,IF(T890&lt;=100,4,2))))</f>
        <v>0</v>
      </c>
      <c r="V890" s="7"/>
      <c r="W890" s="12"/>
      <c r="X890" s="13"/>
      <c r="Y890" s="13" t="s">
        <v>3835</v>
      </c>
    </row>
    <row r="891" customFormat="false" ht="15.75" hidden="false" customHeight="true" outlineLevel="0" collapsed="false">
      <c r="A891" s="7" t="s">
        <v>3836</v>
      </c>
      <c r="B891" s="8" t="n">
        <v>2012</v>
      </c>
      <c r="C891" s="8" t="s">
        <v>176</v>
      </c>
      <c r="D891" s="8" t="n">
        <v>95</v>
      </c>
      <c r="E891" s="7" t="s">
        <v>3837</v>
      </c>
      <c r="F891" s="8" t="n">
        <v>7.7</v>
      </c>
      <c r="G891" s="8"/>
      <c r="H891" s="9" t="n">
        <v>13505</v>
      </c>
      <c r="I891" s="7" t="s">
        <v>124</v>
      </c>
      <c r="J891" s="7" t="s">
        <v>579</v>
      </c>
      <c r="K891" s="7" t="s">
        <v>112</v>
      </c>
      <c r="L891" s="10"/>
      <c r="M891" s="10" t="s">
        <v>3838</v>
      </c>
      <c r="N891" s="8" t="n">
        <v>0</v>
      </c>
      <c r="O891" s="8" t="n">
        <v>0</v>
      </c>
      <c r="P891" s="8" t="n">
        <v>0</v>
      </c>
      <c r="Q891" s="8" t="n">
        <v>0</v>
      </c>
      <c r="R891" s="13" t="n">
        <v>0</v>
      </c>
      <c r="S891" s="13" t="n">
        <v>0</v>
      </c>
      <c r="T891" s="13"/>
      <c r="U891" s="11" t="n">
        <f aca="false">O891*4 + P891*2 + MAX(0,N891-O891-P891)*1 + Q891*0.2 + R891*2 + S891*1 + IF(T891="",0,IF(T891&lt;=10,8,IF(T891&lt;=50,6,IF(T891&lt;=100,4,2))))</f>
        <v>0</v>
      </c>
      <c r="V891" s="7"/>
      <c r="W891" s="12"/>
      <c r="X891" s="13"/>
      <c r="Y891" s="13" t="s">
        <v>3839</v>
      </c>
    </row>
    <row r="892" customFormat="false" ht="15.75" hidden="false" customHeight="true" outlineLevel="0" collapsed="false">
      <c r="A892" s="7" t="s">
        <v>3840</v>
      </c>
      <c r="B892" s="8" t="n">
        <v>2000</v>
      </c>
      <c r="C892" s="8" t="s">
        <v>35</v>
      </c>
      <c r="D892" s="8" t="n">
        <v>173</v>
      </c>
      <c r="E892" s="7" t="s">
        <v>3841</v>
      </c>
      <c r="F892" s="8" t="n">
        <v>8.1</v>
      </c>
      <c r="G892" s="8"/>
      <c r="H892" s="9" t="n">
        <v>34771</v>
      </c>
      <c r="I892" s="7" t="s">
        <v>3842</v>
      </c>
      <c r="J892" s="7" t="s">
        <v>47</v>
      </c>
      <c r="K892" s="7" t="s">
        <v>259</v>
      </c>
      <c r="L892" s="10" t="s">
        <v>205</v>
      </c>
      <c r="M892" s="7" t="s">
        <v>3843</v>
      </c>
      <c r="N892" s="8" t="n">
        <v>0</v>
      </c>
      <c r="O892" s="8" t="n">
        <v>0</v>
      </c>
      <c r="P892" s="8" t="n">
        <v>0</v>
      </c>
      <c r="Q892" s="8" t="n">
        <v>0</v>
      </c>
      <c r="R892" s="8" t="n">
        <v>0</v>
      </c>
      <c r="S892" s="13" t="n">
        <v>0</v>
      </c>
      <c r="T892" s="8" t="n">
        <v>90</v>
      </c>
      <c r="U892" s="11" t="n">
        <f aca="false">O892*4 + P892*2 + MAX(0,N892-O892-P892)*1 + Q892*0.2 + R892*2 + S892*1 + IF(T892="",0,IF(T892&lt;=10,8,IF(T892&lt;=50,6,IF(T892&lt;=100,4,2))))</f>
        <v>4</v>
      </c>
      <c r="V892" s="7" t="s">
        <v>3844</v>
      </c>
      <c r="W892" s="12" t="s">
        <v>143</v>
      </c>
      <c r="X892" s="13"/>
      <c r="Y892" s="13" t="s">
        <v>3845</v>
      </c>
    </row>
    <row r="893" customFormat="false" ht="15.75" hidden="false" customHeight="true" outlineLevel="0" collapsed="false">
      <c r="A893" s="7" t="s">
        <v>3846</v>
      </c>
      <c r="B893" s="8" t="n">
        <v>2009</v>
      </c>
      <c r="C893" s="8" t="s">
        <v>35</v>
      </c>
      <c r="D893" s="8" t="n">
        <v>170</v>
      </c>
      <c r="E893" s="7" t="s">
        <v>3847</v>
      </c>
      <c r="F893" s="8" t="n">
        <v>8.4</v>
      </c>
      <c r="G893" s="8"/>
      <c r="H893" s="9" t="n">
        <v>487610</v>
      </c>
      <c r="I893" s="7" t="s">
        <v>3848</v>
      </c>
      <c r="J893" s="7" t="s">
        <v>30</v>
      </c>
      <c r="K893" s="7" t="s">
        <v>47</v>
      </c>
      <c r="L893" s="10"/>
      <c r="M893" s="7" t="s">
        <v>3849</v>
      </c>
      <c r="N893" s="8" t="n">
        <v>0</v>
      </c>
      <c r="O893" s="8" t="n">
        <v>0</v>
      </c>
      <c r="P893" s="8" t="n">
        <v>0</v>
      </c>
      <c r="Q893" s="8" t="n">
        <v>0</v>
      </c>
      <c r="R893" s="13" t="n">
        <v>0</v>
      </c>
      <c r="S893" s="13" t="n">
        <v>0</v>
      </c>
      <c r="T893" s="13"/>
      <c r="U893" s="11" t="n">
        <f aca="false">O893*4 + P893*2 + MAX(0,N893-O893-P893)*1 + Q893*0.2 + R893*2 + S893*1 + IF(T893="",0,IF(T893&lt;=10,8,IF(T893&lt;=50,6,IF(T893&lt;=100,4,2))))</f>
        <v>0</v>
      </c>
      <c r="V893" s="7"/>
      <c r="W893" s="12"/>
      <c r="X893" s="13"/>
      <c r="Y893" s="13" t="s">
        <v>3850</v>
      </c>
    </row>
    <row r="894" customFormat="false" ht="15.75" hidden="false" customHeight="true" outlineLevel="0" collapsed="false">
      <c r="A894" s="7" t="s">
        <v>3851</v>
      </c>
      <c r="B894" s="8" t="n">
        <v>2025</v>
      </c>
      <c r="C894" s="8" t="s">
        <v>378</v>
      </c>
      <c r="D894" s="8" t="n">
        <v>118</v>
      </c>
      <c r="E894" s="7" t="s">
        <v>1205</v>
      </c>
      <c r="F894" s="8" t="n">
        <v>7.4</v>
      </c>
      <c r="G894" s="8" t="n">
        <v>6</v>
      </c>
      <c r="H894" s="9" t="n">
        <v>217078</v>
      </c>
      <c r="I894" s="7" t="s">
        <v>46</v>
      </c>
      <c r="J894" s="7" t="s">
        <v>111</v>
      </c>
      <c r="K894" s="7" t="s">
        <v>54</v>
      </c>
      <c r="L894" s="10" t="s">
        <v>192</v>
      </c>
      <c r="M894" s="10" t="s">
        <v>3852</v>
      </c>
      <c r="N894" s="8" t="n">
        <v>0</v>
      </c>
      <c r="O894" s="8" t="n">
        <v>0</v>
      </c>
      <c r="P894" s="8" t="n">
        <v>0</v>
      </c>
      <c r="Q894" s="8" t="n">
        <v>4</v>
      </c>
      <c r="R894" s="8" t="n">
        <v>0</v>
      </c>
      <c r="S894" s="8" t="n">
        <v>0</v>
      </c>
      <c r="T894" s="13"/>
      <c r="U894" s="11" t="n">
        <f aca="false">O894*4 + P894*2 + MAX(0,N894-O894-P894)*1 + Q894*0.2 + R894*2 + S894*1 + IF(T894="",0,IF(T894&lt;=10,8,IF(T894&lt;=50,6,IF(T894&lt;=100,4,2))))</f>
        <v>0.8</v>
      </c>
      <c r="V894" s="7"/>
      <c r="W894" s="12"/>
      <c r="X894" s="13"/>
      <c r="Y894" s="13" t="s">
        <v>3853</v>
      </c>
    </row>
    <row r="895" customFormat="false" ht="15.75" hidden="false" customHeight="true" outlineLevel="0" collapsed="false">
      <c r="A895" s="7" t="s">
        <v>3854</v>
      </c>
      <c r="B895" s="8" t="n">
        <v>2002</v>
      </c>
      <c r="C895" s="8" t="s">
        <v>35</v>
      </c>
      <c r="D895" s="8" t="n">
        <v>103</v>
      </c>
      <c r="E895" s="7" t="s">
        <v>3397</v>
      </c>
      <c r="F895" s="8" t="n">
        <v>7.5</v>
      </c>
      <c r="G895" s="8" t="n">
        <v>5</v>
      </c>
      <c r="H895" s="9" t="n">
        <v>10615</v>
      </c>
      <c r="I895" s="7" t="s">
        <v>3398</v>
      </c>
      <c r="J895" s="7" t="s">
        <v>47</v>
      </c>
      <c r="K895" s="7" t="s">
        <v>125</v>
      </c>
      <c r="L895" s="10"/>
      <c r="M895" s="10" t="s">
        <v>3855</v>
      </c>
      <c r="N895" s="8" t="n">
        <v>0</v>
      </c>
      <c r="O895" s="8" t="n">
        <v>0</v>
      </c>
      <c r="P895" s="8" t="n">
        <v>0</v>
      </c>
      <c r="Q895" s="8" t="n">
        <v>0</v>
      </c>
      <c r="R895" s="13" t="n">
        <v>0</v>
      </c>
      <c r="S895" s="13" t="n">
        <v>0</v>
      </c>
      <c r="T895" s="13"/>
      <c r="U895" s="11" t="n">
        <f aca="false">O895*4 + P895*2 + MAX(0,N895-O895-P895)*1 + Q895*0.2 + R895*2 + S895*1 + IF(T895="",0,IF(T895&lt;=10,8,IF(T895&lt;=50,6,IF(T895&lt;=100,4,2))))</f>
        <v>0</v>
      </c>
      <c r="V895" s="7"/>
      <c r="W895" s="12"/>
      <c r="X895" s="13"/>
      <c r="Y895" s="13" t="s">
        <v>3856</v>
      </c>
    </row>
    <row r="896" customFormat="false" ht="15.75" hidden="false" customHeight="true" outlineLevel="0" collapsed="false">
      <c r="A896" s="7" t="s">
        <v>3857</v>
      </c>
      <c r="B896" s="8" t="n">
        <v>2013</v>
      </c>
      <c r="C896" s="8" t="s">
        <v>176</v>
      </c>
      <c r="D896" s="8" t="n">
        <v>110</v>
      </c>
      <c r="E896" s="7" t="s">
        <v>3837</v>
      </c>
      <c r="F896" s="8" t="n">
        <v>7.9</v>
      </c>
      <c r="G896" s="8"/>
      <c r="H896" s="9" t="n">
        <v>13496</v>
      </c>
      <c r="I896" s="7" t="s">
        <v>124</v>
      </c>
      <c r="J896" s="7" t="s">
        <v>579</v>
      </c>
      <c r="K896" s="7" t="s">
        <v>112</v>
      </c>
      <c r="L896" s="10"/>
      <c r="M896" s="10" t="s">
        <v>3858</v>
      </c>
      <c r="N896" s="8" t="n">
        <v>0</v>
      </c>
      <c r="O896" s="8" t="n">
        <v>0</v>
      </c>
      <c r="P896" s="8" t="n">
        <v>0</v>
      </c>
      <c r="Q896" s="8" t="n">
        <v>0</v>
      </c>
      <c r="R896" s="13" t="n">
        <v>0</v>
      </c>
      <c r="S896" s="13" t="n">
        <v>0</v>
      </c>
      <c r="T896" s="13"/>
      <c r="U896" s="11" t="n">
        <f aca="false">O896*4 + P896*2 + MAX(0,N896-O896-P896)*1 + Q896*0.2 + R896*2 + S896*1 + IF(T896="",0,IF(T896&lt;=10,8,IF(T896&lt;=50,6,IF(T896&lt;=100,4,2))))</f>
        <v>0</v>
      </c>
      <c r="V896" s="7"/>
      <c r="W896" s="12"/>
      <c r="X896" s="13"/>
      <c r="Y896" s="13" t="s">
        <v>3859</v>
      </c>
    </row>
    <row r="897" customFormat="false" ht="15.75" hidden="false" customHeight="true" outlineLevel="0" collapsed="false">
      <c r="A897" s="7" t="s">
        <v>3860</v>
      </c>
      <c r="B897" s="8" t="n">
        <v>2004</v>
      </c>
      <c r="C897" s="8" t="s">
        <v>35</v>
      </c>
      <c r="D897" s="8" t="n">
        <v>103</v>
      </c>
      <c r="E897" s="7" t="s">
        <v>3861</v>
      </c>
      <c r="F897" s="8" t="n">
        <v>7.3</v>
      </c>
      <c r="G897" s="8"/>
      <c r="H897" s="9" t="n">
        <v>7231</v>
      </c>
      <c r="I897" s="7" t="s">
        <v>3862</v>
      </c>
      <c r="J897" s="7" t="s">
        <v>131</v>
      </c>
      <c r="K897" s="7" t="s">
        <v>125</v>
      </c>
      <c r="L897" s="10"/>
      <c r="M897" s="10" t="s">
        <v>3863</v>
      </c>
      <c r="N897" s="8" t="n">
        <v>0</v>
      </c>
      <c r="O897" s="8" t="n">
        <v>0</v>
      </c>
      <c r="P897" s="8" t="n">
        <v>0</v>
      </c>
      <c r="Q897" s="8" t="n">
        <v>0</v>
      </c>
      <c r="R897" s="13" t="n">
        <v>0</v>
      </c>
      <c r="S897" s="13" t="n">
        <v>0</v>
      </c>
      <c r="T897" s="13"/>
      <c r="U897" s="11" t="n">
        <f aca="false">O897*4 + P897*2 + MAX(0,N897-O897-P897)*1 + Q897*0.2 + R897*2 + S897*1 + IF(T897="",0,IF(T897&lt;=10,8,IF(T897&lt;=50,6,IF(T897&lt;=100,4,2))))</f>
        <v>0</v>
      </c>
      <c r="V897" s="7"/>
      <c r="W897" s="12"/>
      <c r="X897" s="13"/>
      <c r="Y897" s="13" t="s">
        <v>3864</v>
      </c>
    </row>
    <row r="898" customFormat="false" ht="15.75" hidden="false" customHeight="true" outlineLevel="0" collapsed="false">
      <c r="A898" s="7" t="s">
        <v>3865</v>
      </c>
      <c r="B898" s="8" t="n">
        <v>2019</v>
      </c>
      <c r="C898" s="8" t="s">
        <v>176</v>
      </c>
      <c r="D898" s="8" t="n">
        <v>185</v>
      </c>
      <c r="E898" s="7" t="s">
        <v>3866</v>
      </c>
      <c r="F898" s="8" t="n">
        <v>7.7</v>
      </c>
      <c r="G898" s="8"/>
      <c r="H898" s="9" t="n">
        <v>6176</v>
      </c>
      <c r="I898" s="7" t="s">
        <v>967</v>
      </c>
      <c r="J898" s="7" t="s">
        <v>47</v>
      </c>
      <c r="K898" s="7"/>
      <c r="L898" s="10" t="s">
        <v>804</v>
      </c>
      <c r="M898" s="10" t="s">
        <v>3867</v>
      </c>
      <c r="N898" s="8" t="n">
        <v>0</v>
      </c>
      <c r="O898" s="8" t="n">
        <v>0</v>
      </c>
      <c r="P898" s="8" t="n">
        <v>0</v>
      </c>
      <c r="Q898" s="8" t="n">
        <v>0</v>
      </c>
      <c r="R898" s="13" t="n">
        <v>0</v>
      </c>
      <c r="S898" s="13" t="n">
        <v>0</v>
      </c>
      <c r="T898" s="13"/>
      <c r="U898" s="11" t="n">
        <f aca="false">O898*4 + P898*2 + MAX(0,N898-O898-P898)*1 + Q898*0.2 + R898*2 + S898*1 + IF(T898="",0,IF(T898&lt;=10,8,IF(T898&lt;=50,6,IF(T898&lt;=100,4,2))))</f>
        <v>0</v>
      </c>
      <c r="V898" s="7"/>
      <c r="W898" s="12"/>
      <c r="X898" s="13"/>
      <c r="Y898" s="13" t="s">
        <v>3868</v>
      </c>
    </row>
    <row r="899" customFormat="false" ht="15.75" hidden="false" customHeight="true" outlineLevel="0" collapsed="false">
      <c r="A899" s="7" t="s">
        <v>3869</v>
      </c>
      <c r="B899" s="8" t="n">
        <v>2015</v>
      </c>
      <c r="C899" s="8" t="s">
        <v>176</v>
      </c>
      <c r="D899" s="8" t="n">
        <v>112</v>
      </c>
      <c r="E899" s="7" t="s">
        <v>3870</v>
      </c>
      <c r="F899" s="8" t="n">
        <v>7.8</v>
      </c>
      <c r="G899" s="8"/>
      <c r="H899" s="9" t="n">
        <v>19551</v>
      </c>
      <c r="I899" s="7" t="s">
        <v>139</v>
      </c>
      <c r="J899" s="7" t="s">
        <v>30</v>
      </c>
      <c r="K899" s="7" t="s">
        <v>47</v>
      </c>
      <c r="L899" s="10"/>
      <c r="M899" s="10" t="s">
        <v>3871</v>
      </c>
      <c r="N899" s="8" t="n">
        <v>0</v>
      </c>
      <c r="O899" s="8" t="n">
        <v>0</v>
      </c>
      <c r="P899" s="8" t="n">
        <v>0</v>
      </c>
      <c r="Q899" s="8" t="n">
        <v>0</v>
      </c>
      <c r="R899" s="13" t="n">
        <v>0</v>
      </c>
      <c r="S899" s="13" t="n">
        <v>0</v>
      </c>
      <c r="T899" s="13"/>
      <c r="U899" s="11" t="n">
        <f aca="false">O899*4 + P899*2 + MAX(0,N899-O899-P899)*1 + Q899*0.2 + R899*2 + S899*1 + IF(T899="",0,IF(T899&lt;=10,8,IF(T899&lt;=50,6,IF(T899&lt;=100,4,2))))</f>
        <v>0</v>
      </c>
      <c r="V899" s="7"/>
      <c r="W899" s="12"/>
      <c r="X899" s="13"/>
      <c r="Y899" s="13" t="s">
        <v>3872</v>
      </c>
    </row>
    <row r="900" customFormat="false" ht="15.75" hidden="false" customHeight="true" outlineLevel="0" collapsed="false">
      <c r="A900" s="7" t="s">
        <v>3873</v>
      </c>
      <c r="B900" s="8" t="n">
        <v>2002</v>
      </c>
      <c r="C900" s="8" t="s">
        <v>35</v>
      </c>
      <c r="D900" s="8" t="n">
        <v>95</v>
      </c>
      <c r="E900" s="7" t="s">
        <v>3874</v>
      </c>
      <c r="F900" s="8" t="n">
        <v>7.2</v>
      </c>
      <c r="G900" s="8"/>
      <c r="H900" s="9" t="n">
        <v>2695</v>
      </c>
      <c r="I900" s="7" t="s">
        <v>3875</v>
      </c>
      <c r="J900" s="7" t="s">
        <v>131</v>
      </c>
      <c r="K900" s="7" t="s">
        <v>54</v>
      </c>
      <c r="L900" s="10" t="s">
        <v>205</v>
      </c>
      <c r="M900" s="10" t="s">
        <v>3876</v>
      </c>
      <c r="N900" s="8" t="n">
        <v>0</v>
      </c>
      <c r="O900" s="8" t="n">
        <v>0</v>
      </c>
      <c r="P900" s="8" t="n">
        <v>0</v>
      </c>
      <c r="Q900" s="8" t="n">
        <v>0</v>
      </c>
      <c r="R900" s="13" t="n">
        <v>0</v>
      </c>
      <c r="S900" s="13" t="n">
        <v>0</v>
      </c>
      <c r="T900" s="13"/>
      <c r="U900" s="11" t="n">
        <f aca="false">O900*4 + P900*2 + MAX(0,N900-O900-P900)*1 + Q900*0.2 + R900*2 + S900*1 + IF(T900="",0,IF(T900&lt;=10,8,IF(T900&lt;=50,6,IF(T900&lt;=100,4,2))))</f>
        <v>0</v>
      </c>
      <c r="V900" s="7"/>
      <c r="W900" s="12"/>
      <c r="X900" s="13"/>
      <c r="Y900" s="13" t="s">
        <v>3877</v>
      </c>
    </row>
    <row r="901" customFormat="false" ht="15.75" hidden="false" customHeight="true" outlineLevel="0" collapsed="false">
      <c r="A901" s="7" t="s">
        <v>3878</v>
      </c>
      <c r="B901" s="8" t="n">
        <v>2006</v>
      </c>
      <c r="C901" s="8" t="s">
        <v>35</v>
      </c>
      <c r="D901" s="8" t="n">
        <v>111</v>
      </c>
      <c r="E901" s="7" t="s">
        <v>3879</v>
      </c>
      <c r="F901" s="8" t="n">
        <v>7.5</v>
      </c>
      <c r="G901" s="8"/>
      <c r="H901" s="9" t="n">
        <v>15727</v>
      </c>
      <c r="I901" s="7" t="s">
        <v>124</v>
      </c>
      <c r="J901" s="7" t="s">
        <v>579</v>
      </c>
      <c r="K901" s="7" t="s">
        <v>112</v>
      </c>
      <c r="L901" s="10"/>
      <c r="M901" s="10" t="s">
        <v>3880</v>
      </c>
      <c r="N901" s="8" t="n">
        <v>0</v>
      </c>
      <c r="O901" s="8" t="n">
        <v>0</v>
      </c>
      <c r="P901" s="8" t="n">
        <v>0</v>
      </c>
      <c r="Q901" s="8" t="n">
        <v>0</v>
      </c>
      <c r="R901" s="13" t="n">
        <v>0</v>
      </c>
      <c r="S901" s="13" t="n">
        <v>0</v>
      </c>
      <c r="T901" s="13"/>
      <c r="U901" s="11" t="n">
        <f aca="false">O901*4 + P901*2 + MAX(0,N901-O901-P901)*1 + Q901*0.2 + R901*2 + S901*1 + IF(T901="",0,IF(T901&lt;=10,8,IF(T901&lt;=50,6,IF(T901&lt;=100,4,2))))</f>
        <v>0</v>
      </c>
      <c r="V901" s="7"/>
      <c r="W901" s="12"/>
      <c r="X901" s="13"/>
      <c r="Y901" s="13" t="s">
        <v>3881</v>
      </c>
    </row>
    <row r="902" customFormat="false" ht="15.75" hidden="false" customHeight="true" outlineLevel="0" collapsed="false">
      <c r="A902" s="7" t="s">
        <v>3882</v>
      </c>
      <c r="B902" s="8" t="n">
        <v>2000</v>
      </c>
      <c r="C902" s="8" t="s">
        <v>35</v>
      </c>
      <c r="D902" s="8" t="n">
        <v>106</v>
      </c>
      <c r="E902" s="7" t="s">
        <v>3017</v>
      </c>
      <c r="F902" s="8" t="n">
        <v>7.4</v>
      </c>
      <c r="G902" s="8"/>
      <c r="H902" s="9" t="n">
        <v>24326</v>
      </c>
      <c r="I902" s="7" t="s">
        <v>1438</v>
      </c>
      <c r="J902" s="7" t="s">
        <v>29</v>
      </c>
      <c r="K902" s="7" t="s">
        <v>30</v>
      </c>
      <c r="L902" s="10"/>
      <c r="M902" s="10" t="s">
        <v>3883</v>
      </c>
      <c r="N902" s="8" t="n">
        <v>0</v>
      </c>
      <c r="O902" s="8" t="n">
        <v>0</v>
      </c>
      <c r="P902" s="8" t="n">
        <v>0</v>
      </c>
      <c r="Q902" s="8" t="n">
        <v>0</v>
      </c>
      <c r="R902" s="13" t="n">
        <v>0</v>
      </c>
      <c r="S902" s="13" t="n">
        <v>0</v>
      </c>
      <c r="T902" s="13"/>
      <c r="U902" s="11" t="n">
        <f aca="false">O902*4 + P902*2 + MAX(0,N902-O902-P902)*1 + Q902*0.2 + R902*2 + S902*1 + IF(T902="",0,IF(T902&lt;=10,8,IF(T902&lt;=50,6,IF(T902&lt;=100,4,2))))</f>
        <v>0</v>
      </c>
      <c r="V902" s="7"/>
      <c r="W902" s="12"/>
      <c r="X902" s="13"/>
      <c r="Y902" s="13" t="s">
        <v>3884</v>
      </c>
    </row>
    <row r="903" customFormat="false" ht="15.75" hidden="false" customHeight="true" outlineLevel="0" collapsed="false">
      <c r="A903" s="7" t="s">
        <v>3885</v>
      </c>
      <c r="B903" s="8" t="n">
        <v>2002</v>
      </c>
      <c r="C903" s="8" t="s">
        <v>35</v>
      </c>
      <c r="D903" s="8" t="n">
        <v>88</v>
      </c>
      <c r="E903" s="7" t="s">
        <v>1599</v>
      </c>
      <c r="F903" s="8" t="n">
        <v>7.3</v>
      </c>
      <c r="G903" s="8"/>
      <c r="H903" s="9" t="n">
        <v>4549</v>
      </c>
      <c r="I903" s="7" t="s">
        <v>280</v>
      </c>
      <c r="J903" s="7"/>
      <c r="K903" s="12"/>
      <c r="L903" s="10"/>
      <c r="M903" s="10" t="s">
        <v>3886</v>
      </c>
      <c r="N903" s="8" t="n">
        <v>0</v>
      </c>
      <c r="O903" s="8" t="n">
        <v>0</v>
      </c>
      <c r="P903" s="8" t="n">
        <v>0</v>
      </c>
      <c r="Q903" s="8" t="n">
        <v>0</v>
      </c>
      <c r="R903" s="13" t="n">
        <v>0</v>
      </c>
      <c r="S903" s="13" t="n">
        <v>0</v>
      </c>
      <c r="T903" s="13"/>
      <c r="U903" s="11" t="n">
        <f aca="false">O903*4 + P903*2 + MAX(0,N903-O903-P903)*1 + Q903*0.2 + R903*2 + S903*1 + IF(T903="",0,IF(T903&lt;=10,8,IF(T903&lt;=50,6,IF(T903&lt;=100,4,2))))</f>
        <v>0</v>
      </c>
      <c r="V903" s="7"/>
      <c r="W903" s="12"/>
      <c r="X903" s="13"/>
      <c r="Y903" s="13" t="s">
        <v>3887</v>
      </c>
    </row>
    <row r="904" customFormat="false" ht="15.75" hidden="false" customHeight="true" outlineLevel="0" collapsed="false">
      <c r="A904" s="7" t="s">
        <v>3888</v>
      </c>
      <c r="B904" s="8" t="n">
        <v>2002</v>
      </c>
      <c r="C904" s="8" t="s">
        <v>35</v>
      </c>
      <c r="D904" s="8" t="n">
        <v>80</v>
      </c>
      <c r="E904" s="7" t="s">
        <v>3889</v>
      </c>
      <c r="F904" s="8" t="n">
        <v>7.7</v>
      </c>
      <c r="G904" s="8"/>
      <c r="H904" s="9" t="n">
        <v>6373</v>
      </c>
      <c r="I904" s="7" t="s">
        <v>430</v>
      </c>
      <c r="J904" s="7" t="s">
        <v>47</v>
      </c>
      <c r="K904" s="7"/>
      <c r="L904" s="10"/>
      <c r="M904" s="10" t="s">
        <v>3890</v>
      </c>
      <c r="N904" s="8" t="n">
        <v>0</v>
      </c>
      <c r="O904" s="8" t="n">
        <v>0</v>
      </c>
      <c r="P904" s="8" t="n">
        <v>0</v>
      </c>
      <c r="Q904" s="8" t="n">
        <v>0</v>
      </c>
      <c r="R904" s="13" t="n">
        <v>0</v>
      </c>
      <c r="S904" s="13" t="n">
        <v>0</v>
      </c>
      <c r="T904" s="13"/>
      <c r="U904" s="11" t="n">
        <f aca="false">O904*4 + P904*2 + MAX(0,N904-O904-P904)*1 + Q904*0.2 + R904*2 + S904*1 + IF(T904="",0,IF(T904&lt;=10,8,IF(T904&lt;=50,6,IF(T904&lt;=100,4,2))))</f>
        <v>0</v>
      </c>
      <c r="V904" s="7"/>
      <c r="W904" s="12"/>
      <c r="X904" s="13"/>
      <c r="Y904" s="13" t="s">
        <v>3891</v>
      </c>
    </row>
    <row r="905" customFormat="false" ht="15.75" hidden="false" customHeight="true" outlineLevel="0" collapsed="false">
      <c r="A905" s="7" t="s">
        <v>3892</v>
      </c>
      <c r="B905" s="8" t="n">
        <v>2004</v>
      </c>
      <c r="C905" s="8" t="s">
        <v>35</v>
      </c>
      <c r="D905" s="8" t="n">
        <v>90</v>
      </c>
      <c r="E905" s="7" t="s">
        <v>1004</v>
      </c>
      <c r="F905" s="8" t="n">
        <v>7.5</v>
      </c>
      <c r="G905" s="8"/>
      <c r="H905" s="9" t="n">
        <v>63676</v>
      </c>
      <c r="I905" s="7" t="s">
        <v>280</v>
      </c>
      <c r="J905" s="7" t="s">
        <v>131</v>
      </c>
      <c r="K905" s="7" t="s">
        <v>54</v>
      </c>
      <c r="L905" s="10"/>
      <c r="M905" s="10" t="s">
        <v>3893</v>
      </c>
      <c r="N905" s="8" t="n">
        <v>0</v>
      </c>
      <c r="O905" s="8" t="n">
        <v>0</v>
      </c>
      <c r="P905" s="8" t="n">
        <v>0</v>
      </c>
      <c r="Q905" s="8" t="n">
        <v>0</v>
      </c>
      <c r="R905" s="13" t="n">
        <v>0</v>
      </c>
      <c r="S905" s="13" t="n">
        <v>0</v>
      </c>
      <c r="T905" s="13"/>
      <c r="U905" s="11" t="n">
        <f aca="false">O905*4 + P905*2 + MAX(0,N905-O905-P905)*1 + Q905*0.2 + R905*2 + S905*1 + IF(T905="",0,IF(T905&lt;=10,8,IF(T905&lt;=50,6,IF(T905&lt;=100,4,2))))</f>
        <v>0</v>
      </c>
      <c r="V905" s="7"/>
      <c r="W905" s="12"/>
      <c r="X905" s="13"/>
      <c r="Y905" s="13" t="s">
        <v>3894</v>
      </c>
    </row>
    <row r="906" customFormat="false" ht="15.75" hidden="false" customHeight="true" outlineLevel="0" collapsed="false">
      <c r="A906" s="7" t="s">
        <v>3895</v>
      </c>
      <c r="B906" s="8" t="n">
        <v>2013</v>
      </c>
      <c r="C906" s="8" t="s">
        <v>176</v>
      </c>
      <c r="D906" s="8" t="n">
        <v>108</v>
      </c>
      <c r="E906" s="7" t="s">
        <v>3896</v>
      </c>
      <c r="F906" s="8" t="n">
        <v>7.6</v>
      </c>
      <c r="G906" s="8"/>
      <c r="H906" s="9" t="n">
        <v>5402</v>
      </c>
      <c r="I906" s="7" t="s">
        <v>3897</v>
      </c>
      <c r="J906" s="7" t="s">
        <v>47</v>
      </c>
      <c r="K906" s="7"/>
      <c r="L906" s="10"/>
      <c r="M906" s="10" t="s">
        <v>3898</v>
      </c>
      <c r="N906" s="8" t="n">
        <v>0</v>
      </c>
      <c r="O906" s="8" t="n">
        <v>0</v>
      </c>
      <c r="P906" s="8" t="n">
        <v>0</v>
      </c>
      <c r="Q906" s="8" t="n">
        <v>0</v>
      </c>
      <c r="R906" s="13" t="n">
        <v>0</v>
      </c>
      <c r="S906" s="13" t="n">
        <v>0</v>
      </c>
      <c r="T906" s="13"/>
      <c r="U906" s="11" t="n">
        <f aca="false">O906*4 + P906*2 + MAX(0,N906-O906-P906)*1 + Q906*0.2 + R906*2 + S906*1 + IF(T906="",0,IF(T906&lt;=10,8,IF(T906&lt;=50,6,IF(T906&lt;=100,4,2))))</f>
        <v>0</v>
      </c>
      <c r="V906" s="7"/>
      <c r="W906" s="12"/>
      <c r="X906" s="13"/>
      <c r="Y906" s="13" t="s">
        <v>3899</v>
      </c>
    </row>
    <row r="907" customFormat="false" ht="15.75" hidden="false" customHeight="true" outlineLevel="0" collapsed="false">
      <c r="A907" s="7" t="s">
        <v>3900</v>
      </c>
      <c r="B907" s="8" t="n">
        <v>2012</v>
      </c>
      <c r="C907" s="8" t="s">
        <v>176</v>
      </c>
      <c r="D907" s="8" t="n">
        <v>118</v>
      </c>
      <c r="E907" s="7" t="s">
        <v>3901</v>
      </c>
      <c r="F907" s="8" t="n">
        <v>7.3</v>
      </c>
      <c r="G907" s="8"/>
      <c r="H907" s="9" t="n">
        <v>7987</v>
      </c>
      <c r="I907" s="7" t="s">
        <v>3902</v>
      </c>
      <c r="J907" s="7" t="s">
        <v>29</v>
      </c>
      <c r="K907" s="7" t="s">
        <v>516</v>
      </c>
      <c r="L907" s="10" t="s">
        <v>374</v>
      </c>
      <c r="M907" s="10" t="s">
        <v>3903</v>
      </c>
      <c r="N907" s="8" t="n">
        <v>0</v>
      </c>
      <c r="O907" s="8" t="n">
        <v>0</v>
      </c>
      <c r="P907" s="8" t="n">
        <v>0</v>
      </c>
      <c r="Q907" s="8" t="n">
        <v>0</v>
      </c>
      <c r="R907" s="13" t="n">
        <v>0</v>
      </c>
      <c r="S907" s="13" t="n">
        <v>0</v>
      </c>
      <c r="T907" s="13"/>
      <c r="U907" s="11" t="n">
        <f aca="false">O907*4 + P907*2 + MAX(0,N907-O907-P907)*1 + Q907*0.2 + R907*2 + S907*1 + IF(T907="",0,IF(T907&lt;=10,8,IF(T907&lt;=50,6,IF(T907&lt;=100,4,2))))</f>
        <v>0</v>
      </c>
      <c r="V907" s="7"/>
      <c r="W907" s="12"/>
      <c r="X907" s="13"/>
      <c r="Y907" s="13" t="s">
        <v>3904</v>
      </c>
    </row>
    <row r="908" customFormat="false" ht="15.75" hidden="false" customHeight="true" outlineLevel="0" collapsed="false">
      <c r="A908" s="7" t="s">
        <v>3905</v>
      </c>
      <c r="B908" s="8" t="n">
        <v>2008</v>
      </c>
      <c r="C908" s="8" t="s">
        <v>35</v>
      </c>
      <c r="D908" s="8" t="n">
        <v>83</v>
      </c>
      <c r="E908" s="7" t="s">
        <v>3271</v>
      </c>
      <c r="F908" s="8" t="n">
        <v>7.8</v>
      </c>
      <c r="G908" s="8"/>
      <c r="H908" s="9" t="n">
        <v>16212</v>
      </c>
      <c r="I908" s="7" t="s">
        <v>2186</v>
      </c>
      <c r="J908" s="7" t="s">
        <v>579</v>
      </c>
      <c r="K908" s="7" t="s">
        <v>54</v>
      </c>
      <c r="L908" s="10"/>
      <c r="M908" s="10" t="s">
        <v>3906</v>
      </c>
      <c r="N908" s="8" t="n">
        <v>0</v>
      </c>
      <c r="O908" s="8" t="n">
        <v>0</v>
      </c>
      <c r="P908" s="8" t="n">
        <v>0</v>
      </c>
      <c r="Q908" s="8" t="n">
        <v>0</v>
      </c>
      <c r="R908" s="13" t="n">
        <v>0</v>
      </c>
      <c r="S908" s="13" t="n">
        <v>0</v>
      </c>
      <c r="T908" s="13"/>
      <c r="U908" s="11" t="n">
        <f aca="false">O908*4 + P908*2 + MAX(0,N908-O908-P908)*1 + Q908*0.2 + R908*2 + S908*1 + IF(T908="",0,IF(T908&lt;=10,8,IF(T908&lt;=50,6,IF(T908&lt;=100,4,2))))</f>
        <v>0</v>
      </c>
      <c r="V908" s="7"/>
      <c r="W908" s="12"/>
      <c r="X908" s="13"/>
      <c r="Y908" s="13" t="s">
        <v>3907</v>
      </c>
    </row>
    <row r="909" customFormat="false" ht="15.75" hidden="false" customHeight="true" outlineLevel="0" collapsed="false">
      <c r="A909" s="7" t="s">
        <v>3908</v>
      </c>
      <c r="B909" s="8" t="n">
        <v>2006</v>
      </c>
      <c r="C909" s="8" t="s">
        <v>35</v>
      </c>
      <c r="D909" s="8" t="n">
        <v>103</v>
      </c>
      <c r="E909" s="7" t="s">
        <v>3874</v>
      </c>
      <c r="F909" s="8" t="n">
        <v>7.1</v>
      </c>
      <c r="G909" s="8"/>
      <c r="H909" s="9" t="n">
        <v>3837</v>
      </c>
      <c r="I909" s="7" t="s">
        <v>292</v>
      </c>
      <c r="J909" s="7" t="s">
        <v>131</v>
      </c>
      <c r="K909" s="7" t="s">
        <v>54</v>
      </c>
      <c r="L909" s="10"/>
      <c r="M909" s="10" t="s">
        <v>3909</v>
      </c>
      <c r="N909" s="8" t="n">
        <v>0</v>
      </c>
      <c r="O909" s="8" t="n">
        <v>0</v>
      </c>
      <c r="P909" s="8" t="n">
        <v>0</v>
      </c>
      <c r="Q909" s="8" t="n">
        <v>0</v>
      </c>
      <c r="R909" s="13" t="n">
        <v>0</v>
      </c>
      <c r="S909" s="13" t="n">
        <v>0</v>
      </c>
      <c r="T909" s="13"/>
      <c r="U909" s="11" t="n">
        <f aca="false">O909*4 + P909*2 + MAX(0,N909-O909-P909)*1 + Q909*0.2 + R909*2 + S909*1 + IF(T909="",0,IF(T909&lt;=10,8,IF(T909&lt;=50,6,IF(T909&lt;=100,4,2))))</f>
        <v>0</v>
      </c>
      <c r="V909" s="7"/>
      <c r="W909" s="12"/>
      <c r="X909" s="13"/>
      <c r="Y909" s="13" t="s">
        <v>3910</v>
      </c>
    </row>
    <row r="910" customFormat="false" ht="15.75" hidden="false" customHeight="true" outlineLevel="0" collapsed="false">
      <c r="A910" s="7" t="s">
        <v>3911</v>
      </c>
      <c r="B910" s="8" t="n">
        <v>2020</v>
      </c>
      <c r="C910" s="8" t="s">
        <v>378</v>
      </c>
      <c r="D910" s="8" t="n">
        <v>71</v>
      </c>
      <c r="E910" s="7" t="s">
        <v>3912</v>
      </c>
      <c r="F910" s="8" t="n">
        <v>7.3</v>
      </c>
      <c r="G910" s="8"/>
      <c r="H910" s="9" t="n">
        <v>2369</v>
      </c>
      <c r="I910" s="7" t="s">
        <v>3398</v>
      </c>
      <c r="J910" s="7" t="s">
        <v>579</v>
      </c>
      <c r="K910" s="7" t="s">
        <v>48</v>
      </c>
      <c r="L910" s="10" t="s">
        <v>3913</v>
      </c>
      <c r="M910" s="10" t="s">
        <v>3914</v>
      </c>
      <c r="N910" s="8" t="n">
        <v>0</v>
      </c>
      <c r="O910" s="8" t="n">
        <v>0</v>
      </c>
      <c r="P910" s="8" t="n">
        <v>0</v>
      </c>
      <c r="Q910" s="8" t="n">
        <v>0</v>
      </c>
      <c r="R910" s="13" t="n">
        <v>0</v>
      </c>
      <c r="S910" s="13" t="n">
        <v>0</v>
      </c>
      <c r="T910" s="13"/>
      <c r="U910" s="11" t="n">
        <f aca="false">O910*4 + P910*2 + MAX(0,N910-O910-P910)*1 + Q910*0.2 + R910*2 + S910*1 + IF(T910="",0,IF(T910&lt;=10,8,IF(T910&lt;=50,6,IF(T910&lt;=100,4,2))))</f>
        <v>0</v>
      </c>
      <c r="V910" s="7"/>
      <c r="W910" s="12"/>
      <c r="X910" s="13"/>
      <c r="Y910" s="13" t="s">
        <v>3915</v>
      </c>
    </row>
    <row r="911" customFormat="false" ht="15.75" hidden="false" customHeight="true" outlineLevel="0" collapsed="false">
      <c r="A911" s="7" t="s">
        <v>3916</v>
      </c>
      <c r="B911" s="8" t="n">
        <v>2024</v>
      </c>
      <c r="C911" s="8" t="s">
        <v>378</v>
      </c>
      <c r="D911" s="8" t="n">
        <v>125</v>
      </c>
      <c r="E911" s="7" t="s">
        <v>3917</v>
      </c>
      <c r="F911" s="8" t="n">
        <v>7.9</v>
      </c>
      <c r="G911" s="8"/>
      <c r="H911" s="9" t="n">
        <v>23014</v>
      </c>
      <c r="I911" s="7"/>
      <c r="J911" s="7" t="s">
        <v>30</v>
      </c>
      <c r="K911" s="7" t="s">
        <v>259</v>
      </c>
      <c r="L911" s="10" t="s">
        <v>238</v>
      </c>
      <c r="M911" s="10" t="s">
        <v>3918</v>
      </c>
      <c r="N911" s="8" t="n">
        <v>0</v>
      </c>
      <c r="O911" s="8" t="n">
        <v>0</v>
      </c>
      <c r="P911" s="8" t="n">
        <v>0</v>
      </c>
      <c r="Q911" s="8" t="n">
        <v>0</v>
      </c>
      <c r="R911" s="13" t="n">
        <v>0</v>
      </c>
      <c r="S911" s="13" t="n">
        <v>0</v>
      </c>
      <c r="T911" s="13"/>
      <c r="U911" s="11" t="n">
        <f aca="false">O911*4 + P911*2 + MAX(0,N911-O911-P911)*1 + Q911*0.2 + R911*2 + S911*1 + IF(T911="",0,IF(T911&lt;=10,8,IF(T911&lt;=50,6,IF(T911&lt;=100,4,2))))</f>
        <v>0</v>
      </c>
      <c r="V911" s="7"/>
      <c r="W911" s="12"/>
      <c r="X911" s="13"/>
      <c r="Y911" s="13" t="s">
        <v>3919</v>
      </c>
    </row>
    <row r="912" customFormat="false" ht="15.75" hidden="false" customHeight="true" outlineLevel="0" collapsed="false">
      <c r="A912" s="7" t="s">
        <v>3920</v>
      </c>
      <c r="B912" s="8" t="n">
        <v>2021</v>
      </c>
      <c r="C912" s="8" t="s">
        <v>378</v>
      </c>
      <c r="D912" s="8" t="n">
        <v>89</v>
      </c>
      <c r="E912" s="7" t="s">
        <v>3921</v>
      </c>
      <c r="F912" s="8" t="n">
        <v>7.9</v>
      </c>
      <c r="G912" s="8"/>
      <c r="H912" s="9" t="n">
        <v>21331</v>
      </c>
      <c r="I912" s="7" t="s">
        <v>3922</v>
      </c>
      <c r="J912" s="7" t="s">
        <v>2730</v>
      </c>
      <c r="K912" s="7" t="s">
        <v>48</v>
      </c>
      <c r="L912" s="10" t="s">
        <v>205</v>
      </c>
      <c r="M912" s="10" t="s">
        <v>3923</v>
      </c>
      <c r="N912" s="8" t="n">
        <v>0</v>
      </c>
      <c r="O912" s="8" t="n">
        <v>0</v>
      </c>
      <c r="P912" s="8" t="n">
        <v>0</v>
      </c>
      <c r="Q912" s="8" t="n">
        <v>3</v>
      </c>
      <c r="R912" s="8" t="n">
        <v>0</v>
      </c>
      <c r="S912" s="8" t="n">
        <v>0</v>
      </c>
      <c r="T912" s="13"/>
      <c r="U912" s="11" t="n">
        <f aca="false">O912*4 + P912*2 + MAX(0,N912-O912-P912)*1 + Q912*0.2 + R912*2 + S912*1 + IF(T912="",0,IF(T912&lt;=10,8,IF(T912&lt;=50,6,IF(T912&lt;=100,4,2))))</f>
        <v>0.6</v>
      </c>
      <c r="V912" s="7"/>
      <c r="W912" s="12"/>
      <c r="X912" s="13"/>
      <c r="Y912" s="13" t="s">
        <v>3924</v>
      </c>
    </row>
    <row r="913" customFormat="false" ht="15.75" hidden="false" customHeight="true" outlineLevel="0" collapsed="false">
      <c r="A913" s="7" t="s">
        <v>3925</v>
      </c>
      <c r="B913" s="8" t="n">
        <v>2004</v>
      </c>
      <c r="C913" s="8" t="s">
        <v>35</v>
      </c>
      <c r="D913" s="8" t="n">
        <v>103</v>
      </c>
      <c r="E913" s="7" t="s">
        <v>3926</v>
      </c>
      <c r="F913" s="8" t="n">
        <v>7.7</v>
      </c>
      <c r="G913" s="8"/>
      <c r="H913" s="9" t="n">
        <v>12248</v>
      </c>
      <c r="I913" s="7" t="s">
        <v>124</v>
      </c>
      <c r="J913" s="7" t="s">
        <v>579</v>
      </c>
      <c r="K913" s="7" t="s">
        <v>39</v>
      </c>
      <c r="L913" s="10"/>
      <c r="M913" s="10" t="s">
        <v>3927</v>
      </c>
      <c r="N913" s="8" t="n">
        <v>0</v>
      </c>
      <c r="O913" s="8" t="n">
        <v>0</v>
      </c>
      <c r="P913" s="8" t="n">
        <v>0</v>
      </c>
      <c r="Q913" s="8" t="n">
        <v>0</v>
      </c>
      <c r="R913" s="13" t="n">
        <v>0</v>
      </c>
      <c r="S913" s="13" t="n">
        <v>0</v>
      </c>
      <c r="T913" s="13"/>
      <c r="U913" s="11" t="n">
        <f aca="false">O913*4 + P913*2 + MAX(0,N913-O913-P913)*1 + Q913*0.2 + R913*2 + S913*1 + IF(T913="",0,IF(T913&lt;=10,8,IF(T913&lt;=50,6,IF(T913&lt;=100,4,2))))</f>
        <v>0</v>
      </c>
      <c r="V913" s="7"/>
      <c r="W913" s="12"/>
      <c r="X913" s="13"/>
      <c r="Y913" s="13" t="s">
        <v>3928</v>
      </c>
    </row>
    <row r="914" customFormat="false" ht="15.75" hidden="false" customHeight="true" outlineLevel="0" collapsed="false">
      <c r="A914" s="7" t="s">
        <v>3929</v>
      </c>
      <c r="B914" s="8" t="n">
        <v>2021</v>
      </c>
      <c r="C914" s="8" t="s">
        <v>378</v>
      </c>
      <c r="D914" s="8" t="n">
        <v>155</v>
      </c>
      <c r="E914" s="7" t="s">
        <v>3625</v>
      </c>
      <c r="F914" s="8" t="n">
        <v>8</v>
      </c>
      <c r="G914" s="8"/>
      <c r="H914" s="9" t="n">
        <v>18772</v>
      </c>
      <c r="I914" s="7" t="s">
        <v>124</v>
      </c>
      <c r="J914" s="7" t="s">
        <v>579</v>
      </c>
      <c r="K914" s="7" t="s">
        <v>112</v>
      </c>
      <c r="L914" s="10" t="s">
        <v>1686</v>
      </c>
      <c r="M914" s="10" t="s">
        <v>3930</v>
      </c>
      <c r="N914" s="8" t="n">
        <v>0</v>
      </c>
      <c r="O914" s="8" t="n">
        <v>0</v>
      </c>
      <c r="P914" s="8" t="n">
        <v>0</v>
      </c>
      <c r="Q914" s="8" t="n">
        <v>0</v>
      </c>
      <c r="R914" s="13" t="n">
        <v>0</v>
      </c>
      <c r="S914" s="13" t="n">
        <v>0</v>
      </c>
      <c r="T914" s="13"/>
      <c r="U914" s="11" t="n">
        <f aca="false">O914*4 + P914*2 + MAX(0,N914-O914-P914)*1 + Q914*0.2 + R914*2 + S914*1 + IF(T914="",0,IF(T914&lt;=10,8,IF(T914&lt;=50,6,IF(T914&lt;=100,4,2))))</f>
        <v>0</v>
      </c>
      <c r="V914" s="7"/>
      <c r="W914" s="12"/>
      <c r="X914" s="13"/>
      <c r="Y914" s="13" t="s">
        <v>3931</v>
      </c>
    </row>
    <row r="915" customFormat="false" ht="15.75" hidden="false" customHeight="true" outlineLevel="0" collapsed="false">
      <c r="A915" s="7" t="s">
        <v>3932</v>
      </c>
      <c r="B915" s="8" t="n">
        <v>2021</v>
      </c>
      <c r="C915" s="8" t="s">
        <v>378</v>
      </c>
      <c r="D915" s="8" t="n">
        <v>116</v>
      </c>
      <c r="E915" s="7" t="s">
        <v>3933</v>
      </c>
      <c r="F915" s="8" t="n">
        <v>7.5</v>
      </c>
      <c r="G915" s="8"/>
      <c r="H915" s="9" t="n">
        <v>8918</v>
      </c>
      <c r="I915" s="7" t="s">
        <v>794</v>
      </c>
      <c r="J915" s="7" t="s">
        <v>47</v>
      </c>
      <c r="K915" s="7"/>
      <c r="L915" s="10" t="s">
        <v>3130</v>
      </c>
      <c r="M915" s="10" t="s">
        <v>3934</v>
      </c>
      <c r="N915" s="8" t="n">
        <v>0</v>
      </c>
      <c r="O915" s="8" t="n">
        <v>0</v>
      </c>
      <c r="P915" s="8" t="n">
        <v>0</v>
      </c>
      <c r="Q915" s="8" t="n">
        <v>0</v>
      </c>
      <c r="R915" s="13" t="n">
        <v>0</v>
      </c>
      <c r="S915" s="13" t="n">
        <v>0</v>
      </c>
      <c r="T915" s="13"/>
      <c r="U915" s="11" t="n">
        <f aca="false">O915*4 + P915*2 + MAX(0,N915-O915-P915)*1 + Q915*0.2 + R915*2 + S915*1 + IF(T915="",0,IF(T915&lt;=10,8,IF(T915&lt;=50,6,IF(T915&lt;=100,4,2))))</f>
        <v>0</v>
      </c>
      <c r="V915" s="7"/>
      <c r="W915" s="12"/>
      <c r="X915" s="13"/>
      <c r="Y915" s="13" t="s">
        <v>3935</v>
      </c>
    </row>
    <row r="916" customFormat="false" ht="15.75" hidden="false" customHeight="true" outlineLevel="0" collapsed="false">
      <c r="A916" s="7" t="s">
        <v>3936</v>
      </c>
      <c r="B916" s="8" t="n">
        <v>2008</v>
      </c>
      <c r="C916" s="8" t="s">
        <v>35</v>
      </c>
      <c r="D916" s="8" t="n">
        <v>237</v>
      </c>
      <c r="E916" s="7" t="s">
        <v>3937</v>
      </c>
      <c r="F916" s="8" t="n">
        <v>8</v>
      </c>
      <c r="G916" s="8"/>
      <c r="H916" s="9" t="n">
        <v>18316</v>
      </c>
      <c r="I916" s="7"/>
      <c r="J916" s="7"/>
      <c r="K916" s="12"/>
      <c r="L916" s="10" t="s">
        <v>205</v>
      </c>
      <c r="M916" s="10" t="s">
        <v>3938</v>
      </c>
      <c r="N916" s="8" t="n">
        <v>0</v>
      </c>
      <c r="O916" s="8" t="n">
        <v>0</v>
      </c>
      <c r="P916" s="8" t="n">
        <v>0</v>
      </c>
      <c r="Q916" s="8" t="n">
        <v>0</v>
      </c>
      <c r="R916" s="13" t="n">
        <v>0</v>
      </c>
      <c r="S916" s="13" t="n">
        <v>0</v>
      </c>
      <c r="T916" s="13"/>
      <c r="U916" s="11" t="n">
        <f aca="false">O916*4 + P916*2 + MAX(0,N916-O916-P916)*1 + Q916*0.2 + R916*2 + S916*1 + IF(T916="",0,IF(T916&lt;=10,8,IF(T916&lt;=50,6,IF(T916&lt;=100,4,2))))</f>
        <v>0</v>
      </c>
      <c r="V916" s="7"/>
      <c r="W916" s="12"/>
      <c r="X916" s="13"/>
      <c r="Y916" s="13" t="s">
        <v>3939</v>
      </c>
    </row>
    <row r="917" customFormat="false" ht="15.75" hidden="false" customHeight="true" outlineLevel="0" collapsed="false">
      <c r="A917" s="7" t="s">
        <v>3940</v>
      </c>
      <c r="B917" s="8" t="n">
        <v>2022</v>
      </c>
      <c r="C917" s="8" t="s">
        <v>378</v>
      </c>
      <c r="D917" s="8" t="n">
        <v>122</v>
      </c>
      <c r="E917" s="7" t="s">
        <v>3941</v>
      </c>
      <c r="F917" s="8" t="n">
        <v>7.5</v>
      </c>
      <c r="G917" s="8"/>
      <c r="H917" s="9" t="n">
        <v>7731</v>
      </c>
      <c r="I917" s="7" t="s">
        <v>3942</v>
      </c>
      <c r="J917" s="7" t="s">
        <v>29</v>
      </c>
      <c r="K917" s="7" t="s">
        <v>47</v>
      </c>
      <c r="L917" s="10" t="s">
        <v>3042</v>
      </c>
      <c r="M917" s="10" t="s">
        <v>3943</v>
      </c>
      <c r="N917" s="8" t="n">
        <v>0</v>
      </c>
      <c r="O917" s="8" t="n">
        <v>0</v>
      </c>
      <c r="P917" s="8" t="n">
        <v>0</v>
      </c>
      <c r="Q917" s="8" t="n">
        <v>0</v>
      </c>
      <c r="R917" s="13" t="n">
        <v>0</v>
      </c>
      <c r="S917" s="13" t="n">
        <v>0</v>
      </c>
      <c r="T917" s="13"/>
      <c r="U917" s="11" t="n">
        <f aca="false">O917*4 + P917*2 + MAX(0,N917-O917-P917)*1 + Q917*0.2 + R917*2 + S917*1 + IF(T917="",0,IF(T917&lt;=10,8,IF(T917&lt;=50,6,IF(T917&lt;=100,4,2))))</f>
        <v>0</v>
      </c>
      <c r="V917" s="7"/>
      <c r="W917" s="12"/>
      <c r="X917" s="13"/>
      <c r="Y917" s="13" t="s">
        <v>3944</v>
      </c>
    </row>
    <row r="918" customFormat="false" ht="15.75" hidden="false" customHeight="true" outlineLevel="0" collapsed="false">
      <c r="A918" s="7" t="s">
        <v>3945</v>
      </c>
      <c r="B918" s="8" t="n">
        <v>2021</v>
      </c>
      <c r="C918" s="8" t="s">
        <v>378</v>
      </c>
      <c r="D918" s="8" t="n">
        <v>112</v>
      </c>
      <c r="E918" s="7" t="s">
        <v>3946</v>
      </c>
      <c r="F918" s="8" t="n">
        <v>7.8</v>
      </c>
      <c r="G918" s="8"/>
      <c r="H918" s="9" t="n">
        <v>65925</v>
      </c>
      <c r="I918" s="7" t="s">
        <v>124</v>
      </c>
      <c r="J918" s="7" t="s">
        <v>579</v>
      </c>
      <c r="K918" s="7" t="s">
        <v>38</v>
      </c>
      <c r="L918" s="10" t="s">
        <v>3947</v>
      </c>
      <c r="M918" s="10" t="s">
        <v>3948</v>
      </c>
      <c r="N918" s="8" t="n">
        <v>0</v>
      </c>
      <c r="O918" s="8" t="n">
        <v>0</v>
      </c>
      <c r="P918" s="8" t="n">
        <v>0</v>
      </c>
      <c r="Q918" s="8" t="n">
        <v>0</v>
      </c>
      <c r="R918" s="13" t="n">
        <v>0</v>
      </c>
      <c r="S918" s="13" t="n">
        <v>0</v>
      </c>
      <c r="T918" s="13"/>
      <c r="U918" s="11" t="n">
        <f aca="false">O918*4 + P918*2 + MAX(0,N918-O918-P918)*1 + Q918*0.2 + R918*2 + S918*1 + IF(T918="",0,IF(T918&lt;=10,8,IF(T918&lt;=50,6,IF(T918&lt;=100,4,2))))</f>
        <v>0</v>
      </c>
      <c r="V918" s="7"/>
      <c r="W918" s="12"/>
      <c r="X918" s="13"/>
      <c r="Y918" s="13" t="s">
        <v>3949</v>
      </c>
    </row>
    <row r="919" customFormat="false" ht="15.75" hidden="false" customHeight="true" outlineLevel="0" collapsed="false">
      <c r="A919" s="7" t="s">
        <v>3950</v>
      </c>
      <c r="B919" s="8" t="n">
        <v>2010</v>
      </c>
      <c r="C919" s="8" t="s">
        <v>176</v>
      </c>
      <c r="D919" s="8" t="n">
        <v>126</v>
      </c>
      <c r="E919" s="7" t="s">
        <v>3951</v>
      </c>
      <c r="F919" s="8" t="n">
        <v>7.3</v>
      </c>
      <c r="G919" s="8"/>
      <c r="H919" s="9" t="n">
        <v>8025</v>
      </c>
      <c r="I919" s="7" t="s">
        <v>124</v>
      </c>
      <c r="J919" s="7" t="s">
        <v>579</v>
      </c>
      <c r="K919" s="7" t="s">
        <v>38</v>
      </c>
      <c r="L919" s="10"/>
      <c r="M919" s="10" t="s">
        <v>3952</v>
      </c>
      <c r="N919" s="8" t="n">
        <v>0</v>
      </c>
      <c r="O919" s="8" t="n">
        <v>0</v>
      </c>
      <c r="P919" s="8" t="n">
        <v>0</v>
      </c>
      <c r="Q919" s="8" t="n">
        <v>0</v>
      </c>
      <c r="R919" s="13" t="n">
        <v>0</v>
      </c>
      <c r="S919" s="13" t="n">
        <v>0</v>
      </c>
      <c r="T919" s="13"/>
      <c r="U919" s="11" t="n">
        <f aca="false">O919*4 + P919*2 + MAX(0,N919-O919-P919)*1 + Q919*0.2 + R919*2 + S919*1 + IF(T919="",0,IF(T919&lt;=10,8,IF(T919&lt;=50,6,IF(T919&lt;=100,4,2))))</f>
        <v>0</v>
      </c>
      <c r="V919" s="7"/>
      <c r="W919" s="12"/>
      <c r="X919" s="13"/>
      <c r="Y919" s="13" t="s">
        <v>3953</v>
      </c>
    </row>
    <row r="920" customFormat="false" ht="15.75" hidden="false" customHeight="true" outlineLevel="0" collapsed="false">
      <c r="A920" s="7" t="s">
        <v>3954</v>
      </c>
      <c r="B920" s="8" t="n">
        <v>2009</v>
      </c>
      <c r="C920" s="8" t="s">
        <v>35</v>
      </c>
      <c r="D920" s="8" t="n">
        <v>97</v>
      </c>
      <c r="E920" s="7" t="s">
        <v>3955</v>
      </c>
      <c r="F920" s="8" t="n">
        <v>7.7</v>
      </c>
      <c r="G920" s="8"/>
      <c r="H920" s="9" t="n">
        <v>7659</v>
      </c>
      <c r="I920" s="7" t="s">
        <v>3956</v>
      </c>
      <c r="J920" s="7" t="s">
        <v>38</v>
      </c>
      <c r="K920" s="7" t="s">
        <v>1102</v>
      </c>
      <c r="L920" s="10" t="s">
        <v>526</v>
      </c>
      <c r="M920" s="10" t="s">
        <v>3957</v>
      </c>
      <c r="N920" s="8" t="n">
        <v>0</v>
      </c>
      <c r="O920" s="8" t="n">
        <v>0</v>
      </c>
      <c r="P920" s="8" t="n">
        <v>0</v>
      </c>
      <c r="Q920" s="8" t="n">
        <v>0</v>
      </c>
      <c r="R920" s="13" t="n">
        <v>0</v>
      </c>
      <c r="S920" s="13" t="n">
        <v>0</v>
      </c>
      <c r="T920" s="13"/>
      <c r="U920" s="11" t="n">
        <f aca="false">O920*4 + P920*2 + MAX(0,N920-O920-P920)*1 + Q920*0.2 + R920*2 + S920*1 + IF(T920="",0,IF(T920&lt;=10,8,IF(T920&lt;=50,6,IF(T920&lt;=100,4,2))))</f>
        <v>0</v>
      </c>
      <c r="V920" s="7"/>
      <c r="W920" s="12"/>
      <c r="X920" s="13"/>
      <c r="Y920" s="13" t="s">
        <v>3958</v>
      </c>
    </row>
    <row r="921" customFormat="false" ht="15.75" hidden="false" customHeight="true" outlineLevel="0" collapsed="false">
      <c r="A921" s="7" t="s">
        <v>3959</v>
      </c>
      <c r="B921" s="8" t="n">
        <v>2013</v>
      </c>
      <c r="C921" s="8" t="s">
        <v>176</v>
      </c>
      <c r="D921" s="8" t="n">
        <v>75</v>
      </c>
      <c r="E921" s="7" t="s">
        <v>3200</v>
      </c>
      <c r="F921" s="8" t="n">
        <v>8.1</v>
      </c>
      <c r="G921" s="8"/>
      <c r="H921" s="9" t="n">
        <v>66155</v>
      </c>
      <c r="I921" s="7" t="s">
        <v>46</v>
      </c>
      <c r="J921" s="7"/>
      <c r="K921" s="12"/>
      <c r="L921" s="10"/>
      <c r="M921" s="10" t="s">
        <v>3960</v>
      </c>
      <c r="N921" s="8" t="n">
        <v>0</v>
      </c>
      <c r="O921" s="8" t="n">
        <v>0</v>
      </c>
      <c r="P921" s="8" t="n">
        <v>0</v>
      </c>
      <c r="Q921" s="8" t="n">
        <v>0</v>
      </c>
      <c r="R921" s="13" t="n">
        <v>0</v>
      </c>
      <c r="S921" s="13" t="n">
        <v>0</v>
      </c>
      <c r="T921" s="13"/>
      <c r="U921" s="11" t="n">
        <f aca="false">O921*4 + P921*2 + MAX(0,N921-O921-P921)*1 + Q921*0.2 + R921*2 + S921*1 + IF(T921="",0,IF(T921&lt;=10,8,IF(T921&lt;=50,6,IF(T921&lt;=100,4,2))))</f>
        <v>0</v>
      </c>
      <c r="V921" s="7"/>
      <c r="W921" s="12"/>
      <c r="X921" s="13"/>
      <c r="Y921" s="13" t="s">
        <v>3961</v>
      </c>
    </row>
    <row r="922" customFormat="false" ht="15.75" hidden="false" customHeight="true" outlineLevel="0" collapsed="false">
      <c r="A922" s="7" t="s">
        <v>3962</v>
      </c>
      <c r="B922" s="8" t="n">
        <v>2022</v>
      </c>
      <c r="C922" s="8" t="s">
        <v>378</v>
      </c>
      <c r="D922" s="8" t="n">
        <v>131</v>
      </c>
      <c r="E922" s="7" t="s">
        <v>3963</v>
      </c>
      <c r="F922" s="8" t="n">
        <v>7.6</v>
      </c>
      <c r="G922" s="8"/>
      <c r="H922" s="9" t="n">
        <v>3095</v>
      </c>
      <c r="I922" s="7" t="s">
        <v>967</v>
      </c>
      <c r="J922" s="7" t="s">
        <v>47</v>
      </c>
      <c r="K922" s="7"/>
      <c r="L922" s="10" t="s">
        <v>205</v>
      </c>
      <c r="M922" s="10" t="s">
        <v>3964</v>
      </c>
      <c r="N922" s="8" t="n">
        <v>0</v>
      </c>
      <c r="O922" s="8" t="n">
        <v>0</v>
      </c>
      <c r="P922" s="8" t="n">
        <v>0</v>
      </c>
      <c r="Q922" s="8" t="n">
        <v>0</v>
      </c>
      <c r="R922" s="13" t="n">
        <v>0</v>
      </c>
      <c r="S922" s="13" t="n">
        <v>0</v>
      </c>
      <c r="T922" s="13"/>
      <c r="U922" s="11" t="n">
        <f aca="false">O922*4 + P922*2 + MAX(0,N922-O922-P922)*1 + Q922*0.2 + R922*2 + S922*1 + IF(T922="",0,IF(T922&lt;=10,8,IF(T922&lt;=50,6,IF(T922&lt;=100,4,2))))</f>
        <v>0</v>
      </c>
      <c r="V922" s="7"/>
      <c r="W922" s="12"/>
      <c r="X922" s="13"/>
      <c r="Y922" s="13" t="s">
        <v>3965</v>
      </c>
    </row>
    <row r="923" customFormat="false" ht="15.75" hidden="false" customHeight="true" outlineLevel="0" collapsed="false">
      <c r="A923" s="7" t="s">
        <v>3966</v>
      </c>
      <c r="B923" s="8" t="n">
        <v>2007</v>
      </c>
      <c r="C923" s="8" t="s">
        <v>35</v>
      </c>
      <c r="D923" s="8" t="n">
        <v>90</v>
      </c>
      <c r="E923" s="7" t="s">
        <v>3967</v>
      </c>
      <c r="F923" s="8" t="n">
        <v>7.2</v>
      </c>
      <c r="G923" s="8"/>
      <c r="H923" s="9" t="n">
        <v>2989</v>
      </c>
      <c r="I923" s="7" t="s">
        <v>3968</v>
      </c>
      <c r="J923" s="7" t="s">
        <v>30</v>
      </c>
      <c r="K923" s="7" t="s">
        <v>47</v>
      </c>
      <c r="L923" s="10"/>
      <c r="M923" s="10" t="s">
        <v>3969</v>
      </c>
      <c r="N923" s="8" t="n">
        <v>0</v>
      </c>
      <c r="O923" s="8" t="n">
        <v>0</v>
      </c>
      <c r="P923" s="8" t="n">
        <v>0</v>
      </c>
      <c r="Q923" s="8" t="n">
        <v>0</v>
      </c>
      <c r="R923" s="13" t="n">
        <v>0</v>
      </c>
      <c r="S923" s="13" t="n">
        <v>0</v>
      </c>
      <c r="T923" s="13"/>
      <c r="U923" s="11" t="n">
        <f aca="false">O923*4 + P923*2 + MAX(0,N923-O923-P923)*1 + Q923*0.2 + R923*2 + S923*1 + IF(T923="",0,IF(T923&lt;=10,8,IF(T923&lt;=50,6,IF(T923&lt;=100,4,2))))</f>
        <v>0</v>
      </c>
      <c r="V923" s="7"/>
      <c r="W923" s="12"/>
      <c r="X923" s="13"/>
      <c r="Y923" s="13" t="s">
        <v>3970</v>
      </c>
    </row>
    <row r="924" customFormat="false" ht="15.75" hidden="false" customHeight="true" outlineLevel="0" collapsed="false">
      <c r="A924" s="7" t="s">
        <v>3971</v>
      </c>
      <c r="B924" s="8" t="n">
        <v>2003</v>
      </c>
      <c r="C924" s="8" t="s">
        <v>35</v>
      </c>
      <c r="D924" s="8" t="n">
        <v>68</v>
      </c>
      <c r="E924" s="7" t="s">
        <v>3972</v>
      </c>
      <c r="F924" s="8" t="n">
        <v>7.8</v>
      </c>
      <c r="G924" s="8"/>
      <c r="H924" s="9" t="n">
        <v>17918</v>
      </c>
      <c r="I924" s="7" t="s">
        <v>3183</v>
      </c>
      <c r="J924" s="7" t="s">
        <v>579</v>
      </c>
      <c r="K924" s="7" t="s">
        <v>3973</v>
      </c>
      <c r="L924" s="10"/>
      <c r="M924" s="10" t="s">
        <v>3974</v>
      </c>
      <c r="N924" s="8" t="n">
        <v>0</v>
      </c>
      <c r="O924" s="8" t="n">
        <v>0</v>
      </c>
      <c r="P924" s="8" t="n">
        <v>0</v>
      </c>
      <c r="Q924" s="8" t="n">
        <v>0</v>
      </c>
      <c r="R924" s="13" t="n">
        <v>0</v>
      </c>
      <c r="S924" s="13" t="n">
        <v>0</v>
      </c>
      <c r="T924" s="13"/>
      <c r="U924" s="11" t="n">
        <f aca="false">O924*4 + P924*2 + MAX(0,N924-O924-P924)*1 + Q924*0.2 + R924*2 + S924*1 + IF(T924="",0,IF(T924&lt;=10,8,IF(T924&lt;=50,6,IF(T924&lt;=100,4,2))))</f>
        <v>0</v>
      </c>
      <c r="V924" s="7"/>
      <c r="W924" s="12"/>
      <c r="X924" s="13"/>
      <c r="Y924" s="13" t="s">
        <v>3975</v>
      </c>
    </row>
    <row r="925" customFormat="false" ht="15.75" hidden="false" customHeight="true" outlineLevel="0" collapsed="false">
      <c r="A925" s="7" t="s">
        <v>3976</v>
      </c>
      <c r="B925" s="8" t="n">
        <v>2024</v>
      </c>
      <c r="C925" s="8" t="s">
        <v>378</v>
      </c>
      <c r="D925" s="8" t="n">
        <v>93</v>
      </c>
      <c r="E925" s="7" t="s">
        <v>3977</v>
      </c>
      <c r="F925" s="8" t="n">
        <v>7.6</v>
      </c>
      <c r="G925" s="8"/>
      <c r="H925" s="9" t="n">
        <v>7557</v>
      </c>
      <c r="I925" s="7"/>
      <c r="J925" s="7" t="s">
        <v>47</v>
      </c>
      <c r="K925" s="7"/>
      <c r="L925" s="10" t="s">
        <v>210</v>
      </c>
      <c r="M925" s="10" t="s">
        <v>3978</v>
      </c>
      <c r="N925" s="8" t="n">
        <v>0</v>
      </c>
      <c r="O925" s="8" t="n">
        <v>0</v>
      </c>
      <c r="P925" s="8" t="n">
        <v>0</v>
      </c>
      <c r="Q925" s="8" t="n">
        <v>0</v>
      </c>
      <c r="R925" s="13" t="n">
        <v>0</v>
      </c>
      <c r="S925" s="13" t="n">
        <v>0</v>
      </c>
      <c r="T925" s="13"/>
      <c r="U925" s="11" t="n">
        <f aca="false">O925*4 + P925*2 + MAX(0,N925-O925-P925)*1 + Q925*0.2 + R925*2 + S925*1 + IF(T925="",0,IF(T925&lt;=10,8,IF(T925&lt;=50,6,IF(T925&lt;=100,4,2))))</f>
        <v>0</v>
      </c>
      <c r="V925" s="7"/>
      <c r="W925" s="12"/>
      <c r="X925" s="13"/>
      <c r="Y925" s="13" t="s">
        <v>3979</v>
      </c>
    </row>
    <row r="926" customFormat="false" ht="15.75" hidden="false" customHeight="true" outlineLevel="0" collapsed="false">
      <c r="A926" s="7" t="s">
        <v>3980</v>
      </c>
      <c r="B926" s="8" t="n">
        <v>2004</v>
      </c>
      <c r="C926" s="8" t="s">
        <v>35</v>
      </c>
      <c r="D926" s="8" t="n">
        <v>117</v>
      </c>
      <c r="E926" s="7" t="s">
        <v>2938</v>
      </c>
      <c r="F926" s="8" t="n">
        <v>7.5</v>
      </c>
      <c r="G926" s="8"/>
      <c r="H926" s="9" t="n">
        <v>12453</v>
      </c>
      <c r="I926" s="7" t="s">
        <v>437</v>
      </c>
      <c r="J926" s="7"/>
      <c r="K926" s="12"/>
      <c r="L926" s="10"/>
      <c r="M926" s="10" t="s">
        <v>3981</v>
      </c>
      <c r="N926" s="8" t="n">
        <v>0</v>
      </c>
      <c r="O926" s="8" t="n">
        <v>0</v>
      </c>
      <c r="P926" s="8" t="n">
        <v>0</v>
      </c>
      <c r="Q926" s="8" t="n">
        <v>0</v>
      </c>
      <c r="R926" s="13" t="n">
        <v>0</v>
      </c>
      <c r="S926" s="13" t="n">
        <v>0</v>
      </c>
      <c r="T926" s="13"/>
      <c r="U926" s="11" t="n">
        <f aca="false">O926*4 + P926*2 + MAX(0,N926-O926-P926)*1 + Q926*0.2 + R926*2 + S926*1 + IF(T926="",0,IF(T926&lt;=10,8,IF(T926&lt;=50,6,IF(T926&lt;=100,4,2))))</f>
        <v>0</v>
      </c>
      <c r="V926" s="7"/>
      <c r="W926" s="12"/>
      <c r="X926" s="13"/>
      <c r="Y926" s="13" t="s">
        <v>3982</v>
      </c>
    </row>
    <row r="927" customFormat="false" ht="15.75" hidden="false" customHeight="true" outlineLevel="0" collapsed="false">
      <c r="A927" s="7" t="s">
        <v>3983</v>
      </c>
      <c r="B927" s="8" t="n">
        <v>2019</v>
      </c>
      <c r="C927" s="8" t="s">
        <v>176</v>
      </c>
      <c r="D927" s="8" t="n">
        <v>135</v>
      </c>
      <c r="E927" s="7" t="s">
        <v>3984</v>
      </c>
      <c r="F927" s="8" t="n">
        <v>7.6</v>
      </c>
      <c r="G927" s="8"/>
      <c r="H927" s="9" t="n">
        <v>17368</v>
      </c>
      <c r="I927" s="7" t="s">
        <v>2562</v>
      </c>
      <c r="J927" s="7" t="s">
        <v>30</v>
      </c>
      <c r="K927" s="7" t="s">
        <v>47</v>
      </c>
      <c r="L927" s="10" t="s">
        <v>416</v>
      </c>
      <c r="M927" s="10" t="s">
        <v>3985</v>
      </c>
      <c r="N927" s="8" t="n">
        <v>0</v>
      </c>
      <c r="O927" s="8" t="n">
        <v>0</v>
      </c>
      <c r="P927" s="8" t="n">
        <v>0</v>
      </c>
      <c r="Q927" s="8" t="n">
        <v>1</v>
      </c>
      <c r="R927" s="8" t="n">
        <v>0</v>
      </c>
      <c r="S927" s="8" t="n">
        <v>0</v>
      </c>
      <c r="T927" s="13"/>
      <c r="U927" s="11" t="n">
        <f aca="false">O927*4 + P927*2 + MAX(0,N927-O927-P927)*1 + Q927*0.2 + R927*2 + S927*1 + IF(T927="",0,IF(T927&lt;=10,8,IF(T927&lt;=50,6,IF(T927&lt;=100,4,2))))</f>
        <v>0.2</v>
      </c>
      <c r="V927" s="7"/>
      <c r="W927" s="12"/>
      <c r="X927" s="13"/>
      <c r="Y927" s="13" t="s">
        <v>3986</v>
      </c>
    </row>
    <row r="928" customFormat="false" ht="15.75" hidden="false" customHeight="true" outlineLevel="0" collapsed="false">
      <c r="A928" s="7" t="s">
        <v>3987</v>
      </c>
      <c r="B928" s="8" t="n">
        <v>2005</v>
      </c>
      <c r="C928" s="8" t="s">
        <v>35</v>
      </c>
      <c r="D928" s="8" t="n">
        <v>92</v>
      </c>
      <c r="E928" s="7" t="s">
        <v>3988</v>
      </c>
      <c r="F928" s="8" t="n">
        <v>7</v>
      </c>
      <c r="G928" s="8"/>
      <c r="H928" s="9" t="n">
        <v>364</v>
      </c>
      <c r="I928" s="7" t="s">
        <v>2336</v>
      </c>
      <c r="J928" s="7" t="s">
        <v>29</v>
      </c>
      <c r="K928" s="7" t="s">
        <v>47</v>
      </c>
      <c r="L928" s="10"/>
      <c r="M928" s="10" t="s">
        <v>3989</v>
      </c>
      <c r="N928" s="8" t="n">
        <v>0</v>
      </c>
      <c r="O928" s="8" t="n">
        <v>0</v>
      </c>
      <c r="P928" s="8" t="n">
        <v>0</v>
      </c>
      <c r="Q928" s="8" t="n">
        <v>0</v>
      </c>
      <c r="R928" s="13" t="n">
        <v>0</v>
      </c>
      <c r="S928" s="13" t="n">
        <v>0</v>
      </c>
      <c r="T928" s="13"/>
      <c r="U928" s="11" t="n">
        <f aca="false">O928*4 + P928*2 + MAX(0,N928-O928-P928)*1 + Q928*0.2 + R928*2 + S928*1 + IF(T928="",0,IF(T928&lt;=10,8,IF(T928&lt;=50,6,IF(T928&lt;=100,4,2))))</f>
        <v>0</v>
      </c>
      <c r="V928" s="7"/>
      <c r="W928" s="12"/>
      <c r="X928" s="13"/>
      <c r="Y928" s="13" t="s">
        <v>3990</v>
      </c>
    </row>
    <row r="929" customFormat="false" ht="15.75" hidden="false" customHeight="true" outlineLevel="0" collapsed="false">
      <c r="A929" s="7" t="s">
        <v>3991</v>
      </c>
      <c r="B929" s="8" t="n">
        <v>2019</v>
      </c>
      <c r="C929" s="8" t="s">
        <v>176</v>
      </c>
      <c r="D929" s="8" t="n">
        <v>108</v>
      </c>
      <c r="E929" s="7" t="s">
        <v>3992</v>
      </c>
      <c r="F929" s="8" t="n">
        <v>7.1</v>
      </c>
      <c r="G929" s="8"/>
      <c r="H929" s="9" t="n">
        <v>4120</v>
      </c>
      <c r="I929" s="7" t="s">
        <v>3993</v>
      </c>
      <c r="J929" s="7" t="s">
        <v>47</v>
      </c>
      <c r="K929" s="7"/>
      <c r="L929" s="10" t="s">
        <v>205</v>
      </c>
      <c r="M929" s="10" t="s">
        <v>3994</v>
      </c>
      <c r="N929" s="8" t="n">
        <v>0</v>
      </c>
      <c r="O929" s="8" t="n">
        <v>0</v>
      </c>
      <c r="P929" s="8" t="n">
        <v>0</v>
      </c>
      <c r="Q929" s="8" t="n">
        <v>0</v>
      </c>
      <c r="R929" s="13" t="n">
        <v>0</v>
      </c>
      <c r="S929" s="13" t="n">
        <v>0</v>
      </c>
      <c r="T929" s="13"/>
      <c r="U929" s="11" t="n">
        <f aca="false">O929*4 + P929*2 + MAX(0,N929-O929-P929)*1 + Q929*0.2 + R929*2 + S929*1 + IF(T929="",0,IF(T929&lt;=10,8,IF(T929&lt;=50,6,IF(T929&lt;=100,4,2))))</f>
        <v>0</v>
      </c>
      <c r="V929" s="7"/>
      <c r="W929" s="12"/>
      <c r="X929" s="13"/>
      <c r="Y929" s="13" t="s">
        <v>3995</v>
      </c>
    </row>
    <row r="930" customFormat="false" ht="15.75" hidden="false" customHeight="true" outlineLevel="0" collapsed="false">
      <c r="A930" s="7" t="s">
        <v>3996</v>
      </c>
      <c r="B930" s="8" t="n">
        <v>2000</v>
      </c>
      <c r="C930" s="8" t="s">
        <v>35</v>
      </c>
      <c r="D930" s="8" t="n">
        <v>114</v>
      </c>
      <c r="E930" s="7" t="s">
        <v>3997</v>
      </c>
      <c r="F930" s="8" t="n">
        <v>7.5</v>
      </c>
      <c r="G930" s="8"/>
      <c r="H930" s="9" t="n">
        <v>7231</v>
      </c>
      <c r="I930" s="7" t="s">
        <v>28</v>
      </c>
      <c r="J930" s="7"/>
      <c r="K930" s="12"/>
      <c r="L930" s="10" t="s">
        <v>478</v>
      </c>
      <c r="M930" s="10" t="s">
        <v>3998</v>
      </c>
      <c r="N930" s="8" t="n">
        <v>0</v>
      </c>
      <c r="O930" s="8" t="n">
        <v>0</v>
      </c>
      <c r="P930" s="8" t="n">
        <v>0</v>
      </c>
      <c r="Q930" s="8" t="n">
        <v>0</v>
      </c>
      <c r="R930" s="13" t="n">
        <v>0</v>
      </c>
      <c r="S930" s="13" t="n">
        <v>0</v>
      </c>
      <c r="T930" s="13"/>
      <c r="U930" s="11" t="n">
        <f aca="false">O930*4 + P930*2 + MAX(0,N930-O930-P930)*1 + Q930*0.2 + R930*2 + S930*1 + IF(T930="",0,IF(T930&lt;=10,8,IF(T930&lt;=50,6,IF(T930&lt;=100,4,2))))</f>
        <v>0</v>
      </c>
      <c r="V930" s="7"/>
      <c r="W930" s="12"/>
      <c r="X930" s="13"/>
      <c r="Y930" s="13" t="s">
        <v>3999</v>
      </c>
    </row>
    <row r="931" customFormat="false" ht="15.75" hidden="false" customHeight="true" outlineLevel="0" collapsed="false">
      <c r="A931" s="7" t="s">
        <v>4000</v>
      </c>
      <c r="B931" s="8" t="n">
        <v>2002</v>
      </c>
      <c r="C931" s="8" t="s">
        <v>35</v>
      </c>
      <c r="D931" s="8" t="n">
        <v>128</v>
      </c>
      <c r="E931" s="7" t="s">
        <v>1862</v>
      </c>
      <c r="F931" s="8" t="n">
        <v>7.5</v>
      </c>
      <c r="G931" s="8"/>
      <c r="H931" s="9" t="n">
        <v>12332</v>
      </c>
      <c r="I931" s="7" t="s">
        <v>3107</v>
      </c>
      <c r="J931" s="7" t="s">
        <v>47</v>
      </c>
      <c r="K931" s="7"/>
      <c r="L931" s="10"/>
      <c r="M931" s="10" t="s">
        <v>4001</v>
      </c>
      <c r="N931" s="8" t="n">
        <v>0</v>
      </c>
      <c r="O931" s="8" t="n">
        <v>0</v>
      </c>
      <c r="P931" s="8" t="n">
        <v>0</v>
      </c>
      <c r="Q931" s="8" t="n">
        <v>0</v>
      </c>
      <c r="R931" s="13" t="n">
        <v>0</v>
      </c>
      <c r="S931" s="13" t="n">
        <v>0</v>
      </c>
      <c r="T931" s="13"/>
      <c r="U931" s="11" t="n">
        <f aca="false">O931*4 + P931*2 + MAX(0,N931-O931-P931)*1 + Q931*0.2 + R931*2 + S931*1 + IF(T931="",0,IF(T931&lt;=10,8,IF(T931&lt;=50,6,IF(T931&lt;=100,4,2))))</f>
        <v>0</v>
      </c>
      <c r="V931" s="7"/>
      <c r="W931" s="12"/>
      <c r="X931" s="13"/>
      <c r="Y931" s="13" t="s">
        <v>4002</v>
      </c>
    </row>
    <row r="932" customFormat="false" ht="15.75" hidden="false" customHeight="true" outlineLevel="0" collapsed="false">
      <c r="A932" s="7" t="s">
        <v>4003</v>
      </c>
      <c r="B932" s="8" t="n">
        <v>2004</v>
      </c>
      <c r="C932" s="8" t="s">
        <v>35</v>
      </c>
      <c r="D932" s="8" t="n">
        <v>105</v>
      </c>
      <c r="E932" s="7" t="s">
        <v>4004</v>
      </c>
      <c r="F932" s="8" t="n">
        <v>7.6</v>
      </c>
      <c r="G932" s="8"/>
      <c r="H932" s="9" t="n">
        <v>23158</v>
      </c>
      <c r="I932" s="7" t="s">
        <v>280</v>
      </c>
      <c r="J932" s="7" t="s">
        <v>29</v>
      </c>
      <c r="K932" s="7" t="s">
        <v>47</v>
      </c>
      <c r="L932" s="10" t="s">
        <v>220</v>
      </c>
      <c r="M932" s="10" t="s">
        <v>4005</v>
      </c>
      <c r="N932" s="8" t="n">
        <v>0</v>
      </c>
      <c r="O932" s="8" t="n">
        <v>0</v>
      </c>
      <c r="P932" s="8" t="n">
        <v>0</v>
      </c>
      <c r="Q932" s="8" t="n">
        <v>0</v>
      </c>
      <c r="R932" s="13" t="n">
        <v>0</v>
      </c>
      <c r="S932" s="13" t="n">
        <v>0</v>
      </c>
      <c r="T932" s="13"/>
      <c r="U932" s="11" t="n">
        <f aca="false">O932*4 + P932*2 + MAX(0,N932-O932-P932)*1 + Q932*0.2 + R932*2 + S932*1 + IF(T932="",0,IF(T932&lt;=10,8,IF(T932&lt;=50,6,IF(T932&lt;=100,4,2))))</f>
        <v>0</v>
      </c>
      <c r="V932" s="7"/>
      <c r="W932" s="12"/>
      <c r="X932" s="13"/>
      <c r="Y932" s="13" t="s">
        <v>4006</v>
      </c>
    </row>
    <row r="933" customFormat="false" ht="15.75" hidden="false" customHeight="true" outlineLevel="0" collapsed="false">
      <c r="A933" s="7" t="s">
        <v>4007</v>
      </c>
      <c r="B933" s="8" t="n">
        <v>2003</v>
      </c>
      <c r="C933" s="8" t="s">
        <v>35</v>
      </c>
      <c r="D933" s="8" t="n">
        <v>108</v>
      </c>
      <c r="E933" s="7" t="s">
        <v>4008</v>
      </c>
      <c r="F933" s="8" t="n">
        <v>7.3</v>
      </c>
      <c r="G933" s="8"/>
      <c r="H933" s="9" t="n">
        <v>5652</v>
      </c>
      <c r="I933" s="7" t="s">
        <v>1111</v>
      </c>
      <c r="J933" s="7" t="s">
        <v>30</v>
      </c>
      <c r="K933" s="7" t="s">
        <v>47</v>
      </c>
      <c r="L933" s="10"/>
      <c r="M933" s="10" t="s">
        <v>4009</v>
      </c>
      <c r="N933" s="8" t="n">
        <v>0</v>
      </c>
      <c r="O933" s="8" t="n">
        <v>0</v>
      </c>
      <c r="P933" s="8" t="n">
        <v>0</v>
      </c>
      <c r="Q933" s="8" t="n">
        <v>0</v>
      </c>
      <c r="R933" s="13" t="n">
        <v>0</v>
      </c>
      <c r="S933" s="13" t="n">
        <v>0</v>
      </c>
      <c r="T933" s="13"/>
      <c r="U933" s="11" t="n">
        <f aca="false">O933*4 + P933*2 + MAX(0,N933-O933-P933)*1 + Q933*0.2 + R933*2 + S933*1 + IF(T933="",0,IF(T933&lt;=10,8,IF(T933&lt;=50,6,IF(T933&lt;=100,4,2))))</f>
        <v>0</v>
      </c>
      <c r="V933" s="7"/>
      <c r="W933" s="12"/>
      <c r="X933" s="13"/>
      <c r="Y933" s="13" t="s">
        <v>4010</v>
      </c>
    </row>
    <row r="934" customFormat="false" ht="15.75" hidden="false" customHeight="true" outlineLevel="0" collapsed="false">
      <c r="A934" s="7" t="s">
        <v>4011</v>
      </c>
      <c r="B934" s="8" t="n">
        <v>2004</v>
      </c>
      <c r="C934" s="8" t="s">
        <v>35</v>
      </c>
      <c r="D934" s="8" t="n">
        <v>132</v>
      </c>
      <c r="E934" s="7" t="s">
        <v>3531</v>
      </c>
      <c r="F934" s="8" t="n">
        <v>7.6</v>
      </c>
      <c r="G934" s="8"/>
      <c r="H934" s="9" t="n">
        <v>7654</v>
      </c>
      <c r="I934" s="7"/>
      <c r="J934" s="7"/>
      <c r="K934" s="12"/>
      <c r="L934" s="10"/>
      <c r="M934" s="10" t="s">
        <v>4012</v>
      </c>
      <c r="N934" s="8" t="n">
        <v>0</v>
      </c>
      <c r="O934" s="8" t="n">
        <v>0</v>
      </c>
      <c r="P934" s="8" t="n">
        <v>0</v>
      </c>
      <c r="Q934" s="8" t="n">
        <v>0</v>
      </c>
      <c r="R934" s="13" t="n">
        <v>0</v>
      </c>
      <c r="S934" s="13" t="n">
        <v>0</v>
      </c>
      <c r="T934" s="13"/>
      <c r="U934" s="11" t="n">
        <f aca="false">O934*4 + P934*2 + MAX(0,N934-O934-P934)*1 + Q934*0.2 + R934*2 + S934*1 + IF(T934="",0,IF(T934&lt;=10,8,IF(T934&lt;=50,6,IF(T934&lt;=100,4,2))))</f>
        <v>0</v>
      </c>
      <c r="V934" s="7"/>
      <c r="W934" s="12"/>
      <c r="X934" s="13"/>
      <c r="Y934" s="13" t="s">
        <v>4013</v>
      </c>
    </row>
    <row r="935" customFormat="false" ht="15.75" hidden="false" customHeight="true" outlineLevel="0" collapsed="false">
      <c r="A935" s="7" t="s">
        <v>4014</v>
      </c>
      <c r="B935" s="8" t="n">
        <v>2005</v>
      </c>
      <c r="C935" s="8" t="s">
        <v>35</v>
      </c>
      <c r="D935" s="8" t="n">
        <v>115</v>
      </c>
      <c r="E935" s="7" t="s">
        <v>4015</v>
      </c>
      <c r="F935" s="8" t="n">
        <v>7.6</v>
      </c>
      <c r="G935" s="8"/>
      <c r="H935" s="9" t="n">
        <v>12451</v>
      </c>
      <c r="I935" s="7" t="s">
        <v>4016</v>
      </c>
      <c r="J935" s="7"/>
      <c r="K935" s="12"/>
      <c r="L935" s="10" t="s">
        <v>4017</v>
      </c>
      <c r="M935" s="10" t="s">
        <v>4018</v>
      </c>
      <c r="N935" s="8" t="n">
        <v>0</v>
      </c>
      <c r="O935" s="8" t="n">
        <v>0</v>
      </c>
      <c r="P935" s="8" t="n">
        <v>0</v>
      </c>
      <c r="Q935" s="8" t="n">
        <v>0</v>
      </c>
      <c r="R935" s="13" t="n">
        <v>0</v>
      </c>
      <c r="S935" s="13" t="n">
        <v>0</v>
      </c>
      <c r="T935" s="13"/>
      <c r="U935" s="11" t="n">
        <f aca="false">O935*4 + P935*2 + MAX(0,N935-O935-P935)*1 + Q935*0.2 + R935*2 + S935*1 + IF(T935="",0,IF(T935&lt;=10,8,IF(T935&lt;=50,6,IF(T935&lt;=100,4,2))))</f>
        <v>0</v>
      </c>
      <c r="V935" s="7"/>
      <c r="W935" s="12"/>
      <c r="X935" s="13"/>
      <c r="Y935" s="13" t="s">
        <v>4019</v>
      </c>
    </row>
    <row r="936" customFormat="false" ht="15.75" hidden="false" customHeight="true" outlineLevel="0" collapsed="false">
      <c r="A936" s="7" t="s">
        <v>4020</v>
      </c>
      <c r="B936" s="8" t="n">
        <v>2014</v>
      </c>
      <c r="C936" s="8" t="s">
        <v>176</v>
      </c>
      <c r="D936" s="8" t="n">
        <v>96</v>
      </c>
      <c r="E936" s="7" t="s">
        <v>4021</v>
      </c>
      <c r="F936" s="8" t="n">
        <v>7.9</v>
      </c>
      <c r="G936" s="8"/>
      <c r="H936" s="9" t="n">
        <v>29829</v>
      </c>
      <c r="I936" s="7" t="s">
        <v>139</v>
      </c>
      <c r="J936" s="7" t="s">
        <v>29</v>
      </c>
      <c r="K936" s="7" t="s">
        <v>47</v>
      </c>
      <c r="L936" s="10" t="s">
        <v>205</v>
      </c>
      <c r="M936" s="10" t="s">
        <v>4022</v>
      </c>
      <c r="N936" s="8" t="n">
        <v>0</v>
      </c>
      <c r="O936" s="8" t="n">
        <v>0</v>
      </c>
      <c r="P936" s="8" t="n">
        <v>0</v>
      </c>
      <c r="Q936" s="8" t="n">
        <v>0</v>
      </c>
      <c r="R936" s="13" t="n">
        <v>0</v>
      </c>
      <c r="S936" s="13" t="n">
        <v>0</v>
      </c>
      <c r="T936" s="13"/>
      <c r="U936" s="11" t="n">
        <f aca="false">O936*4 + P936*2 + MAX(0,N936-O936-P936)*1 + Q936*0.2 + R936*2 + S936*1 + IF(T936="",0,IF(T936&lt;=10,8,IF(T936&lt;=50,6,IF(T936&lt;=100,4,2))))</f>
        <v>0</v>
      </c>
      <c r="V936" s="7"/>
      <c r="W936" s="12"/>
      <c r="X936" s="13"/>
      <c r="Y936" s="13" t="s">
        <v>4023</v>
      </c>
    </row>
    <row r="937" customFormat="false" ht="15.75" hidden="false" customHeight="true" outlineLevel="0" collapsed="false">
      <c r="A937" s="7" t="s">
        <v>4024</v>
      </c>
      <c r="B937" s="8" t="n">
        <v>2018</v>
      </c>
      <c r="C937" s="8" t="s">
        <v>176</v>
      </c>
      <c r="D937" s="8" t="n">
        <v>230</v>
      </c>
      <c r="E937" s="7" t="s">
        <v>4025</v>
      </c>
      <c r="F937" s="8" t="n">
        <v>7.8</v>
      </c>
      <c r="G937" s="8"/>
      <c r="H937" s="9" t="n">
        <v>9409</v>
      </c>
      <c r="I937" s="7" t="s">
        <v>967</v>
      </c>
      <c r="J937" s="7" t="s">
        <v>47</v>
      </c>
      <c r="K937" s="7" t="s">
        <v>54</v>
      </c>
      <c r="L937" s="10"/>
      <c r="M937" s="10" t="s">
        <v>4026</v>
      </c>
      <c r="N937" s="8" t="n">
        <v>0</v>
      </c>
      <c r="O937" s="8" t="n">
        <v>0</v>
      </c>
      <c r="P937" s="8" t="n">
        <v>0</v>
      </c>
      <c r="Q937" s="8" t="n">
        <v>0</v>
      </c>
      <c r="R937" s="13" t="n">
        <v>0</v>
      </c>
      <c r="S937" s="13" t="n">
        <v>0</v>
      </c>
      <c r="T937" s="13"/>
      <c r="U937" s="11" t="n">
        <f aca="false">O937*4 + P937*2 + MAX(0,N937-O937-P937)*1 + Q937*0.2 + R937*2 + S937*1 + IF(T937="",0,IF(T937&lt;=10,8,IF(T937&lt;=50,6,IF(T937&lt;=100,4,2))))</f>
        <v>0</v>
      </c>
      <c r="V937" s="7"/>
      <c r="W937" s="12"/>
      <c r="X937" s="13"/>
      <c r="Y937" s="13" t="s">
        <v>4027</v>
      </c>
    </row>
    <row r="938" customFormat="false" ht="15.75" hidden="false" customHeight="true" outlineLevel="0" collapsed="false">
      <c r="A938" s="7" t="s">
        <v>4028</v>
      </c>
      <c r="B938" s="8" t="n">
        <v>2025</v>
      </c>
      <c r="C938" s="8" t="s">
        <v>378</v>
      </c>
      <c r="D938" s="8" t="n">
        <v>155</v>
      </c>
      <c r="E938" s="7" t="s">
        <v>3718</v>
      </c>
      <c r="F938" s="8" t="n">
        <v>8.4</v>
      </c>
      <c r="G938" s="8"/>
      <c r="H938" s="9" t="n">
        <v>80413</v>
      </c>
      <c r="I938" s="7"/>
      <c r="J938" s="7" t="s">
        <v>579</v>
      </c>
      <c r="K938" s="7" t="s">
        <v>112</v>
      </c>
      <c r="L938" s="10" t="s">
        <v>4029</v>
      </c>
      <c r="M938" s="10" t="s">
        <v>4030</v>
      </c>
      <c r="N938" s="8" t="n">
        <v>0</v>
      </c>
      <c r="O938" s="8" t="n">
        <v>0</v>
      </c>
      <c r="P938" s="8" t="n">
        <v>0</v>
      </c>
      <c r="Q938" s="8" t="n">
        <v>0</v>
      </c>
      <c r="R938" s="13" t="n">
        <v>0</v>
      </c>
      <c r="S938" s="13" t="n">
        <v>0</v>
      </c>
      <c r="T938" s="13"/>
      <c r="U938" s="11" t="n">
        <f aca="false">O938*4 + P938*2 + MAX(0,N938-O938-P938)*1 + Q938*0.2 + R938*2 + S938*1 + IF(T938="",0,IF(T938&lt;=10,8,IF(T938&lt;=50,6,IF(T938&lt;=100,4,2))))</f>
        <v>0</v>
      </c>
      <c r="V938" s="7"/>
      <c r="W938" s="12"/>
      <c r="X938" s="13"/>
      <c r="Y938" s="13" t="s">
        <v>4031</v>
      </c>
    </row>
    <row r="939" customFormat="false" ht="15.75" hidden="false" customHeight="true" outlineLevel="0" collapsed="false">
      <c r="A939" s="7" t="s">
        <v>4032</v>
      </c>
      <c r="B939" s="8" t="n">
        <v>2001</v>
      </c>
      <c r="C939" s="8" t="s">
        <v>35</v>
      </c>
      <c r="D939" s="8" t="n">
        <v>42</v>
      </c>
      <c r="E939" s="7" t="s">
        <v>4033</v>
      </c>
      <c r="F939" s="8" t="n">
        <v>8</v>
      </c>
      <c r="G939" s="8"/>
      <c r="H939" s="9" t="n">
        <v>4564</v>
      </c>
      <c r="I939" s="7" t="s">
        <v>124</v>
      </c>
      <c r="J939" s="7"/>
      <c r="K939" s="12"/>
      <c r="L939" s="10"/>
      <c r="M939" s="10" t="s">
        <v>4034</v>
      </c>
      <c r="N939" s="8" t="n">
        <v>0</v>
      </c>
      <c r="O939" s="8" t="n">
        <v>0</v>
      </c>
      <c r="P939" s="8" t="n">
        <v>0</v>
      </c>
      <c r="Q939" s="8" t="n">
        <v>0</v>
      </c>
      <c r="R939" s="13" t="n">
        <v>0</v>
      </c>
      <c r="S939" s="13" t="n">
        <v>0</v>
      </c>
      <c r="T939" s="13"/>
      <c r="U939" s="11" t="n">
        <f aca="false">O939*4 + P939*2 + MAX(0,N939-O939-P939)*1 + Q939*0.2 + R939*2 + S939*1 + IF(T939="",0,IF(T939&lt;=10,8,IF(T939&lt;=50,6,IF(T939&lt;=100,4,2))))</f>
        <v>0</v>
      </c>
      <c r="V939" s="7"/>
      <c r="W939" s="12"/>
      <c r="X939" s="13"/>
      <c r="Y939" s="13" t="s">
        <v>4035</v>
      </c>
    </row>
    <row r="940" customFormat="false" ht="15.75" hidden="false" customHeight="true" outlineLevel="0" collapsed="false">
      <c r="A940" s="7" t="s">
        <v>4036</v>
      </c>
      <c r="B940" s="8" t="n">
        <v>2000</v>
      </c>
      <c r="C940" s="8" t="s">
        <v>35</v>
      </c>
      <c r="D940" s="8" t="n">
        <v>142</v>
      </c>
      <c r="E940" s="7" t="s">
        <v>4037</v>
      </c>
      <c r="F940" s="8" t="n">
        <v>7.4</v>
      </c>
      <c r="G940" s="8"/>
      <c r="H940" s="9" t="n">
        <v>3932</v>
      </c>
      <c r="I940" s="7" t="s">
        <v>4038</v>
      </c>
      <c r="J940" s="7" t="s">
        <v>29</v>
      </c>
      <c r="K940" s="7" t="s">
        <v>47</v>
      </c>
      <c r="L940" s="10"/>
      <c r="M940" s="10" t="s">
        <v>4039</v>
      </c>
      <c r="N940" s="8" t="n">
        <v>0</v>
      </c>
      <c r="O940" s="8" t="n">
        <v>0</v>
      </c>
      <c r="P940" s="8" t="n">
        <v>0</v>
      </c>
      <c r="Q940" s="8" t="n">
        <v>0</v>
      </c>
      <c r="R940" s="13" t="n">
        <v>0</v>
      </c>
      <c r="S940" s="13" t="n">
        <v>0</v>
      </c>
      <c r="T940" s="13"/>
      <c r="U940" s="11" t="n">
        <f aca="false">O940*4 + P940*2 + MAX(0,N940-O940-P940)*1 + Q940*0.2 + R940*2 + S940*1 + IF(T940="",0,IF(T940&lt;=10,8,IF(T940&lt;=50,6,IF(T940&lt;=100,4,2))))</f>
        <v>0</v>
      </c>
      <c r="V940" s="7"/>
      <c r="W940" s="12"/>
      <c r="X940" s="13"/>
      <c r="Y940" s="13" t="s">
        <v>4040</v>
      </c>
    </row>
    <row r="941" customFormat="false" ht="15.75" hidden="false" customHeight="true" outlineLevel="0" collapsed="false">
      <c r="A941" s="7" t="s">
        <v>4041</v>
      </c>
      <c r="B941" s="8" t="n">
        <v>2016</v>
      </c>
      <c r="C941" s="8" t="s">
        <v>176</v>
      </c>
      <c r="D941" s="8" t="n">
        <v>129</v>
      </c>
      <c r="E941" s="7" t="s">
        <v>4042</v>
      </c>
      <c r="F941" s="8" t="n">
        <v>7.8</v>
      </c>
      <c r="G941" s="8"/>
      <c r="H941" s="9" t="n">
        <v>14064</v>
      </c>
      <c r="I941" s="7" t="s">
        <v>124</v>
      </c>
      <c r="J941" s="7" t="s">
        <v>579</v>
      </c>
      <c r="K941" s="7" t="s">
        <v>453</v>
      </c>
      <c r="L941" s="10" t="s">
        <v>4043</v>
      </c>
      <c r="M941" s="10" t="s">
        <v>4044</v>
      </c>
      <c r="N941" s="8" t="n">
        <v>0</v>
      </c>
      <c r="O941" s="8" t="n">
        <v>0</v>
      </c>
      <c r="P941" s="8" t="n">
        <v>0</v>
      </c>
      <c r="Q941" s="8" t="n">
        <v>0</v>
      </c>
      <c r="R941" s="13" t="n">
        <v>0</v>
      </c>
      <c r="S941" s="13" t="n">
        <v>0</v>
      </c>
      <c r="T941" s="13"/>
      <c r="U941" s="11" t="n">
        <f aca="false">O941*4 + P941*2 + MAX(0,N941-O941-P941)*1 + Q941*0.2 + R941*2 + S941*1 + IF(T941="",0,IF(T941&lt;=10,8,IF(T941&lt;=50,6,IF(T941&lt;=100,4,2))))</f>
        <v>0</v>
      </c>
      <c r="V941" s="7"/>
      <c r="W941" s="12"/>
      <c r="X941" s="13"/>
      <c r="Y941" s="13" t="s">
        <v>4045</v>
      </c>
    </row>
    <row r="942" customFormat="false" ht="15.75" hidden="false" customHeight="true" outlineLevel="0" collapsed="false">
      <c r="A942" s="7" t="s">
        <v>4046</v>
      </c>
      <c r="B942" s="8" t="n">
        <v>2014</v>
      </c>
      <c r="C942" s="8" t="s">
        <v>176</v>
      </c>
      <c r="D942" s="8" t="n">
        <v>110</v>
      </c>
      <c r="E942" s="7" t="s">
        <v>4047</v>
      </c>
      <c r="F942" s="8" t="n">
        <v>7.4</v>
      </c>
      <c r="G942" s="8"/>
      <c r="H942" s="9" t="n">
        <v>4770</v>
      </c>
      <c r="I942" s="7" t="s">
        <v>258</v>
      </c>
      <c r="J942" s="7" t="s">
        <v>47</v>
      </c>
      <c r="K942" s="7"/>
      <c r="L942" s="10"/>
      <c r="M942" s="10" t="s">
        <v>4048</v>
      </c>
      <c r="N942" s="8" t="n">
        <v>0</v>
      </c>
      <c r="O942" s="8" t="n">
        <v>0</v>
      </c>
      <c r="P942" s="8" t="n">
        <v>0</v>
      </c>
      <c r="Q942" s="8" t="n">
        <v>0</v>
      </c>
      <c r="R942" s="13" t="n">
        <v>0</v>
      </c>
      <c r="S942" s="13" t="n">
        <v>0</v>
      </c>
      <c r="T942" s="13"/>
      <c r="U942" s="11" t="n">
        <f aca="false">O942*4 + P942*2 + MAX(0,N942-O942-P942)*1 + Q942*0.2 + R942*2 + S942*1 + IF(T942="",0,IF(T942&lt;=10,8,IF(T942&lt;=50,6,IF(T942&lt;=100,4,2))))</f>
        <v>0</v>
      </c>
      <c r="V942" s="7"/>
      <c r="W942" s="12"/>
      <c r="X942" s="13"/>
      <c r="Y942" s="13" t="s">
        <v>4049</v>
      </c>
    </row>
    <row r="943" customFormat="false" ht="15.75" hidden="false" customHeight="true" outlineLevel="0" collapsed="false">
      <c r="A943" s="7" t="s">
        <v>4050</v>
      </c>
      <c r="B943" s="8" t="n">
        <v>2001</v>
      </c>
      <c r="C943" s="8" t="s">
        <v>35</v>
      </c>
      <c r="D943" s="8" t="n">
        <v>138</v>
      </c>
      <c r="E943" s="7" t="s">
        <v>4051</v>
      </c>
      <c r="F943" s="8" t="n">
        <v>7.7</v>
      </c>
      <c r="G943" s="8"/>
      <c r="H943" s="9" t="n">
        <v>8517</v>
      </c>
      <c r="I943" s="7" t="s">
        <v>4052</v>
      </c>
      <c r="J943" s="7" t="s">
        <v>39</v>
      </c>
      <c r="K943" s="7" t="s">
        <v>29</v>
      </c>
      <c r="L943" s="10"/>
      <c r="M943" s="10" t="s">
        <v>4053</v>
      </c>
      <c r="N943" s="8" t="n">
        <v>0</v>
      </c>
      <c r="O943" s="8" t="n">
        <v>0</v>
      </c>
      <c r="P943" s="8" t="n">
        <v>0</v>
      </c>
      <c r="Q943" s="8" t="n">
        <v>0</v>
      </c>
      <c r="R943" s="13" t="n">
        <v>0</v>
      </c>
      <c r="S943" s="13" t="n">
        <v>0</v>
      </c>
      <c r="T943" s="13"/>
      <c r="U943" s="11" t="n">
        <f aca="false">O943*4 + P943*2 + MAX(0,N943-O943-P943)*1 + Q943*0.2 + R943*2 + S943*1 + IF(T943="",0,IF(T943&lt;=10,8,IF(T943&lt;=50,6,IF(T943&lt;=100,4,2))))</f>
        <v>0</v>
      </c>
      <c r="V943" s="7"/>
      <c r="W943" s="12"/>
      <c r="X943" s="13"/>
      <c r="Y943" s="13" t="s">
        <v>4054</v>
      </c>
    </row>
    <row r="944" customFormat="false" ht="15.75" hidden="false" customHeight="true" outlineLevel="0" collapsed="false">
      <c r="A944" s="7" t="s">
        <v>4055</v>
      </c>
      <c r="B944" s="8" t="n">
        <v>2002</v>
      </c>
      <c r="C944" s="8" t="s">
        <v>35</v>
      </c>
      <c r="D944" s="8" t="n">
        <v>113</v>
      </c>
      <c r="E944" s="7" t="s">
        <v>2938</v>
      </c>
      <c r="F944" s="8" t="n">
        <v>7.5</v>
      </c>
      <c r="G944" s="8"/>
      <c r="H944" s="9" t="n">
        <v>11727</v>
      </c>
      <c r="I944" s="7" t="s">
        <v>437</v>
      </c>
      <c r="J944" s="7" t="s">
        <v>29</v>
      </c>
      <c r="K944" s="7" t="s">
        <v>47</v>
      </c>
      <c r="L944" s="10"/>
      <c r="M944" s="10" t="s">
        <v>4056</v>
      </c>
      <c r="N944" s="8" t="n">
        <v>0</v>
      </c>
      <c r="O944" s="8" t="n">
        <v>0</v>
      </c>
      <c r="P944" s="8" t="n">
        <v>0</v>
      </c>
      <c r="Q944" s="8" t="n">
        <v>0</v>
      </c>
      <c r="R944" s="13" t="n">
        <v>0</v>
      </c>
      <c r="S944" s="13" t="n">
        <v>0</v>
      </c>
      <c r="T944" s="13"/>
      <c r="U944" s="11" t="n">
        <f aca="false">O944*4 + P944*2 + MAX(0,N944-O944-P944)*1 + Q944*0.2 + R944*2 + S944*1 + IF(T944="",0,IF(T944&lt;=10,8,IF(T944&lt;=50,6,IF(T944&lt;=100,4,2))))</f>
        <v>0</v>
      </c>
      <c r="V944" s="7"/>
      <c r="W944" s="12"/>
      <c r="X944" s="13"/>
      <c r="Y944" s="13" t="s">
        <v>4057</v>
      </c>
    </row>
    <row r="945" customFormat="false" ht="15.75" hidden="false" customHeight="true" outlineLevel="0" collapsed="false">
      <c r="A945" s="7" t="s">
        <v>4058</v>
      </c>
      <c r="B945" s="8" t="n">
        <v>2000</v>
      </c>
      <c r="C945" s="8" t="s">
        <v>35</v>
      </c>
      <c r="D945" s="8" t="n">
        <v>90</v>
      </c>
      <c r="E945" s="7" t="s">
        <v>4059</v>
      </c>
      <c r="F945" s="8" t="n">
        <v>7.4</v>
      </c>
      <c r="G945" s="8"/>
      <c r="H945" s="9" t="n">
        <v>7486</v>
      </c>
      <c r="I945" s="7" t="s">
        <v>1424</v>
      </c>
      <c r="J945" s="7" t="s">
        <v>47</v>
      </c>
      <c r="K945" s="7"/>
      <c r="L945" s="10" t="s">
        <v>1439</v>
      </c>
      <c r="M945" s="10" t="s">
        <v>4060</v>
      </c>
      <c r="N945" s="8" t="n">
        <v>0</v>
      </c>
      <c r="O945" s="8" t="n">
        <v>0</v>
      </c>
      <c r="P945" s="8" t="n">
        <v>0</v>
      </c>
      <c r="Q945" s="8" t="n">
        <v>0</v>
      </c>
      <c r="R945" s="8" t="n">
        <v>1</v>
      </c>
      <c r="S945" s="13" t="n">
        <v>0</v>
      </c>
      <c r="T945" s="13"/>
      <c r="U945" s="11" t="n">
        <f aca="false">O945*4 + P945*2 + MAX(0,N945-O945-P945)*1 + Q945*0.2 + R945*2 + S945*1 + IF(T945="",0,IF(T945&lt;=10,8,IF(T945&lt;=50,6,IF(T945&lt;=100,4,2))))</f>
        <v>2</v>
      </c>
      <c r="V945" s="7"/>
      <c r="W945" s="12"/>
      <c r="X945" s="13"/>
      <c r="Y945" s="13" t="s">
        <v>4061</v>
      </c>
    </row>
    <row r="946" customFormat="false" ht="15.75" hidden="false" customHeight="true" outlineLevel="0" collapsed="false">
      <c r="A946" s="7" t="s">
        <v>4062</v>
      </c>
      <c r="B946" s="8" t="n">
        <v>2014</v>
      </c>
      <c r="C946" s="8" t="s">
        <v>176</v>
      </c>
      <c r="D946" s="8" t="n">
        <v>108</v>
      </c>
      <c r="E946" s="7" t="s">
        <v>4063</v>
      </c>
      <c r="F946" s="8" t="n">
        <v>7.5</v>
      </c>
      <c r="G946" s="8"/>
      <c r="H946" s="9" t="n">
        <v>1702</v>
      </c>
      <c r="I946" s="7" t="s">
        <v>1429</v>
      </c>
      <c r="J946" s="7" t="s">
        <v>47</v>
      </c>
      <c r="K946" s="7"/>
      <c r="L946" s="10"/>
      <c r="M946" s="10" t="s">
        <v>4064</v>
      </c>
      <c r="N946" s="8" t="n">
        <v>0</v>
      </c>
      <c r="O946" s="8" t="n">
        <v>0</v>
      </c>
      <c r="P946" s="8" t="n">
        <v>0</v>
      </c>
      <c r="Q946" s="8" t="n">
        <v>0</v>
      </c>
      <c r="R946" s="13" t="n">
        <v>0</v>
      </c>
      <c r="S946" s="13" t="n">
        <v>0</v>
      </c>
      <c r="T946" s="13"/>
      <c r="U946" s="11" t="n">
        <f aca="false">O946*4 + P946*2 + MAX(0,N946-O946-P946)*1 + Q946*0.2 + R946*2 + S946*1 + IF(T946="",0,IF(T946&lt;=10,8,IF(T946&lt;=50,6,IF(T946&lt;=100,4,2))))</f>
        <v>0</v>
      </c>
      <c r="V946" s="7"/>
      <c r="W946" s="12"/>
      <c r="X946" s="13"/>
      <c r="Y946" s="13" t="s">
        <v>4065</v>
      </c>
    </row>
    <row r="947" customFormat="false" ht="15.75" hidden="false" customHeight="true" outlineLevel="0" collapsed="false">
      <c r="A947" s="7" t="s">
        <v>4066</v>
      </c>
      <c r="B947" s="8" t="n">
        <v>2007</v>
      </c>
      <c r="C947" s="8" t="s">
        <v>35</v>
      </c>
      <c r="D947" s="8" t="n">
        <v>139</v>
      </c>
      <c r="E947" s="7" t="s">
        <v>3589</v>
      </c>
      <c r="F947" s="8" t="n">
        <v>7</v>
      </c>
      <c r="G947" s="8"/>
      <c r="H947" s="9" t="n">
        <v>4983</v>
      </c>
      <c r="I947" s="7" t="s">
        <v>4067</v>
      </c>
      <c r="J947" s="7" t="s">
        <v>47</v>
      </c>
      <c r="K947" s="7" t="s">
        <v>54</v>
      </c>
      <c r="L947" s="10" t="s">
        <v>205</v>
      </c>
      <c r="M947" s="10" t="s">
        <v>4068</v>
      </c>
      <c r="N947" s="8" t="n">
        <v>0</v>
      </c>
      <c r="O947" s="8" t="n">
        <v>0</v>
      </c>
      <c r="P947" s="8" t="n">
        <v>0</v>
      </c>
      <c r="Q947" s="8" t="n">
        <v>0</v>
      </c>
      <c r="R947" s="13" t="n">
        <v>0</v>
      </c>
      <c r="S947" s="13" t="n">
        <v>0</v>
      </c>
      <c r="T947" s="13"/>
      <c r="U947" s="11" t="n">
        <f aca="false">O947*4 + P947*2 + MAX(0,N947-O947-P947)*1 + Q947*0.2 + R947*2 + S947*1 + IF(T947="",0,IF(T947&lt;=10,8,IF(T947&lt;=50,6,IF(T947&lt;=100,4,2))))</f>
        <v>0</v>
      </c>
      <c r="V947" s="7"/>
      <c r="W947" s="12"/>
      <c r="X947" s="13"/>
      <c r="Y947" s="13" t="s">
        <v>4069</v>
      </c>
    </row>
    <row r="948" customFormat="false" ht="15.75" hidden="false" customHeight="true" outlineLevel="0" collapsed="false">
      <c r="A948" s="7" t="s">
        <v>4070</v>
      </c>
      <c r="B948" s="8" t="n">
        <v>2008</v>
      </c>
      <c r="C948" s="8" t="s">
        <v>35</v>
      </c>
      <c r="D948" s="8" t="n">
        <v>114</v>
      </c>
      <c r="E948" s="7" t="s">
        <v>4071</v>
      </c>
      <c r="F948" s="8" t="n">
        <v>7.9</v>
      </c>
      <c r="G948" s="8"/>
      <c r="H948" s="9" t="n">
        <v>23310</v>
      </c>
      <c r="I948" s="7" t="s">
        <v>46</v>
      </c>
      <c r="J948" s="7" t="s">
        <v>47</v>
      </c>
      <c r="K948" s="7"/>
      <c r="L948" s="10" t="s">
        <v>205</v>
      </c>
      <c r="M948" s="10" t="s">
        <v>4072</v>
      </c>
      <c r="N948" s="8" t="n">
        <v>0</v>
      </c>
      <c r="O948" s="8" t="n">
        <v>0</v>
      </c>
      <c r="P948" s="8" t="n">
        <v>0</v>
      </c>
      <c r="Q948" s="8" t="n">
        <v>0</v>
      </c>
      <c r="R948" s="13" t="n">
        <v>0</v>
      </c>
      <c r="S948" s="13" t="n">
        <v>0</v>
      </c>
      <c r="T948" s="13"/>
      <c r="U948" s="11" t="n">
        <f aca="false">O948*4 + P948*2 + MAX(0,N948-O948-P948)*1 + Q948*0.2 + R948*2 + S948*1 + IF(T948="",0,IF(T948&lt;=10,8,IF(T948&lt;=50,6,IF(T948&lt;=100,4,2))))</f>
        <v>0</v>
      </c>
      <c r="V948" s="7"/>
      <c r="W948" s="12"/>
      <c r="X948" s="13"/>
      <c r="Y948" s="13" t="s">
        <v>4073</v>
      </c>
    </row>
    <row r="949" customFormat="false" ht="15.75" hidden="false" customHeight="true" outlineLevel="0" collapsed="false">
      <c r="A949" s="7" t="s">
        <v>4074</v>
      </c>
      <c r="B949" s="8" t="n">
        <v>2000</v>
      </c>
      <c r="C949" s="8" t="s">
        <v>35</v>
      </c>
      <c r="D949" s="8" t="n">
        <v>83</v>
      </c>
      <c r="E949" s="7" t="s">
        <v>4075</v>
      </c>
      <c r="F949" s="8" t="n">
        <v>7.4</v>
      </c>
      <c r="G949" s="8"/>
      <c r="H949" s="9" t="n">
        <v>8682</v>
      </c>
      <c r="I949" s="7" t="s">
        <v>967</v>
      </c>
      <c r="J949" s="7" t="s">
        <v>29</v>
      </c>
      <c r="K949" s="7" t="s">
        <v>483</v>
      </c>
      <c r="L949" s="10" t="s">
        <v>166</v>
      </c>
      <c r="M949" s="10" t="s">
        <v>4076</v>
      </c>
      <c r="N949" s="8" t="n">
        <v>0</v>
      </c>
      <c r="O949" s="8" t="n">
        <v>0</v>
      </c>
      <c r="P949" s="8" t="n">
        <v>0</v>
      </c>
      <c r="Q949" s="8" t="n">
        <v>0</v>
      </c>
      <c r="R949" s="13" t="n">
        <v>0</v>
      </c>
      <c r="S949" s="13" t="n">
        <v>0</v>
      </c>
      <c r="T949" s="13"/>
      <c r="U949" s="11" t="n">
        <f aca="false">O949*4 + P949*2 + MAX(0,N949-O949-P949)*1 + Q949*0.2 + R949*2 + S949*1 + IF(T949="",0,IF(T949&lt;=10,8,IF(T949&lt;=50,6,IF(T949&lt;=100,4,2))))</f>
        <v>0</v>
      </c>
      <c r="V949" s="7"/>
      <c r="W949" s="12"/>
      <c r="X949" s="13"/>
      <c r="Y949" s="13" t="s">
        <v>4077</v>
      </c>
    </row>
    <row r="950" customFormat="false" ht="15.75" hidden="false" customHeight="true" outlineLevel="0" collapsed="false">
      <c r="A950" s="7" t="s">
        <v>4078</v>
      </c>
      <c r="B950" s="8" t="n">
        <v>2024</v>
      </c>
      <c r="C950" s="8" t="s">
        <v>378</v>
      </c>
      <c r="D950" s="8" t="n">
        <v>106</v>
      </c>
      <c r="E950" s="7" t="s">
        <v>3793</v>
      </c>
      <c r="F950" s="8" t="n">
        <v>7.4</v>
      </c>
      <c r="G950" s="8"/>
      <c r="H950" s="9" t="n">
        <v>6926</v>
      </c>
      <c r="I950" s="7" t="s">
        <v>280</v>
      </c>
      <c r="J950" s="7" t="s">
        <v>47</v>
      </c>
      <c r="K950" s="7"/>
      <c r="L950" s="10"/>
      <c r="M950" s="10" t="s">
        <v>4079</v>
      </c>
      <c r="N950" s="8" t="n">
        <v>0</v>
      </c>
      <c r="O950" s="8" t="n">
        <v>0</v>
      </c>
      <c r="P950" s="8" t="n">
        <v>0</v>
      </c>
      <c r="Q950" s="8" t="n">
        <v>0</v>
      </c>
      <c r="R950" s="13" t="n">
        <v>0</v>
      </c>
      <c r="S950" s="13" t="n">
        <v>0</v>
      </c>
      <c r="T950" s="13"/>
      <c r="U950" s="11" t="n">
        <f aca="false">O950*4 + P950*2 + MAX(0,N950-O950-P950)*1 + Q950*0.2 + R950*2 + S950*1 + IF(T950="",0,IF(T950&lt;=10,8,IF(T950&lt;=50,6,IF(T950&lt;=100,4,2))))</f>
        <v>0</v>
      </c>
      <c r="V950" s="7"/>
      <c r="W950" s="12"/>
      <c r="X950" s="13"/>
      <c r="Y950" s="13" t="s">
        <v>4080</v>
      </c>
    </row>
    <row r="951" customFormat="false" ht="15.75" hidden="false" customHeight="true" outlineLevel="0" collapsed="false">
      <c r="A951" s="7" t="s">
        <v>4081</v>
      </c>
      <c r="B951" s="8" t="n">
        <v>2008</v>
      </c>
      <c r="C951" s="8" t="s">
        <v>35</v>
      </c>
      <c r="D951" s="8" t="n">
        <v>245</v>
      </c>
      <c r="E951" s="7" t="s">
        <v>4082</v>
      </c>
      <c r="F951" s="8" t="n">
        <v>7.8</v>
      </c>
      <c r="G951" s="8"/>
      <c r="H951" s="9" t="n">
        <v>1472</v>
      </c>
      <c r="I951" s="7" t="s">
        <v>292</v>
      </c>
      <c r="J951" s="7" t="s">
        <v>47</v>
      </c>
      <c r="K951" s="7" t="s">
        <v>125</v>
      </c>
      <c r="L951" s="10" t="s">
        <v>205</v>
      </c>
      <c r="M951" s="7" t="s">
        <v>4083</v>
      </c>
      <c r="N951" s="8" t="n">
        <v>0</v>
      </c>
      <c r="O951" s="8" t="n">
        <v>0</v>
      </c>
      <c r="P951" s="8" t="n">
        <v>0</v>
      </c>
      <c r="Q951" s="8" t="n">
        <v>0</v>
      </c>
      <c r="R951" s="8" t="n">
        <v>0</v>
      </c>
      <c r="S951" s="13" t="n">
        <v>0</v>
      </c>
      <c r="T951" s="8"/>
      <c r="U951" s="11" t="n">
        <f aca="false">O951*4 + P951*2 + MAX(0,N951-O951-P951)*1 + Q951*0.2 + R951*2 + S951*1 + IF(T951="",0,IF(T951&lt;=10,8,IF(T951&lt;=50,6,IF(T951&lt;=100,4,2))))</f>
        <v>0</v>
      </c>
      <c r="V951" s="10" t="s">
        <v>4084</v>
      </c>
      <c r="W951" s="12"/>
      <c r="X951" s="8" t="n">
        <v>29</v>
      </c>
      <c r="Y951" s="8" t="s">
        <v>4085</v>
      </c>
    </row>
    <row r="952" customFormat="false" ht="15.75" hidden="false" customHeight="true" outlineLevel="0" collapsed="false">
      <c r="A952" s="7" t="s">
        <v>4086</v>
      </c>
      <c r="B952" s="8" t="n">
        <v>2005</v>
      </c>
      <c r="C952" s="8" t="s">
        <v>35</v>
      </c>
      <c r="D952" s="8" t="n">
        <v>183</v>
      </c>
      <c r="E952" s="7" t="s">
        <v>4087</v>
      </c>
      <c r="F952" s="8" t="n">
        <v>6.8</v>
      </c>
      <c r="G952" s="8"/>
      <c r="H952" s="9" t="n">
        <v>3158</v>
      </c>
      <c r="I952" s="7" t="s">
        <v>219</v>
      </c>
      <c r="J952" s="7" t="s">
        <v>29</v>
      </c>
      <c r="K952" s="7" t="s">
        <v>47</v>
      </c>
      <c r="L952" s="10" t="s">
        <v>205</v>
      </c>
      <c r="M952" s="7" t="s">
        <v>4088</v>
      </c>
      <c r="N952" s="8" t="n">
        <v>0</v>
      </c>
      <c r="O952" s="8" t="n">
        <v>0</v>
      </c>
      <c r="P952" s="8" t="n">
        <v>0</v>
      </c>
      <c r="Q952" s="8" t="n">
        <v>0</v>
      </c>
      <c r="R952" s="8" t="n">
        <v>0</v>
      </c>
      <c r="S952" s="13" t="n">
        <v>0</v>
      </c>
      <c r="T952" s="8"/>
      <c r="U952" s="11" t="n">
        <f aca="false">O952*4 + P952*2 + MAX(0,N952-O952-P952)*1 + Q952*0.2 + R952*2 + S952*1 + IF(T952="",0,IF(T952&lt;=10,8,IF(T952&lt;=50,6,IF(T952&lt;=100,4,2))))</f>
        <v>0</v>
      </c>
      <c r="V952" s="10" t="s">
        <v>4089</v>
      </c>
      <c r="W952" s="12"/>
      <c r="X952" s="8" t="n">
        <v>51</v>
      </c>
      <c r="Y952" s="8" t="s">
        <v>4090</v>
      </c>
    </row>
    <row r="953" customFormat="false" ht="15.75" hidden="false" customHeight="true" outlineLevel="0" collapsed="false">
      <c r="A953" s="7" t="s">
        <v>4091</v>
      </c>
      <c r="B953" s="8" t="n">
        <v>2022</v>
      </c>
      <c r="C953" s="8" t="s">
        <v>378</v>
      </c>
      <c r="D953" s="8" t="n">
        <v>88</v>
      </c>
      <c r="E953" s="7" t="s">
        <v>3397</v>
      </c>
      <c r="F953" s="8" t="n">
        <v>7.1</v>
      </c>
      <c r="G953" s="8"/>
      <c r="H953" s="9" t="n">
        <v>3694</v>
      </c>
      <c r="I953" s="7" t="s">
        <v>3398</v>
      </c>
      <c r="J953" s="7" t="s">
        <v>47</v>
      </c>
      <c r="K953" s="7" t="s">
        <v>54</v>
      </c>
      <c r="L953" s="10" t="s">
        <v>205</v>
      </c>
      <c r="M953" s="10" t="s">
        <v>4092</v>
      </c>
      <c r="N953" s="8" t="n">
        <v>0</v>
      </c>
      <c r="O953" s="8" t="n">
        <v>0</v>
      </c>
      <c r="P953" s="8" t="n">
        <v>0</v>
      </c>
      <c r="Q953" s="8" t="n">
        <v>0</v>
      </c>
      <c r="R953" s="13" t="n">
        <v>0</v>
      </c>
      <c r="S953" s="13" t="n">
        <v>0</v>
      </c>
      <c r="T953" s="13"/>
      <c r="U953" s="11" t="n">
        <f aca="false">O953*4 + P953*2 + MAX(0,N953-O953-P953)*1 + Q953*0.2 + R953*2 + S953*1 + IF(T953="",0,IF(T953&lt;=10,8,IF(T953&lt;=50,6,IF(T953&lt;=100,4,2))))</f>
        <v>0</v>
      </c>
      <c r="V953" s="7"/>
      <c r="W953" s="12"/>
      <c r="X953" s="13"/>
      <c r="Y953" s="13" t="s">
        <v>4093</v>
      </c>
    </row>
    <row r="954" customFormat="false" ht="15.75" hidden="false" customHeight="true" outlineLevel="0" collapsed="false">
      <c r="A954" s="7" t="s">
        <v>4094</v>
      </c>
      <c r="B954" s="8" t="n">
        <v>2002</v>
      </c>
      <c r="C954" s="8" t="s">
        <v>35</v>
      </c>
      <c r="D954" s="8" t="n">
        <v>133</v>
      </c>
      <c r="E954" s="7" t="s">
        <v>3813</v>
      </c>
      <c r="F954" s="8" t="n">
        <v>7.8</v>
      </c>
      <c r="G954" s="8"/>
      <c r="H954" s="9" t="n">
        <v>11796</v>
      </c>
      <c r="I954" s="7" t="s">
        <v>430</v>
      </c>
      <c r="J954" s="7" t="s">
        <v>29</v>
      </c>
      <c r="K954" s="7" t="s">
        <v>47</v>
      </c>
      <c r="L954" s="10" t="s">
        <v>238</v>
      </c>
      <c r="M954" s="7" t="s">
        <v>4095</v>
      </c>
      <c r="N954" s="8" t="n">
        <v>0</v>
      </c>
      <c r="O954" s="8" t="n">
        <v>0</v>
      </c>
      <c r="P954" s="8" t="n">
        <v>0</v>
      </c>
      <c r="Q954" s="8" t="n">
        <v>0</v>
      </c>
      <c r="R954" s="8" t="n">
        <v>0</v>
      </c>
      <c r="S954" s="13" t="n">
        <v>0</v>
      </c>
      <c r="T954" s="8"/>
      <c r="U954" s="11" t="n">
        <f aca="false">O954*4 + P954*2 + MAX(0,N954-O954-P954)*1 + Q954*0.2 + R954*2 + S954*1 + IF(T954="",0,IF(T954&lt;=10,8,IF(T954&lt;=50,6,IF(T954&lt;=100,4,2))))</f>
        <v>0</v>
      </c>
      <c r="V954" s="10" t="s">
        <v>4096</v>
      </c>
      <c r="W954" s="12"/>
      <c r="X954" s="8" t="n">
        <v>36</v>
      </c>
      <c r="Y954" s="8" t="s">
        <v>4097</v>
      </c>
    </row>
    <row r="955" customFormat="false" ht="15.75" hidden="false" customHeight="true" outlineLevel="0" collapsed="false">
      <c r="A955" s="7" t="s">
        <v>4098</v>
      </c>
      <c r="B955" s="8" t="n">
        <v>2004</v>
      </c>
      <c r="C955" s="8" t="s">
        <v>35</v>
      </c>
      <c r="D955" s="8" t="n">
        <v>104</v>
      </c>
      <c r="E955" s="7" t="s">
        <v>4099</v>
      </c>
      <c r="F955" s="8" t="n">
        <v>7.7</v>
      </c>
      <c r="G955" s="8"/>
      <c r="H955" s="9" t="n">
        <v>16748</v>
      </c>
      <c r="I955" s="7" t="s">
        <v>4100</v>
      </c>
      <c r="J955" s="7" t="s">
        <v>30</v>
      </c>
      <c r="K955" s="7" t="s">
        <v>47</v>
      </c>
      <c r="L955" s="10"/>
      <c r="M955" s="10" t="s">
        <v>4101</v>
      </c>
      <c r="N955" s="8" t="n">
        <v>0</v>
      </c>
      <c r="O955" s="8" t="n">
        <v>0</v>
      </c>
      <c r="P955" s="8" t="n">
        <v>0</v>
      </c>
      <c r="Q955" s="8" t="n">
        <v>0</v>
      </c>
      <c r="R955" s="13" t="n">
        <v>0</v>
      </c>
      <c r="S955" s="13" t="n">
        <v>0</v>
      </c>
      <c r="T955" s="13"/>
      <c r="U955" s="11" t="n">
        <f aca="false">O955*4 + P955*2 + MAX(0,N955-O955-P955)*1 + Q955*0.2 + R955*2 + S955*1 + IF(T955="",0,IF(T955&lt;=10,8,IF(T955&lt;=50,6,IF(T955&lt;=100,4,2))))</f>
        <v>0</v>
      </c>
      <c r="V955" s="7"/>
      <c r="W955" s="12"/>
      <c r="X955" s="13"/>
      <c r="Y955" s="13" t="s">
        <v>4102</v>
      </c>
    </row>
    <row r="956" customFormat="false" ht="15.75" hidden="false" customHeight="true" outlineLevel="0" collapsed="false">
      <c r="A956" s="7" t="s">
        <v>4103</v>
      </c>
      <c r="B956" s="8" t="n">
        <v>2006</v>
      </c>
      <c r="C956" s="8" t="s">
        <v>35</v>
      </c>
      <c r="D956" s="8" t="n">
        <v>122</v>
      </c>
      <c r="E956" s="7" t="s">
        <v>3531</v>
      </c>
      <c r="F956" s="8" t="n">
        <v>7.7</v>
      </c>
      <c r="G956" s="8"/>
      <c r="H956" s="9" t="n">
        <v>4630</v>
      </c>
      <c r="I956" s="7" t="s">
        <v>124</v>
      </c>
      <c r="J956" s="7"/>
      <c r="K956" s="12"/>
      <c r="L956" s="10"/>
      <c r="M956" s="10" t="s">
        <v>4104</v>
      </c>
      <c r="N956" s="8" t="n">
        <v>0</v>
      </c>
      <c r="O956" s="8" t="n">
        <v>0</v>
      </c>
      <c r="P956" s="8" t="n">
        <v>0</v>
      </c>
      <c r="Q956" s="8" t="n">
        <v>0</v>
      </c>
      <c r="R956" s="13" t="n">
        <v>0</v>
      </c>
      <c r="S956" s="13" t="n">
        <v>0</v>
      </c>
      <c r="T956" s="13"/>
      <c r="U956" s="11" t="n">
        <f aca="false">O956*4 + P956*2 + MAX(0,N956-O956-P956)*1 + Q956*0.2 + R956*2 + S956*1 + IF(T956="",0,IF(T956&lt;=10,8,IF(T956&lt;=50,6,IF(T956&lt;=100,4,2))))</f>
        <v>0</v>
      </c>
      <c r="V956" s="7"/>
      <c r="W956" s="12"/>
      <c r="X956" s="13"/>
      <c r="Y956" s="13" t="s">
        <v>4105</v>
      </c>
    </row>
    <row r="957" customFormat="false" ht="15.75" hidden="false" customHeight="true" outlineLevel="0" collapsed="false">
      <c r="A957" s="7" t="s">
        <v>4106</v>
      </c>
      <c r="B957" s="8" t="n">
        <v>2019</v>
      </c>
      <c r="C957" s="8" t="s">
        <v>176</v>
      </c>
      <c r="D957" s="8" t="n">
        <v>95</v>
      </c>
      <c r="E957" s="7" t="s">
        <v>4107</v>
      </c>
      <c r="F957" s="8" t="n">
        <v>7.2</v>
      </c>
      <c r="G957" s="8"/>
      <c r="H957" s="9" t="n">
        <v>1381</v>
      </c>
      <c r="I957" s="7" t="s">
        <v>4108</v>
      </c>
      <c r="J957" s="7" t="s">
        <v>47</v>
      </c>
      <c r="K957" s="7"/>
      <c r="L957" s="10" t="s">
        <v>416</v>
      </c>
      <c r="M957" s="10" t="s">
        <v>4109</v>
      </c>
      <c r="N957" s="8" t="n">
        <v>0</v>
      </c>
      <c r="O957" s="8" t="n">
        <v>0</v>
      </c>
      <c r="P957" s="8" t="n">
        <v>0</v>
      </c>
      <c r="Q957" s="8" t="n">
        <v>0</v>
      </c>
      <c r="R957" s="13" t="n">
        <v>0</v>
      </c>
      <c r="S957" s="13" t="n">
        <v>0</v>
      </c>
      <c r="T957" s="13"/>
      <c r="U957" s="11" t="n">
        <f aca="false">O957*4 + P957*2 + MAX(0,N957-O957-P957)*1 + Q957*0.2 + R957*2 + S957*1 + IF(T957="",0,IF(T957&lt;=10,8,IF(T957&lt;=50,6,IF(T957&lt;=100,4,2))))</f>
        <v>0</v>
      </c>
      <c r="V957" s="7"/>
      <c r="W957" s="12"/>
      <c r="X957" s="13"/>
      <c r="Y957" s="13" t="s">
        <v>4110</v>
      </c>
    </row>
    <row r="958" customFormat="false" ht="15.75" hidden="false" customHeight="true" outlineLevel="0" collapsed="false">
      <c r="A958" s="7" t="s">
        <v>4111</v>
      </c>
      <c r="B958" s="8" t="n">
        <v>2004</v>
      </c>
      <c r="C958" s="8" t="s">
        <v>35</v>
      </c>
      <c r="D958" s="8" t="n">
        <v>117</v>
      </c>
      <c r="E958" s="7" t="s">
        <v>4112</v>
      </c>
      <c r="F958" s="8" t="n">
        <v>8.1</v>
      </c>
      <c r="G958" s="8"/>
      <c r="H958" s="9" t="n">
        <v>27485</v>
      </c>
      <c r="I958" s="7" t="s">
        <v>430</v>
      </c>
      <c r="J958" s="7" t="s">
        <v>29</v>
      </c>
      <c r="K958" s="7" t="s">
        <v>47</v>
      </c>
      <c r="L958" s="10"/>
      <c r="M958" s="10" t="s">
        <v>4113</v>
      </c>
      <c r="N958" s="8" t="n">
        <v>0</v>
      </c>
      <c r="O958" s="8" t="n">
        <v>0</v>
      </c>
      <c r="P958" s="8" t="n">
        <v>0</v>
      </c>
      <c r="Q958" s="8" t="n">
        <v>0</v>
      </c>
      <c r="R958" s="13" t="n">
        <v>0</v>
      </c>
      <c r="S958" s="13" t="n">
        <v>0</v>
      </c>
      <c r="T958" s="13"/>
      <c r="U958" s="11" t="n">
        <f aca="false">O958*4 + P958*2 + MAX(0,N958-O958-P958)*1 + Q958*0.2 + R958*2 + S958*1 + IF(T958="",0,IF(T958&lt;=10,8,IF(T958&lt;=50,6,IF(T958&lt;=100,4,2))))</f>
        <v>0</v>
      </c>
      <c r="V958" s="7"/>
      <c r="W958" s="12"/>
      <c r="X958" s="13"/>
      <c r="Y958" s="13" t="s">
        <v>4114</v>
      </c>
    </row>
    <row r="959" customFormat="false" ht="15.75" hidden="false" customHeight="true" outlineLevel="0" collapsed="false">
      <c r="A959" s="7" t="s">
        <v>4115</v>
      </c>
      <c r="B959" s="8" t="n">
        <v>2025</v>
      </c>
      <c r="C959" s="8" t="s">
        <v>378</v>
      </c>
      <c r="D959" s="8" t="n">
        <v>115</v>
      </c>
      <c r="E959" s="7" t="s">
        <v>4116</v>
      </c>
      <c r="F959" s="8" t="n">
        <v>7.1</v>
      </c>
      <c r="G959" s="8"/>
      <c r="H959" s="9" t="n">
        <v>1975</v>
      </c>
      <c r="I959" s="7" t="s">
        <v>232</v>
      </c>
      <c r="J959" s="7" t="s">
        <v>47</v>
      </c>
      <c r="K959" s="7"/>
      <c r="L959" s="10" t="s">
        <v>166</v>
      </c>
      <c r="M959" s="10" t="s">
        <v>4117</v>
      </c>
      <c r="N959" s="8" t="n">
        <v>0</v>
      </c>
      <c r="O959" s="8" t="n">
        <v>0</v>
      </c>
      <c r="P959" s="8" t="n">
        <v>0</v>
      </c>
      <c r="Q959" s="8" t="n">
        <v>0</v>
      </c>
      <c r="R959" s="13" t="n">
        <v>0</v>
      </c>
      <c r="S959" s="13" t="n">
        <v>0</v>
      </c>
      <c r="T959" s="13"/>
      <c r="U959" s="11" t="n">
        <f aca="false">O959*4 + P959*2 + MAX(0,N959-O959-P959)*1 + Q959*0.2 + R959*2 + S959*1 + IF(T959="",0,IF(T959&lt;=10,8,IF(T959&lt;=50,6,IF(T959&lt;=100,4,2))))</f>
        <v>0</v>
      </c>
      <c r="V959" s="7"/>
      <c r="W959" s="12"/>
      <c r="X959" s="13"/>
      <c r="Y959" s="13" t="s">
        <v>4118</v>
      </c>
    </row>
    <row r="960" customFormat="false" ht="15.75" hidden="false" customHeight="true" outlineLevel="0" collapsed="false">
      <c r="A960" s="7" t="s">
        <v>4119</v>
      </c>
      <c r="B960" s="8" t="n">
        <v>2012</v>
      </c>
      <c r="C960" s="8" t="s">
        <v>176</v>
      </c>
      <c r="D960" s="8" t="n">
        <v>115</v>
      </c>
      <c r="E960" s="7" t="s">
        <v>4120</v>
      </c>
      <c r="F960" s="8" t="n">
        <v>7.3</v>
      </c>
      <c r="G960" s="8"/>
      <c r="H960" s="9" t="n">
        <v>2234</v>
      </c>
      <c r="I960" s="7" t="s">
        <v>4121</v>
      </c>
      <c r="J960" s="7" t="s">
        <v>47</v>
      </c>
      <c r="K960" s="7"/>
      <c r="L960" s="10" t="s">
        <v>205</v>
      </c>
      <c r="M960" s="10" t="s">
        <v>4122</v>
      </c>
      <c r="N960" s="8" t="n">
        <v>0</v>
      </c>
      <c r="O960" s="8" t="n">
        <v>0</v>
      </c>
      <c r="P960" s="8" t="n">
        <v>0</v>
      </c>
      <c r="Q960" s="8" t="n">
        <v>0</v>
      </c>
      <c r="R960" s="13" t="n">
        <v>0</v>
      </c>
      <c r="S960" s="13" t="n">
        <v>0</v>
      </c>
      <c r="T960" s="13"/>
      <c r="U960" s="11" t="n">
        <f aca="false">O960*4 + P960*2 + MAX(0,N960-O960-P960)*1 + Q960*0.2 + R960*2 + S960*1 + IF(T960="",0,IF(T960&lt;=10,8,IF(T960&lt;=50,6,IF(T960&lt;=100,4,2))))</f>
        <v>0</v>
      </c>
      <c r="V960" s="7"/>
      <c r="W960" s="12"/>
      <c r="X960" s="13"/>
      <c r="Y960" s="13" t="s">
        <v>4123</v>
      </c>
    </row>
    <row r="961" customFormat="false" ht="15.75" hidden="false" customHeight="true" outlineLevel="0" collapsed="false">
      <c r="A961" s="7" t="s">
        <v>4124</v>
      </c>
      <c r="B961" s="8" t="n">
        <v>2007</v>
      </c>
      <c r="C961" s="8" t="s">
        <v>35</v>
      </c>
      <c r="D961" s="8" t="n">
        <v>162</v>
      </c>
      <c r="E961" s="7" t="s">
        <v>4125</v>
      </c>
      <c r="F961" s="8" t="n">
        <v>8.3</v>
      </c>
      <c r="G961" s="8"/>
      <c r="H961" s="9" t="n">
        <v>235125</v>
      </c>
      <c r="I961" s="7"/>
      <c r="J961" s="7"/>
      <c r="K961" s="12"/>
      <c r="L961" s="10"/>
      <c r="M961" s="10" t="s">
        <v>4126</v>
      </c>
      <c r="N961" s="8" t="n">
        <v>0</v>
      </c>
      <c r="O961" s="8" t="n">
        <v>0</v>
      </c>
      <c r="P961" s="8" t="n">
        <v>0</v>
      </c>
      <c r="Q961" s="8" t="n">
        <v>0</v>
      </c>
      <c r="R961" s="13" t="n">
        <v>0</v>
      </c>
      <c r="S961" s="13" t="n">
        <v>0</v>
      </c>
      <c r="T961" s="13"/>
      <c r="U961" s="11" t="n">
        <f aca="false">O961*4 + P961*2 + MAX(0,N961-O961-P961)*1 + Q961*0.2 + R961*2 + S961*1 + IF(T961="",0,IF(T961&lt;=10,8,IF(T961&lt;=50,6,IF(T961&lt;=100,4,2))))</f>
        <v>0</v>
      </c>
      <c r="V961" s="7"/>
      <c r="W961" s="12"/>
      <c r="X961" s="13"/>
      <c r="Y961" s="13" t="s">
        <v>4127</v>
      </c>
    </row>
    <row r="962" customFormat="false" ht="15.75" hidden="false" customHeight="true" outlineLevel="0" collapsed="false">
      <c r="A962" s="7" t="s">
        <v>4128</v>
      </c>
      <c r="B962" s="8" t="n">
        <v>2004</v>
      </c>
      <c r="C962" s="8" t="s">
        <v>35</v>
      </c>
      <c r="D962" s="8" t="n">
        <v>90</v>
      </c>
      <c r="E962" s="7" t="s">
        <v>4129</v>
      </c>
      <c r="F962" s="8" t="n">
        <v>7.2</v>
      </c>
      <c r="G962" s="8"/>
      <c r="H962" s="9" t="n">
        <v>581</v>
      </c>
      <c r="I962" s="7" t="s">
        <v>2336</v>
      </c>
      <c r="J962" s="7" t="s">
        <v>30</v>
      </c>
      <c r="K962" s="7" t="s">
        <v>47</v>
      </c>
      <c r="L962" s="10"/>
      <c r="M962" s="10" t="s">
        <v>4130</v>
      </c>
      <c r="N962" s="8" t="n">
        <v>0</v>
      </c>
      <c r="O962" s="8" t="n">
        <v>0</v>
      </c>
      <c r="P962" s="8" t="n">
        <v>0</v>
      </c>
      <c r="Q962" s="8" t="n">
        <v>0</v>
      </c>
      <c r="R962" s="13" t="n">
        <v>0</v>
      </c>
      <c r="S962" s="13" t="n">
        <v>0</v>
      </c>
      <c r="T962" s="13"/>
      <c r="U962" s="11" t="n">
        <f aca="false">O962*4 + P962*2 + MAX(0,N962-O962-P962)*1 + Q962*0.2 + R962*2 + S962*1 + IF(T962="",0,IF(T962&lt;=10,8,IF(T962&lt;=50,6,IF(T962&lt;=100,4,2))))</f>
        <v>0</v>
      </c>
      <c r="V962" s="7"/>
      <c r="W962" s="12"/>
      <c r="X962" s="13"/>
      <c r="Y962" s="13" t="s">
        <v>4131</v>
      </c>
    </row>
    <row r="963" customFormat="false" ht="15.75" hidden="false" customHeight="true" outlineLevel="0" collapsed="false">
      <c r="A963" s="7" t="s">
        <v>4132</v>
      </c>
      <c r="B963" s="8" t="n">
        <v>2006</v>
      </c>
      <c r="C963" s="8" t="s">
        <v>35</v>
      </c>
      <c r="D963" s="8" t="n">
        <v>99</v>
      </c>
      <c r="E963" s="7" t="s">
        <v>4133</v>
      </c>
      <c r="F963" s="8" t="n">
        <v>7.3</v>
      </c>
      <c r="G963" s="8"/>
      <c r="H963" s="9" t="n">
        <v>4337</v>
      </c>
      <c r="I963" s="7" t="s">
        <v>4134</v>
      </c>
      <c r="J963" s="7" t="s">
        <v>579</v>
      </c>
      <c r="K963" s="7" t="s">
        <v>259</v>
      </c>
      <c r="L963" s="10"/>
      <c r="M963" s="10" t="s">
        <v>4135</v>
      </c>
      <c r="N963" s="8" t="n">
        <v>0</v>
      </c>
      <c r="O963" s="8" t="n">
        <v>0</v>
      </c>
      <c r="P963" s="8" t="n">
        <v>0</v>
      </c>
      <c r="Q963" s="8" t="n">
        <v>0</v>
      </c>
      <c r="R963" s="13" t="n">
        <v>0</v>
      </c>
      <c r="S963" s="13" t="n">
        <v>0</v>
      </c>
      <c r="T963" s="13"/>
      <c r="U963" s="11" t="n">
        <f aca="false">O963*4 + P963*2 + MAX(0,N963-O963-P963)*1 + Q963*0.2 + R963*2 + S963*1 + IF(T963="",0,IF(T963&lt;=10,8,IF(T963&lt;=50,6,IF(T963&lt;=100,4,2))))</f>
        <v>0</v>
      </c>
      <c r="V963" s="7"/>
      <c r="W963" s="12"/>
      <c r="X963" s="13"/>
      <c r="Y963" s="13" t="s">
        <v>4136</v>
      </c>
    </row>
    <row r="964" customFormat="false" ht="15.75" hidden="false" customHeight="true" outlineLevel="0" collapsed="false">
      <c r="A964" s="7" t="s">
        <v>4137</v>
      </c>
      <c r="B964" s="8" t="n">
        <v>2007</v>
      </c>
      <c r="C964" s="8" t="s">
        <v>35</v>
      </c>
      <c r="D964" s="8" t="n">
        <v>97</v>
      </c>
      <c r="E964" s="7" t="s">
        <v>4138</v>
      </c>
      <c r="F964" s="8" t="n">
        <v>7.6</v>
      </c>
      <c r="G964" s="8"/>
      <c r="H964" s="9" t="n">
        <v>25921</v>
      </c>
      <c r="I964" s="7" t="s">
        <v>46</v>
      </c>
      <c r="J964" s="7" t="s">
        <v>29</v>
      </c>
      <c r="K964" s="7" t="s">
        <v>75</v>
      </c>
      <c r="L964" s="10"/>
      <c r="M964" s="10" t="s">
        <v>4139</v>
      </c>
      <c r="N964" s="8" t="n">
        <v>0</v>
      </c>
      <c r="O964" s="8" t="n">
        <v>0</v>
      </c>
      <c r="P964" s="8" t="n">
        <v>0</v>
      </c>
      <c r="Q964" s="8" t="n">
        <v>0</v>
      </c>
      <c r="R964" s="13" t="n">
        <v>0</v>
      </c>
      <c r="S964" s="13" t="n">
        <v>0</v>
      </c>
      <c r="T964" s="13"/>
      <c r="U964" s="11" t="n">
        <f aca="false">O964*4 + P964*2 + MAX(0,N964-O964-P964)*1 + Q964*0.2 + R964*2 + S964*1 + IF(T964="",0,IF(T964&lt;=10,8,IF(T964&lt;=50,6,IF(T964&lt;=100,4,2))))</f>
        <v>0</v>
      </c>
      <c r="V964" s="7"/>
      <c r="W964" s="12"/>
      <c r="X964" s="13"/>
      <c r="Y964" s="13" t="s">
        <v>4140</v>
      </c>
    </row>
    <row r="965" customFormat="false" ht="15.75" hidden="false" customHeight="true" outlineLevel="0" collapsed="false">
      <c r="A965" s="7" t="s">
        <v>4141</v>
      </c>
      <c r="B965" s="8" t="n">
        <v>2004</v>
      </c>
      <c r="C965" s="8" t="s">
        <v>35</v>
      </c>
      <c r="D965" s="8" t="n">
        <v>124</v>
      </c>
      <c r="E965" s="7" t="s">
        <v>4142</v>
      </c>
      <c r="F965" s="8" t="n">
        <v>7.6</v>
      </c>
      <c r="G965" s="8"/>
      <c r="H965" s="9" t="n">
        <v>4400</v>
      </c>
      <c r="I965" s="7" t="s">
        <v>4143</v>
      </c>
      <c r="J965" s="7"/>
      <c r="K965" s="12"/>
      <c r="L965" s="10"/>
      <c r="M965" s="10" t="s">
        <v>4144</v>
      </c>
      <c r="N965" s="8" t="n">
        <v>0</v>
      </c>
      <c r="O965" s="8" t="n">
        <v>0</v>
      </c>
      <c r="P965" s="8" t="n">
        <v>0</v>
      </c>
      <c r="Q965" s="8" t="n">
        <v>0</v>
      </c>
      <c r="R965" s="13" t="n">
        <v>0</v>
      </c>
      <c r="S965" s="13" t="n">
        <v>0</v>
      </c>
      <c r="T965" s="13"/>
      <c r="U965" s="11" t="n">
        <f aca="false">O965*4 + P965*2 + MAX(0,N965-O965-P965)*1 + Q965*0.2 + R965*2 + S965*1 + IF(T965="",0,IF(T965&lt;=10,8,IF(T965&lt;=50,6,IF(T965&lt;=100,4,2))))</f>
        <v>0</v>
      </c>
      <c r="V965" s="7"/>
      <c r="W965" s="12"/>
      <c r="X965" s="13"/>
      <c r="Y965" s="13" t="s">
        <v>4145</v>
      </c>
    </row>
    <row r="966" customFormat="false" ht="15.75" hidden="false" customHeight="true" outlineLevel="0" collapsed="false">
      <c r="A966" s="7" t="s">
        <v>4146</v>
      </c>
      <c r="B966" s="8" t="n">
        <v>2003</v>
      </c>
      <c r="C966" s="8" t="s">
        <v>35</v>
      </c>
      <c r="D966" s="8" t="n">
        <v>90</v>
      </c>
      <c r="E966" s="7" t="s">
        <v>4147</v>
      </c>
      <c r="F966" s="8" t="n">
        <v>7.3</v>
      </c>
      <c r="G966" s="8"/>
      <c r="H966" s="9" t="n">
        <v>7816</v>
      </c>
      <c r="I966" s="7" t="s">
        <v>437</v>
      </c>
      <c r="J966" s="7" t="s">
        <v>29</v>
      </c>
      <c r="K966" s="7" t="s">
        <v>47</v>
      </c>
      <c r="L966" s="10"/>
      <c r="M966" s="10" t="s">
        <v>4148</v>
      </c>
      <c r="N966" s="8" t="n">
        <v>0</v>
      </c>
      <c r="O966" s="8" t="n">
        <v>0</v>
      </c>
      <c r="P966" s="8" t="n">
        <v>0</v>
      </c>
      <c r="Q966" s="8" t="n">
        <v>0</v>
      </c>
      <c r="R966" s="13" t="n">
        <v>0</v>
      </c>
      <c r="S966" s="13" t="n">
        <v>0</v>
      </c>
      <c r="T966" s="13"/>
      <c r="U966" s="11" t="n">
        <f aca="false">O966*4 + P966*2 + MAX(0,N966-O966-P966)*1 + Q966*0.2 + R966*2 + S966*1 + IF(T966="",0,IF(T966&lt;=10,8,IF(T966&lt;=50,6,IF(T966&lt;=100,4,2))))</f>
        <v>0</v>
      </c>
      <c r="V966" s="7"/>
      <c r="W966" s="12"/>
      <c r="X966" s="13"/>
      <c r="Y966" s="13" t="s">
        <v>4149</v>
      </c>
    </row>
    <row r="967" customFormat="false" ht="15.75" hidden="false" customHeight="true" outlineLevel="0" collapsed="false">
      <c r="A967" s="7" t="s">
        <v>4150</v>
      </c>
      <c r="B967" s="8" t="n">
        <v>2001</v>
      </c>
      <c r="C967" s="8" t="s">
        <v>35</v>
      </c>
      <c r="D967" s="8" t="n">
        <v>97</v>
      </c>
      <c r="E967" s="7" t="s">
        <v>4151</v>
      </c>
      <c r="F967" s="8" t="n">
        <v>7.7</v>
      </c>
      <c r="G967" s="8"/>
      <c r="H967" s="9" t="n">
        <v>9576</v>
      </c>
      <c r="I967" s="7" t="s">
        <v>669</v>
      </c>
      <c r="J967" s="7" t="s">
        <v>29</v>
      </c>
      <c r="K967" s="7" t="s">
        <v>47</v>
      </c>
      <c r="L967" s="10"/>
      <c r="M967" s="10" t="s">
        <v>4152</v>
      </c>
      <c r="N967" s="8" t="n">
        <v>0</v>
      </c>
      <c r="O967" s="8" t="n">
        <v>0</v>
      </c>
      <c r="P967" s="8" t="n">
        <v>0</v>
      </c>
      <c r="Q967" s="8" t="n">
        <v>0</v>
      </c>
      <c r="R967" s="13" t="n">
        <v>0</v>
      </c>
      <c r="S967" s="13" t="n">
        <v>0</v>
      </c>
      <c r="T967" s="13"/>
      <c r="U967" s="11" t="n">
        <f aca="false">O967*4 + P967*2 + MAX(0,N967-O967-P967)*1 + Q967*0.2 + R967*2 + S967*1 + IF(T967="",0,IF(T967&lt;=10,8,IF(T967&lt;=50,6,IF(T967&lt;=100,4,2))))</f>
        <v>0</v>
      </c>
      <c r="V967" s="7"/>
      <c r="W967" s="12"/>
      <c r="X967" s="13"/>
      <c r="Y967" s="13" t="s">
        <v>4153</v>
      </c>
    </row>
    <row r="968" customFormat="false" ht="15.75" hidden="false" customHeight="true" outlineLevel="0" collapsed="false">
      <c r="A968" s="7" t="n">
        <v>1985</v>
      </c>
      <c r="B968" s="8" t="n">
        <v>2018</v>
      </c>
      <c r="C968" s="8" t="s">
        <v>176</v>
      </c>
      <c r="D968" s="8" t="n">
        <v>85</v>
      </c>
      <c r="E968" s="7" t="s">
        <v>4154</v>
      </c>
      <c r="F968" s="8" t="n">
        <v>7.2</v>
      </c>
      <c r="G968" s="8"/>
      <c r="H968" s="9" t="n">
        <v>2832</v>
      </c>
      <c r="I968" s="7" t="s">
        <v>46</v>
      </c>
      <c r="J968" s="7" t="s">
        <v>47</v>
      </c>
      <c r="K968" s="7"/>
      <c r="L968" s="10"/>
      <c r="M968" s="10" t="s">
        <v>4155</v>
      </c>
      <c r="N968" s="8" t="n">
        <v>0</v>
      </c>
      <c r="O968" s="8" t="n">
        <v>0</v>
      </c>
      <c r="P968" s="8" t="n">
        <v>0</v>
      </c>
      <c r="Q968" s="8" t="n">
        <v>0</v>
      </c>
      <c r="R968" s="13" t="n">
        <v>0</v>
      </c>
      <c r="S968" s="13" t="n">
        <v>0</v>
      </c>
      <c r="T968" s="13"/>
      <c r="U968" s="11" t="n">
        <f aca="false">O968*4 + P968*2 + MAX(0,N968-O968-P968)*1 + Q968*0.2 + R968*2 + S968*1 + IF(T968="",0,IF(T968&lt;=10,8,IF(T968&lt;=50,6,IF(T968&lt;=100,4,2))))</f>
        <v>0</v>
      </c>
      <c r="V968" s="7"/>
      <c r="W968" s="12"/>
      <c r="X968" s="13"/>
      <c r="Y968" s="13" t="s">
        <v>4156</v>
      </c>
    </row>
    <row r="969" customFormat="false" ht="15.75" hidden="false" customHeight="true" outlineLevel="0" collapsed="false">
      <c r="A969" s="7" t="s">
        <v>4157</v>
      </c>
      <c r="B969" s="8" t="n">
        <v>2008</v>
      </c>
      <c r="C969" s="8" t="s">
        <v>35</v>
      </c>
      <c r="D969" s="8" t="n">
        <v>120</v>
      </c>
      <c r="E969" s="7" t="s">
        <v>4158</v>
      </c>
      <c r="F969" s="8" t="n">
        <v>7.6</v>
      </c>
      <c r="G969" s="8"/>
      <c r="H969" s="9" t="n">
        <v>13997</v>
      </c>
      <c r="I969" s="7" t="s">
        <v>124</v>
      </c>
      <c r="J969" s="7" t="s">
        <v>47</v>
      </c>
      <c r="K969" s="7"/>
      <c r="L969" s="10" t="s">
        <v>205</v>
      </c>
      <c r="M969" s="10" t="s">
        <v>4159</v>
      </c>
      <c r="N969" s="8" t="n">
        <v>0</v>
      </c>
      <c r="O969" s="8" t="n">
        <v>0</v>
      </c>
      <c r="P969" s="8" t="n">
        <v>0</v>
      </c>
      <c r="Q969" s="8" t="n">
        <v>0</v>
      </c>
      <c r="R969" s="13" t="n">
        <v>0</v>
      </c>
      <c r="S969" s="13" t="n">
        <v>0</v>
      </c>
      <c r="T969" s="13"/>
      <c r="U969" s="11" t="n">
        <f aca="false">O969*4 + P969*2 + MAX(0,N969-O969-P969)*1 + Q969*0.2 + R969*2 + S969*1 + IF(T969="",0,IF(T969&lt;=10,8,IF(T969&lt;=50,6,IF(T969&lt;=100,4,2))))</f>
        <v>0</v>
      </c>
      <c r="V969" s="7"/>
      <c r="W969" s="12"/>
      <c r="X969" s="13"/>
      <c r="Y969" s="13" t="s">
        <v>4160</v>
      </c>
    </row>
    <row r="970" customFormat="false" ht="15.75" hidden="false" customHeight="true" outlineLevel="0" collapsed="false">
      <c r="A970" s="7" t="s">
        <v>4161</v>
      </c>
      <c r="B970" s="8" t="n">
        <v>2005</v>
      </c>
      <c r="C970" s="8" t="s">
        <v>35</v>
      </c>
      <c r="D970" s="8" t="n">
        <v>94</v>
      </c>
      <c r="E970" s="7" t="s">
        <v>3196</v>
      </c>
      <c r="F970" s="8" t="n">
        <v>7.7</v>
      </c>
      <c r="G970" s="8"/>
      <c r="H970" s="9" t="n">
        <v>59705</v>
      </c>
      <c r="I970" s="7" t="s">
        <v>4162</v>
      </c>
      <c r="J970" s="7" t="s">
        <v>30</v>
      </c>
      <c r="K970" s="7" t="s">
        <v>54</v>
      </c>
      <c r="L970" s="10" t="s">
        <v>166</v>
      </c>
      <c r="M970" s="10" t="s">
        <v>4163</v>
      </c>
      <c r="N970" s="8" t="n">
        <v>0</v>
      </c>
      <c r="O970" s="8" t="n">
        <v>0</v>
      </c>
      <c r="P970" s="8" t="n">
        <v>0</v>
      </c>
      <c r="Q970" s="8" t="n">
        <v>0</v>
      </c>
      <c r="R970" s="13" t="n">
        <v>0</v>
      </c>
      <c r="S970" s="13" t="n">
        <v>0</v>
      </c>
      <c r="T970" s="13"/>
      <c r="U970" s="11" t="n">
        <f aca="false">O970*4 + P970*2 + MAX(0,N970-O970-P970)*1 + Q970*0.2 + R970*2 + S970*1 + IF(T970="",0,IF(T970&lt;=10,8,IF(T970&lt;=50,6,IF(T970&lt;=100,4,2))))</f>
        <v>0</v>
      </c>
      <c r="V970" s="7"/>
      <c r="W970" s="12"/>
      <c r="X970" s="13"/>
      <c r="Y970" s="13" t="s">
        <v>4164</v>
      </c>
    </row>
    <row r="971" customFormat="false" ht="15.75" hidden="false" customHeight="true" outlineLevel="0" collapsed="false">
      <c r="A971" s="7" t="s">
        <v>4165</v>
      </c>
      <c r="B971" s="8" t="n">
        <v>2014</v>
      </c>
      <c r="C971" s="8" t="s">
        <v>176</v>
      </c>
      <c r="D971" s="8" t="n">
        <v>100</v>
      </c>
      <c r="E971" s="7" t="s">
        <v>4166</v>
      </c>
      <c r="F971" s="8" t="n">
        <v>7.4</v>
      </c>
      <c r="G971" s="8"/>
      <c r="H971" s="9" t="n">
        <v>4879</v>
      </c>
      <c r="I971" s="7" t="s">
        <v>4167</v>
      </c>
      <c r="J971" s="7" t="s">
        <v>154</v>
      </c>
      <c r="K971" s="7" t="s">
        <v>47</v>
      </c>
      <c r="L971" s="10" t="s">
        <v>205</v>
      </c>
      <c r="M971" s="10" t="s">
        <v>4168</v>
      </c>
      <c r="N971" s="8" t="n">
        <v>0</v>
      </c>
      <c r="O971" s="8" t="n">
        <v>0</v>
      </c>
      <c r="P971" s="8" t="n">
        <v>0</v>
      </c>
      <c r="Q971" s="8" t="n">
        <v>0</v>
      </c>
      <c r="R971" s="13" t="n">
        <v>0</v>
      </c>
      <c r="S971" s="13" t="n">
        <v>0</v>
      </c>
      <c r="T971" s="13"/>
      <c r="U971" s="11" t="n">
        <f aca="false">O971*4 + P971*2 + MAX(0,N971-O971-P971)*1 + Q971*0.2 + R971*2 + S971*1 + IF(T971="",0,IF(T971&lt;=10,8,IF(T971&lt;=50,6,IF(T971&lt;=100,4,2))))</f>
        <v>0</v>
      </c>
      <c r="V971" s="7"/>
      <c r="W971" s="12"/>
      <c r="X971" s="13"/>
      <c r="Y971" s="13" t="s">
        <v>4169</v>
      </c>
    </row>
    <row r="972" customFormat="false" ht="15.75" hidden="false" customHeight="true" outlineLevel="0" collapsed="false">
      <c r="A972" s="7" t="s">
        <v>4170</v>
      </c>
      <c r="B972" s="8" t="n">
        <v>2023</v>
      </c>
      <c r="C972" s="8" t="s">
        <v>378</v>
      </c>
      <c r="D972" s="8" t="n">
        <v>107</v>
      </c>
      <c r="E972" s="7" t="s">
        <v>4171</v>
      </c>
      <c r="F972" s="8" t="n">
        <v>7.4</v>
      </c>
      <c r="G972" s="8"/>
      <c r="H972" s="9" t="n">
        <v>831</v>
      </c>
      <c r="I972" s="7"/>
      <c r="J972" s="7" t="s">
        <v>47</v>
      </c>
      <c r="K972" s="7"/>
      <c r="L972" s="10" t="s">
        <v>380</v>
      </c>
      <c r="M972" s="10" t="s">
        <v>4172</v>
      </c>
      <c r="N972" s="8" t="n">
        <v>0</v>
      </c>
      <c r="O972" s="8" t="n">
        <v>0</v>
      </c>
      <c r="P972" s="8" t="n">
        <v>0</v>
      </c>
      <c r="Q972" s="8" t="n">
        <v>0</v>
      </c>
      <c r="R972" s="13" t="n">
        <v>0</v>
      </c>
      <c r="S972" s="13" t="n">
        <v>0</v>
      </c>
      <c r="T972" s="13"/>
      <c r="U972" s="11" t="n">
        <f aca="false">O972*4 + P972*2 + MAX(0,N972-O972-P972)*1 + Q972*0.2 + R972*2 + S972*1 + IF(T972="",0,IF(T972&lt;=10,8,IF(T972&lt;=50,6,IF(T972&lt;=100,4,2))))</f>
        <v>0</v>
      </c>
      <c r="V972" s="7"/>
      <c r="W972" s="12"/>
      <c r="X972" s="13"/>
      <c r="Y972" s="13" t="s">
        <v>4173</v>
      </c>
    </row>
    <row r="973" customFormat="false" ht="15.75" hidden="false" customHeight="true" outlineLevel="0" collapsed="false">
      <c r="A973" s="7" t="s">
        <v>4174</v>
      </c>
      <c r="B973" s="8" t="n">
        <v>2022</v>
      </c>
      <c r="C973" s="8" t="s">
        <v>378</v>
      </c>
      <c r="D973" s="8" t="n">
        <v>124</v>
      </c>
      <c r="E973" s="7" t="s">
        <v>4175</v>
      </c>
      <c r="F973" s="8" t="n">
        <v>8</v>
      </c>
      <c r="G973" s="8"/>
      <c r="H973" s="9" t="n">
        <v>13218</v>
      </c>
      <c r="I973" s="7" t="s">
        <v>124</v>
      </c>
      <c r="J973" s="7" t="s">
        <v>579</v>
      </c>
      <c r="K973" s="7" t="s">
        <v>30</v>
      </c>
      <c r="L973" s="10" t="s">
        <v>238</v>
      </c>
      <c r="M973" s="10" t="s">
        <v>4176</v>
      </c>
      <c r="N973" s="8" t="n">
        <v>0</v>
      </c>
      <c r="O973" s="8" t="n">
        <v>0</v>
      </c>
      <c r="P973" s="8" t="n">
        <v>0</v>
      </c>
      <c r="Q973" s="8" t="n">
        <v>0</v>
      </c>
      <c r="R973" s="13" t="n">
        <v>0</v>
      </c>
      <c r="S973" s="13" t="n">
        <v>0</v>
      </c>
      <c r="T973" s="13"/>
      <c r="U973" s="11" t="n">
        <f aca="false">O973*4 + P973*2 + MAX(0,N973-O973-P973)*1 + Q973*0.2 + R973*2 + S973*1 + IF(T973="",0,IF(T973&lt;=10,8,IF(T973&lt;=50,6,IF(T973&lt;=100,4,2))))</f>
        <v>0</v>
      </c>
      <c r="V973" s="7"/>
      <c r="W973" s="12"/>
      <c r="X973" s="13"/>
      <c r="Y973" s="13" t="s">
        <v>4177</v>
      </c>
    </row>
    <row r="974" customFormat="false" ht="15.75" hidden="false" customHeight="true" outlineLevel="0" collapsed="false">
      <c r="A974" s="7" t="s">
        <v>4178</v>
      </c>
      <c r="B974" s="8" t="n">
        <v>2013</v>
      </c>
      <c r="C974" s="8" t="s">
        <v>176</v>
      </c>
      <c r="D974" s="8" t="n">
        <v>80</v>
      </c>
      <c r="E974" s="7" t="s">
        <v>4179</v>
      </c>
      <c r="F974" s="8" t="n">
        <v>7.5</v>
      </c>
      <c r="G974" s="8"/>
      <c r="H974" s="9" t="n">
        <v>8185</v>
      </c>
      <c r="I974" s="7" t="s">
        <v>139</v>
      </c>
      <c r="J974" s="7" t="s">
        <v>579</v>
      </c>
      <c r="K974" s="7" t="s">
        <v>259</v>
      </c>
      <c r="L974" s="10" t="s">
        <v>205</v>
      </c>
      <c r="M974" s="10" t="s">
        <v>4180</v>
      </c>
      <c r="N974" s="8" t="n">
        <v>0</v>
      </c>
      <c r="O974" s="8" t="n">
        <v>0</v>
      </c>
      <c r="P974" s="8" t="n">
        <v>0</v>
      </c>
      <c r="Q974" s="8" t="n">
        <v>1</v>
      </c>
      <c r="R974" s="8" t="n">
        <v>0</v>
      </c>
      <c r="S974" s="8" t="n">
        <v>0</v>
      </c>
      <c r="T974" s="13"/>
      <c r="U974" s="11" t="n">
        <f aca="false">O974*4 + P974*2 + MAX(0,N974-O974-P974)*1 + Q974*0.2 + R974*2 + S974*1 + IF(T974="",0,IF(T974&lt;=10,8,IF(T974&lt;=50,6,IF(T974&lt;=100,4,2))))</f>
        <v>0.2</v>
      </c>
      <c r="V974" s="7"/>
      <c r="W974" s="12"/>
      <c r="X974" s="13"/>
      <c r="Y974" s="13" t="s">
        <v>4181</v>
      </c>
    </row>
    <row r="975" customFormat="false" ht="15.75" hidden="false" customHeight="true" outlineLevel="0" collapsed="false">
      <c r="A975" s="7" t="s">
        <v>4182</v>
      </c>
      <c r="B975" s="8" t="n">
        <v>2025</v>
      </c>
      <c r="C975" s="8" t="s">
        <v>378</v>
      </c>
      <c r="D975" s="8" t="n">
        <v>103</v>
      </c>
      <c r="E975" s="7" t="s">
        <v>4059</v>
      </c>
      <c r="F975" s="8" t="n">
        <v>7.4</v>
      </c>
      <c r="G975" s="8"/>
      <c r="H975" s="9" t="n">
        <v>38316</v>
      </c>
      <c r="I975" s="7"/>
      <c r="J975" s="7" t="s">
        <v>47</v>
      </c>
      <c r="K975" s="7" t="s">
        <v>54</v>
      </c>
      <c r="L975" s="10" t="s">
        <v>166</v>
      </c>
      <c r="M975" s="10" t="s">
        <v>4183</v>
      </c>
      <c r="N975" s="8" t="n">
        <v>0</v>
      </c>
      <c r="O975" s="8" t="n">
        <v>0</v>
      </c>
      <c r="P975" s="8" t="n">
        <v>0</v>
      </c>
      <c r="Q975" s="8" t="n">
        <v>2</v>
      </c>
      <c r="R975" s="8" t="n">
        <v>0</v>
      </c>
      <c r="S975" s="8" t="n">
        <v>0</v>
      </c>
      <c r="T975" s="13"/>
      <c r="U975" s="11" t="n">
        <f aca="false">O975*4 + P975*2 + MAX(0,N975-O975-P975)*1 + Q975*0.2 + R975*2 + S975*1 + IF(T975="",0,IF(T975&lt;=10,8,IF(T975&lt;=50,6,IF(T975&lt;=100,4,2))))</f>
        <v>0.4</v>
      </c>
      <c r="V975" s="7"/>
      <c r="W975" s="12"/>
      <c r="X975" s="13"/>
      <c r="Y975" s="13" t="s">
        <v>4184</v>
      </c>
    </row>
    <row r="976" customFormat="false" ht="15.75" hidden="false" customHeight="true" outlineLevel="0" collapsed="false">
      <c r="A976" s="7" t="s">
        <v>4185</v>
      </c>
      <c r="B976" s="8" t="n">
        <v>2019</v>
      </c>
      <c r="C976" s="8" t="s">
        <v>176</v>
      </c>
      <c r="D976" s="8" t="n">
        <v>81</v>
      </c>
      <c r="E976" s="7" t="s">
        <v>4186</v>
      </c>
      <c r="F976" s="8" t="n">
        <v>7.5</v>
      </c>
      <c r="G976" s="8"/>
      <c r="H976" s="9" t="n">
        <v>3021</v>
      </c>
      <c r="I976" s="7" t="s">
        <v>4187</v>
      </c>
      <c r="J976" s="7" t="s">
        <v>579</v>
      </c>
      <c r="K976" s="7" t="s">
        <v>47</v>
      </c>
      <c r="L976" s="10" t="s">
        <v>205</v>
      </c>
      <c r="M976" s="10" t="s">
        <v>4188</v>
      </c>
      <c r="N976" s="8" t="n">
        <v>0</v>
      </c>
      <c r="O976" s="8" t="n">
        <v>0</v>
      </c>
      <c r="P976" s="8" t="n">
        <v>0</v>
      </c>
      <c r="Q976" s="8" t="n">
        <v>0</v>
      </c>
      <c r="R976" s="13" t="n">
        <v>0</v>
      </c>
      <c r="S976" s="13" t="n">
        <v>0</v>
      </c>
      <c r="T976" s="13"/>
      <c r="U976" s="11" t="n">
        <f aca="false">O976*4 + P976*2 + MAX(0,N976-O976-P976)*1 + Q976*0.2 + R976*2 + S976*1 + IF(T976="",0,IF(T976&lt;=10,8,IF(T976&lt;=50,6,IF(T976&lt;=100,4,2))))</f>
        <v>0</v>
      </c>
      <c r="V976" s="7"/>
      <c r="W976" s="12"/>
      <c r="X976" s="13"/>
      <c r="Y976" s="13" t="s">
        <v>4189</v>
      </c>
    </row>
    <row r="977" customFormat="false" ht="15.75" hidden="false" customHeight="true" outlineLevel="0" collapsed="false">
      <c r="A977" s="7" t="s">
        <v>4190</v>
      </c>
      <c r="B977" s="8" t="n">
        <v>2005</v>
      </c>
      <c r="C977" s="8" t="s">
        <v>35</v>
      </c>
      <c r="D977" s="8" t="n">
        <v>98</v>
      </c>
      <c r="E977" s="7" t="s">
        <v>4191</v>
      </c>
      <c r="F977" s="8" t="n">
        <v>7.6</v>
      </c>
      <c r="G977" s="8"/>
      <c r="H977" s="9" t="n">
        <v>2697</v>
      </c>
      <c r="I977" s="7" t="s">
        <v>373</v>
      </c>
      <c r="J977" s="7" t="s">
        <v>90</v>
      </c>
      <c r="K977" s="7" t="s">
        <v>47</v>
      </c>
      <c r="L977" s="10"/>
      <c r="M977" s="10" t="s">
        <v>4192</v>
      </c>
      <c r="N977" s="8" t="n">
        <v>0</v>
      </c>
      <c r="O977" s="8" t="n">
        <v>0</v>
      </c>
      <c r="P977" s="8" t="n">
        <v>0</v>
      </c>
      <c r="Q977" s="8" t="n">
        <v>0</v>
      </c>
      <c r="R977" s="13" t="n">
        <v>0</v>
      </c>
      <c r="S977" s="13" t="n">
        <v>0</v>
      </c>
      <c r="T977" s="13"/>
      <c r="U977" s="11" t="n">
        <f aca="false">O977*4 + P977*2 + MAX(0,N977-O977-P977)*1 + Q977*0.2 + R977*2 + S977*1 + IF(T977="",0,IF(T977&lt;=10,8,IF(T977&lt;=50,6,IF(T977&lt;=100,4,2))))</f>
        <v>0</v>
      </c>
      <c r="V977" s="7"/>
      <c r="W977" s="12"/>
      <c r="X977" s="13"/>
      <c r="Y977" s="13" t="s">
        <v>4193</v>
      </c>
    </row>
    <row r="978" customFormat="false" ht="15.75" hidden="false" customHeight="true" outlineLevel="0" collapsed="false">
      <c r="A978" s="7" t="s">
        <v>4194</v>
      </c>
      <c r="B978" s="8" t="n">
        <v>2007</v>
      </c>
      <c r="C978" s="8" t="s">
        <v>35</v>
      </c>
      <c r="D978" s="8" t="n">
        <v>106</v>
      </c>
      <c r="E978" s="7" t="s">
        <v>4195</v>
      </c>
      <c r="F978" s="8" t="n">
        <v>7.2</v>
      </c>
      <c r="G978" s="8"/>
      <c r="H978" s="9" t="n">
        <v>17011</v>
      </c>
      <c r="I978" s="7" t="s">
        <v>139</v>
      </c>
      <c r="J978" s="7" t="s">
        <v>47</v>
      </c>
      <c r="K978" s="7" t="s">
        <v>54</v>
      </c>
      <c r="L978" s="10"/>
      <c r="M978" s="10" t="s">
        <v>4196</v>
      </c>
      <c r="N978" s="8" t="n">
        <v>0</v>
      </c>
      <c r="O978" s="8" t="n">
        <v>0</v>
      </c>
      <c r="P978" s="8" t="n">
        <v>0</v>
      </c>
      <c r="Q978" s="8" t="n">
        <v>0</v>
      </c>
      <c r="R978" s="13" t="n">
        <v>0</v>
      </c>
      <c r="S978" s="13" t="n">
        <v>0</v>
      </c>
      <c r="T978" s="13"/>
      <c r="U978" s="11" t="n">
        <f aca="false">O978*4 + P978*2 + MAX(0,N978-O978-P978)*1 + Q978*0.2 + R978*2 + S978*1 + IF(T978="",0,IF(T978&lt;=10,8,IF(T978&lt;=50,6,IF(T978&lt;=100,4,2))))</f>
        <v>0</v>
      </c>
      <c r="V978" s="7"/>
      <c r="W978" s="12"/>
      <c r="X978" s="13"/>
      <c r="Y978" s="13" t="s">
        <v>4197</v>
      </c>
    </row>
    <row r="979" customFormat="false" ht="15.75" hidden="false" customHeight="true" outlineLevel="0" collapsed="false">
      <c r="A979" s="7" t="s">
        <v>4198</v>
      </c>
      <c r="B979" s="8" t="n">
        <v>2010</v>
      </c>
      <c r="C979" s="8" t="s">
        <v>176</v>
      </c>
      <c r="D979" s="8" t="n">
        <v>104</v>
      </c>
      <c r="E979" s="7" t="s">
        <v>4199</v>
      </c>
      <c r="F979" s="8" t="n">
        <v>6.9</v>
      </c>
      <c r="G979" s="8"/>
      <c r="H979" s="9" t="n">
        <v>791</v>
      </c>
      <c r="I979" s="7" t="s">
        <v>232</v>
      </c>
      <c r="J979" s="7" t="s">
        <v>29</v>
      </c>
      <c r="K979" s="7" t="s">
        <v>47</v>
      </c>
      <c r="L979" s="10" t="s">
        <v>205</v>
      </c>
      <c r="M979" s="10" t="s">
        <v>4200</v>
      </c>
      <c r="N979" s="8" t="n">
        <v>0</v>
      </c>
      <c r="O979" s="8" t="n">
        <v>0</v>
      </c>
      <c r="P979" s="8" t="n">
        <v>0</v>
      </c>
      <c r="Q979" s="8" t="n">
        <v>0</v>
      </c>
      <c r="R979" s="13" t="n">
        <v>0</v>
      </c>
      <c r="S979" s="13" t="n">
        <v>0</v>
      </c>
      <c r="T979" s="13"/>
      <c r="U979" s="11" t="n">
        <f aca="false">O979*4 + P979*2 + MAX(0,N979-O979-P979)*1 + Q979*0.2 + R979*2 + S979*1 + IF(T979="",0,IF(T979&lt;=10,8,IF(T979&lt;=50,6,IF(T979&lt;=100,4,2))))</f>
        <v>0</v>
      </c>
      <c r="V979" s="7"/>
      <c r="W979" s="12"/>
      <c r="X979" s="13"/>
      <c r="Y979" s="13" t="s">
        <v>4201</v>
      </c>
    </row>
    <row r="980" customFormat="false" ht="15.75" hidden="false" customHeight="true" outlineLevel="0" collapsed="false">
      <c r="A980" s="7" t="s">
        <v>4202</v>
      </c>
      <c r="B980" s="8" t="n">
        <v>2019</v>
      </c>
      <c r="C980" s="8" t="s">
        <v>176</v>
      </c>
      <c r="D980" s="8" t="n">
        <v>139</v>
      </c>
      <c r="E980" s="7" t="s">
        <v>4203</v>
      </c>
      <c r="F980" s="8" t="n">
        <v>7.7</v>
      </c>
      <c r="G980" s="8"/>
      <c r="H980" s="9" t="n">
        <v>10886</v>
      </c>
      <c r="I980" s="7" t="s">
        <v>4204</v>
      </c>
      <c r="J980" s="7" t="s">
        <v>47</v>
      </c>
      <c r="K980" s="7"/>
      <c r="L980" s="10"/>
      <c r="M980" s="10" t="s">
        <v>4205</v>
      </c>
      <c r="N980" s="8" t="n">
        <v>0</v>
      </c>
      <c r="O980" s="8" t="n">
        <v>0</v>
      </c>
      <c r="P980" s="8" t="n">
        <v>0</v>
      </c>
      <c r="Q980" s="8" t="n">
        <v>0</v>
      </c>
      <c r="R980" s="13" t="n">
        <v>0</v>
      </c>
      <c r="S980" s="13" t="n">
        <v>0</v>
      </c>
      <c r="T980" s="13"/>
      <c r="U980" s="11" t="n">
        <f aca="false">O980*4 + P980*2 + MAX(0,N980-O980-P980)*1 + Q980*0.2 + R980*2 + S980*1 + IF(T980="",0,IF(T980&lt;=10,8,IF(T980&lt;=50,6,IF(T980&lt;=100,4,2))))</f>
        <v>0</v>
      </c>
      <c r="V980" s="7"/>
      <c r="W980" s="12"/>
      <c r="X980" s="13"/>
      <c r="Y980" s="13" t="s">
        <v>4206</v>
      </c>
    </row>
    <row r="981" customFormat="false" ht="15.75" hidden="false" customHeight="true" outlineLevel="0" collapsed="false">
      <c r="A981" s="7" t="s">
        <v>4207</v>
      </c>
      <c r="B981" s="8" t="n">
        <v>2019</v>
      </c>
      <c r="C981" s="8" t="s">
        <v>176</v>
      </c>
      <c r="D981" s="8" t="n">
        <v>156</v>
      </c>
      <c r="E981" s="7" t="s">
        <v>4208</v>
      </c>
      <c r="F981" s="8" t="n">
        <v>7.6</v>
      </c>
      <c r="G981" s="8"/>
      <c r="H981" s="9" t="n">
        <v>11645</v>
      </c>
      <c r="I981" s="7" t="s">
        <v>4209</v>
      </c>
      <c r="J981" s="7" t="s">
        <v>47</v>
      </c>
      <c r="K981" s="7" t="s">
        <v>54</v>
      </c>
      <c r="L981" s="10" t="s">
        <v>238</v>
      </c>
      <c r="M981" s="10" t="s">
        <v>4210</v>
      </c>
      <c r="N981" s="8" t="n">
        <v>0</v>
      </c>
      <c r="O981" s="8" t="n">
        <v>0</v>
      </c>
      <c r="P981" s="8" t="n">
        <v>0</v>
      </c>
      <c r="Q981" s="8" t="n">
        <v>0</v>
      </c>
      <c r="R981" s="13" t="n">
        <v>0</v>
      </c>
      <c r="S981" s="13" t="n">
        <v>0</v>
      </c>
      <c r="T981" s="13"/>
      <c r="U981" s="11" t="n">
        <f aca="false">O981*4 + P981*2 + MAX(0,N981-O981-P981)*1 + Q981*0.2 + R981*2 + S981*1 + IF(T981="",0,IF(T981&lt;=10,8,IF(T981&lt;=50,6,IF(T981&lt;=100,4,2))))</f>
        <v>0</v>
      </c>
      <c r="V981" s="7"/>
      <c r="W981" s="12"/>
      <c r="X981" s="13"/>
      <c r="Y981" s="13" t="s">
        <v>4211</v>
      </c>
    </row>
    <row r="982" customFormat="false" ht="15.75" hidden="false" customHeight="true" outlineLevel="0" collapsed="false">
      <c r="A982" s="7" t="s">
        <v>4212</v>
      </c>
      <c r="B982" s="8" t="n">
        <v>2006</v>
      </c>
      <c r="C982" s="8" t="s">
        <v>35</v>
      </c>
      <c r="D982" s="8" t="n">
        <v>130</v>
      </c>
      <c r="E982" s="7" t="s">
        <v>2924</v>
      </c>
      <c r="F982" s="8" t="n">
        <v>7.8</v>
      </c>
      <c r="G982" s="8"/>
      <c r="H982" s="9" t="n">
        <v>9685</v>
      </c>
      <c r="I982" s="7" t="s">
        <v>124</v>
      </c>
      <c r="J982" s="7" t="s">
        <v>90</v>
      </c>
      <c r="K982" s="7" t="s">
        <v>30</v>
      </c>
      <c r="L982" s="10" t="s">
        <v>113</v>
      </c>
      <c r="M982" s="10" t="s">
        <v>4213</v>
      </c>
      <c r="N982" s="8" t="n">
        <v>0</v>
      </c>
      <c r="O982" s="8" t="n">
        <v>0</v>
      </c>
      <c r="P982" s="8" t="n">
        <v>0</v>
      </c>
      <c r="Q982" s="8" t="n">
        <v>0</v>
      </c>
      <c r="R982" s="13" t="n">
        <v>0</v>
      </c>
      <c r="S982" s="13" t="n">
        <v>0</v>
      </c>
      <c r="T982" s="13"/>
      <c r="U982" s="11" t="n">
        <f aca="false">O982*4 + P982*2 + MAX(0,N982-O982-P982)*1 + Q982*0.2 + R982*2 + S982*1 + IF(T982="",0,IF(T982&lt;=10,8,IF(T982&lt;=50,6,IF(T982&lt;=100,4,2))))</f>
        <v>0</v>
      </c>
      <c r="V982" s="7"/>
      <c r="W982" s="12"/>
      <c r="X982" s="13"/>
      <c r="Y982" s="13" t="s">
        <v>4214</v>
      </c>
    </row>
    <row r="983" customFormat="false" ht="15.75" hidden="false" customHeight="true" outlineLevel="0" collapsed="false">
      <c r="A983" s="7" t="s">
        <v>4215</v>
      </c>
      <c r="B983" s="8" t="n">
        <v>2019</v>
      </c>
      <c r="C983" s="8" t="s">
        <v>176</v>
      </c>
      <c r="D983" s="8" t="n">
        <v>109</v>
      </c>
      <c r="E983" s="7" t="s">
        <v>4216</v>
      </c>
      <c r="F983" s="8" t="n">
        <v>8.1</v>
      </c>
      <c r="G983" s="8"/>
      <c r="H983" s="9" t="n">
        <v>14319</v>
      </c>
      <c r="I983" s="7" t="s">
        <v>4217</v>
      </c>
      <c r="J983" s="7" t="s">
        <v>2730</v>
      </c>
      <c r="K983" s="7" t="s">
        <v>54</v>
      </c>
      <c r="L983" s="10" t="s">
        <v>55</v>
      </c>
      <c r="M983" s="10" t="s">
        <v>4218</v>
      </c>
      <c r="N983" s="8" t="n">
        <v>0</v>
      </c>
      <c r="O983" s="8" t="n">
        <v>0</v>
      </c>
      <c r="P983" s="8" t="n">
        <v>0</v>
      </c>
      <c r="Q983" s="8" t="n">
        <v>2</v>
      </c>
      <c r="R983" s="8" t="n">
        <v>0</v>
      </c>
      <c r="S983" s="8" t="n">
        <v>0</v>
      </c>
      <c r="T983" s="13"/>
      <c r="U983" s="11" t="n">
        <f aca="false">O983*4 + P983*2 + MAX(0,N983-O983-P983)*1 + Q983*0.2 + R983*2 + S983*1 + IF(T983="",0,IF(T983&lt;=10,8,IF(T983&lt;=50,6,IF(T983&lt;=100,4,2))))</f>
        <v>0.4</v>
      </c>
      <c r="V983" s="7"/>
      <c r="W983" s="12"/>
      <c r="X983" s="13"/>
      <c r="Y983" s="13" t="s">
        <v>4219</v>
      </c>
    </row>
    <row r="984" customFormat="false" ht="15.75" hidden="false" customHeight="true" outlineLevel="0" collapsed="false">
      <c r="A984" s="7" t="s">
        <v>4220</v>
      </c>
      <c r="B984" s="8" t="n">
        <v>2016</v>
      </c>
      <c r="C984" s="8" t="s">
        <v>176</v>
      </c>
      <c r="D984" s="8" t="n">
        <v>101</v>
      </c>
      <c r="E984" s="7" t="s">
        <v>4221</v>
      </c>
      <c r="F984" s="8" t="n">
        <v>7.6</v>
      </c>
      <c r="G984" s="8"/>
      <c r="H984" s="9" t="n">
        <v>2686</v>
      </c>
      <c r="I984" s="7" t="s">
        <v>4222</v>
      </c>
      <c r="J984" s="7"/>
      <c r="K984" s="12"/>
      <c r="L984" s="10"/>
      <c r="M984" s="10" t="s">
        <v>4223</v>
      </c>
      <c r="N984" s="8" t="n">
        <v>0</v>
      </c>
      <c r="O984" s="8" t="n">
        <v>0</v>
      </c>
      <c r="P984" s="8" t="n">
        <v>0</v>
      </c>
      <c r="Q984" s="8" t="n">
        <v>0</v>
      </c>
      <c r="R984" s="13" t="n">
        <v>0</v>
      </c>
      <c r="S984" s="13" t="n">
        <v>0</v>
      </c>
      <c r="T984" s="13"/>
      <c r="U984" s="11" t="n">
        <f aca="false">O984*4 + P984*2 + MAX(0,N984-O984-P984)*1 + Q984*0.2 + R984*2 + S984*1 + IF(T984="",0,IF(T984&lt;=10,8,IF(T984&lt;=50,6,IF(T984&lt;=100,4,2))))</f>
        <v>0</v>
      </c>
      <c r="V984" s="7"/>
      <c r="W984" s="12"/>
      <c r="X984" s="13"/>
      <c r="Y984" s="13" t="s">
        <v>4224</v>
      </c>
    </row>
    <row r="985" customFormat="false" ht="15.75" hidden="false" customHeight="true" outlineLevel="0" collapsed="false">
      <c r="A985" s="7" t="s">
        <v>4225</v>
      </c>
      <c r="B985" s="8" t="n">
        <v>2021</v>
      </c>
      <c r="C985" s="8" t="s">
        <v>378</v>
      </c>
      <c r="D985" s="8" t="n">
        <v>93</v>
      </c>
      <c r="E985" s="7" t="s">
        <v>4226</v>
      </c>
      <c r="F985" s="8" t="n">
        <v>7.1</v>
      </c>
      <c r="G985" s="8"/>
      <c r="H985" s="9" t="n">
        <v>1514</v>
      </c>
      <c r="I985" s="7" t="s">
        <v>4227</v>
      </c>
      <c r="J985" s="7" t="s">
        <v>47</v>
      </c>
      <c r="K985" s="7"/>
      <c r="L985" s="10" t="s">
        <v>205</v>
      </c>
      <c r="M985" s="10" t="s">
        <v>4228</v>
      </c>
      <c r="N985" s="8" t="n">
        <v>0</v>
      </c>
      <c r="O985" s="8" t="n">
        <v>0</v>
      </c>
      <c r="P985" s="8" t="n">
        <v>0</v>
      </c>
      <c r="Q985" s="8" t="n">
        <v>0</v>
      </c>
      <c r="R985" s="13" t="n">
        <v>0</v>
      </c>
      <c r="S985" s="13" t="n">
        <v>0</v>
      </c>
      <c r="T985" s="13"/>
      <c r="U985" s="11" t="n">
        <f aca="false">O985*4 + P985*2 + MAX(0,N985-O985-P985)*1 + Q985*0.2 + R985*2 + S985*1 + IF(T985="",0,IF(T985&lt;=10,8,IF(T985&lt;=50,6,IF(T985&lt;=100,4,2))))</f>
        <v>0</v>
      </c>
      <c r="V985" s="7"/>
      <c r="W985" s="12"/>
      <c r="X985" s="13"/>
      <c r="Y985" s="13" t="s">
        <v>4229</v>
      </c>
    </row>
    <row r="986" customFormat="false" ht="15.75" hidden="false" customHeight="true" outlineLevel="0" collapsed="false">
      <c r="A986" s="7" t="s">
        <v>4230</v>
      </c>
      <c r="B986" s="8" t="n">
        <v>2000</v>
      </c>
      <c r="C986" s="8" t="s">
        <v>35</v>
      </c>
      <c r="D986" s="8" t="n">
        <v>102</v>
      </c>
      <c r="E986" s="7" t="s">
        <v>966</v>
      </c>
      <c r="F986" s="8" t="n">
        <v>7.3</v>
      </c>
      <c r="G986" s="8"/>
      <c r="H986" s="9" t="n">
        <v>4305</v>
      </c>
      <c r="I986" s="7" t="s">
        <v>967</v>
      </c>
      <c r="J986" s="7" t="s">
        <v>29</v>
      </c>
      <c r="K986" s="7" t="s">
        <v>30</v>
      </c>
      <c r="L986" s="10"/>
      <c r="M986" s="10" t="s">
        <v>4231</v>
      </c>
      <c r="N986" s="8" t="n">
        <v>0</v>
      </c>
      <c r="O986" s="8" t="n">
        <v>0</v>
      </c>
      <c r="P986" s="8" t="n">
        <v>0</v>
      </c>
      <c r="Q986" s="8" t="n">
        <v>0</v>
      </c>
      <c r="R986" s="13" t="n">
        <v>0</v>
      </c>
      <c r="S986" s="13" t="n">
        <v>0</v>
      </c>
      <c r="T986" s="13"/>
      <c r="U986" s="11" t="n">
        <f aca="false">O986*4 + P986*2 + MAX(0,N986-O986-P986)*1 + Q986*0.2 + R986*2 + S986*1 + IF(T986="",0,IF(T986&lt;=10,8,IF(T986&lt;=50,6,IF(T986&lt;=100,4,2))))</f>
        <v>0</v>
      </c>
      <c r="V986" s="7"/>
      <c r="W986" s="12"/>
      <c r="X986" s="13"/>
      <c r="Y986" s="13" t="s">
        <v>4232</v>
      </c>
    </row>
    <row r="987" customFormat="false" ht="15.75" hidden="false" customHeight="true" outlineLevel="0" collapsed="false">
      <c r="A987" s="7" t="s">
        <v>4233</v>
      </c>
      <c r="B987" s="8" t="n">
        <v>2017</v>
      </c>
      <c r="C987" s="8" t="s">
        <v>176</v>
      </c>
      <c r="D987" s="8" t="n">
        <v>137</v>
      </c>
      <c r="E987" s="7" t="s">
        <v>4234</v>
      </c>
      <c r="F987" s="8" t="n">
        <v>7.9</v>
      </c>
      <c r="G987" s="8"/>
      <c r="H987" s="9" t="n">
        <v>38880</v>
      </c>
      <c r="I987" s="7" t="s">
        <v>430</v>
      </c>
      <c r="J987" s="7" t="s">
        <v>112</v>
      </c>
      <c r="K987" s="7" t="s">
        <v>453</v>
      </c>
      <c r="L987" s="10"/>
      <c r="M987" s="10" t="s">
        <v>4235</v>
      </c>
      <c r="N987" s="8" t="n">
        <v>0</v>
      </c>
      <c r="O987" s="8" t="n">
        <v>0</v>
      </c>
      <c r="P987" s="8" t="n">
        <v>0</v>
      </c>
      <c r="Q987" s="8" t="n">
        <v>0</v>
      </c>
      <c r="R987" s="13" t="n">
        <v>0</v>
      </c>
      <c r="S987" s="13" t="n">
        <v>0</v>
      </c>
      <c r="T987" s="13"/>
      <c r="U987" s="11" t="n">
        <f aca="false">O987*4 + P987*2 + MAX(0,N987-O987-P987)*1 + Q987*0.2 + R987*2 + S987*1 + IF(T987="",0,IF(T987&lt;=10,8,IF(T987&lt;=50,6,IF(T987&lt;=100,4,2))))</f>
        <v>0</v>
      </c>
      <c r="V987" s="7"/>
      <c r="W987" s="12"/>
      <c r="X987" s="13"/>
      <c r="Y987" s="13" t="s">
        <v>4236</v>
      </c>
    </row>
    <row r="988" customFormat="false" ht="15.75" hidden="false" customHeight="true" outlineLevel="0" collapsed="false">
      <c r="A988" s="7" t="s">
        <v>4237</v>
      </c>
      <c r="B988" s="8" t="n">
        <v>2021</v>
      </c>
      <c r="C988" s="8" t="s">
        <v>378</v>
      </c>
      <c r="D988" s="8" t="n">
        <v>90</v>
      </c>
      <c r="E988" s="7" t="s">
        <v>4238</v>
      </c>
      <c r="F988" s="8" t="n">
        <v>7.6</v>
      </c>
      <c r="G988" s="8"/>
      <c r="H988" s="9" t="n">
        <v>34283</v>
      </c>
      <c r="I988" s="7" t="s">
        <v>46</v>
      </c>
      <c r="J988" s="7" t="s">
        <v>579</v>
      </c>
      <c r="K988" s="7" t="s">
        <v>30</v>
      </c>
      <c r="L988" s="10" t="s">
        <v>238</v>
      </c>
      <c r="M988" s="10" t="s">
        <v>4239</v>
      </c>
      <c r="N988" s="8" t="n">
        <v>0</v>
      </c>
      <c r="O988" s="8" t="n">
        <v>0</v>
      </c>
      <c r="P988" s="8" t="n">
        <v>0</v>
      </c>
      <c r="Q988" s="8" t="n">
        <v>1</v>
      </c>
      <c r="R988" s="8" t="n">
        <v>0</v>
      </c>
      <c r="S988" s="8" t="n">
        <v>0</v>
      </c>
      <c r="T988" s="13"/>
      <c r="U988" s="11" t="n">
        <f aca="false">O988*4 + P988*2 + MAX(0,N988-O988-P988)*1 + Q988*0.2 + R988*2 + S988*1 + IF(T988="",0,IF(T988&lt;=10,8,IF(T988&lt;=50,6,IF(T988&lt;=100,4,2))))</f>
        <v>0.2</v>
      </c>
      <c r="V988" s="7"/>
      <c r="W988" s="12"/>
      <c r="X988" s="13"/>
      <c r="Y988" s="13" t="s">
        <v>4240</v>
      </c>
    </row>
    <row r="989" customFormat="false" ht="15.75" hidden="false" customHeight="true" outlineLevel="0" collapsed="false">
      <c r="A989" s="7" t="s">
        <v>4241</v>
      </c>
      <c r="B989" s="8" t="n">
        <v>2018</v>
      </c>
      <c r="C989" s="8" t="s">
        <v>176</v>
      </c>
      <c r="D989" s="8" t="n">
        <v>188</v>
      </c>
      <c r="E989" s="7" t="s">
        <v>3654</v>
      </c>
      <c r="F989" s="8" t="n">
        <v>8</v>
      </c>
      <c r="G989" s="8"/>
      <c r="H989" s="9" t="n">
        <v>31172</v>
      </c>
      <c r="I989" s="7" t="s">
        <v>4242</v>
      </c>
      <c r="J989" s="7" t="s">
        <v>47</v>
      </c>
      <c r="K989" s="7"/>
      <c r="L989" s="10" t="s">
        <v>205</v>
      </c>
      <c r="M989" s="10" t="s">
        <v>4243</v>
      </c>
      <c r="N989" s="8" t="n">
        <v>0</v>
      </c>
      <c r="O989" s="8" t="n">
        <v>0</v>
      </c>
      <c r="P989" s="8" t="n">
        <v>0</v>
      </c>
      <c r="Q989" s="8" t="n">
        <v>0</v>
      </c>
      <c r="R989" s="13" t="n">
        <v>0</v>
      </c>
      <c r="S989" s="13" t="n">
        <v>0</v>
      </c>
      <c r="T989" s="13"/>
      <c r="U989" s="11" t="n">
        <f aca="false">O989*4 + P989*2 + MAX(0,N989-O989-P989)*1 + Q989*0.2 + R989*2 + S989*1 + IF(T989="",0,IF(T989&lt;=10,8,IF(T989&lt;=50,6,IF(T989&lt;=100,4,2))))</f>
        <v>0</v>
      </c>
      <c r="V989" s="7"/>
      <c r="W989" s="12"/>
      <c r="X989" s="13"/>
      <c r="Y989" s="13" t="s">
        <v>4244</v>
      </c>
    </row>
    <row r="990" customFormat="false" ht="15.75" hidden="false" customHeight="true" outlineLevel="0" collapsed="false">
      <c r="A990" s="7" t="s">
        <v>4245</v>
      </c>
      <c r="B990" s="8" t="n">
        <v>2019</v>
      </c>
      <c r="C990" s="8" t="s">
        <v>176</v>
      </c>
      <c r="D990" s="8" t="n">
        <v>125</v>
      </c>
      <c r="E990" s="7" t="s">
        <v>4246</v>
      </c>
      <c r="F990" s="8" t="n">
        <v>7.8</v>
      </c>
      <c r="G990" s="8"/>
      <c r="H990" s="9" t="n">
        <v>16772</v>
      </c>
      <c r="I990" s="7" t="s">
        <v>258</v>
      </c>
      <c r="J990" s="7" t="s">
        <v>47</v>
      </c>
      <c r="K990" s="7"/>
      <c r="L990" s="10"/>
      <c r="M990" s="10" t="s">
        <v>4247</v>
      </c>
      <c r="N990" s="8" t="n">
        <v>0</v>
      </c>
      <c r="O990" s="8" t="n">
        <v>0</v>
      </c>
      <c r="P990" s="8" t="n">
        <v>0</v>
      </c>
      <c r="Q990" s="8" t="n">
        <v>0</v>
      </c>
      <c r="R990" s="13" t="n">
        <v>0</v>
      </c>
      <c r="S990" s="13" t="n">
        <v>0</v>
      </c>
      <c r="T990" s="13"/>
      <c r="U990" s="11" t="n">
        <f aca="false">O990*4 + P990*2 + MAX(0,N990-O990-P990)*1 + Q990*0.2 + R990*2 + S990*1 + IF(T990="",0,IF(T990&lt;=10,8,IF(T990&lt;=50,6,IF(T990&lt;=100,4,2))))</f>
        <v>0</v>
      </c>
      <c r="V990" s="7"/>
      <c r="W990" s="12"/>
      <c r="X990" s="13"/>
      <c r="Y990" s="13" t="s">
        <v>4248</v>
      </c>
    </row>
    <row r="991" customFormat="false" ht="15.75" hidden="false" customHeight="true" outlineLevel="0" collapsed="false">
      <c r="A991" s="7" t="s">
        <v>4249</v>
      </c>
      <c r="B991" s="8" t="n">
        <v>2007</v>
      </c>
      <c r="C991" s="8" t="s">
        <v>35</v>
      </c>
      <c r="D991" s="8" t="n">
        <v>106</v>
      </c>
      <c r="E991" s="7" t="s">
        <v>4250</v>
      </c>
      <c r="F991" s="8" t="n">
        <v>7.5</v>
      </c>
      <c r="G991" s="8"/>
      <c r="H991" s="9" t="n">
        <v>40180</v>
      </c>
      <c r="I991" s="7" t="s">
        <v>280</v>
      </c>
      <c r="J991" s="7" t="s">
        <v>47</v>
      </c>
      <c r="K991" s="7" t="s">
        <v>251</v>
      </c>
      <c r="L991" s="10" t="s">
        <v>4251</v>
      </c>
      <c r="M991" s="10" t="s">
        <v>4252</v>
      </c>
      <c r="N991" s="8" t="n">
        <v>0</v>
      </c>
      <c r="O991" s="8" t="n">
        <v>0</v>
      </c>
      <c r="P991" s="8" t="n">
        <v>0</v>
      </c>
      <c r="Q991" s="8" t="n">
        <v>0</v>
      </c>
      <c r="R991" s="13" t="n">
        <v>0</v>
      </c>
      <c r="S991" s="13" t="n">
        <v>0</v>
      </c>
      <c r="T991" s="13"/>
      <c r="U991" s="11" t="n">
        <f aca="false">O991*4 + P991*2 + MAX(0,N991-O991-P991)*1 + Q991*0.2 + R991*2 + S991*1 + IF(T991="",0,IF(T991&lt;=10,8,IF(T991&lt;=50,6,IF(T991&lt;=100,4,2))))</f>
        <v>0</v>
      </c>
      <c r="V991" s="7"/>
      <c r="W991" s="12"/>
      <c r="X991" s="13"/>
      <c r="Y991" s="13" t="s">
        <v>4253</v>
      </c>
    </row>
    <row r="992" customFormat="false" ht="15.75" hidden="false" customHeight="true" outlineLevel="0" collapsed="false">
      <c r="A992" s="7" t="s">
        <v>4254</v>
      </c>
      <c r="B992" s="8" t="n">
        <v>2005</v>
      </c>
      <c r="C992" s="8" t="s">
        <v>35</v>
      </c>
      <c r="D992" s="8" t="n">
        <v>124</v>
      </c>
      <c r="E992" s="7" t="s">
        <v>4255</v>
      </c>
      <c r="F992" s="8" t="n">
        <v>7.4</v>
      </c>
      <c r="G992" s="8"/>
      <c r="H992" s="9" t="n">
        <v>4438</v>
      </c>
      <c r="I992" s="7" t="s">
        <v>4256</v>
      </c>
      <c r="J992" s="7" t="s">
        <v>47</v>
      </c>
      <c r="K992" s="7"/>
      <c r="L992" s="10" t="s">
        <v>205</v>
      </c>
      <c r="M992" s="10" t="s">
        <v>4257</v>
      </c>
      <c r="N992" s="8" t="n">
        <v>0</v>
      </c>
      <c r="O992" s="8" t="n">
        <v>0</v>
      </c>
      <c r="P992" s="8" t="n">
        <v>0</v>
      </c>
      <c r="Q992" s="8" t="n">
        <v>0</v>
      </c>
      <c r="R992" s="13" t="n">
        <v>0</v>
      </c>
      <c r="S992" s="13" t="n">
        <v>0</v>
      </c>
      <c r="T992" s="13"/>
      <c r="U992" s="11" t="n">
        <f aca="false">O992*4 + P992*2 + MAX(0,N992-O992-P992)*1 + Q992*0.2 + R992*2 + S992*1 + IF(T992="",0,IF(T992&lt;=10,8,IF(T992&lt;=50,6,IF(T992&lt;=100,4,2))))</f>
        <v>0</v>
      </c>
      <c r="V992" s="7"/>
      <c r="W992" s="12"/>
      <c r="X992" s="13"/>
      <c r="Y992" s="13" t="s">
        <v>4258</v>
      </c>
    </row>
    <row r="993" customFormat="false" ht="15.75" hidden="false" customHeight="true" outlineLevel="0" collapsed="false">
      <c r="A993" s="7" t="s">
        <v>4259</v>
      </c>
      <c r="B993" s="8" t="n">
        <v>2010</v>
      </c>
      <c r="C993" s="8" t="s">
        <v>176</v>
      </c>
      <c r="D993" s="8" t="n">
        <v>123</v>
      </c>
      <c r="E993" s="7" t="s">
        <v>4260</v>
      </c>
      <c r="F993" s="8" t="n">
        <v>7.4</v>
      </c>
      <c r="G993" s="8"/>
      <c r="H993" s="9" t="n">
        <v>11059</v>
      </c>
      <c r="I993" s="7" t="s">
        <v>430</v>
      </c>
      <c r="J993" s="7" t="s">
        <v>131</v>
      </c>
      <c r="K993" s="7" t="s">
        <v>54</v>
      </c>
      <c r="L993" s="10"/>
      <c r="M993" s="10" t="s">
        <v>4261</v>
      </c>
      <c r="N993" s="8" t="n">
        <v>0</v>
      </c>
      <c r="O993" s="8" t="n">
        <v>0</v>
      </c>
      <c r="P993" s="8" t="n">
        <v>0</v>
      </c>
      <c r="Q993" s="8" t="n">
        <v>0</v>
      </c>
      <c r="R993" s="13" t="n">
        <v>0</v>
      </c>
      <c r="S993" s="13" t="n">
        <v>0</v>
      </c>
      <c r="T993" s="13"/>
      <c r="U993" s="11" t="n">
        <f aca="false">O993*4 + P993*2 + MAX(0,N993-O993-P993)*1 + Q993*0.2 + R993*2 + S993*1 + IF(T993="",0,IF(T993&lt;=10,8,IF(T993&lt;=50,6,IF(T993&lt;=100,4,2))))</f>
        <v>0</v>
      </c>
      <c r="V993" s="7"/>
      <c r="W993" s="12"/>
      <c r="X993" s="13"/>
      <c r="Y993" s="13" t="s">
        <v>4262</v>
      </c>
    </row>
    <row r="994" customFormat="false" ht="15.75" hidden="false" customHeight="true" outlineLevel="0" collapsed="false">
      <c r="A994" s="7" t="s">
        <v>4263</v>
      </c>
      <c r="B994" s="8" t="n">
        <v>2011</v>
      </c>
      <c r="C994" s="8" t="s">
        <v>176</v>
      </c>
      <c r="D994" s="8" t="n">
        <v>125</v>
      </c>
      <c r="E994" s="7" t="s">
        <v>4264</v>
      </c>
      <c r="F994" s="8" t="n">
        <v>8</v>
      </c>
      <c r="G994" s="8"/>
      <c r="H994" s="9" t="n">
        <v>28115</v>
      </c>
      <c r="I994" s="7" t="s">
        <v>430</v>
      </c>
      <c r="J994" s="7" t="s">
        <v>131</v>
      </c>
      <c r="K994" s="7" t="s">
        <v>54</v>
      </c>
      <c r="L994" s="10" t="s">
        <v>238</v>
      </c>
      <c r="M994" s="10" t="s">
        <v>4265</v>
      </c>
      <c r="N994" s="8" t="n">
        <v>0</v>
      </c>
      <c r="O994" s="8" t="n">
        <v>0</v>
      </c>
      <c r="P994" s="8" t="n">
        <v>0</v>
      </c>
      <c r="Q994" s="8" t="n">
        <v>0</v>
      </c>
      <c r="R994" s="13" t="n">
        <v>0</v>
      </c>
      <c r="S994" s="13" t="n">
        <v>0</v>
      </c>
      <c r="T994" s="13"/>
      <c r="U994" s="11" t="n">
        <f aca="false">O994*4 + P994*2 + MAX(0,N994-O994-P994)*1 + Q994*0.2 + R994*2 + S994*1 + IF(T994="",0,IF(T994&lt;=10,8,IF(T994&lt;=50,6,IF(T994&lt;=100,4,2))))</f>
        <v>0</v>
      </c>
      <c r="V994" s="7"/>
      <c r="W994" s="12"/>
      <c r="X994" s="13"/>
      <c r="Y994" s="13" t="s">
        <v>4266</v>
      </c>
    </row>
    <row r="995" customFormat="false" ht="15.75" hidden="false" customHeight="true" outlineLevel="0" collapsed="false">
      <c r="A995" s="7" t="s">
        <v>4267</v>
      </c>
      <c r="B995" s="8" t="n">
        <v>2004</v>
      </c>
      <c r="C995" s="8" t="s">
        <v>35</v>
      </c>
      <c r="D995" s="8" t="n">
        <v>143</v>
      </c>
      <c r="E995" s="7" t="s">
        <v>4268</v>
      </c>
      <c r="F995" s="8" t="n">
        <v>7.6</v>
      </c>
      <c r="G995" s="8"/>
      <c r="H995" s="9" t="n">
        <v>8025</v>
      </c>
      <c r="I995" s="7" t="s">
        <v>124</v>
      </c>
      <c r="J995" s="7"/>
      <c r="K995" s="12"/>
      <c r="L995" s="10"/>
      <c r="M995" s="10" t="s">
        <v>4269</v>
      </c>
      <c r="N995" s="8" t="n">
        <v>0</v>
      </c>
      <c r="O995" s="8" t="n">
        <v>0</v>
      </c>
      <c r="P995" s="8" t="n">
        <v>0</v>
      </c>
      <c r="Q995" s="8" t="n">
        <v>0</v>
      </c>
      <c r="R995" s="13" t="n">
        <v>0</v>
      </c>
      <c r="S995" s="13" t="n">
        <v>0</v>
      </c>
      <c r="T995" s="13"/>
      <c r="U995" s="11" t="n">
        <f aca="false">O995*4 + P995*2 + MAX(0,N995-O995-P995)*1 + Q995*0.2 + R995*2 + S995*1 + IF(T995="",0,IF(T995&lt;=10,8,IF(T995&lt;=50,6,IF(T995&lt;=100,4,2))))</f>
        <v>0</v>
      </c>
      <c r="V995" s="7"/>
      <c r="W995" s="12"/>
      <c r="X995" s="13"/>
      <c r="Y995" s="13" t="s">
        <v>4270</v>
      </c>
    </row>
    <row r="996" customFormat="false" ht="15.75" hidden="false" customHeight="true" outlineLevel="0" collapsed="false">
      <c r="A996" s="7" t="s">
        <v>4271</v>
      </c>
      <c r="B996" s="8" t="n">
        <v>2001</v>
      </c>
      <c r="C996" s="8" t="s">
        <v>35</v>
      </c>
      <c r="D996" s="8" t="n">
        <v>110</v>
      </c>
      <c r="E996" s="7" t="s">
        <v>4272</v>
      </c>
      <c r="F996" s="8" t="n">
        <v>6.9</v>
      </c>
      <c r="G996" s="8"/>
      <c r="H996" s="9" t="n">
        <v>1652</v>
      </c>
      <c r="I996" s="7" t="s">
        <v>28</v>
      </c>
      <c r="J996" s="7" t="s">
        <v>154</v>
      </c>
      <c r="K996" s="7" t="s">
        <v>47</v>
      </c>
      <c r="L996" s="10"/>
      <c r="M996" s="10" t="s">
        <v>4273</v>
      </c>
      <c r="N996" s="8" t="n">
        <v>0</v>
      </c>
      <c r="O996" s="8" t="n">
        <v>0</v>
      </c>
      <c r="P996" s="8" t="n">
        <v>0</v>
      </c>
      <c r="Q996" s="8" t="n">
        <v>0</v>
      </c>
      <c r="R996" s="13" t="n">
        <v>0</v>
      </c>
      <c r="S996" s="13" t="n">
        <v>0</v>
      </c>
      <c r="T996" s="13"/>
      <c r="U996" s="11" t="n">
        <f aca="false">O996*4 + P996*2 + MAX(0,N996-O996-P996)*1 + Q996*0.2 + R996*2 + S996*1 + IF(T996="",0,IF(T996&lt;=10,8,IF(T996&lt;=50,6,IF(T996&lt;=100,4,2))))</f>
        <v>0</v>
      </c>
      <c r="V996" s="7"/>
      <c r="W996" s="12"/>
      <c r="X996" s="13"/>
      <c r="Y996" s="13" t="s">
        <v>4274</v>
      </c>
    </row>
    <row r="997" customFormat="false" ht="15.75" hidden="false" customHeight="true" outlineLevel="0" collapsed="false">
      <c r="A997" s="7" t="s">
        <v>4275</v>
      </c>
      <c r="B997" s="8" t="n">
        <v>2022</v>
      </c>
      <c r="C997" s="8" t="s">
        <v>378</v>
      </c>
      <c r="D997" s="8" t="n">
        <v>70</v>
      </c>
      <c r="E997" s="7" t="s">
        <v>4276</v>
      </c>
      <c r="F997" s="8" t="n">
        <v>7.3</v>
      </c>
      <c r="G997" s="8"/>
      <c r="H997" s="9" t="n">
        <v>2626</v>
      </c>
      <c r="I997" s="7" t="s">
        <v>4277</v>
      </c>
      <c r="J997" s="7" t="s">
        <v>579</v>
      </c>
      <c r="K997" s="7" t="s">
        <v>259</v>
      </c>
      <c r="L997" s="10" t="s">
        <v>205</v>
      </c>
      <c r="M997" s="10" t="s">
        <v>4278</v>
      </c>
      <c r="N997" s="8" t="n">
        <v>0</v>
      </c>
      <c r="O997" s="8" t="n">
        <v>0</v>
      </c>
      <c r="P997" s="8" t="n">
        <v>0</v>
      </c>
      <c r="Q997" s="8" t="n">
        <v>0</v>
      </c>
      <c r="R997" s="13" t="n">
        <v>0</v>
      </c>
      <c r="S997" s="13" t="n">
        <v>0</v>
      </c>
      <c r="T997" s="13"/>
      <c r="U997" s="11" t="n">
        <f aca="false">O997*4 + P997*2 + MAX(0,N997-O997-P997)*1 + Q997*0.2 + R997*2 + S997*1 + IF(T997="",0,IF(T997&lt;=10,8,IF(T997&lt;=50,6,IF(T997&lt;=100,4,2))))</f>
        <v>0</v>
      </c>
      <c r="V997" s="7"/>
      <c r="W997" s="12"/>
      <c r="X997" s="13"/>
      <c r="Y997" s="13" t="s">
        <v>4279</v>
      </c>
    </row>
    <row r="998" customFormat="false" ht="15.75" hidden="false" customHeight="true" outlineLevel="0" collapsed="false">
      <c r="A998" s="7" t="s">
        <v>4280</v>
      </c>
      <c r="B998" s="8" t="n">
        <v>2023</v>
      </c>
      <c r="C998" s="8" t="s">
        <v>378</v>
      </c>
      <c r="D998" s="8" t="n">
        <v>152</v>
      </c>
      <c r="E998" s="7" t="s">
        <v>4281</v>
      </c>
      <c r="F998" s="8" t="n">
        <v>6.4</v>
      </c>
      <c r="G998" s="8"/>
      <c r="H998" s="9" t="n">
        <v>7883</v>
      </c>
      <c r="I998" s="7" t="s">
        <v>4282</v>
      </c>
      <c r="J998" s="7" t="s">
        <v>47</v>
      </c>
      <c r="K998" s="7"/>
      <c r="L998" s="10"/>
      <c r="M998" s="10" t="s">
        <v>4283</v>
      </c>
      <c r="N998" s="8" t="n">
        <v>0</v>
      </c>
      <c r="O998" s="8" t="n">
        <v>0</v>
      </c>
      <c r="P998" s="8" t="n">
        <v>0</v>
      </c>
      <c r="Q998" s="8" t="n">
        <v>0</v>
      </c>
      <c r="R998" s="13" t="n">
        <v>0</v>
      </c>
      <c r="S998" s="13" t="n">
        <v>0</v>
      </c>
      <c r="T998" s="13"/>
      <c r="U998" s="11" t="n">
        <f aca="false">O998*4 + P998*2 + MAX(0,N998-O998-P998)*1 + Q998*0.2 + R998*2 + S998*1 + IF(T998="",0,IF(T998&lt;=10,8,IF(T998&lt;=50,6,IF(T998&lt;=100,4,2))))</f>
        <v>0</v>
      </c>
      <c r="V998" s="7"/>
      <c r="W998" s="12"/>
      <c r="X998" s="13"/>
      <c r="Y998" s="13" t="s">
        <v>4284</v>
      </c>
    </row>
    <row r="999" customFormat="false" ht="15.75" hidden="false" customHeight="true" outlineLevel="0" collapsed="false">
      <c r="A999" s="7" t="s">
        <v>4285</v>
      </c>
      <c r="B999" s="8" t="n">
        <v>2007</v>
      </c>
      <c r="C999" s="8" t="s">
        <v>35</v>
      </c>
      <c r="D999" s="8" t="n">
        <v>157</v>
      </c>
      <c r="E999" s="7" t="s">
        <v>3324</v>
      </c>
      <c r="F999" s="8" t="n">
        <v>7.5</v>
      </c>
      <c r="G999" s="8"/>
      <c r="H999" s="9" t="n">
        <v>9688</v>
      </c>
      <c r="I999" s="7"/>
      <c r="J999" s="7"/>
      <c r="K999" s="12"/>
      <c r="L999" s="10" t="s">
        <v>205</v>
      </c>
      <c r="M999" s="10" t="s">
        <v>4286</v>
      </c>
      <c r="N999" s="8" t="n">
        <v>0</v>
      </c>
      <c r="O999" s="8" t="n">
        <v>0</v>
      </c>
      <c r="P999" s="8" t="n">
        <v>0</v>
      </c>
      <c r="Q999" s="8" t="n">
        <v>0</v>
      </c>
      <c r="R999" s="13" t="n">
        <v>0</v>
      </c>
      <c r="S999" s="13" t="n">
        <v>0</v>
      </c>
      <c r="T999" s="13"/>
      <c r="U999" s="11" t="n">
        <f aca="false">O999*4 + P999*2 + MAX(0,N999-O999-P999)*1 + Q999*0.2 + R999*2 + S999*1 + IF(T999="",0,IF(T999&lt;=10,8,IF(T999&lt;=50,6,IF(T999&lt;=100,4,2))))</f>
        <v>0</v>
      </c>
      <c r="V999" s="7"/>
      <c r="W999" s="12"/>
      <c r="X999" s="13"/>
      <c r="Y999" s="13" t="s">
        <v>4287</v>
      </c>
    </row>
    <row r="1000" customFormat="false" ht="15.75" hidden="false" customHeight="true" outlineLevel="0" collapsed="false">
      <c r="A1000" s="7" t="s">
        <v>4288</v>
      </c>
      <c r="B1000" s="8" t="n">
        <v>2020</v>
      </c>
      <c r="C1000" s="8" t="s">
        <v>378</v>
      </c>
      <c r="D1000" s="8" t="n">
        <v>94</v>
      </c>
      <c r="E1000" s="7" t="s">
        <v>4289</v>
      </c>
      <c r="F1000" s="8" t="n">
        <v>7.5</v>
      </c>
      <c r="G1000" s="8"/>
      <c r="H1000" s="9" t="n">
        <v>2379</v>
      </c>
      <c r="I1000" s="7" t="s">
        <v>124</v>
      </c>
      <c r="J1000" s="7" t="s">
        <v>579</v>
      </c>
      <c r="K1000" s="7" t="s">
        <v>112</v>
      </c>
      <c r="L1000" s="10"/>
      <c r="M1000" s="10" t="s">
        <v>4290</v>
      </c>
      <c r="N1000" s="8" t="n">
        <v>0</v>
      </c>
      <c r="O1000" s="8" t="n">
        <v>0</v>
      </c>
      <c r="P1000" s="8" t="n">
        <v>0</v>
      </c>
      <c r="Q1000" s="8" t="n">
        <v>0</v>
      </c>
      <c r="R1000" s="13" t="n">
        <v>0</v>
      </c>
      <c r="S1000" s="13" t="n">
        <v>0</v>
      </c>
      <c r="T1000" s="13"/>
      <c r="U1000" s="11" t="n">
        <f aca="false">O1000*4 + P1000*2 + MAX(0,N1000-O1000-P1000)*1 + Q1000*0.2 + R1000*2 + S1000*1 + IF(T1000="",0,IF(T1000&lt;=10,8,IF(T1000&lt;=50,6,IF(T1000&lt;=100,4,2))))</f>
        <v>0</v>
      </c>
      <c r="V1000" s="7"/>
      <c r="W1000" s="12"/>
      <c r="X1000" s="13"/>
      <c r="Y1000" s="13" t="s">
        <v>4291</v>
      </c>
    </row>
    <row r="1001" customFormat="false" ht="15.75" hidden="false" customHeight="true" outlineLevel="0" collapsed="false">
      <c r="A1001" s="7" t="s">
        <v>4292</v>
      </c>
      <c r="B1001" s="8" t="n">
        <v>2001</v>
      </c>
      <c r="C1001" s="8" t="s">
        <v>35</v>
      </c>
      <c r="D1001" s="8" t="n">
        <v>224</v>
      </c>
      <c r="E1001" s="7" t="s">
        <v>4293</v>
      </c>
      <c r="F1001" s="8" t="n">
        <v>8.1</v>
      </c>
      <c r="G1001" s="8"/>
      <c r="H1001" s="9" t="n">
        <v>130235</v>
      </c>
      <c r="I1001" s="7" t="s">
        <v>3848</v>
      </c>
      <c r="J1001" s="7" t="s">
        <v>90</v>
      </c>
      <c r="K1001" s="7" t="s">
        <v>75</v>
      </c>
      <c r="L1001" s="10"/>
      <c r="M1001" s="10" t="s">
        <v>4294</v>
      </c>
      <c r="N1001" s="8" t="n">
        <v>0</v>
      </c>
      <c r="O1001" s="8" t="n">
        <v>0</v>
      </c>
      <c r="P1001" s="8" t="n">
        <v>0</v>
      </c>
      <c r="Q1001" s="8" t="n">
        <v>1</v>
      </c>
      <c r="R1001" s="8" t="n">
        <v>0</v>
      </c>
      <c r="S1001" s="8" t="n">
        <v>0</v>
      </c>
      <c r="T1001" s="13"/>
      <c r="U1001" s="11" t="n">
        <f aca="false">O1001*4 + P1001*2 + MAX(0,N1001-O1001-P1001)*1 + Q1001*0.2 + R1001*2 + S1001*1 + IF(T1001="",0,IF(T1001&lt;=10,8,IF(T1001&lt;=50,6,IF(T1001&lt;=100,4,2))))</f>
        <v>0.2</v>
      </c>
      <c r="V1001" s="7"/>
      <c r="W1001" s="12"/>
      <c r="X1001" s="13"/>
      <c r="Y1001" s="13" t="s">
        <v>4295</v>
      </c>
    </row>
    <row r="1002" customFormat="false" ht="15.75" hidden="false" customHeight="true" outlineLevel="0" collapsed="false">
      <c r="A1002" s="7" t="s">
        <v>4296</v>
      </c>
      <c r="B1002" s="8" t="n">
        <v>2021</v>
      </c>
      <c r="C1002" s="8" t="s">
        <v>378</v>
      </c>
      <c r="D1002" s="8" t="n">
        <v>220</v>
      </c>
      <c r="E1002" s="7" t="s">
        <v>4297</v>
      </c>
      <c r="F1002" s="8" t="n">
        <v>6.9</v>
      </c>
      <c r="G1002" s="8"/>
      <c r="H1002" s="9" t="n">
        <v>439</v>
      </c>
      <c r="I1002" s="7" t="s">
        <v>232</v>
      </c>
      <c r="J1002" s="7" t="s">
        <v>2730</v>
      </c>
      <c r="K1002" s="7" t="s">
        <v>47</v>
      </c>
      <c r="L1002" s="10"/>
      <c r="M1002" s="10" t="s">
        <v>4298</v>
      </c>
      <c r="N1002" s="8" t="n">
        <v>0</v>
      </c>
      <c r="O1002" s="8" t="n">
        <v>0</v>
      </c>
      <c r="P1002" s="8" t="n">
        <v>0</v>
      </c>
      <c r="Q1002" s="8" t="n">
        <v>0</v>
      </c>
      <c r="R1002" s="13" t="n">
        <v>0</v>
      </c>
      <c r="S1002" s="13" t="n">
        <v>0</v>
      </c>
      <c r="T1002" s="13"/>
      <c r="U1002" s="11" t="n">
        <f aca="false">O1002*4 + P1002*2 + MAX(0,N1002-O1002-P1002)*1 + Q1002*0.2 + R1002*2 + S1002*1 + IF(T1002="",0,IF(T1002&lt;=10,8,IF(T1002&lt;=50,6,IF(T1002&lt;=100,4,2))))</f>
        <v>0</v>
      </c>
      <c r="V1002" s="7"/>
      <c r="W1002" s="12"/>
      <c r="X1002" s="13"/>
      <c r="Y1002" s="13" t="s">
        <v>4299</v>
      </c>
    </row>
    <row r="1003" customFormat="false" ht="15.75" hidden="false" customHeight="true" outlineLevel="0" collapsed="false">
      <c r="A1003" s="7" t="s">
        <v>4300</v>
      </c>
      <c r="B1003" s="8" t="n">
        <v>2000</v>
      </c>
      <c r="C1003" s="8" t="s">
        <v>35</v>
      </c>
      <c r="D1003" s="8" t="n">
        <v>80</v>
      </c>
      <c r="E1003" s="7" t="s">
        <v>1423</v>
      </c>
      <c r="F1003" s="8" t="n">
        <v>7.7</v>
      </c>
      <c r="G1003" s="8"/>
      <c r="H1003" s="9" t="n">
        <v>9509</v>
      </c>
      <c r="I1003" s="7"/>
      <c r="J1003" s="7"/>
      <c r="K1003" s="12"/>
      <c r="L1003" s="10"/>
      <c r="M1003" s="10" t="s">
        <v>4301</v>
      </c>
      <c r="N1003" s="8" t="n">
        <v>0</v>
      </c>
      <c r="O1003" s="8" t="n">
        <v>0</v>
      </c>
      <c r="P1003" s="8" t="n">
        <v>0</v>
      </c>
      <c r="Q1003" s="8" t="n">
        <v>0</v>
      </c>
      <c r="R1003" s="13" t="n">
        <v>0</v>
      </c>
      <c r="S1003" s="13" t="n">
        <v>0</v>
      </c>
      <c r="T1003" s="13"/>
      <c r="U1003" s="11" t="n">
        <f aca="false">O1003*4 + P1003*2 + MAX(0,N1003-O1003-P1003)*1 + Q1003*0.2 + R1003*2 + S1003*1 + IF(T1003="",0,IF(T1003&lt;=10,8,IF(T1003&lt;=50,6,IF(T1003&lt;=100,4,2))))</f>
        <v>0</v>
      </c>
      <c r="V1003" s="7"/>
      <c r="W1003" s="12"/>
      <c r="X1003" s="13"/>
      <c r="Y1003" s="13" t="s">
        <v>4302</v>
      </c>
    </row>
    <row r="1004" customFormat="false" ht="15.75" hidden="false" customHeight="true" outlineLevel="0" collapsed="false">
      <c r="A1004" s="7" t="s">
        <v>4303</v>
      </c>
      <c r="B1004" s="8" t="n">
        <v>2000</v>
      </c>
      <c r="C1004" s="8" t="s">
        <v>35</v>
      </c>
      <c r="D1004" s="8" t="n">
        <v>133</v>
      </c>
      <c r="E1004" s="7" t="s">
        <v>4304</v>
      </c>
      <c r="F1004" s="8" t="n">
        <v>7.2</v>
      </c>
      <c r="G1004" s="8"/>
      <c r="H1004" s="9" t="n">
        <v>1398</v>
      </c>
      <c r="I1004" s="7" t="s">
        <v>219</v>
      </c>
      <c r="J1004" s="7" t="s">
        <v>47</v>
      </c>
      <c r="K1004" s="7"/>
      <c r="L1004" s="10"/>
      <c r="M1004" s="10" t="s">
        <v>4305</v>
      </c>
      <c r="N1004" s="8" t="n">
        <v>0</v>
      </c>
      <c r="O1004" s="8" t="n">
        <v>0</v>
      </c>
      <c r="P1004" s="8" t="n">
        <v>0</v>
      </c>
      <c r="Q1004" s="8" t="n">
        <v>0</v>
      </c>
      <c r="R1004" s="13" t="n">
        <v>0</v>
      </c>
      <c r="S1004" s="13" t="n">
        <v>0</v>
      </c>
      <c r="T1004" s="13"/>
      <c r="U1004" s="11" t="n">
        <f aca="false">O1004*4 + P1004*2 + MAX(0,N1004-O1004-P1004)*1 + Q1004*0.2 + R1004*2 + S1004*1 + IF(T1004="",0,IF(T1004&lt;=10,8,IF(T1004&lt;=50,6,IF(T1004&lt;=100,4,2))))</f>
        <v>0</v>
      </c>
      <c r="V1004" s="7"/>
      <c r="W1004" s="12"/>
      <c r="X1004" s="13"/>
      <c r="Y1004" s="13" t="s">
        <v>4306</v>
      </c>
    </row>
    <row r="1005" customFormat="false" ht="15.75" hidden="false" customHeight="true" outlineLevel="0" collapsed="false">
      <c r="A1005" s="7" t="s">
        <v>4307</v>
      </c>
      <c r="B1005" s="8" t="n">
        <v>2002</v>
      </c>
      <c r="C1005" s="8" t="s">
        <v>35</v>
      </c>
      <c r="D1005" s="8" t="n">
        <v>116</v>
      </c>
      <c r="E1005" s="7" t="s">
        <v>4308</v>
      </c>
      <c r="F1005" s="8" t="n">
        <v>7.4</v>
      </c>
      <c r="G1005" s="8"/>
      <c r="H1005" s="9" t="n">
        <v>4591</v>
      </c>
      <c r="I1005" s="7" t="s">
        <v>4309</v>
      </c>
      <c r="J1005" s="7"/>
      <c r="K1005" s="12"/>
      <c r="L1005" s="10" t="s">
        <v>478</v>
      </c>
      <c r="M1005" s="10" t="s">
        <v>4310</v>
      </c>
      <c r="N1005" s="8" t="n">
        <v>0</v>
      </c>
      <c r="O1005" s="8" t="n">
        <v>0</v>
      </c>
      <c r="P1005" s="8" t="n">
        <v>0</v>
      </c>
      <c r="Q1005" s="8" t="n">
        <v>0</v>
      </c>
      <c r="R1005" s="13" t="n">
        <v>0</v>
      </c>
      <c r="S1005" s="13" t="n">
        <v>0</v>
      </c>
      <c r="T1005" s="13"/>
      <c r="U1005" s="11" t="n">
        <f aca="false">O1005*4 + P1005*2 + MAX(0,N1005-O1005-P1005)*1 + Q1005*0.2 + R1005*2 + S1005*1 + IF(T1005="",0,IF(T1005&lt;=10,8,IF(T1005&lt;=50,6,IF(T1005&lt;=100,4,2))))</f>
        <v>0</v>
      </c>
      <c r="V1005" s="7"/>
      <c r="W1005" s="12"/>
      <c r="X1005" s="13"/>
      <c r="Y1005" s="13" t="s">
        <v>4311</v>
      </c>
    </row>
    <row r="1006" customFormat="false" ht="15.75" hidden="false" customHeight="true" outlineLevel="0" collapsed="false">
      <c r="A1006" s="7" t="s">
        <v>4312</v>
      </c>
      <c r="B1006" s="8" t="n">
        <v>2002</v>
      </c>
      <c r="C1006" s="8" t="s">
        <v>35</v>
      </c>
      <c r="D1006" s="8" t="n">
        <v>94</v>
      </c>
      <c r="E1006" s="7" t="s">
        <v>4313</v>
      </c>
      <c r="F1006" s="8" t="n">
        <v>7.4</v>
      </c>
      <c r="G1006" s="8"/>
      <c r="H1006" s="9" t="n">
        <v>9159</v>
      </c>
      <c r="I1006" s="7" t="s">
        <v>1424</v>
      </c>
      <c r="J1006" s="7" t="s">
        <v>47</v>
      </c>
      <c r="K1006" s="7"/>
      <c r="L1006" s="10"/>
      <c r="M1006" s="10" t="s">
        <v>4314</v>
      </c>
      <c r="N1006" s="8" t="n">
        <v>0</v>
      </c>
      <c r="O1006" s="8" t="n">
        <v>0</v>
      </c>
      <c r="P1006" s="8" t="n">
        <v>0</v>
      </c>
      <c r="Q1006" s="8" t="n">
        <v>0</v>
      </c>
      <c r="R1006" s="13" t="n">
        <v>0</v>
      </c>
      <c r="S1006" s="13" t="n">
        <v>0</v>
      </c>
      <c r="T1006" s="13"/>
      <c r="U1006" s="11" t="n">
        <f aca="false">O1006*4 + P1006*2 + MAX(0,N1006-O1006-P1006)*1 + Q1006*0.2 + R1006*2 + S1006*1 + IF(T1006="",0,IF(T1006&lt;=10,8,IF(T1006&lt;=50,6,IF(T1006&lt;=100,4,2))))</f>
        <v>0</v>
      </c>
      <c r="V1006" s="7"/>
      <c r="W1006" s="12"/>
      <c r="X1006" s="13"/>
      <c r="Y1006" s="13" t="s">
        <v>4315</v>
      </c>
    </row>
    <row r="1007" customFormat="false" ht="15.75" hidden="false" customHeight="true" outlineLevel="0" collapsed="false">
      <c r="A1007" s="7" t="s">
        <v>4316</v>
      </c>
      <c r="B1007" s="8" t="n">
        <v>2006</v>
      </c>
      <c r="C1007" s="8" t="s">
        <v>35</v>
      </c>
      <c r="D1007" s="8" t="n">
        <v>86</v>
      </c>
      <c r="E1007" s="7" t="s">
        <v>4317</v>
      </c>
      <c r="F1007" s="8" t="n">
        <v>7.2</v>
      </c>
      <c r="G1007" s="8"/>
      <c r="H1007" s="9" t="n">
        <v>2549</v>
      </c>
      <c r="I1007" s="7" t="s">
        <v>967</v>
      </c>
      <c r="J1007" s="7" t="s">
        <v>29</v>
      </c>
      <c r="K1007" s="7" t="s">
        <v>47</v>
      </c>
      <c r="L1007" s="10"/>
      <c r="M1007" s="10" t="s">
        <v>4318</v>
      </c>
      <c r="N1007" s="8" t="n">
        <v>0</v>
      </c>
      <c r="O1007" s="8" t="n">
        <v>0</v>
      </c>
      <c r="P1007" s="8" t="n">
        <v>0</v>
      </c>
      <c r="Q1007" s="8" t="n">
        <v>0</v>
      </c>
      <c r="R1007" s="8" t="n">
        <v>1</v>
      </c>
      <c r="S1007" s="13" t="n">
        <v>0</v>
      </c>
      <c r="T1007" s="13"/>
      <c r="U1007" s="11" t="n">
        <f aca="false">O1007*4 + P1007*2 + MAX(0,N1007-O1007-P1007)*1 + Q1007*0.2 + R1007*2 + S1007*1 + IF(T1007="",0,IF(T1007&lt;=10,8,IF(T1007&lt;=50,6,IF(T1007&lt;=100,4,2))))</f>
        <v>2</v>
      </c>
      <c r="V1007" s="7"/>
      <c r="W1007" s="12"/>
      <c r="X1007" s="13"/>
      <c r="Y1007" s="13" t="s">
        <v>4319</v>
      </c>
    </row>
    <row r="1008" customFormat="false" ht="15.75" hidden="false" customHeight="true" outlineLevel="0" collapsed="false">
      <c r="A1008" s="7" t="s">
        <v>4320</v>
      </c>
      <c r="B1008" s="8" t="n">
        <v>2006</v>
      </c>
      <c r="C1008" s="8" t="s">
        <v>35</v>
      </c>
      <c r="D1008" s="8" t="n">
        <v>99</v>
      </c>
      <c r="E1008" s="7" t="s">
        <v>4321</v>
      </c>
      <c r="F1008" s="8" t="n">
        <v>7.5</v>
      </c>
      <c r="G1008" s="8"/>
      <c r="H1008" s="9" t="n">
        <v>5330</v>
      </c>
      <c r="I1008" s="7" t="s">
        <v>4256</v>
      </c>
      <c r="J1008" s="7" t="s">
        <v>47</v>
      </c>
      <c r="K1008" s="7"/>
      <c r="L1008" s="10"/>
      <c r="M1008" s="10" t="s">
        <v>4322</v>
      </c>
      <c r="N1008" s="8" t="n">
        <v>0</v>
      </c>
      <c r="O1008" s="8" t="n">
        <v>0</v>
      </c>
      <c r="P1008" s="8" t="n">
        <v>0</v>
      </c>
      <c r="Q1008" s="8" t="n">
        <v>0</v>
      </c>
      <c r="R1008" s="13" t="n">
        <v>0</v>
      </c>
      <c r="S1008" s="13" t="n">
        <v>0</v>
      </c>
      <c r="T1008" s="13"/>
      <c r="U1008" s="11" t="n">
        <f aca="false">O1008*4 + P1008*2 + MAX(0,N1008-O1008-P1008)*1 + Q1008*0.2 + R1008*2 + S1008*1 + IF(T1008="",0,IF(T1008&lt;=10,8,IF(T1008&lt;=50,6,IF(T1008&lt;=100,4,2))))</f>
        <v>0</v>
      </c>
      <c r="V1008" s="7"/>
      <c r="W1008" s="12"/>
      <c r="X1008" s="13"/>
      <c r="Y1008" s="13" t="s">
        <v>4323</v>
      </c>
    </row>
    <row r="1009" customFormat="false" ht="15.75" hidden="false" customHeight="true" outlineLevel="0" collapsed="false">
      <c r="A1009" s="7" t="s">
        <v>4324</v>
      </c>
      <c r="B1009" s="8" t="n">
        <v>2000</v>
      </c>
      <c r="C1009" s="8" t="s">
        <v>35</v>
      </c>
      <c r="D1009" s="8" t="n">
        <v>99</v>
      </c>
      <c r="E1009" s="7" t="s">
        <v>2987</v>
      </c>
      <c r="F1009" s="8" t="n">
        <v>7.6</v>
      </c>
      <c r="G1009" s="8"/>
      <c r="H1009" s="9" t="n">
        <v>23596</v>
      </c>
      <c r="I1009" s="7" t="s">
        <v>258</v>
      </c>
      <c r="J1009" s="7" t="s">
        <v>39</v>
      </c>
      <c r="K1009" s="7" t="s">
        <v>29</v>
      </c>
      <c r="L1009" s="10"/>
      <c r="M1009" s="10" t="s">
        <v>4325</v>
      </c>
      <c r="N1009" s="8" t="n">
        <v>0</v>
      </c>
      <c r="O1009" s="8" t="n">
        <v>0</v>
      </c>
      <c r="P1009" s="8" t="n">
        <v>0</v>
      </c>
      <c r="Q1009" s="8" t="n">
        <v>0</v>
      </c>
      <c r="R1009" s="13" t="n">
        <v>0</v>
      </c>
      <c r="S1009" s="13" t="n">
        <v>0</v>
      </c>
      <c r="T1009" s="13"/>
      <c r="U1009" s="11" t="n">
        <f aca="false">O1009*4 + P1009*2 + MAX(0,N1009-O1009-P1009)*1 + Q1009*0.2 + R1009*2 + S1009*1 + IF(T1009="",0,IF(T1009&lt;=10,8,IF(T1009&lt;=50,6,IF(T1009&lt;=100,4,2))))</f>
        <v>0</v>
      </c>
      <c r="V1009" s="7"/>
      <c r="W1009" s="12"/>
      <c r="X1009" s="13"/>
      <c r="Y1009" s="13" t="s">
        <v>4326</v>
      </c>
    </row>
    <row r="1010" customFormat="false" ht="15.75" hidden="false" customHeight="true" outlineLevel="0" collapsed="false">
      <c r="A1010" s="7" t="s">
        <v>4327</v>
      </c>
      <c r="B1010" s="8" t="n">
        <v>2014</v>
      </c>
      <c r="C1010" s="8" t="s">
        <v>176</v>
      </c>
      <c r="D1010" s="8" t="n">
        <v>116</v>
      </c>
      <c r="E1010" s="7" t="s">
        <v>4328</v>
      </c>
      <c r="F1010" s="8" t="n">
        <v>7.9</v>
      </c>
      <c r="G1010" s="8"/>
      <c r="H1010" s="9" t="n">
        <v>18716</v>
      </c>
      <c r="I1010" s="7" t="s">
        <v>3325</v>
      </c>
      <c r="J1010" s="7" t="s">
        <v>131</v>
      </c>
      <c r="K1010" s="7" t="s">
        <v>54</v>
      </c>
      <c r="L1010" s="10"/>
      <c r="M1010" s="10" t="s">
        <v>4329</v>
      </c>
      <c r="N1010" s="8" t="n">
        <v>0</v>
      </c>
      <c r="O1010" s="8" t="n">
        <v>0</v>
      </c>
      <c r="P1010" s="8" t="n">
        <v>0</v>
      </c>
      <c r="Q1010" s="8" t="n">
        <v>0</v>
      </c>
      <c r="R1010" s="13" t="n">
        <v>0</v>
      </c>
      <c r="S1010" s="13" t="n">
        <v>0</v>
      </c>
      <c r="T1010" s="13"/>
      <c r="U1010" s="11" t="n">
        <f aca="false">O1010*4 + P1010*2 + MAX(0,N1010-O1010-P1010)*1 + Q1010*0.2 + R1010*2 + S1010*1 + IF(T1010="",0,IF(T1010&lt;=10,8,IF(T1010&lt;=50,6,IF(T1010&lt;=100,4,2))))</f>
        <v>0</v>
      </c>
      <c r="V1010" s="7"/>
      <c r="W1010" s="12"/>
      <c r="X1010" s="13"/>
      <c r="Y1010" s="13" t="s">
        <v>4330</v>
      </c>
    </row>
    <row r="1011" customFormat="false" ht="15.75" hidden="false" customHeight="true" outlineLevel="0" collapsed="false">
      <c r="A1011" s="7" t="s">
        <v>4331</v>
      </c>
      <c r="B1011" s="8" t="n">
        <v>2009</v>
      </c>
      <c r="C1011" s="8" t="s">
        <v>35</v>
      </c>
      <c r="D1011" s="8" t="n">
        <v>142</v>
      </c>
      <c r="E1011" s="7" t="s">
        <v>4332</v>
      </c>
      <c r="F1011" s="8" t="n">
        <v>7.5</v>
      </c>
      <c r="G1011" s="8"/>
      <c r="H1011" s="9" t="n">
        <v>26615</v>
      </c>
      <c r="I1011" s="7" t="s">
        <v>967</v>
      </c>
      <c r="J1011" s="7" t="s">
        <v>112</v>
      </c>
      <c r="K1011" s="7" t="s">
        <v>39</v>
      </c>
      <c r="L1011" s="10"/>
      <c r="M1011" s="10" t="s">
        <v>4333</v>
      </c>
      <c r="N1011" s="8" t="n">
        <v>0</v>
      </c>
      <c r="O1011" s="8" t="n">
        <v>0</v>
      </c>
      <c r="P1011" s="8" t="n">
        <v>0</v>
      </c>
      <c r="Q1011" s="8" t="n">
        <v>0</v>
      </c>
      <c r="R1011" s="13" t="n">
        <v>0</v>
      </c>
      <c r="S1011" s="13" t="n">
        <v>0</v>
      </c>
      <c r="T1011" s="13"/>
      <c r="U1011" s="11" t="n">
        <f aca="false">O1011*4 + P1011*2 + MAX(0,N1011-O1011-P1011)*1 + Q1011*0.2 + R1011*2 + S1011*1 + IF(T1011="",0,IF(T1011&lt;=10,8,IF(T1011&lt;=50,6,IF(T1011&lt;=100,4,2))))</f>
        <v>0</v>
      </c>
      <c r="V1011" s="7"/>
      <c r="W1011" s="12"/>
      <c r="X1011" s="13"/>
      <c r="Y1011" s="13" t="s">
        <v>4334</v>
      </c>
    </row>
    <row r="1012" customFormat="false" ht="15.75" hidden="false" customHeight="true" outlineLevel="0" collapsed="false">
      <c r="A1012" s="7" t="s">
        <v>4335</v>
      </c>
      <c r="B1012" s="8" t="n">
        <v>2018</v>
      </c>
      <c r="C1012" s="8" t="s">
        <v>176</v>
      </c>
      <c r="D1012" s="8" t="n">
        <v>120</v>
      </c>
      <c r="E1012" s="7" t="s">
        <v>4336</v>
      </c>
      <c r="F1012" s="8" t="n">
        <v>8.3</v>
      </c>
      <c r="G1012" s="8"/>
      <c r="H1012" s="9" t="n">
        <v>6957</v>
      </c>
      <c r="I1012" s="7" t="s">
        <v>124</v>
      </c>
      <c r="J1012" s="7" t="s">
        <v>579</v>
      </c>
      <c r="K1012" s="7" t="s">
        <v>38</v>
      </c>
      <c r="L1012" s="10"/>
      <c r="M1012" s="10" t="s">
        <v>4337</v>
      </c>
      <c r="N1012" s="8" t="n">
        <v>0</v>
      </c>
      <c r="O1012" s="8" t="n">
        <v>0</v>
      </c>
      <c r="P1012" s="8" t="n">
        <v>0</v>
      </c>
      <c r="Q1012" s="8" t="n">
        <v>0</v>
      </c>
      <c r="R1012" s="13" t="n">
        <v>0</v>
      </c>
      <c r="S1012" s="13" t="n">
        <v>0</v>
      </c>
      <c r="T1012" s="13"/>
      <c r="U1012" s="11" t="n">
        <f aca="false">O1012*4 + P1012*2 + MAX(0,N1012-O1012-P1012)*1 + Q1012*0.2 + R1012*2 + S1012*1 + IF(T1012="",0,IF(T1012&lt;=10,8,IF(T1012&lt;=50,6,IF(T1012&lt;=100,4,2))))</f>
        <v>0</v>
      </c>
      <c r="V1012" s="7"/>
      <c r="W1012" s="12"/>
      <c r="X1012" s="13"/>
      <c r="Y1012" s="13" t="s">
        <v>4338</v>
      </c>
    </row>
    <row r="1013" customFormat="false" ht="15.75" hidden="false" customHeight="true" outlineLevel="0" collapsed="false">
      <c r="A1013" s="7" t="s">
        <v>4339</v>
      </c>
      <c r="B1013" s="8" t="n">
        <v>2010</v>
      </c>
      <c r="C1013" s="8" t="s">
        <v>176</v>
      </c>
      <c r="D1013" s="8" t="n">
        <v>266</v>
      </c>
      <c r="E1013" s="7" t="s">
        <v>4340</v>
      </c>
      <c r="F1013" s="8" t="n">
        <v>7.4</v>
      </c>
      <c r="G1013" s="8"/>
      <c r="H1013" s="9" t="n">
        <v>433</v>
      </c>
      <c r="I1013" s="7" t="s">
        <v>4341</v>
      </c>
      <c r="J1013" s="7" t="s">
        <v>47</v>
      </c>
      <c r="K1013" s="7" t="s">
        <v>4342</v>
      </c>
      <c r="L1013" s="10"/>
      <c r="M1013" s="7" t="s">
        <v>4343</v>
      </c>
      <c r="N1013" s="8" t="n">
        <v>0</v>
      </c>
      <c r="O1013" s="8" t="n">
        <v>0</v>
      </c>
      <c r="P1013" s="8" t="n">
        <v>0</v>
      </c>
      <c r="Q1013" s="8" t="n">
        <v>0</v>
      </c>
      <c r="R1013" s="8" t="n">
        <v>0</v>
      </c>
      <c r="S1013" s="13" t="n">
        <v>0</v>
      </c>
      <c r="T1013" s="8"/>
      <c r="U1013" s="11" t="n">
        <f aca="false">O1013*4 + P1013*2 + MAX(0,N1013-O1013-P1013)*1 + Q1013*0.2 + R1013*2 + S1013*1 + IF(T1013="",0,IF(T1013&lt;=10,8,IF(T1013&lt;=50,6,IF(T1013&lt;=100,4,2))))</f>
        <v>0</v>
      </c>
      <c r="V1013" s="10" t="s">
        <v>4344</v>
      </c>
      <c r="W1013" s="12"/>
      <c r="X1013" s="8" t="n">
        <v>67</v>
      </c>
      <c r="Y1013" s="8" t="s">
        <v>4345</v>
      </c>
    </row>
    <row r="1014" customFormat="false" ht="15.75" hidden="false" customHeight="true" outlineLevel="0" collapsed="false">
      <c r="A1014" s="7" t="s">
        <v>4346</v>
      </c>
      <c r="B1014" s="8" t="n">
        <v>2009</v>
      </c>
      <c r="C1014" s="8" t="s">
        <v>35</v>
      </c>
      <c r="D1014" s="8" t="n">
        <v>102</v>
      </c>
      <c r="E1014" s="7" t="s">
        <v>4347</v>
      </c>
      <c r="F1014" s="8" t="n">
        <v>7.5</v>
      </c>
      <c r="G1014" s="8"/>
      <c r="H1014" s="9" t="n">
        <v>21455</v>
      </c>
      <c r="I1014" s="7" t="s">
        <v>124</v>
      </c>
      <c r="J1014" s="7" t="s">
        <v>579</v>
      </c>
      <c r="K1014" s="7" t="s">
        <v>103</v>
      </c>
      <c r="L1014" s="10"/>
      <c r="M1014" s="10" t="s">
        <v>4348</v>
      </c>
      <c r="N1014" s="8" t="n">
        <v>0</v>
      </c>
      <c r="O1014" s="8" t="n">
        <v>0</v>
      </c>
      <c r="P1014" s="8" t="n">
        <v>0</v>
      </c>
      <c r="Q1014" s="8" t="n">
        <v>0</v>
      </c>
      <c r="R1014" s="13" t="n">
        <v>0</v>
      </c>
      <c r="S1014" s="13" t="n">
        <v>0</v>
      </c>
      <c r="T1014" s="13"/>
      <c r="U1014" s="11" t="n">
        <f aca="false">O1014*4 + P1014*2 + MAX(0,N1014-O1014-P1014)*1 + Q1014*0.2 + R1014*2 + S1014*1 + IF(T1014="",0,IF(T1014&lt;=10,8,IF(T1014&lt;=50,6,IF(T1014&lt;=100,4,2))))</f>
        <v>0</v>
      </c>
      <c r="V1014" s="7"/>
      <c r="W1014" s="12"/>
      <c r="X1014" s="13"/>
      <c r="Y1014" s="13" t="s">
        <v>4349</v>
      </c>
    </row>
    <row r="1015" customFormat="false" ht="15.75" hidden="false" customHeight="true" outlineLevel="0" collapsed="false">
      <c r="A1015" s="7" t="s">
        <v>4350</v>
      </c>
      <c r="B1015" s="8" t="n">
        <v>2011</v>
      </c>
      <c r="C1015" s="8" t="s">
        <v>176</v>
      </c>
      <c r="D1015" s="8" t="n">
        <v>80</v>
      </c>
      <c r="E1015" s="7" t="s">
        <v>4351</v>
      </c>
      <c r="F1015" s="8" t="n">
        <v>7.3</v>
      </c>
      <c r="G1015" s="8"/>
      <c r="H1015" s="9" t="n">
        <v>4816</v>
      </c>
      <c r="I1015" s="7" t="s">
        <v>3398</v>
      </c>
      <c r="J1015" s="7"/>
      <c r="K1015" s="12"/>
      <c r="L1015" s="10"/>
      <c r="M1015" s="10" t="s">
        <v>4352</v>
      </c>
      <c r="N1015" s="8" t="n">
        <v>0</v>
      </c>
      <c r="O1015" s="8" t="n">
        <v>0</v>
      </c>
      <c r="P1015" s="8" t="n">
        <v>0</v>
      </c>
      <c r="Q1015" s="8" t="n">
        <v>0</v>
      </c>
      <c r="R1015" s="13" t="n">
        <v>0</v>
      </c>
      <c r="S1015" s="13" t="n">
        <v>0</v>
      </c>
      <c r="T1015" s="13"/>
      <c r="U1015" s="11" t="n">
        <f aca="false">O1015*4 + P1015*2 + MAX(0,N1015-O1015-P1015)*1 + Q1015*0.2 + R1015*2 + S1015*1 + IF(T1015="",0,IF(T1015&lt;=10,8,IF(T1015&lt;=50,6,IF(T1015&lt;=100,4,2))))</f>
        <v>0</v>
      </c>
      <c r="V1015" s="7"/>
      <c r="W1015" s="12"/>
      <c r="X1015" s="13"/>
      <c r="Y1015" s="13" t="s">
        <v>4353</v>
      </c>
    </row>
    <row r="1016" customFormat="false" ht="15.75" hidden="false" customHeight="true" outlineLevel="0" collapsed="false">
      <c r="A1016" s="7" t="s">
        <v>4354</v>
      </c>
      <c r="B1016" s="8" t="n">
        <v>2013</v>
      </c>
      <c r="C1016" s="8" t="s">
        <v>176</v>
      </c>
      <c r="D1016" s="8" t="n">
        <v>91</v>
      </c>
      <c r="E1016" s="7" t="s">
        <v>4355</v>
      </c>
      <c r="F1016" s="8" t="n">
        <v>7.3</v>
      </c>
      <c r="G1016" s="8"/>
      <c r="H1016" s="9" t="n">
        <v>13280</v>
      </c>
      <c r="I1016" s="7" t="s">
        <v>280</v>
      </c>
      <c r="J1016" s="7" t="s">
        <v>47</v>
      </c>
      <c r="K1016" s="7"/>
      <c r="L1016" s="10"/>
      <c r="M1016" s="10" t="s">
        <v>4356</v>
      </c>
      <c r="N1016" s="8" t="n">
        <v>0</v>
      </c>
      <c r="O1016" s="8" t="n">
        <v>0</v>
      </c>
      <c r="P1016" s="8" t="n">
        <v>0</v>
      </c>
      <c r="Q1016" s="8" t="n">
        <v>0</v>
      </c>
      <c r="R1016" s="13" t="n">
        <v>0</v>
      </c>
      <c r="S1016" s="13" t="n">
        <v>0</v>
      </c>
      <c r="T1016" s="13"/>
      <c r="U1016" s="11" t="n">
        <f aca="false">O1016*4 + P1016*2 + MAX(0,N1016-O1016-P1016)*1 + Q1016*0.2 + R1016*2 + S1016*1 + IF(T1016="",0,IF(T1016&lt;=10,8,IF(T1016&lt;=50,6,IF(T1016&lt;=100,4,2))))</f>
        <v>0</v>
      </c>
      <c r="V1016" s="7"/>
      <c r="W1016" s="12"/>
      <c r="X1016" s="13"/>
      <c r="Y1016" s="13" t="s">
        <v>4357</v>
      </c>
    </row>
    <row r="1017" customFormat="false" ht="15.75" hidden="false" customHeight="true" outlineLevel="0" collapsed="false">
      <c r="A1017" s="7" t="s">
        <v>4358</v>
      </c>
      <c r="B1017" s="8" t="n">
        <v>2004</v>
      </c>
      <c r="C1017" s="8" t="s">
        <v>35</v>
      </c>
      <c r="D1017" s="8" t="n">
        <v>170</v>
      </c>
      <c r="E1017" s="7" t="s">
        <v>4359</v>
      </c>
      <c r="F1017" s="8" t="n">
        <v>7.8</v>
      </c>
      <c r="G1017" s="8"/>
      <c r="H1017" s="9" t="n">
        <v>5802</v>
      </c>
      <c r="I1017" s="7"/>
      <c r="J1017" s="7"/>
      <c r="K1017" s="12"/>
      <c r="L1017" s="10" t="s">
        <v>205</v>
      </c>
      <c r="M1017" s="10" t="s">
        <v>4360</v>
      </c>
      <c r="N1017" s="8" t="n">
        <v>0</v>
      </c>
      <c r="O1017" s="8" t="n">
        <v>0</v>
      </c>
      <c r="P1017" s="8" t="n">
        <v>0</v>
      </c>
      <c r="Q1017" s="8" t="n">
        <v>0</v>
      </c>
      <c r="R1017" s="13" t="n">
        <v>0</v>
      </c>
      <c r="S1017" s="13" t="n">
        <v>0</v>
      </c>
      <c r="T1017" s="13"/>
      <c r="U1017" s="11" t="n">
        <f aca="false">O1017*4 + P1017*2 + MAX(0,N1017-O1017-P1017)*1 + Q1017*0.2 + R1017*2 + S1017*1 + IF(T1017="",0,IF(T1017&lt;=10,8,IF(T1017&lt;=50,6,IF(T1017&lt;=100,4,2))))</f>
        <v>0</v>
      </c>
      <c r="V1017" s="7"/>
      <c r="W1017" s="12"/>
      <c r="X1017" s="13"/>
      <c r="Y1017" s="13" t="s">
        <v>4361</v>
      </c>
    </row>
    <row r="1018" customFormat="false" ht="15.75" hidden="false" customHeight="true" outlineLevel="0" collapsed="false">
      <c r="A1018" s="7" t="s">
        <v>4362</v>
      </c>
      <c r="B1018" s="8" t="n">
        <v>2025</v>
      </c>
      <c r="C1018" s="8" t="s">
        <v>378</v>
      </c>
      <c r="D1018" s="8" t="n">
        <v>100</v>
      </c>
      <c r="E1018" s="7" t="s">
        <v>4363</v>
      </c>
      <c r="F1018" s="8" t="n">
        <v>8.3</v>
      </c>
      <c r="G1018" s="8"/>
      <c r="H1018" s="9" t="n">
        <v>65317</v>
      </c>
      <c r="I1018" s="7"/>
      <c r="J1018" s="7" t="s">
        <v>579</v>
      </c>
      <c r="K1018" s="7" t="s">
        <v>112</v>
      </c>
      <c r="L1018" s="10" t="s">
        <v>3455</v>
      </c>
      <c r="M1018" s="10" t="s">
        <v>4364</v>
      </c>
      <c r="N1018" s="8" t="n">
        <v>0</v>
      </c>
      <c r="O1018" s="8" t="n">
        <v>0</v>
      </c>
      <c r="P1018" s="8" t="n">
        <v>0</v>
      </c>
      <c r="Q1018" s="8" t="n">
        <v>0</v>
      </c>
      <c r="R1018" s="13" t="n">
        <v>0</v>
      </c>
      <c r="S1018" s="13" t="n">
        <v>0</v>
      </c>
      <c r="T1018" s="13"/>
      <c r="U1018" s="11" t="n">
        <f aca="false">O1018*4 + P1018*2 + MAX(0,N1018-O1018-P1018)*1 + Q1018*0.2 + R1018*2 + S1018*1 + IF(T1018="",0,IF(T1018&lt;=10,8,IF(T1018&lt;=50,6,IF(T1018&lt;=100,4,2))))</f>
        <v>0</v>
      </c>
      <c r="V1018" s="7"/>
      <c r="W1018" s="12"/>
      <c r="X1018" s="13"/>
      <c r="Y1018" s="13" t="s">
        <v>4365</v>
      </c>
    </row>
    <row r="1019" customFormat="false" ht="15.75" hidden="false" customHeight="true" outlineLevel="0" collapsed="false">
      <c r="A1019" s="7" t="s">
        <v>4366</v>
      </c>
      <c r="B1019" s="8" t="n">
        <v>2001</v>
      </c>
      <c r="C1019" s="8" t="s">
        <v>35</v>
      </c>
      <c r="D1019" s="8"/>
      <c r="E1019" s="7" t="s">
        <v>3874</v>
      </c>
      <c r="F1019" s="8" t="n">
        <v>7.2</v>
      </c>
      <c r="G1019" s="8"/>
      <c r="H1019" s="9" t="n">
        <v>1326</v>
      </c>
      <c r="I1019" s="7" t="s">
        <v>4367</v>
      </c>
      <c r="J1019" s="7"/>
      <c r="K1019" s="12"/>
      <c r="L1019" s="7"/>
      <c r="M1019" s="10" t="s">
        <v>4368</v>
      </c>
      <c r="N1019" s="8" t="n">
        <v>0</v>
      </c>
      <c r="O1019" s="8" t="n">
        <v>0</v>
      </c>
      <c r="P1019" s="8" t="n">
        <v>0</v>
      </c>
      <c r="Q1019" s="8" t="n">
        <v>0</v>
      </c>
      <c r="R1019" s="13" t="n">
        <v>0</v>
      </c>
      <c r="S1019" s="13" t="n">
        <v>0</v>
      </c>
      <c r="T1019" s="13"/>
      <c r="U1019" s="11" t="n">
        <f aca="false">O1019*4 + P1019*2 + MAX(0,N1019-O1019-P1019)*1 + Q1019*0.2 + R1019*2 + S1019*1 + IF(T1019="",0,IF(T1019&lt;=10,8,IF(T1019&lt;=50,6,IF(T1019&lt;=100,4,2))))</f>
        <v>0</v>
      </c>
      <c r="V1019" s="7"/>
      <c r="W1019" s="12"/>
      <c r="X1019" s="13"/>
      <c r="Y1019" s="13"/>
    </row>
    <row r="1020" customFormat="false" ht="15.75" hidden="false" customHeight="true" outlineLevel="0" collapsed="false">
      <c r="A1020" s="7" t="s">
        <v>4369</v>
      </c>
      <c r="B1020" s="8" t="n">
        <v>2000</v>
      </c>
      <c r="C1020" s="8" t="s">
        <v>35</v>
      </c>
      <c r="D1020" s="8" t="n">
        <v>132</v>
      </c>
      <c r="E1020" s="7" t="s">
        <v>4370</v>
      </c>
      <c r="F1020" s="8" t="n">
        <v>7.3</v>
      </c>
      <c r="G1020" s="8"/>
      <c r="H1020" s="9" t="n">
        <v>7435</v>
      </c>
      <c r="I1020" s="7" t="s">
        <v>4371</v>
      </c>
      <c r="J1020" s="7"/>
      <c r="K1020" s="12"/>
      <c r="L1020" s="10"/>
      <c r="M1020" s="10" t="s">
        <v>4372</v>
      </c>
      <c r="N1020" s="8" t="n">
        <v>0</v>
      </c>
      <c r="O1020" s="8" t="n">
        <v>0</v>
      </c>
      <c r="P1020" s="8" t="n">
        <v>0</v>
      </c>
      <c r="Q1020" s="8" t="n">
        <v>0</v>
      </c>
      <c r="R1020" s="13" t="n">
        <v>0</v>
      </c>
      <c r="S1020" s="13" t="n">
        <v>0</v>
      </c>
      <c r="T1020" s="13"/>
      <c r="U1020" s="11" t="n">
        <f aca="false">O1020*4 + P1020*2 + MAX(0,N1020-O1020-P1020)*1 + Q1020*0.2 + R1020*2 + S1020*1 + IF(T1020="",0,IF(T1020&lt;=10,8,IF(T1020&lt;=50,6,IF(T1020&lt;=100,4,2))))</f>
        <v>0</v>
      </c>
      <c r="V1020" s="7"/>
      <c r="W1020" s="12"/>
      <c r="X1020" s="13"/>
      <c r="Y1020" s="13" t="s">
        <v>4373</v>
      </c>
    </row>
    <row r="1021" customFormat="false" ht="15.75" hidden="false" customHeight="true" outlineLevel="0" collapsed="false">
      <c r="A1021" s="7" t="s">
        <v>4374</v>
      </c>
      <c r="B1021" s="8" t="n">
        <v>2003</v>
      </c>
      <c r="C1021" s="8" t="s">
        <v>35</v>
      </c>
      <c r="D1021" s="8" t="n">
        <v>100</v>
      </c>
      <c r="E1021" s="7" t="s">
        <v>4375</v>
      </c>
      <c r="F1021" s="8" t="n">
        <v>7.2</v>
      </c>
      <c r="G1021" s="8"/>
      <c r="H1021" s="9" t="n">
        <v>1904</v>
      </c>
      <c r="I1021" s="7" t="s">
        <v>124</v>
      </c>
      <c r="J1021" s="7" t="s">
        <v>47</v>
      </c>
      <c r="K1021" s="7"/>
      <c r="L1021" s="10"/>
      <c r="M1021" s="10" t="s">
        <v>4376</v>
      </c>
      <c r="N1021" s="8" t="n">
        <v>0</v>
      </c>
      <c r="O1021" s="8" t="n">
        <v>0</v>
      </c>
      <c r="P1021" s="8" t="n">
        <v>0</v>
      </c>
      <c r="Q1021" s="8" t="n">
        <v>0</v>
      </c>
      <c r="R1021" s="13" t="n">
        <v>0</v>
      </c>
      <c r="S1021" s="13" t="n">
        <v>0</v>
      </c>
      <c r="T1021" s="13"/>
      <c r="U1021" s="11" t="n">
        <f aca="false">O1021*4 + P1021*2 + MAX(0,N1021-O1021-P1021)*1 + Q1021*0.2 + R1021*2 + S1021*1 + IF(T1021="",0,IF(T1021&lt;=10,8,IF(T1021&lt;=50,6,IF(T1021&lt;=100,4,2))))</f>
        <v>0</v>
      </c>
      <c r="V1021" s="7"/>
      <c r="W1021" s="12"/>
      <c r="X1021" s="13"/>
      <c r="Y1021" s="13" t="s">
        <v>4377</v>
      </c>
    </row>
    <row r="1022" customFormat="false" ht="15.75" hidden="false" customHeight="true" outlineLevel="0" collapsed="false">
      <c r="A1022" s="7" t="s">
        <v>4378</v>
      </c>
      <c r="B1022" s="8" t="n">
        <v>2009</v>
      </c>
      <c r="C1022" s="8" t="s">
        <v>35</v>
      </c>
      <c r="D1022" s="8" t="n">
        <v>117</v>
      </c>
      <c r="E1022" s="7" t="s">
        <v>3446</v>
      </c>
      <c r="F1022" s="8" t="n">
        <v>7.4</v>
      </c>
      <c r="G1022" s="8"/>
      <c r="H1022" s="9" t="n">
        <v>2674</v>
      </c>
      <c r="I1022" s="7" t="s">
        <v>4379</v>
      </c>
      <c r="J1022" s="7" t="s">
        <v>90</v>
      </c>
      <c r="K1022" s="7" t="s">
        <v>47</v>
      </c>
      <c r="L1022" s="10"/>
      <c r="M1022" s="10" t="s">
        <v>4380</v>
      </c>
      <c r="N1022" s="8" t="n">
        <v>0</v>
      </c>
      <c r="O1022" s="8" t="n">
        <v>0</v>
      </c>
      <c r="P1022" s="8" t="n">
        <v>0</v>
      </c>
      <c r="Q1022" s="8" t="n">
        <v>0</v>
      </c>
      <c r="R1022" s="13" t="n">
        <v>0</v>
      </c>
      <c r="S1022" s="13" t="n">
        <v>0</v>
      </c>
      <c r="T1022" s="13"/>
      <c r="U1022" s="11" t="n">
        <f aca="false">O1022*4 + P1022*2 + MAX(0,N1022-O1022-P1022)*1 + Q1022*0.2 + R1022*2 + S1022*1 + IF(T1022="",0,IF(T1022&lt;=10,8,IF(T1022&lt;=50,6,IF(T1022&lt;=100,4,2))))</f>
        <v>0</v>
      </c>
      <c r="V1022" s="7"/>
      <c r="W1022" s="12"/>
      <c r="X1022" s="13"/>
      <c r="Y1022" s="13" t="s">
        <v>4381</v>
      </c>
    </row>
    <row r="1023" customFormat="false" ht="15.75" hidden="false" customHeight="true" outlineLevel="0" collapsed="false">
      <c r="A1023" s="7" t="s">
        <v>4382</v>
      </c>
      <c r="B1023" s="8" t="n">
        <v>2010</v>
      </c>
      <c r="C1023" s="8" t="s">
        <v>176</v>
      </c>
      <c r="D1023" s="8" t="n">
        <v>100</v>
      </c>
      <c r="E1023" s="7" t="s">
        <v>4383</v>
      </c>
      <c r="F1023" s="8" t="n">
        <v>7.4</v>
      </c>
      <c r="G1023" s="8"/>
      <c r="H1023" s="9" t="n">
        <v>5069</v>
      </c>
      <c r="I1023" s="7" t="s">
        <v>4384</v>
      </c>
      <c r="J1023" s="7" t="s">
        <v>47</v>
      </c>
      <c r="K1023" s="7"/>
      <c r="L1023" s="10"/>
      <c r="M1023" s="10" t="s">
        <v>4385</v>
      </c>
      <c r="N1023" s="8" t="n">
        <v>0</v>
      </c>
      <c r="O1023" s="8" t="n">
        <v>0</v>
      </c>
      <c r="P1023" s="8" t="n">
        <v>0</v>
      </c>
      <c r="Q1023" s="8" t="n">
        <v>0</v>
      </c>
      <c r="R1023" s="13" t="n">
        <v>0</v>
      </c>
      <c r="S1023" s="13" t="n">
        <v>0</v>
      </c>
      <c r="T1023" s="13"/>
      <c r="U1023" s="11" t="n">
        <f aca="false">O1023*4 + P1023*2 + MAX(0,N1023-O1023-P1023)*1 + Q1023*0.2 + R1023*2 + S1023*1 + IF(T1023="",0,IF(T1023&lt;=10,8,IF(T1023&lt;=50,6,IF(T1023&lt;=100,4,2))))</f>
        <v>0</v>
      </c>
      <c r="V1023" s="7"/>
      <c r="W1023" s="12"/>
      <c r="X1023" s="13"/>
      <c r="Y1023" s="13" t="s">
        <v>4386</v>
      </c>
    </row>
    <row r="1024" customFormat="false" ht="15.75" hidden="false" customHeight="true" outlineLevel="0" collapsed="false">
      <c r="A1024" s="7" t="s">
        <v>4387</v>
      </c>
      <c r="B1024" s="8" t="n">
        <v>2013</v>
      </c>
      <c r="C1024" s="8" t="s">
        <v>176</v>
      </c>
      <c r="D1024" s="8" t="n">
        <v>90</v>
      </c>
      <c r="E1024" s="7" t="s">
        <v>4388</v>
      </c>
      <c r="F1024" s="8" t="n">
        <v>7.8</v>
      </c>
      <c r="G1024" s="8"/>
      <c r="H1024" s="9" t="n">
        <v>11716</v>
      </c>
      <c r="I1024" s="7" t="s">
        <v>124</v>
      </c>
      <c r="J1024" s="7" t="s">
        <v>579</v>
      </c>
      <c r="K1024" s="7" t="s">
        <v>125</v>
      </c>
      <c r="L1024" s="10" t="s">
        <v>1686</v>
      </c>
      <c r="M1024" s="10" t="s">
        <v>4389</v>
      </c>
      <c r="N1024" s="8" t="n">
        <v>0</v>
      </c>
      <c r="O1024" s="8" t="n">
        <v>0</v>
      </c>
      <c r="P1024" s="8" t="n">
        <v>0</v>
      </c>
      <c r="Q1024" s="8" t="n">
        <v>0</v>
      </c>
      <c r="R1024" s="13" t="n">
        <v>0</v>
      </c>
      <c r="S1024" s="13" t="n">
        <v>0</v>
      </c>
      <c r="T1024" s="13"/>
      <c r="U1024" s="11" t="n">
        <f aca="false">O1024*4 + P1024*2 + MAX(0,N1024-O1024-P1024)*1 + Q1024*0.2 + R1024*2 + S1024*1 + IF(T1024="",0,IF(T1024&lt;=10,8,IF(T1024&lt;=50,6,IF(T1024&lt;=100,4,2))))</f>
        <v>0</v>
      </c>
      <c r="V1024" s="7"/>
      <c r="W1024" s="12"/>
      <c r="X1024" s="13"/>
      <c r="Y1024" s="13" t="s">
        <v>4390</v>
      </c>
    </row>
    <row r="1025" customFormat="false" ht="15.75" hidden="false" customHeight="true" outlineLevel="0" collapsed="false">
      <c r="A1025" s="7" t="s">
        <v>4391</v>
      </c>
      <c r="B1025" s="8" t="n">
        <v>2011</v>
      </c>
      <c r="C1025" s="8" t="s">
        <v>176</v>
      </c>
      <c r="D1025" s="8" t="n">
        <v>145</v>
      </c>
      <c r="E1025" s="7" t="s">
        <v>4281</v>
      </c>
      <c r="F1025" s="8" t="n">
        <v>7.3</v>
      </c>
      <c r="G1025" s="8"/>
      <c r="H1025" s="9" t="n">
        <v>11564</v>
      </c>
      <c r="I1025" s="7" t="s">
        <v>4392</v>
      </c>
      <c r="J1025" s="7" t="s">
        <v>154</v>
      </c>
      <c r="K1025" s="7" t="s">
        <v>47</v>
      </c>
      <c r="L1025" s="10"/>
      <c r="M1025" s="10" t="s">
        <v>4393</v>
      </c>
      <c r="N1025" s="8" t="n">
        <v>0</v>
      </c>
      <c r="O1025" s="8" t="n">
        <v>0</v>
      </c>
      <c r="P1025" s="8" t="n">
        <v>0</v>
      </c>
      <c r="Q1025" s="8" t="n">
        <v>1</v>
      </c>
      <c r="R1025" s="8" t="n">
        <v>0</v>
      </c>
      <c r="S1025" s="8" t="n">
        <v>0</v>
      </c>
      <c r="T1025" s="13"/>
      <c r="U1025" s="11" t="n">
        <f aca="false">O1025*4 + P1025*2 + MAX(0,N1025-O1025-P1025)*1 + Q1025*0.2 + R1025*2 + S1025*1 + IF(T1025="",0,IF(T1025&lt;=10,8,IF(T1025&lt;=50,6,IF(T1025&lt;=100,4,2))))</f>
        <v>0.2</v>
      </c>
      <c r="V1025" s="7"/>
      <c r="W1025" s="12"/>
      <c r="X1025" s="13"/>
      <c r="Y1025" s="13" t="s">
        <v>4394</v>
      </c>
    </row>
    <row r="1026" customFormat="false" ht="15.75" hidden="false" customHeight="true" outlineLevel="0" collapsed="false">
      <c r="A1026" s="7" t="s">
        <v>4395</v>
      </c>
      <c r="B1026" s="8" t="n">
        <v>2006</v>
      </c>
      <c r="C1026" s="8" t="s">
        <v>35</v>
      </c>
      <c r="D1026" s="8" t="n">
        <v>117</v>
      </c>
      <c r="E1026" s="7" t="s">
        <v>3861</v>
      </c>
      <c r="F1026" s="8" t="n">
        <v>7.2</v>
      </c>
      <c r="G1026" s="8"/>
      <c r="H1026" s="9" t="n">
        <v>5834</v>
      </c>
      <c r="I1026" s="7"/>
      <c r="J1026" s="7"/>
      <c r="K1026" s="12"/>
      <c r="L1026" s="10"/>
      <c r="M1026" s="10" t="s">
        <v>4396</v>
      </c>
      <c r="N1026" s="8" t="n">
        <v>0</v>
      </c>
      <c r="O1026" s="8" t="n">
        <v>0</v>
      </c>
      <c r="P1026" s="8" t="n">
        <v>0</v>
      </c>
      <c r="Q1026" s="8" t="n">
        <v>0</v>
      </c>
      <c r="R1026" s="13" t="n">
        <v>0</v>
      </c>
      <c r="S1026" s="13" t="n">
        <v>0</v>
      </c>
      <c r="T1026" s="13"/>
      <c r="U1026" s="11" t="n">
        <f aca="false">O1026*4 + P1026*2 + MAX(0,N1026-O1026-P1026)*1 + Q1026*0.2 + R1026*2 + S1026*1 + IF(T1026="",0,IF(T1026&lt;=10,8,IF(T1026&lt;=50,6,IF(T1026&lt;=100,4,2))))</f>
        <v>0</v>
      </c>
      <c r="V1026" s="7"/>
      <c r="W1026" s="12"/>
      <c r="X1026" s="13"/>
      <c r="Y1026" s="13" t="s">
        <v>4397</v>
      </c>
    </row>
    <row r="1027" customFormat="false" ht="15.75" hidden="false" customHeight="true" outlineLevel="0" collapsed="false">
      <c r="A1027" s="7" t="s">
        <v>4398</v>
      </c>
      <c r="B1027" s="8" t="n">
        <v>2005</v>
      </c>
      <c r="C1027" s="8" t="s">
        <v>35</v>
      </c>
      <c r="D1027" s="8" t="n">
        <v>133</v>
      </c>
      <c r="E1027" s="7" t="s">
        <v>4399</v>
      </c>
      <c r="F1027" s="8" t="n">
        <v>7.6</v>
      </c>
      <c r="G1027" s="8"/>
      <c r="H1027" s="9" t="n">
        <v>7941</v>
      </c>
      <c r="I1027" s="7" t="s">
        <v>430</v>
      </c>
      <c r="J1027" s="7" t="s">
        <v>154</v>
      </c>
      <c r="K1027" s="7" t="s">
        <v>30</v>
      </c>
      <c r="L1027" s="10"/>
      <c r="M1027" s="10" t="s">
        <v>4400</v>
      </c>
      <c r="N1027" s="8" t="n">
        <v>0</v>
      </c>
      <c r="O1027" s="8" t="n">
        <v>0</v>
      </c>
      <c r="P1027" s="8" t="n">
        <v>0</v>
      </c>
      <c r="Q1027" s="8" t="n">
        <v>0</v>
      </c>
      <c r="R1027" s="13" t="n">
        <v>0</v>
      </c>
      <c r="S1027" s="13" t="n">
        <v>0</v>
      </c>
      <c r="T1027" s="13"/>
      <c r="U1027" s="11" t="n">
        <f aca="false">O1027*4 + P1027*2 + MAX(0,N1027-O1027-P1027)*1 + Q1027*0.2 + R1027*2 + S1027*1 + IF(T1027="",0,IF(T1027&lt;=10,8,IF(T1027&lt;=50,6,IF(T1027&lt;=100,4,2))))</f>
        <v>0</v>
      </c>
      <c r="V1027" s="7"/>
      <c r="W1027" s="12"/>
      <c r="X1027" s="13"/>
      <c r="Y1027" s="13" t="s">
        <v>4401</v>
      </c>
    </row>
    <row r="1028" customFormat="false" ht="15.75" hidden="false" customHeight="true" outlineLevel="0" collapsed="false">
      <c r="A1028" s="7" t="s">
        <v>4402</v>
      </c>
      <c r="B1028" s="8" t="n">
        <v>2009</v>
      </c>
      <c r="C1028" s="8" t="s">
        <v>35</v>
      </c>
      <c r="D1028" s="8" t="n">
        <v>92</v>
      </c>
      <c r="E1028" s="7" t="s">
        <v>4403</v>
      </c>
      <c r="F1028" s="8" t="n">
        <v>7.4</v>
      </c>
      <c r="G1028" s="8"/>
      <c r="H1028" s="9" t="n">
        <v>2742</v>
      </c>
      <c r="I1028" s="7" t="s">
        <v>4404</v>
      </c>
      <c r="J1028" s="7" t="s">
        <v>47</v>
      </c>
      <c r="K1028" s="7"/>
      <c r="L1028" s="10"/>
      <c r="M1028" s="10" t="s">
        <v>4405</v>
      </c>
      <c r="N1028" s="8" t="n">
        <v>0</v>
      </c>
      <c r="O1028" s="8" t="n">
        <v>0</v>
      </c>
      <c r="P1028" s="8" t="n">
        <v>0</v>
      </c>
      <c r="Q1028" s="8" t="n">
        <v>0</v>
      </c>
      <c r="R1028" s="13" t="n">
        <v>0</v>
      </c>
      <c r="S1028" s="13" t="n">
        <v>0</v>
      </c>
      <c r="T1028" s="13"/>
      <c r="U1028" s="11" t="n">
        <f aca="false">O1028*4 + P1028*2 + MAX(0,N1028-O1028-P1028)*1 + Q1028*0.2 + R1028*2 + S1028*1 + IF(T1028="",0,IF(T1028&lt;=10,8,IF(T1028&lt;=50,6,IF(T1028&lt;=100,4,2))))</f>
        <v>0</v>
      </c>
      <c r="V1028" s="7"/>
      <c r="W1028" s="12"/>
      <c r="X1028" s="13"/>
      <c r="Y1028" s="13" t="s">
        <v>4406</v>
      </c>
    </row>
    <row r="1029" customFormat="false" ht="15.75" hidden="false" customHeight="true" outlineLevel="0" collapsed="false">
      <c r="A1029" s="7" t="s">
        <v>4407</v>
      </c>
      <c r="B1029" s="8" t="n">
        <v>2024</v>
      </c>
      <c r="C1029" s="8" t="s">
        <v>378</v>
      </c>
      <c r="D1029" s="8" t="n">
        <v>145</v>
      </c>
      <c r="E1029" s="7" t="s">
        <v>4408</v>
      </c>
      <c r="F1029" s="8" t="n">
        <v>8.9</v>
      </c>
      <c r="G1029" s="8"/>
      <c r="H1029" s="9" t="n">
        <v>34872</v>
      </c>
      <c r="I1029" s="7"/>
      <c r="J1029" s="7" t="s">
        <v>579</v>
      </c>
      <c r="K1029" s="7" t="s">
        <v>112</v>
      </c>
      <c r="L1029" s="10" t="s">
        <v>4043</v>
      </c>
      <c r="M1029" s="10" t="s">
        <v>4409</v>
      </c>
      <c r="N1029" s="8" t="n">
        <v>0</v>
      </c>
      <c r="O1029" s="8" t="n">
        <v>0</v>
      </c>
      <c r="P1029" s="8" t="n">
        <v>0</v>
      </c>
      <c r="Q1029" s="8" t="n">
        <v>0</v>
      </c>
      <c r="R1029" s="13" t="n">
        <v>0</v>
      </c>
      <c r="S1029" s="13" t="n">
        <v>0</v>
      </c>
      <c r="T1029" s="13"/>
      <c r="U1029" s="11" t="n">
        <f aca="false">O1029*4 + P1029*2 + MAX(0,N1029-O1029-P1029)*1 + Q1029*0.2 + R1029*2 + S1029*1 + IF(T1029="",0,IF(T1029&lt;=10,8,IF(T1029&lt;=50,6,IF(T1029&lt;=100,4,2))))</f>
        <v>0</v>
      </c>
      <c r="V1029" s="7"/>
      <c r="W1029" s="12"/>
      <c r="X1029" s="13"/>
      <c r="Y1029" s="13" t="s">
        <v>4410</v>
      </c>
    </row>
    <row r="1030" customFormat="false" ht="15.75" hidden="false" customHeight="true" outlineLevel="0" collapsed="false">
      <c r="A1030" s="7" t="s">
        <v>4411</v>
      </c>
      <c r="B1030" s="8" t="n">
        <v>2019</v>
      </c>
      <c r="C1030" s="8" t="s">
        <v>176</v>
      </c>
      <c r="D1030" s="8" t="n">
        <v>115</v>
      </c>
      <c r="E1030" s="7" t="s">
        <v>4412</v>
      </c>
      <c r="F1030" s="8" t="n">
        <v>7.4</v>
      </c>
      <c r="G1030" s="8"/>
      <c r="H1030" s="9" t="n">
        <v>3584</v>
      </c>
      <c r="I1030" s="7" t="s">
        <v>124</v>
      </c>
      <c r="J1030" s="7" t="s">
        <v>47</v>
      </c>
      <c r="K1030" s="7"/>
      <c r="L1030" s="10" t="s">
        <v>238</v>
      </c>
      <c r="M1030" s="10" t="s">
        <v>4413</v>
      </c>
      <c r="N1030" s="8" t="n">
        <v>0</v>
      </c>
      <c r="O1030" s="8" t="n">
        <v>0</v>
      </c>
      <c r="P1030" s="8" t="n">
        <v>0</v>
      </c>
      <c r="Q1030" s="8" t="n">
        <v>0</v>
      </c>
      <c r="R1030" s="13" t="n">
        <v>0</v>
      </c>
      <c r="S1030" s="13" t="n">
        <v>0</v>
      </c>
      <c r="T1030" s="13"/>
      <c r="U1030" s="11" t="n">
        <f aca="false">O1030*4 + P1030*2 + MAX(0,N1030-O1030-P1030)*1 + Q1030*0.2 + R1030*2 + S1030*1 + IF(T1030="",0,IF(T1030&lt;=10,8,IF(T1030&lt;=50,6,IF(T1030&lt;=100,4,2))))</f>
        <v>0</v>
      </c>
      <c r="V1030" s="7"/>
      <c r="W1030" s="12"/>
      <c r="X1030" s="13"/>
      <c r="Y1030" s="13" t="s">
        <v>4414</v>
      </c>
    </row>
    <row r="1031" customFormat="false" ht="15.75" hidden="false" customHeight="true" outlineLevel="0" collapsed="false">
      <c r="A1031" s="7" t="s">
        <v>4415</v>
      </c>
      <c r="B1031" s="8" t="n">
        <v>2008</v>
      </c>
      <c r="C1031" s="8" t="s">
        <v>35</v>
      </c>
      <c r="D1031" s="8" t="n">
        <v>110</v>
      </c>
      <c r="E1031" s="7" t="s">
        <v>4416</v>
      </c>
      <c r="F1031" s="8" t="n">
        <v>7.1</v>
      </c>
      <c r="G1031" s="8"/>
      <c r="H1031" s="9" t="n">
        <v>5942</v>
      </c>
      <c r="I1031" s="7" t="s">
        <v>4417</v>
      </c>
      <c r="J1031" s="7" t="s">
        <v>131</v>
      </c>
      <c r="K1031" s="7" t="s">
        <v>54</v>
      </c>
      <c r="L1031" s="10"/>
      <c r="M1031" s="10" t="s">
        <v>4418</v>
      </c>
      <c r="N1031" s="8" t="n">
        <v>0</v>
      </c>
      <c r="O1031" s="8" t="n">
        <v>0</v>
      </c>
      <c r="P1031" s="8" t="n">
        <v>0</v>
      </c>
      <c r="Q1031" s="8" t="n">
        <v>0</v>
      </c>
      <c r="R1031" s="13" t="n">
        <v>0</v>
      </c>
      <c r="S1031" s="13" t="n">
        <v>0</v>
      </c>
      <c r="T1031" s="13"/>
      <c r="U1031" s="11" t="n">
        <f aca="false">O1031*4 + P1031*2 + MAX(0,N1031-O1031-P1031)*1 + Q1031*0.2 + R1031*2 + S1031*1 + IF(T1031="",0,IF(T1031&lt;=10,8,IF(T1031&lt;=50,6,IF(T1031&lt;=100,4,2))))</f>
        <v>0</v>
      </c>
      <c r="V1031" s="7"/>
      <c r="W1031" s="12"/>
      <c r="X1031" s="13"/>
      <c r="Y1031" s="13" t="s">
        <v>4419</v>
      </c>
    </row>
    <row r="1032" customFormat="false" ht="15.75" hidden="false" customHeight="true" outlineLevel="0" collapsed="false">
      <c r="A1032" s="7" t="s">
        <v>4420</v>
      </c>
      <c r="B1032" s="8" t="n">
        <v>2014</v>
      </c>
      <c r="C1032" s="8" t="s">
        <v>176</v>
      </c>
      <c r="D1032" s="8" t="n">
        <v>153</v>
      </c>
      <c r="E1032" s="7" t="s">
        <v>3847</v>
      </c>
      <c r="F1032" s="8" t="n">
        <v>8.1</v>
      </c>
      <c r="G1032" s="8"/>
      <c r="H1032" s="9" t="n">
        <v>225244</v>
      </c>
      <c r="I1032" s="7" t="s">
        <v>3848</v>
      </c>
      <c r="J1032" s="7" t="s">
        <v>90</v>
      </c>
      <c r="K1032" s="7" t="s">
        <v>2004</v>
      </c>
      <c r="L1032" s="10" t="s">
        <v>238</v>
      </c>
      <c r="M1032" s="10" t="s">
        <v>4421</v>
      </c>
      <c r="N1032" s="8" t="n">
        <v>0</v>
      </c>
      <c r="O1032" s="8" t="n">
        <v>0</v>
      </c>
      <c r="P1032" s="8" t="n">
        <v>0</v>
      </c>
      <c r="Q1032" s="8" t="n">
        <v>0</v>
      </c>
      <c r="R1032" s="13" t="n">
        <v>0</v>
      </c>
      <c r="S1032" s="13" t="n">
        <v>0</v>
      </c>
      <c r="T1032" s="13"/>
      <c r="U1032" s="11" t="n">
        <f aca="false">O1032*4 + P1032*2 + MAX(0,N1032-O1032-P1032)*1 + Q1032*0.2 + R1032*2 + S1032*1 + IF(T1032="",0,IF(T1032&lt;=10,8,IF(T1032&lt;=50,6,IF(T1032&lt;=100,4,2))))</f>
        <v>0</v>
      </c>
      <c r="V1032" s="7"/>
      <c r="W1032" s="12"/>
      <c r="X1032" s="13"/>
      <c r="Y1032" s="13" t="s">
        <v>4422</v>
      </c>
    </row>
    <row r="1033" customFormat="false" ht="15.75" hidden="false" customHeight="true" outlineLevel="0" collapsed="false">
      <c r="A1033" s="7" t="s">
        <v>4423</v>
      </c>
      <c r="B1033" s="8" t="n">
        <v>2009</v>
      </c>
      <c r="C1033" s="8" t="s">
        <v>35</v>
      </c>
      <c r="D1033" s="8" t="n">
        <v>104</v>
      </c>
      <c r="E1033" s="7" t="s">
        <v>3526</v>
      </c>
      <c r="F1033" s="8" t="n">
        <v>7.3</v>
      </c>
      <c r="G1033" s="8"/>
      <c r="H1033" s="9" t="n">
        <v>666</v>
      </c>
      <c r="I1033" s="7" t="s">
        <v>292</v>
      </c>
      <c r="J1033" s="7" t="s">
        <v>47</v>
      </c>
      <c r="K1033" s="7"/>
      <c r="L1033" s="10"/>
      <c r="M1033" s="10" t="s">
        <v>4424</v>
      </c>
      <c r="N1033" s="8" t="n">
        <v>0</v>
      </c>
      <c r="O1033" s="8" t="n">
        <v>0</v>
      </c>
      <c r="P1033" s="8" t="n">
        <v>0</v>
      </c>
      <c r="Q1033" s="8" t="n">
        <v>0</v>
      </c>
      <c r="R1033" s="13" t="n">
        <v>0</v>
      </c>
      <c r="S1033" s="13" t="n">
        <v>0</v>
      </c>
      <c r="T1033" s="13"/>
      <c r="U1033" s="11" t="n">
        <f aca="false">O1033*4 + P1033*2 + MAX(0,N1033-O1033-P1033)*1 + Q1033*0.2 + R1033*2 + S1033*1 + IF(T1033="",0,IF(T1033&lt;=10,8,IF(T1033&lt;=50,6,IF(T1033&lt;=100,4,2))))</f>
        <v>0</v>
      </c>
      <c r="V1033" s="7"/>
      <c r="W1033" s="12"/>
      <c r="X1033" s="13"/>
      <c r="Y1033" s="13" t="s">
        <v>4425</v>
      </c>
    </row>
    <row r="1034" customFormat="false" ht="15.75" hidden="false" customHeight="true" outlineLevel="0" collapsed="false">
      <c r="A1034" s="7" t="s">
        <v>4426</v>
      </c>
      <c r="B1034" s="8" t="n">
        <v>2019</v>
      </c>
      <c r="C1034" s="8" t="s">
        <v>176</v>
      </c>
      <c r="D1034" s="8" t="n">
        <v>85</v>
      </c>
      <c r="E1034" s="7" t="s">
        <v>4427</v>
      </c>
      <c r="F1034" s="8" t="n">
        <v>8.4</v>
      </c>
      <c r="G1034" s="8"/>
      <c r="H1034" s="9" t="n">
        <v>2962</v>
      </c>
      <c r="I1034" s="7" t="s">
        <v>46</v>
      </c>
      <c r="J1034" s="7" t="s">
        <v>579</v>
      </c>
      <c r="K1034" s="7" t="s">
        <v>112</v>
      </c>
      <c r="L1034" s="10"/>
      <c r="M1034" s="10" t="s">
        <v>4428</v>
      </c>
      <c r="N1034" s="8" t="n">
        <v>0</v>
      </c>
      <c r="O1034" s="8" t="n">
        <v>0</v>
      </c>
      <c r="P1034" s="8" t="n">
        <v>0</v>
      </c>
      <c r="Q1034" s="8" t="n">
        <v>0</v>
      </c>
      <c r="R1034" s="13" t="n">
        <v>0</v>
      </c>
      <c r="S1034" s="13" t="n">
        <v>0</v>
      </c>
      <c r="T1034" s="13"/>
      <c r="U1034" s="11" t="n">
        <f aca="false">O1034*4 + P1034*2 + MAX(0,N1034-O1034-P1034)*1 + Q1034*0.2 + R1034*2 + S1034*1 + IF(T1034="",0,IF(T1034&lt;=10,8,IF(T1034&lt;=50,6,IF(T1034&lt;=100,4,2))))</f>
        <v>0</v>
      </c>
      <c r="V1034" s="7"/>
      <c r="W1034" s="12"/>
      <c r="X1034" s="13"/>
      <c r="Y1034" s="13" t="s">
        <v>4429</v>
      </c>
    </row>
    <row r="1035" customFormat="false" ht="15.75" hidden="false" customHeight="true" outlineLevel="0" collapsed="false">
      <c r="A1035" s="7" t="s">
        <v>4430</v>
      </c>
      <c r="B1035" s="8" t="n">
        <v>2010</v>
      </c>
      <c r="C1035" s="8" t="s">
        <v>176</v>
      </c>
      <c r="D1035" s="8" t="n">
        <v>162</v>
      </c>
      <c r="E1035" s="7" t="s">
        <v>4431</v>
      </c>
      <c r="F1035" s="8" t="n">
        <v>8</v>
      </c>
      <c r="G1035" s="8"/>
      <c r="H1035" s="9" t="n">
        <v>9007</v>
      </c>
      <c r="I1035" s="7" t="s">
        <v>124</v>
      </c>
      <c r="J1035" s="7" t="s">
        <v>579</v>
      </c>
      <c r="K1035" s="7" t="s">
        <v>125</v>
      </c>
      <c r="L1035" s="10" t="s">
        <v>4432</v>
      </c>
      <c r="M1035" s="10" t="s">
        <v>4433</v>
      </c>
      <c r="N1035" s="8" t="n">
        <v>0</v>
      </c>
      <c r="O1035" s="8" t="n">
        <v>0</v>
      </c>
      <c r="P1035" s="8" t="n">
        <v>0</v>
      </c>
      <c r="Q1035" s="8" t="n">
        <v>0</v>
      </c>
      <c r="R1035" s="13" t="n">
        <v>0</v>
      </c>
      <c r="S1035" s="13" t="n">
        <v>0</v>
      </c>
      <c r="T1035" s="13"/>
      <c r="U1035" s="11" t="n">
        <f aca="false">O1035*4 + P1035*2 + MAX(0,N1035-O1035-P1035)*1 + Q1035*0.2 + R1035*2 + S1035*1 + IF(T1035="",0,IF(T1035&lt;=10,8,IF(T1035&lt;=50,6,IF(T1035&lt;=100,4,2))))</f>
        <v>0</v>
      </c>
      <c r="V1035" s="7"/>
      <c r="W1035" s="12"/>
      <c r="X1035" s="13"/>
      <c r="Y1035" s="13" t="s">
        <v>4434</v>
      </c>
    </row>
    <row r="1036" customFormat="false" ht="15.75" hidden="false" customHeight="true" outlineLevel="0" collapsed="false">
      <c r="A1036" s="7" t="s">
        <v>4435</v>
      </c>
      <c r="B1036" s="8" t="n">
        <v>2022</v>
      </c>
      <c r="C1036" s="8" t="s">
        <v>378</v>
      </c>
      <c r="D1036" s="8" t="n">
        <v>83</v>
      </c>
      <c r="E1036" s="7" t="s">
        <v>4436</v>
      </c>
      <c r="F1036" s="8" t="n">
        <v>7.3</v>
      </c>
      <c r="G1036" s="8"/>
      <c r="H1036" s="9" t="n">
        <v>2475</v>
      </c>
      <c r="I1036" s="7" t="s">
        <v>3398</v>
      </c>
      <c r="J1036" s="7" t="s">
        <v>47</v>
      </c>
      <c r="K1036" s="7"/>
      <c r="L1036" s="10"/>
      <c r="M1036" s="10" t="s">
        <v>4437</v>
      </c>
      <c r="N1036" s="8" t="n">
        <v>0</v>
      </c>
      <c r="O1036" s="8" t="n">
        <v>0</v>
      </c>
      <c r="P1036" s="8" t="n">
        <v>0</v>
      </c>
      <c r="Q1036" s="8" t="n">
        <v>0</v>
      </c>
      <c r="R1036" s="13" t="n">
        <v>0</v>
      </c>
      <c r="S1036" s="13" t="n">
        <v>0</v>
      </c>
      <c r="T1036" s="13"/>
      <c r="U1036" s="11" t="n">
        <f aca="false">O1036*4 + P1036*2 + MAX(0,N1036-O1036-P1036)*1 + Q1036*0.2 + R1036*2 + S1036*1 + IF(T1036="",0,IF(T1036&lt;=10,8,IF(T1036&lt;=50,6,IF(T1036&lt;=100,4,2))))</f>
        <v>0</v>
      </c>
      <c r="V1036" s="7"/>
      <c r="W1036" s="12"/>
      <c r="X1036" s="13"/>
      <c r="Y1036" s="13" t="s">
        <v>4438</v>
      </c>
    </row>
    <row r="1037" customFormat="false" ht="15.75" hidden="false" customHeight="true" outlineLevel="0" collapsed="false">
      <c r="A1037" s="7" t="s">
        <v>4439</v>
      </c>
      <c r="B1037" s="8" t="n">
        <v>2023</v>
      </c>
      <c r="C1037" s="8" t="s">
        <v>378</v>
      </c>
      <c r="D1037" s="8" t="n">
        <v>120</v>
      </c>
      <c r="E1037" s="7" t="s">
        <v>4440</v>
      </c>
      <c r="F1037" s="8" t="n">
        <v>7.9</v>
      </c>
      <c r="G1037" s="8"/>
      <c r="H1037" s="9" t="n">
        <v>3689</v>
      </c>
      <c r="I1037" s="7" t="s">
        <v>124</v>
      </c>
      <c r="J1037" s="7" t="s">
        <v>579</v>
      </c>
      <c r="K1037" s="7" t="s">
        <v>90</v>
      </c>
      <c r="L1037" s="10" t="s">
        <v>1686</v>
      </c>
      <c r="M1037" s="10" t="s">
        <v>4441</v>
      </c>
      <c r="N1037" s="8" t="n">
        <v>0</v>
      </c>
      <c r="O1037" s="8" t="n">
        <v>0</v>
      </c>
      <c r="P1037" s="8" t="n">
        <v>0</v>
      </c>
      <c r="Q1037" s="8" t="n">
        <v>0</v>
      </c>
      <c r="R1037" s="13" t="n">
        <v>0</v>
      </c>
      <c r="S1037" s="13" t="n">
        <v>0</v>
      </c>
      <c r="T1037" s="13"/>
      <c r="U1037" s="11" t="n">
        <f aca="false">O1037*4 + P1037*2 + MAX(0,N1037-O1037-P1037)*1 + Q1037*0.2 + R1037*2 + S1037*1 + IF(T1037="",0,IF(T1037&lt;=10,8,IF(T1037&lt;=50,6,IF(T1037&lt;=100,4,2))))</f>
        <v>0</v>
      </c>
      <c r="V1037" s="7"/>
      <c r="W1037" s="12"/>
      <c r="X1037" s="13"/>
      <c r="Y1037" s="13" t="s">
        <v>4442</v>
      </c>
    </row>
    <row r="1038" customFormat="false" ht="15.75" hidden="false" customHeight="true" outlineLevel="0" collapsed="false">
      <c r="A1038" s="7" t="s">
        <v>4443</v>
      </c>
      <c r="B1038" s="8" t="n">
        <v>2024</v>
      </c>
      <c r="C1038" s="8" t="s">
        <v>378</v>
      </c>
      <c r="D1038" s="8" t="n">
        <v>81</v>
      </c>
      <c r="E1038" s="7" t="s">
        <v>515</v>
      </c>
      <c r="F1038" s="8" t="n">
        <v>7.1</v>
      </c>
      <c r="G1038" s="8"/>
      <c r="H1038" s="9" t="n">
        <v>2445</v>
      </c>
      <c r="I1038" s="7" t="s">
        <v>3398</v>
      </c>
      <c r="J1038" s="7" t="s">
        <v>579</v>
      </c>
      <c r="K1038" s="7" t="s">
        <v>47</v>
      </c>
      <c r="L1038" s="10" t="s">
        <v>166</v>
      </c>
      <c r="M1038" s="10" t="s">
        <v>4444</v>
      </c>
      <c r="N1038" s="8" t="n">
        <v>0</v>
      </c>
      <c r="O1038" s="8" t="n">
        <v>0</v>
      </c>
      <c r="P1038" s="8" t="n">
        <v>0</v>
      </c>
      <c r="Q1038" s="8" t="n">
        <v>0</v>
      </c>
      <c r="R1038" s="13" t="n">
        <v>0</v>
      </c>
      <c r="S1038" s="13" t="n">
        <v>0</v>
      </c>
      <c r="T1038" s="13"/>
      <c r="U1038" s="11" t="n">
        <f aca="false">O1038*4 + P1038*2 + MAX(0,N1038-O1038-P1038)*1 + Q1038*0.2 + R1038*2 + S1038*1 + IF(T1038="",0,IF(T1038&lt;=10,8,IF(T1038&lt;=50,6,IF(T1038&lt;=100,4,2))))</f>
        <v>0</v>
      </c>
      <c r="V1038" s="7"/>
      <c r="W1038" s="12"/>
      <c r="X1038" s="13"/>
      <c r="Y1038" s="13" t="s">
        <v>4445</v>
      </c>
    </row>
    <row r="1039" customFormat="false" ht="15.75" hidden="false" customHeight="true" outlineLevel="0" collapsed="false">
      <c r="A1039" s="7" t="s">
        <v>4446</v>
      </c>
      <c r="B1039" s="8" t="n">
        <v>2019</v>
      </c>
      <c r="C1039" s="8" t="s">
        <v>176</v>
      </c>
      <c r="D1039" s="8" t="n">
        <v>108</v>
      </c>
      <c r="E1039" s="7" t="s">
        <v>4447</v>
      </c>
      <c r="F1039" s="8" t="n">
        <v>7.2</v>
      </c>
      <c r="G1039" s="8"/>
      <c r="H1039" s="9" t="n">
        <v>1892</v>
      </c>
      <c r="I1039" s="7" t="s">
        <v>219</v>
      </c>
      <c r="J1039" s="7" t="s">
        <v>2730</v>
      </c>
      <c r="K1039" s="7"/>
      <c r="L1039" s="10"/>
      <c r="M1039" s="10" t="s">
        <v>4448</v>
      </c>
      <c r="N1039" s="8" t="n">
        <v>0</v>
      </c>
      <c r="O1039" s="8" t="n">
        <v>0</v>
      </c>
      <c r="P1039" s="8" t="n">
        <v>0</v>
      </c>
      <c r="Q1039" s="8" t="n">
        <v>0</v>
      </c>
      <c r="R1039" s="13" t="n">
        <v>0</v>
      </c>
      <c r="S1039" s="13" t="n">
        <v>0</v>
      </c>
      <c r="T1039" s="13"/>
      <c r="U1039" s="11" t="n">
        <f aca="false">O1039*4 + P1039*2 + MAX(0,N1039-O1039-P1039)*1 + Q1039*0.2 + R1039*2 + S1039*1 + IF(T1039="",0,IF(T1039&lt;=10,8,IF(T1039&lt;=50,6,IF(T1039&lt;=100,4,2))))</f>
        <v>0</v>
      </c>
      <c r="V1039" s="7"/>
      <c r="W1039" s="12"/>
      <c r="X1039" s="13"/>
      <c r="Y1039" s="13" t="s">
        <v>4449</v>
      </c>
    </row>
    <row r="1040" customFormat="false" ht="15.75" hidden="false" customHeight="true" outlineLevel="0" collapsed="false">
      <c r="A1040" s="7" t="s">
        <v>4450</v>
      </c>
      <c r="B1040" s="8" t="n">
        <v>2020</v>
      </c>
      <c r="C1040" s="8" t="s">
        <v>378</v>
      </c>
      <c r="D1040" s="8" t="n">
        <v>113</v>
      </c>
      <c r="E1040" s="7" t="s">
        <v>4451</v>
      </c>
      <c r="F1040" s="8" t="n">
        <v>8</v>
      </c>
      <c r="G1040" s="8"/>
      <c r="H1040" s="9" t="n">
        <v>7725</v>
      </c>
      <c r="I1040" s="7" t="s">
        <v>124</v>
      </c>
      <c r="J1040" s="7" t="s">
        <v>579</v>
      </c>
      <c r="K1040" s="7" t="s">
        <v>39</v>
      </c>
      <c r="L1040" s="10" t="s">
        <v>1686</v>
      </c>
      <c r="M1040" s="10" t="s">
        <v>4452</v>
      </c>
      <c r="N1040" s="8" t="n">
        <v>0</v>
      </c>
      <c r="O1040" s="8" t="n">
        <v>0</v>
      </c>
      <c r="P1040" s="8" t="n">
        <v>0</v>
      </c>
      <c r="Q1040" s="8" t="n">
        <v>0</v>
      </c>
      <c r="R1040" s="13" t="n">
        <v>0</v>
      </c>
      <c r="S1040" s="13" t="n">
        <v>0</v>
      </c>
      <c r="T1040" s="13"/>
      <c r="U1040" s="11" t="n">
        <f aca="false">O1040*4 + P1040*2 + MAX(0,N1040-O1040-P1040)*1 + Q1040*0.2 + R1040*2 + S1040*1 + IF(T1040="",0,IF(T1040&lt;=10,8,IF(T1040&lt;=50,6,IF(T1040&lt;=100,4,2))))</f>
        <v>0</v>
      </c>
      <c r="V1040" s="7"/>
      <c r="W1040" s="12"/>
      <c r="X1040" s="13"/>
      <c r="Y1040" s="13" t="s">
        <v>4453</v>
      </c>
    </row>
    <row r="1041" customFormat="false" ht="15.75" hidden="false" customHeight="true" outlineLevel="0" collapsed="false">
      <c r="A1041" s="7" t="s">
        <v>4454</v>
      </c>
      <c r="B1041" s="8" t="n">
        <v>2013</v>
      </c>
      <c r="C1041" s="8" t="s">
        <v>176</v>
      </c>
      <c r="D1041" s="8" t="n">
        <v>112</v>
      </c>
      <c r="E1041" s="7" t="s">
        <v>4455</v>
      </c>
      <c r="F1041" s="8" t="n">
        <v>7.7</v>
      </c>
      <c r="G1041" s="8"/>
      <c r="H1041" s="9" t="n">
        <v>5376</v>
      </c>
      <c r="I1041" s="7" t="s">
        <v>4456</v>
      </c>
      <c r="J1041" s="7" t="s">
        <v>47</v>
      </c>
      <c r="K1041" s="7"/>
      <c r="L1041" s="10"/>
      <c r="M1041" s="10" t="s">
        <v>4457</v>
      </c>
      <c r="N1041" s="8" t="n">
        <v>0</v>
      </c>
      <c r="O1041" s="8" t="n">
        <v>0</v>
      </c>
      <c r="P1041" s="8" t="n">
        <v>0</v>
      </c>
      <c r="Q1041" s="8" t="n">
        <v>0</v>
      </c>
      <c r="R1041" s="13" t="n">
        <v>0</v>
      </c>
      <c r="S1041" s="13" t="n">
        <v>0</v>
      </c>
      <c r="T1041" s="13"/>
      <c r="U1041" s="11" t="n">
        <f aca="false">O1041*4 + P1041*2 + MAX(0,N1041-O1041-P1041)*1 + Q1041*0.2 + R1041*2 + S1041*1 + IF(T1041="",0,IF(T1041&lt;=10,8,IF(T1041&lt;=50,6,IF(T1041&lt;=100,4,2))))</f>
        <v>0</v>
      </c>
      <c r="V1041" s="7"/>
      <c r="W1041" s="12"/>
      <c r="X1041" s="13"/>
      <c r="Y1041" s="13" t="s">
        <v>4458</v>
      </c>
    </row>
    <row r="1042" customFormat="false" ht="15.75" hidden="false" customHeight="true" outlineLevel="0" collapsed="false">
      <c r="A1042" s="7" t="s">
        <v>4459</v>
      </c>
      <c r="B1042" s="8" t="n">
        <v>2015</v>
      </c>
      <c r="C1042" s="8" t="s">
        <v>176</v>
      </c>
      <c r="D1042" s="8" t="n">
        <v>317</v>
      </c>
      <c r="E1042" s="7" t="s">
        <v>4460</v>
      </c>
      <c r="F1042" s="8" t="n">
        <v>7.6</v>
      </c>
      <c r="G1042" s="8"/>
      <c r="H1042" s="9" t="n">
        <v>3391</v>
      </c>
      <c r="I1042" s="7" t="s">
        <v>124</v>
      </c>
      <c r="J1042" s="7" t="s">
        <v>30</v>
      </c>
      <c r="K1042" s="7" t="s">
        <v>47</v>
      </c>
      <c r="L1042" s="10"/>
      <c r="M1042" s="10" t="s">
        <v>4461</v>
      </c>
      <c r="N1042" s="8" t="n">
        <v>0</v>
      </c>
      <c r="O1042" s="8" t="n">
        <v>0</v>
      </c>
      <c r="P1042" s="8" t="n">
        <v>0</v>
      </c>
      <c r="Q1042" s="8" t="n">
        <v>0</v>
      </c>
      <c r="R1042" s="13" t="n">
        <v>0</v>
      </c>
      <c r="S1042" s="13" t="n">
        <v>0</v>
      </c>
      <c r="T1042" s="13"/>
      <c r="U1042" s="11" t="n">
        <f aca="false">O1042*4 + P1042*2 + MAX(0,N1042-O1042-P1042)*1 + Q1042*0.2 + R1042*2 + S1042*1 + IF(T1042="",0,IF(T1042&lt;=10,8,IF(T1042&lt;=50,6,IF(T1042&lt;=100,4,2))))</f>
        <v>0</v>
      </c>
      <c r="V1042" s="7"/>
      <c r="W1042" s="12"/>
      <c r="X1042" s="13"/>
      <c r="Y1042" s="13" t="s">
        <v>4462</v>
      </c>
    </row>
    <row r="1043" customFormat="false" ht="15.75" hidden="false" customHeight="true" outlineLevel="0" collapsed="false">
      <c r="A1043" s="7" t="s">
        <v>4463</v>
      </c>
      <c r="B1043" s="8" t="n">
        <v>2017</v>
      </c>
      <c r="C1043" s="8" t="s">
        <v>176</v>
      </c>
      <c r="D1043" s="8" t="n">
        <v>95</v>
      </c>
      <c r="E1043" s="7" t="s">
        <v>4464</v>
      </c>
      <c r="F1043" s="8" t="n">
        <v>7.5</v>
      </c>
      <c r="G1043" s="8"/>
      <c r="H1043" s="9" t="n">
        <v>2124</v>
      </c>
      <c r="I1043" s="7" t="s">
        <v>4465</v>
      </c>
      <c r="J1043" s="7" t="s">
        <v>47</v>
      </c>
      <c r="K1043" s="7"/>
      <c r="L1043" s="10"/>
      <c r="M1043" s="10" t="s">
        <v>4466</v>
      </c>
      <c r="N1043" s="8" t="n">
        <v>0</v>
      </c>
      <c r="O1043" s="8" t="n">
        <v>0</v>
      </c>
      <c r="P1043" s="8" t="n">
        <v>0</v>
      </c>
      <c r="Q1043" s="8" t="n">
        <v>0</v>
      </c>
      <c r="R1043" s="13" t="n">
        <v>0</v>
      </c>
      <c r="S1043" s="13" t="n">
        <v>0</v>
      </c>
      <c r="T1043" s="13"/>
      <c r="U1043" s="11" t="n">
        <f aca="false">O1043*4 + P1043*2 + MAX(0,N1043-O1043-P1043)*1 + Q1043*0.2 + R1043*2 + S1043*1 + IF(T1043="",0,IF(T1043&lt;=10,8,IF(T1043&lt;=50,6,IF(T1043&lt;=100,4,2))))</f>
        <v>0</v>
      </c>
      <c r="V1043" s="7"/>
      <c r="W1043" s="12"/>
      <c r="X1043" s="13"/>
      <c r="Y1043" s="13" t="s">
        <v>4467</v>
      </c>
    </row>
    <row r="1044" customFormat="false" ht="15.75" hidden="false" customHeight="true" outlineLevel="0" collapsed="false">
      <c r="A1044" s="7" t="s">
        <v>4468</v>
      </c>
      <c r="B1044" s="8" t="n">
        <v>2014</v>
      </c>
      <c r="C1044" s="8" t="s">
        <v>176</v>
      </c>
      <c r="D1044" s="8" t="n">
        <v>90</v>
      </c>
      <c r="E1044" s="7" t="s">
        <v>4469</v>
      </c>
      <c r="F1044" s="8" t="n">
        <v>7.5</v>
      </c>
      <c r="G1044" s="8"/>
      <c r="H1044" s="9" t="n">
        <v>1793</v>
      </c>
      <c r="I1044" s="7" t="s">
        <v>3773</v>
      </c>
      <c r="J1044" s="7" t="s">
        <v>47</v>
      </c>
      <c r="K1044" s="7" t="s">
        <v>453</v>
      </c>
      <c r="L1044" s="10" t="s">
        <v>205</v>
      </c>
      <c r="M1044" s="10" t="s">
        <v>4470</v>
      </c>
      <c r="N1044" s="8" t="n">
        <v>0</v>
      </c>
      <c r="O1044" s="8" t="n">
        <v>0</v>
      </c>
      <c r="P1044" s="8" t="n">
        <v>0</v>
      </c>
      <c r="Q1044" s="8" t="n">
        <v>0</v>
      </c>
      <c r="R1044" s="13" t="n">
        <v>0</v>
      </c>
      <c r="S1044" s="13" t="n">
        <v>0</v>
      </c>
      <c r="T1044" s="13"/>
      <c r="U1044" s="11" t="n">
        <f aca="false">O1044*4 + P1044*2 + MAX(0,N1044-O1044-P1044)*1 + Q1044*0.2 + R1044*2 + S1044*1 + IF(T1044="",0,IF(T1044&lt;=10,8,IF(T1044&lt;=50,6,IF(T1044&lt;=100,4,2))))</f>
        <v>0</v>
      </c>
      <c r="V1044" s="7"/>
      <c r="W1044" s="12"/>
      <c r="X1044" s="13"/>
      <c r="Y1044" s="13" t="s">
        <v>4471</v>
      </c>
    </row>
    <row r="1045" customFormat="false" ht="15.75" hidden="false" customHeight="true" outlineLevel="0" collapsed="false">
      <c r="A1045" s="7" t="s">
        <v>4472</v>
      </c>
      <c r="B1045" s="8" t="n">
        <v>2016</v>
      </c>
      <c r="C1045" s="8" t="s">
        <v>176</v>
      </c>
      <c r="D1045" s="8" t="n">
        <v>161</v>
      </c>
      <c r="E1045" s="7" t="s">
        <v>4473</v>
      </c>
      <c r="F1045" s="8" t="n">
        <v>8.3</v>
      </c>
      <c r="G1045" s="8"/>
      <c r="H1045" s="9" t="n">
        <v>246783</v>
      </c>
      <c r="I1045" s="7" t="s">
        <v>3848</v>
      </c>
      <c r="J1045" s="7" t="s">
        <v>112</v>
      </c>
      <c r="K1045" s="7" t="s">
        <v>48</v>
      </c>
      <c r="L1045" s="10" t="s">
        <v>238</v>
      </c>
      <c r="M1045" s="10" t="s">
        <v>4474</v>
      </c>
      <c r="N1045" s="8" t="n">
        <v>0</v>
      </c>
      <c r="O1045" s="8" t="n">
        <v>0</v>
      </c>
      <c r="P1045" s="8" t="n">
        <v>0</v>
      </c>
      <c r="Q1045" s="8" t="n">
        <v>0</v>
      </c>
      <c r="R1045" s="13" t="n">
        <v>0</v>
      </c>
      <c r="S1045" s="13" t="n">
        <v>0</v>
      </c>
      <c r="T1045" s="13"/>
      <c r="U1045" s="11" t="n">
        <f aca="false">O1045*4 + P1045*2 + MAX(0,N1045-O1045-P1045)*1 + Q1045*0.2 + R1045*2 + S1045*1 + IF(T1045="",0,IF(T1045&lt;=10,8,IF(T1045&lt;=50,6,IF(T1045&lt;=100,4,2))))</f>
        <v>0</v>
      </c>
      <c r="V1045" s="7"/>
      <c r="W1045" s="12"/>
      <c r="X1045" s="13"/>
      <c r="Y1045" s="13" t="s">
        <v>4475</v>
      </c>
    </row>
    <row r="1046" customFormat="false" ht="15.75" hidden="false" customHeight="true" outlineLevel="0" collapsed="false">
      <c r="A1046" s="7" t="s">
        <v>4476</v>
      </c>
      <c r="B1046" s="8" t="n">
        <v>2024</v>
      </c>
      <c r="C1046" s="8" t="s">
        <v>378</v>
      </c>
      <c r="D1046" s="8" t="n">
        <v>97</v>
      </c>
      <c r="E1046" s="7" t="s">
        <v>4477</v>
      </c>
      <c r="F1046" s="8" t="n">
        <v>7.4</v>
      </c>
      <c r="G1046" s="8"/>
      <c r="H1046" s="9" t="n">
        <v>10592</v>
      </c>
      <c r="I1046" s="7" t="s">
        <v>1424</v>
      </c>
      <c r="J1046" s="7" t="s">
        <v>29</v>
      </c>
      <c r="K1046" s="7" t="s">
        <v>30</v>
      </c>
      <c r="L1046" s="10" t="s">
        <v>166</v>
      </c>
      <c r="M1046" s="10" t="s">
        <v>4478</v>
      </c>
      <c r="N1046" s="8" t="n">
        <v>0</v>
      </c>
      <c r="O1046" s="8" t="n">
        <v>0</v>
      </c>
      <c r="P1046" s="8" t="n">
        <v>0</v>
      </c>
      <c r="Q1046" s="8" t="n">
        <v>0</v>
      </c>
      <c r="R1046" s="13" t="n">
        <v>0</v>
      </c>
      <c r="S1046" s="13" t="n">
        <v>0</v>
      </c>
      <c r="T1046" s="13"/>
      <c r="U1046" s="11" t="n">
        <f aca="false">O1046*4 + P1046*2 + MAX(0,N1046-O1046-P1046)*1 + Q1046*0.2 + R1046*2 + S1046*1 + IF(T1046="",0,IF(T1046&lt;=10,8,IF(T1046&lt;=50,6,IF(T1046&lt;=100,4,2))))</f>
        <v>0</v>
      </c>
      <c r="V1046" s="7"/>
      <c r="W1046" s="12"/>
      <c r="X1046" s="13"/>
      <c r="Y1046" s="13" t="s">
        <v>4479</v>
      </c>
    </row>
    <row r="1047" customFormat="false" ht="15.75" hidden="false" customHeight="true" outlineLevel="0" collapsed="false">
      <c r="A1047" s="7" t="s">
        <v>4480</v>
      </c>
      <c r="B1047" s="8" t="n">
        <v>2013</v>
      </c>
      <c r="C1047" s="8" t="s">
        <v>176</v>
      </c>
      <c r="D1047" s="8" t="n">
        <v>122</v>
      </c>
      <c r="E1047" s="7" t="s">
        <v>4481</v>
      </c>
      <c r="F1047" s="8" t="n">
        <v>8.2</v>
      </c>
      <c r="G1047" s="8"/>
      <c r="H1047" s="9" t="n">
        <v>12349</v>
      </c>
      <c r="I1047" s="7" t="s">
        <v>430</v>
      </c>
      <c r="J1047" s="7" t="s">
        <v>47</v>
      </c>
      <c r="K1047" s="7"/>
      <c r="L1047" s="10"/>
      <c r="M1047" s="10" t="s">
        <v>4482</v>
      </c>
      <c r="N1047" s="8" t="n">
        <v>0</v>
      </c>
      <c r="O1047" s="8" t="n">
        <v>0</v>
      </c>
      <c r="P1047" s="8" t="n">
        <v>0</v>
      </c>
      <c r="Q1047" s="8" t="n">
        <v>0</v>
      </c>
      <c r="R1047" s="13" t="n">
        <v>0</v>
      </c>
      <c r="S1047" s="13" t="n">
        <v>0</v>
      </c>
      <c r="T1047" s="13"/>
      <c r="U1047" s="11" t="n">
        <f aca="false">O1047*4 + P1047*2 + MAX(0,N1047-O1047-P1047)*1 + Q1047*0.2 + R1047*2 + S1047*1 + IF(T1047="",0,IF(T1047&lt;=10,8,IF(T1047&lt;=50,6,IF(T1047&lt;=100,4,2))))</f>
        <v>0</v>
      </c>
      <c r="V1047" s="7"/>
      <c r="W1047" s="12"/>
      <c r="X1047" s="13"/>
      <c r="Y1047" s="13" t="s">
        <v>4483</v>
      </c>
    </row>
    <row r="1048" customFormat="false" ht="15.75" hidden="false" customHeight="true" outlineLevel="0" collapsed="false">
      <c r="A1048" s="7" t="s">
        <v>4484</v>
      </c>
      <c r="B1048" s="8" t="n">
        <v>2011</v>
      </c>
      <c r="C1048" s="8" t="s">
        <v>176</v>
      </c>
      <c r="D1048" s="8" t="n">
        <v>108</v>
      </c>
      <c r="E1048" s="7" t="s">
        <v>4485</v>
      </c>
      <c r="F1048" s="8" t="n">
        <v>7.7</v>
      </c>
      <c r="G1048" s="8"/>
      <c r="H1048" s="9" t="n">
        <v>12766</v>
      </c>
      <c r="I1048" s="7" t="s">
        <v>430</v>
      </c>
      <c r="J1048" s="7" t="s">
        <v>112</v>
      </c>
      <c r="K1048" s="7" t="s">
        <v>29</v>
      </c>
      <c r="L1048" s="10"/>
      <c r="M1048" s="10" t="s">
        <v>4486</v>
      </c>
      <c r="N1048" s="8" t="n">
        <v>0</v>
      </c>
      <c r="O1048" s="8" t="n">
        <v>0</v>
      </c>
      <c r="P1048" s="8" t="n">
        <v>0</v>
      </c>
      <c r="Q1048" s="8" t="n">
        <v>0</v>
      </c>
      <c r="R1048" s="13" t="n">
        <v>0</v>
      </c>
      <c r="S1048" s="13" t="n">
        <v>0</v>
      </c>
      <c r="T1048" s="13"/>
      <c r="U1048" s="11" t="n">
        <f aca="false">O1048*4 + P1048*2 + MAX(0,N1048-O1048-P1048)*1 + Q1048*0.2 + R1048*2 + S1048*1 + IF(T1048="",0,IF(T1048&lt;=10,8,IF(T1048&lt;=50,6,IF(T1048&lt;=100,4,2))))</f>
        <v>0</v>
      </c>
      <c r="V1048" s="7"/>
      <c r="W1048" s="12"/>
      <c r="X1048" s="13"/>
      <c r="Y1048" s="13" t="s">
        <v>4487</v>
      </c>
    </row>
    <row r="1049" customFormat="false" ht="15.75" hidden="false" customHeight="true" outlineLevel="0" collapsed="false">
      <c r="A1049" s="7" t="s">
        <v>4488</v>
      </c>
      <c r="B1049" s="8" t="n">
        <v>2010</v>
      </c>
      <c r="C1049" s="8" t="s">
        <v>176</v>
      </c>
      <c r="D1049" s="8" t="n">
        <v>119</v>
      </c>
      <c r="E1049" s="7" t="s">
        <v>4489</v>
      </c>
      <c r="F1049" s="8" t="n">
        <v>7.5</v>
      </c>
      <c r="G1049" s="8"/>
      <c r="H1049" s="9" t="n">
        <v>5730</v>
      </c>
      <c r="I1049" s="7" t="s">
        <v>258</v>
      </c>
      <c r="J1049" s="7" t="s">
        <v>47</v>
      </c>
      <c r="K1049" s="7"/>
      <c r="L1049" s="10"/>
      <c r="M1049" s="10" t="s">
        <v>4490</v>
      </c>
      <c r="N1049" s="8" t="n">
        <v>0</v>
      </c>
      <c r="O1049" s="8" t="n">
        <v>0</v>
      </c>
      <c r="P1049" s="8" t="n">
        <v>0</v>
      </c>
      <c r="Q1049" s="8" t="n">
        <v>0</v>
      </c>
      <c r="R1049" s="13" t="n">
        <v>0</v>
      </c>
      <c r="S1049" s="13" t="n">
        <v>0</v>
      </c>
      <c r="T1049" s="13"/>
      <c r="U1049" s="11" t="n">
        <f aca="false">O1049*4 + P1049*2 + MAX(0,N1049-O1049-P1049)*1 + Q1049*0.2 + R1049*2 + S1049*1 + IF(T1049="",0,IF(T1049&lt;=10,8,IF(T1049&lt;=50,6,IF(T1049&lt;=100,4,2))))</f>
        <v>0</v>
      </c>
      <c r="V1049" s="7"/>
      <c r="W1049" s="12"/>
      <c r="X1049" s="13"/>
      <c r="Y1049" s="13" t="s">
        <v>4491</v>
      </c>
    </row>
    <row r="1050" customFormat="false" ht="15.75" hidden="false" customHeight="true" outlineLevel="0" collapsed="false">
      <c r="A1050" s="7" t="s">
        <v>4492</v>
      </c>
      <c r="B1050" s="8" t="n">
        <v>2006</v>
      </c>
      <c r="C1050" s="8" t="s">
        <v>35</v>
      </c>
      <c r="D1050" s="8" t="n">
        <v>156</v>
      </c>
      <c r="E1050" s="7" t="s">
        <v>4493</v>
      </c>
      <c r="F1050" s="8" t="n">
        <v>6.8</v>
      </c>
      <c r="G1050" s="8"/>
      <c r="H1050" s="9" t="n">
        <v>1895</v>
      </c>
      <c r="I1050" s="7" t="s">
        <v>4494</v>
      </c>
      <c r="J1050" s="7" t="s">
        <v>47</v>
      </c>
      <c r="K1050" s="7"/>
      <c r="L1050" s="10"/>
      <c r="M1050" s="7" t="s">
        <v>4495</v>
      </c>
      <c r="N1050" s="8" t="n">
        <v>0</v>
      </c>
      <c r="O1050" s="8" t="n">
        <v>0</v>
      </c>
      <c r="P1050" s="8" t="n">
        <v>0</v>
      </c>
      <c r="Q1050" s="8" t="n">
        <v>0</v>
      </c>
      <c r="R1050" s="8" t="n">
        <v>0</v>
      </c>
      <c r="S1050" s="13" t="n">
        <v>0</v>
      </c>
      <c r="T1050" s="8" t="n">
        <v>243</v>
      </c>
      <c r="U1050" s="11" t="n">
        <f aca="false">O1050*4 + P1050*2 + MAX(0,N1050-O1050-P1050)*1 + Q1050*0.2 + R1050*2 + S1050*1 + IF(T1050="",0,IF(T1050&lt;=10,8,IF(T1050&lt;=50,6,IF(T1050&lt;=100,4,2))))</f>
        <v>2</v>
      </c>
      <c r="V1050" s="10" t="s">
        <v>4496</v>
      </c>
      <c r="W1050" s="12"/>
      <c r="X1050" s="8" t="n">
        <v>75</v>
      </c>
      <c r="Y1050" s="8" t="s">
        <v>4497</v>
      </c>
    </row>
    <row r="1051" customFormat="false" ht="15.75" hidden="false" customHeight="true" outlineLevel="0" collapsed="false">
      <c r="A1051" s="7" t="s">
        <v>4498</v>
      </c>
      <c r="B1051" s="8" t="n">
        <v>2015</v>
      </c>
      <c r="C1051" s="8" t="s">
        <v>176</v>
      </c>
      <c r="D1051" s="8" t="n">
        <v>93</v>
      </c>
      <c r="E1051" s="7" t="s">
        <v>4499</v>
      </c>
      <c r="F1051" s="8" t="n">
        <v>7.1</v>
      </c>
      <c r="G1051" s="8"/>
      <c r="H1051" s="9" t="n">
        <v>3480</v>
      </c>
      <c r="I1051" s="7" t="s">
        <v>4500</v>
      </c>
      <c r="J1051" s="7" t="s">
        <v>47</v>
      </c>
      <c r="K1051" s="7"/>
      <c r="L1051" s="10"/>
      <c r="M1051" s="10" t="s">
        <v>4501</v>
      </c>
      <c r="N1051" s="8" t="n">
        <v>0</v>
      </c>
      <c r="O1051" s="8" t="n">
        <v>0</v>
      </c>
      <c r="P1051" s="8" t="n">
        <v>0</v>
      </c>
      <c r="Q1051" s="8" t="n">
        <v>0</v>
      </c>
      <c r="R1051" s="13" t="n">
        <v>0</v>
      </c>
      <c r="S1051" s="13" t="n">
        <v>0</v>
      </c>
      <c r="T1051" s="13"/>
      <c r="U1051" s="11" t="n">
        <f aca="false">O1051*4 + P1051*2 + MAX(0,N1051-O1051-P1051)*1 + Q1051*0.2 + R1051*2 + S1051*1 + IF(T1051="",0,IF(T1051&lt;=10,8,IF(T1051&lt;=50,6,IF(T1051&lt;=100,4,2))))</f>
        <v>0</v>
      </c>
      <c r="V1051" s="7"/>
      <c r="W1051" s="12"/>
      <c r="X1051" s="13"/>
      <c r="Y1051" s="13" t="s">
        <v>4502</v>
      </c>
    </row>
    <row r="1052" customFormat="false" ht="15.75" hidden="false" customHeight="true" outlineLevel="0" collapsed="false">
      <c r="A1052" s="7" t="s">
        <v>4503</v>
      </c>
      <c r="B1052" s="8" t="n">
        <v>2007</v>
      </c>
      <c r="C1052" s="8" t="s">
        <v>35</v>
      </c>
      <c r="D1052" s="8" t="n">
        <v>80</v>
      </c>
      <c r="E1052" s="7" t="s">
        <v>4504</v>
      </c>
      <c r="F1052" s="8" t="n">
        <v>7.5</v>
      </c>
      <c r="G1052" s="8"/>
      <c r="H1052" s="9" t="n">
        <v>6075</v>
      </c>
      <c r="I1052" s="7" t="s">
        <v>1111</v>
      </c>
      <c r="J1052" s="7" t="s">
        <v>38</v>
      </c>
      <c r="K1052" s="7" t="s">
        <v>30</v>
      </c>
      <c r="L1052" s="10"/>
      <c r="M1052" s="10" t="s">
        <v>4505</v>
      </c>
      <c r="N1052" s="8" t="n">
        <v>0</v>
      </c>
      <c r="O1052" s="8" t="n">
        <v>0</v>
      </c>
      <c r="P1052" s="8" t="n">
        <v>0</v>
      </c>
      <c r="Q1052" s="8" t="n">
        <v>0</v>
      </c>
      <c r="R1052" s="13" t="n">
        <v>0</v>
      </c>
      <c r="S1052" s="13" t="n">
        <v>0</v>
      </c>
      <c r="T1052" s="13"/>
      <c r="U1052" s="11" t="n">
        <f aca="false">O1052*4 + P1052*2 + MAX(0,N1052-O1052-P1052)*1 + Q1052*0.2 + R1052*2 + S1052*1 + IF(T1052="",0,IF(T1052&lt;=10,8,IF(T1052&lt;=50,6,IF(T1052&lt;=100,4,2))))</f>
        <v>0</v>
      </c>
      <c r="V1052" s="7"/>
      <c r="W1052" s="12"/>
      <c r="X1052" s="13"/>
      <c r="Y1052" s="13" t="s">
        <v>4506</v>
      </c>
    </row>
    <row r="1053" customFormat="false" ht="15.75" hidden="false" customHeight="true" outlineLevel="0" collapsed="false">
      <c r="A1053" s="7" t="s">
        <v>4507</v>
      </c>
      <c r="B1053" s="8" t="n">
        <v>2008</v>
      </c>
      <c r="C1053" s="8" t="s">
        <v>35</v>
      </c>
      <c r="D1053" s="8" t="n">
        <v>133</v>
      </c>
      <c r="E1053" s="7" t="s">
        <v>3531</v>
      </c>
      <c r="F1053" s="8" t="n">
        <v>7.6</v>
      </c>
      <c r="G1053" s="8"/>
      <c r="H1053" s="9" t="n">
        <v>1586</v>
      </c>
      <c r="I1053" s="7"/>
      <c r="J1053" s="7"/>
      <c r="K1053" s="12"/>
      <c r="L1053" s="10" t="s">
        <v>517</v>
      </c>
      <c r="M1053" s="10" t="s">
        <v>4508</v>
      </c>
      <c r="N1053" s="8" t="n">
        <v>0</v>
      </c>
      <c r="O1053" s="8" t="n">
        <v>0</v>
      </c>
      <c r="P1053" s="8" t="n">
        <v>0</v>
      </c>
      <c r="Q1053" s="8" t="n">
        <v>0</v>
      </c>
      <c r="R1053" s="13" t="n">
        <v>0</v>
      </c>
      <c r="S1053" s="13" t="n">
        <v>0</v>
      </c>
      <c r="T1053" s="13"/>
      <c r="U1053" s="11" t="n">
        <f aca="false">O1053*4 + P1053*2 + MAX(0,N1053-O1053-P1053)*1 + Q1053*0.2 + R1053*2 + S1053*1 + IF(T1053="",0,IF(T1053&lt;=10,8,IF(T1053&lt;=50,6,IF(T1053&lt;=100,4,2))))</f>
        <v>0</v>
      </c>
      <c r="V1053" s="7"/>
      <c r="W1053" s="12"/>
      <c r="X1053" s="13"/>
      <c r="Y1053" s="13" t="s">
        <v>4509</v>
      </c>
    </row>
    <row r="1054" customFormat="false" ht="15.75" hidden="false" customHeight="true" outlineLevel="0" collapsed="false">
      <c r="A1054" s="7" t="s">
        <v>4510</v>
      </c>
      <c r="B1054" s="8" t="n">
        <v>2013</v>
      </c>
      <c r="C1054" s="8" t="s">
        <v>176</v>
      </c>
      <c r="D1054" s="8" t="n">
        <v>131</v>
      </c>
      <c r="E1054" s="7" t="s">
        <v>4511</v>
      </c>
      <c r="F1054" s="8" t="n">
        <v>7.4</v>
      </c>
      <c r="G1054" s="8"/>
      <c r="H1054" s="9" t="n">
        <v>1487</v>
      </c>
      <c r="I1054" s="7" t="s">
        <v>4512</v>
      </c>
      <c r="J1054" s="7" t="s">
        <v>47</v>
      </c>
      <c r="K1054" s="7" t="s">
        <v>48</v>
      </c>
      <c r="L1054" s="10" t="s">
        <v>210</v>
      </c>
      <c r="M1054" s="10" t="s">
        <v>4513</v>
      </c>
      <c r="N1054" s="8" t="n">
        <v>0</v>
      </c>
      <c r="O1054" s="8" t="n">
        <v>0</v>
      </c>
      <c r="P1054" s="8" t="n">
        <v>0</v>
      </c>
      <c r="Q1054" s="8" t="n">
        <v>0</v>
      </c>
      <c r="R1054" s="13" t="n">
        <v>0</v>
      </c>
      <c r="S1054" s="13" t="n">
        <v>0</v>
      </c>
      <c r="T1054" s="13"/>
      <c r="U1054" s="11" t="n">
        <f aca="false">O1054*4 + P1054*2 + MAX(0,N1054-O1054-P1054)*1 + Q1054*0.2 + R1054*2 + S1054*1 + IF(T1054="",0,IF(T1054&lt;=10,8,IF(T1054&lt;=50,6,IF(T1054&lt;=100,4,2))))</f>
        <v>0</v>
      </c>
      <c r="V1054" s="7"/>
      <c r="W1054" s="12"/>
      <c r="X1054" s="13"/>
      <c r="Y1054" s="13" t="s">
        <v>4514</v>
      </c>
    </row>
    <row r="1055" customFormat="false" ht="15.75" hidden="false" customHeight="true" outlineLevel="0" collapsed="false">
      <c r="A1055" s="7" t="s">
        <v>4515</v>
      </c>
      <c r="B1055" s="8" t="n">
        <v>2011</v>
      </c>
      <c r="C1055" s="8" t="s">
        <v>176</v>
      </c>
      <c r="D1055" s="8" t="n">
        <v>137</v>
      </c>
      <c r="E1055" s="7" t="s">
        <v>3543</v>
      </c>
      <c r="F1055" s="8" t="n">
        <v>7.6</v>
      </c>
      <c r="G1055" s="8"/>
      <c r="H1055" s="9" t="n">
        <v>13541</v>
      </c>
      <c r="I1055" s="7" t="s">
        <v>430</v>
      </c>
      <c r="J1055" s="7" t="s">
        <v>154</v>
      </c>
      <c r="K1055" s="7" t="s">
        <v>1810</v>
      </c>
      <c r="L1055" s="10"/>
      <c r="M1055" s="10" t="s">
        <v>4516</v>
      </c>
      <c r="N1055" s="8" t="n">
        <v>0</v>
      </c>
      <c r="O1055" s="8" t="n">
        <v>0</v>
      </c>
      <c r="P1055" s="8" t="n">
        <v>0</v>
      </c>
      <c r="Q1055" s="8" t="n">
        <v>0</v>
      </c>
      <c r="R1055" s="13" t="n">
        <v>0</v>
      </c>
      <c r="S1055" s="13" t="n">
        <v>0</v>
      </c>
      <c r="T1055" s="13"/>
      <c r="U1055" s="11" t="n">
        <f aca="false">O1055*4 + P1055*2 + MAX(0,N1055-O1055-P1055)*1 + Q1055*0.2 + R1055*2 + S1055*1 + IF(T1055="",0,IF(T1055&lt;=10,8,IF(T1055&lt;=50,6,IF(T1055&lt;=100,4,2))))</f>
        <v>0</v>
      </c>
      <c r="V1055" s="7"/>
      <c r="W1055" s="12"/>
      <c r="X1055" s="13"/>
      <c r="Y1055" s="13" t="s">
        <v>4517</v>
      </c>
    </row>
    <row r="1056" customFormat="false" ht="15.75" hidden="false" customHeight="true" outlineLevel="0" collapsed="false">
      <c r="A1056" s="7" t="s">
        <v>4518</v>
      </c>
      <c r="B1056" s="8" t="n">
        <v>2005</v>
      </c>
      <c r="C1056" s="8" t="s">
        <v>35</v>
      </c>
      <c r="D1056" s="8" t="n">
        <v>104</v>
      </c>
      <c r="E1056" s="7" t="s">
        <v>4519</v>
      </c>
      <c r="F1056" s="8" t="n">
        <v>6.7</v>
      </c>
      <c r="G1056" s="8"/>
      <c r="H1056" s="9" t="n">
        <v>368</v>
      </c>
      <c r="I1056" s="7" t="s">
        <v>3183</v>
      </c>
      <c r="J1056" s="7" t="s">
        <v>47</v>
      </c>
      <c r="K1056" s="7"/>
      <c r="L1056" s="10"/>
      <c r="M1056" s="10" t="s">
        <v>4520</v>
      </c>
      <c r="N1056" s="8" t="n">
        <v>0</v>
      </c>
      <c r="O1056" s="8" t="n">
        <v>0</v>
      </c>
      <c r="P1056" s="8" t="n">
        <v>0</v>
      </c>
      <c r="Q1056" s="8" t="n">
        <v>0</v>
      </c>
      <c r="R1056" s="13" t="n">
        <v>0</v>
      </c>
      <c r="S1056" s="13" t="n">
        <v>0</v>
      </c>
      <c r="T1056" s="13"/>
      <c r="U1056" s="11" t="n">
        <f aca="false">O1056*4 + P1056*2 + MAX(0,N1056-O1056-P1056)*1 + Q1056*0.2 + R1056*2 + S1056*1 + IF(T1056="",0,IF(T1056&lt;=10,8,IF(T1056&lt;=50,6,IF(T1056&lt;=100,4,2))))</f>
        <v>0</v>
      </c>
      <c r="V1056" s="7"/>
      <c r="W1056" s="12"/>
      <c r="X1056" s="13"/>
      <c r="Y1056" s="13" t="s">
        <v>4521</v>
      </c>
    </row>
    <row r="1057" customFormat="false" ht="15.75" hidden="false" customHeight="true" outlineLevel="0" collapsed="false">
      <c r="A1057" s="7" t="s">
        <v>4522</v>
      </c>
      <c r="B1057" s="8" t="n">
        <v>2004</v>
      </c>
      <c r="C1057" s="8" t="s">
        <v>35</v>
      </c>
      <c r="D1057" s="8" t="n">
        <v>91</v>
      </c>
      <c r="E1057" s="7" t="s">
        <v>4523</v>
      </c>
      <c r="F1057" s="8" t="n">
        <v>6.9</v>
      </c>
      <c r="G1057" s="8"/>
      <c r="H1057" s="9" t="n">
        <v>4520</v>
      </c>
      <c r="I1057" s="7" t="s">
        <v>4524</v>
      </c>
      <c r="J1057" s="7" t="s">
        <v>38</v>
      </c>
      <c r="K1057" s="7" t="s">
        <v>39</v>
      </c>
      <c r="L1057" s="10"/>
      <c r="M1057" s="10" t="s">
        <v>4525</v>
      </c>
      <c r="N1057" s="8" t="n">
        <v>0</v>
      </c>
      <c r="O1057" s="8" t="n">
        <v>0</v>
      </c>
      <c r="P1057" s="8" t="n">
        <v>0</v>
      </c>
      <c r="Q1057" s="8" t="n">
        <v>0</v>
      </c>
      <c r="R1057" s="13" t="n">
        <v>0</v>
      </c>
      <c r="S1057" s="13" t="n">
        <v>0</v>
      </c>
      <c r="T1057" s="13"/>
      <c r="U1057" s="11" t="n">
        <f aca="false">O1057*4 + P1057*2 + MAX(0,N1057-O1057-P1057)*1 + Q1057*0.2 + R1057*2 + S1057*1 + IF(T1057="",0,IF(T1057&lt;=10,8,IF(T1057&lt;=50,6,IF(T1057&lt;=100,4,2))))</f>
        <v>0</v>
      </c>
      <c r="V1057" s="7"/>
      <c r="W1057" s="12"/>
      <c r="X1057" s="13"/>
      <c r="Y1057" s="13" t="s">
        <v>4526</v>
      </c>
    </row>
    <row r="1058" customFormat="false" ht="15.75" hidden="false" customHeight="true" outlineLevel="0" collapsed="false">
      <c r="A1058" s="7" t="s">
        <v>4527</v>
      </c>
      <c r="B1058" s="8" t="n">
        <v>2024</v>
      </c>
      <c r="C1058" s="8" t="s">
        <v>378</v>
      </c>
      <c r="D1058" s="8" t="n">
        <v>163</v>
      </c>
      <c r="E1058" s="7" t="s">
        <v>4528</v>
      </c>
      <c r="F1058" s="8" t="n">
        <v>7.6</v>
      </c>
      <c r="G1058" s="8"/>
      <c r="H1058" s="9" t="n">
        <v>3244</v>
      </c>
      <c r="I1058" s="7"/>
      <c r="J1058" s="7" t="s">
        <v>47</v>
      </c>
      <c r="K1058" s="7"/>
      <c r="L1058" s="10" t="s">
        <v>522</v>
      </c>
      <c r="M1058" s="10" t="s">
        <v>4529</v>
      </c>
      <c r="N1058" s="8" t="n">
        <v>0</v>
      </c>
      <c r="O1058" s="8" t="n">
        <v>0</v>
      </c>
      <c r="P1058" s="8" t="n">
        <v>0</v>
      </c>
      <c r="Q1058" s="8" t="n">
        <v>0</v>
      </c>
      <c r="R1058" s="13" t="n">
        <v>0</v>
      </c>
      <c r="S1058" s="13" t="n">
        <v>0</v>
      </c>
      <c r="T1058" s="13"/>
      <c r="U1058" s="11" t="n">
        <f aca="false">O1058*4 + P1058*2 + MAX(0,N1058-O1058-P1058)*1 + Q1058*0.2 + R1058*2 + S1058*1 + IF(T1058="",0,IF(T1058&lt;=10,8,IF(T1058&lt;=50,6,IF(T1058&lt;=100,4,2))))</f>
        <v>0</v>
      </c>
      <c r="V1058" s="7"/>
      <c r="W1058" s="12"/>
      <c r="X1058" s="13"/>
      <c r="Y1058" s="13" t="s">
        <v>4530</v>
      </c>
    </row>
    <row r="1059" customFormat="false" ht="15.75" hidden="false" customHeight="true" outlineLevel="0" collapsed="false">
      <c r="A1059" s="7" t="s">
        <v>4531</v>
      </c>
      <c r="B1059" s="8" t="n">
        <v>2022</v>
      </c>
      <c r="C1059" s="8" t="s">
        <v>378</v>
      </c>
      <c r="D1059" s="8" t="n">
        <v>98</v>
      </c>
      <c r="E1059" s="7" t="s">
        <v>4532</v>
      </c>
      <c r="F1059" s="8" t="n">
        <v>7.5</v>
      </c>
      <c r="G1059" s="8"/>
      <c r="H1059" s="9" t="n">
        <v>3597</v>
      </c>
      <c r="I1059" s="7" t="s">
        <v>219</v>
      </c>
      <c r="J1059" s="7" t="s">
        <v>29</v>
      </c>
      <c r="K1059" s="7" t="s">
        <v>47</v>
      </c>
      <c r="L1059" s="10" t="s">
        <v>205</v>
      </c>
      <c r="M1059" s="10" t="s">
        <v>4533</v>
      </c>
      <c r="N1059" s="8" t="n">
        <v>0</v>
      </c>
      <c r="O1059" s="8" t="n">
        <v>0</v>
      </c>
      <c r="P1059" s="8" t="n">
        <v>0</v>
      </c>
      <c r="Q1059" s="8" t="n">
        <v>0</v>
      </c>
      <c r="R1059" s="13" t="n">
        <v>0</v>
      </c>
      <c r="S1059" s="13" t="n">
        <v>0</v>
      </c>
      <c r="T1059" s="13"/>
      <c r="U1059" s="11" t="n">
        <f aca="false">O1059*4 + P1059*2 + MAX(0,N1059-O1059-P1059)*1 + Q1059*0.2 + R1059*2 + S1059*1 + IF(T1059="",0,IF(T1059&lt;=10,8,IF(T1059&lt;=50,6,IF(T1059&lt;=100,4,2))))</f>
        <v>0</v>
      </c>
      <c r="V1059" s="7"/>
      <c r="W1059" s="12"/>
      <c r="X1059" s="13"/>
      <c r="Y1059" s="13" t="s">
        <v>4534</v>
      </c>
    </row>
    <row r="1060" customFormat="false" ht="15.75" hidden="false" customHeight="true" outlineLevel="0" collapsed="false">
      <c r="A1060" s="7" t="s">
        <v>4535</v>
      </c>
      <c r="B1060" s="8" t="n">
        <v>2009</v>
      </c>
      <c r="C1060" s="8" t="s">
        <v>35</v>
      </c>
      <c r="D1060" s="8" t="n">
        <v>91</v>
      </c>
      <c r="E1060" s="7" t="s">
        <v>4536</v>
      </c>
      <c r="F1060" s="8" t="n">
        <v>7.3</v>
      </c>
      <c r="G1060" s="8"/>
      <c r="H1060" s="9" t="n">
        <v>6779</v>
      </c>
      <c r="I1060" s="7" t="s">
        <v>4537</v>
      </c>
      <c r="J1060" s="7" t="s">
        <v>29</v>
      </c>
      <c r="K1060" s="7" t="s">
        <v>1102</v>
      </c>
      <c r="L1060" s="10"/>
      <c r="M1060" s="10" t="s">
        <v>4538</v>
      </c>
      <c r="N1060" s="8" t="n">
        <v>0</v>
      </c>
      <c r="O1060" s="8" t="n">
        <v>0</v>
      </c>
      <c r="P1060" s="8" t="n">
        <v>0</v>
      </c>
      <c r="Q1060" s="8" t="n">
        <v>0</v>
      </c>
      <c r="R1060" s="13" t="n">
        <v>0</v>
      </c>
      <c r="S1060" s="13" t="n">
        <v>0</v>
      </c>
      <c r="T1060" s="13"/>
      <c r="U1060" s="11" t="n">
        <f aca="false">O1060*4 + P1060*2 + MAX(0,N1060-O1060-P1060)*1 + Q1060*0.2 + R1060*2 + S1060*1 + IF(T1060="",0,IF(T1060&lt;=10,8,IF(T1060&lt;=50,6,IF(T1060&lt;=100,4,2))))</f>
        <v>0</v>
      </c>
      <c r="V1060" s="7"/>
      <c r="W1060" s="12"/>
      <c r="X1060" s="13"/>
      <c r="Y1060" s="13" t="s">
        <v>4539</v>
      </c>
    </row>
    <row r="1061" customFormat="false" ht="15.75" hidden="false" customHeight="true" outlineLevel="0" collapsed="false">
      <c r="A1061" s="7" t="s">
        <v>4540</v>
      </c>
      <c r="B1061" s="8" t="n">
        <v>2024</v>
      </c>
      <c r="C1061" s="8" t="s">
        <v>378</v>
      </c>
      <c r="D1061" s="8" t="n">
        <v>85</v>
      </c>
      <c r="E1061" s="7" t="s">
        <v>4541</v>
      </c>
      <c r="F1061" s="8" t="n">
        <v>7.8</v>
      </c>
      <c r="G1061" s="8"/>
      <c r="H1061" s="9" t="n">
        <v>8445</v>
      </c>
      <c r="I1061" s="7"/>
      <c r="J1061" s="7" t="s">
        <v>579</v>
      </c>
      <c r="K1061" s="7" t="s">
        <v>30</v>
      </c>
      <c r="L1061" s="10" t="s">
        <v>4043</v>
      </c>
      <c r="M1061" s="10" t="s">
        <v>4542</v>
      </c>
      <c r="N1061" s="8" t="n">
        <v>0</v>
      </c>
      <c r="O1061" s="8" t="n">
        <v>0</v>
      </c>
      <c r="P1061" s="8" t="n">
        <v>0</v>
      </c>
      <c r="Q1061" s="8" t="n">
        <v>0</v>
      </c>
      <c r="R1061" s="13" t="n">
        <v>0</v>
      </c>
      <c r="S1061" s="13" t="n">
        <v>0</v>
      </c>
      <c r="T1061" s="13"/>
      <c r="U1061" s="11" t="n">
        <f aca="false">O1061*4 + P1061*2 + MAX(0,N1061-O1061-P1061)*1 + Q1061*0.2 + R1061*2 + S1061*1 + IF(T1061="",0,IF(T1061&lt;=10,8,IF(T1061&lt;=50,6,IF(T1061&lt;=100,4,2))))</f>
        <v>0</v>
      </c>
      <c r="V1061" s="7"/>
      <c r="W1061" s="12"/>
      <c r="X1061" s="13"/>
      <c r="Y1061" s="13" t="s">
        <v>4543</v>
      </c>
    </row>
    <row r="1062" customFormat="false" ht="15.75" hidden="false" customHeight="true" outlineLevel="0" collapsed="false">
      <c r="A1062" s="7" t="s">
        <v>4544</v>
      </c>
      <c r="B1062" s="8" t="n">
        <v>2002</v>
      </c>
      <c r="C1062" s="8" t="s">
        <v>35</v>
      </c>
      <c r="D1062" s="8" t="n">
        <v>115</v>
      </c>
      <c r="E1062" s="7" t="s">
        <v>4545</v>
      </c>
      <c r="F1062" s="8" t="n">
        <v>7.3</v>
      </c>
      <c r="G1062" s="8"/>
      <c r="H1062" s="9" t="n">
        <v>1625</v>
      </c>
      <c r="I1062" s="7"/>
      <c r="J1062" s="7"/>
      <c r="K1062" s="12"/>
      <c r="L1062" s="10"/>
      <c r="M1062" s="10" t="s">
        <v>4546</v>
      </c>
      <c r="N1062" s="8" t="n">
        <v>0</v>
      </c>
      <c r="O1062" s="8" t="n">
        <v>0</v>
      </c>
      <c r="P1062" s="8" t="n">
        <v>0</v>
      </c>
      <c r="Q1062" s="8" t="n">
        <v>0</v>
      </c>
      <c r="R1062" s="13" t="n">
        <v>0</v>
      </c>
      <c r="S1062" s="13" t="n">
        <v>0</v>
      </c>
      <c r="T1062" s="13"/>
      <c r="U1062" s="11" t="n">
        <f aca="false">O1062*4 + P1062*2 + MAX(0,N1062-O1062-P1062)*1 + Q1062*0.2 + R1062*2 + S1062*1 + IF(T1062="",0,IF(T1062&lt;=10,8,IF(T1062&lt;=50,6,IF(T1062&lt;=100,4,2))))</f>
        <v>0</v>
      </c>
      <c r="V1062" s="7"/>
      <c r="W1062" s="12"/>
      <c r="X1062" s="13"/>
      <c r="Y1062" s="13" t="s">
        <v>4547</v>
      </c>
    </row>
    <row r="1063" customFormat="false" ht="15.75" hidden="false" customHeight="true" outlineLevel="0" collapsed="false">
      <c r="A1063" s="7" t="s">
        <v>4548</v>
      </c>
      <c r="B1063" s="8" t="n">
        <v>2008</v>
      </c>
      <c r="C1063" s="8" t="s">
        <v>35</v>
      </c>
      <c r="D1063" s="8" t="n">
        <v>100</v>
      </c>
      <c r="E1063" s="7" t="s">
        <v>1409</v>
      </c>
      <c r="F1063" s="8" t="n">
        <v>7.2</v>
      </c>
      <c r="G1063" s="8"/>
      <c r="H1063" s="9" t="n">
        <v>1763</v>
      </c>
      <c r="I1063" s="7" t="s">
        <v>46</v>
      </c>
      <c r="J1063" s="7" t="s">
        <v>47</v>
      </c>
      <c r="K1063" s="7"/>
      <c r="L1063" s="10" t="s">
        <v>205</v>
      </c>
      <c r="M1063" s="10" t="s">
        <v>4549</v>
      </c>
      <c r="N1063" s="8" t="n">
        <v>0</v>
      </c>
      <c r="O1063" s="8" t="n">
        <v>0</v>
      </c>
      <c r="P1063" s="8" t="n">
        <v>0</v>
      </c>
      <c r="Q1063" s="8" t="n">
        <v>0</v>
      </c>
      <c r="R1063" s="13" t="n">
        <v>0</v>
      </c>
      <c r="S1063" s="13" t="n">
        <v>0</v>
      </c>
      <c r="T1063" s="13"/>
      <c r="U1063" s="11" t="n">
        <f aca="false">O1063*4 + P1063*2 + MAX(0,N1063-O1063-P1063)*1 + Q1063*0.2 + R1063*2 + S1063*1 + IF(T1063="",0,IF(T1063&lt;=10,8,IF(T1063&lt;=50,6,IF(T1063&lt;=100,4,2))))</f>
        <v>0</v>
      </c>
      <c r="V1063" s="7"/>
      <c r="W1063" s="12"/>
      <c r="X1063" s="13"/>
      <c r="Y1063" s="13" t="s">
        <v>4550</v>
      </c>
    </row>
    <row r="1064" customFormat="false" ht="15.75" hidden="false" customHeight="true" outlineLevel="0" collapsed="false">
      <c r="A1064" s="7" t="s">
        <v>4551</v>
      </c>
      <c r="B1064" s="8" t="n">
        <v>2013</v>
      </c>
      <c r="C1064" s="8" t="s">
        <v>176</v>
      </c>
      <c r="D1064" s="8" t="n">
        <v>231</v>
      </c>
      <c r="E1064" s="7" t="s">
        <v>4552</v>
      </c>
      <c r="F1064" s="8" t="n">
        <v>7.9</v>
      </c>
      <c r="G1064" s="8"/>
      <c r="H1064" s="9" t="n">
        <v>1633</v>
      </c>
      <c r="I1064" s="7" t="s">
        <v>3350</v>
      </c>
      <c r="J1064" s="7" t="s">
        <v>47</v>
      </c>
      <c r="K1064" s="7" t="s">
        <v>453</v>
      </c>
      <c r="L1064" s="10" t="s">
        <v>205</v>
      </c>
      <c r="M1064" s="10" t="s">
        <v>4553</v>
      </c>
      <c r="N1064" s="8" t="n">
        <v>0</v>
      </c>
      <c r="O1064" s="8" t="n">
        <v>0</v>
      </c>
      <c r="P1064" s="8" t="n">
        <v>0</v>
      </c>
      <c r="Q1064" s="8" t="n">
        <v>0</v>
      </c>
      <c r="R1064" s="13" t="n">
        <v>0</v>
      </c>
      <c r="S1064" s="13" t="n">
        <v>0</v>
      </c>
      <c r="T1064" s="13"/>
      <c r="U1064" s="11" t="n">
        <f aca="false">O1064*4 + P1064*2 + MAX(0,N1064-O1064-P1064)*1 + Q1064*0.2 + R1064*2 + S1064*1 + IF(T1064="",0,IF(T1064&lt;=10,8,IF(T1064&lt;=50,6,IF(T1064&lt;=100,4,2))))</f>
        <v>0</v>
      </c>
      <c r="V1064" s="7"/>
      <c r="W1064" s="12"/>
      <c r="X1064" s="13"/>
      <c r="Y1064" s="13" t="s">
        <v>4554</v>
      </c>
    </row>
    <row r="1065" customFormat="false" ht="15.75" hidden="false" customHeight="true" outlineLevel="0" collapsed="false">
      <c r="A1065" s="7" t="s">
        <v>4555</v>
      </c>
      <c r="B1065" s="8" t="n">
        <v>2017</v>
      </c>
      <c r="C1065" s="8" t="s">
        <v>176</v>
      </c>
      <c r="D1065" s="8" t="n">
        <v>129</v>
      </c>
      <c r="E1065" s="7" t="s">
        <v>4556</v>
      </c>
      <c r="F1065" s="8" t="n">
        <v>7.7</v>
      </c>
      <c r="G1065" s="8"/>
      <c r="H1065" s="9" t="n">
        <v>8095</v>
      </c>
      <c r="I1065" s="7" t="s">
        <v>430</v>
      </c>
      <c r="J1065" s="7" t="s">
        <v>131</v>
      </c>
      <c r="K1065" s="7" t="s">
        <v>453</v>
      </c>
      <c r="L1065" s="10" t="s">
        <v>205</v>
      </c>
      <c r="M1065" s="10" t="s">
        <v>4557</v>
      </c>
      <c r="N1065" s="8" t="n">
        <v>0</v>
      </c>
      <c r="O1065" s="8" t="n">
        <v>0</v>
      </c>
      <c r="P1065" s="8" t="n">
        <v>0</v>
      </c>
      <c r="Q1065" s="8" t="n">
        <v>0</v>
      </c>
      <c r="R1065" s="13" t="n">
        <v>0</v>
      </c>
      <c r="S1065" s="13" t="n">
        <v>0</v>
      </c>
      <c r="T1065" s="13"/>
      <c r="U1065" s="11" t="n">
        <f aca="false">O1065*4 + P1065*2 + MAX(0,N1065-O1065-P1065)*1 + Q1065*0.2 + R1065*2 + S1065*1 + IF(T1065="",0,IF(T1065&lt;=10,8,IF(T1065&lt;=50,6,IF(T1065&lt;=100,4,2))))</f>
        <v>0</v>
      </c>
      <c r="V1065" s="7"/>
      <c r="W1065" s="12"/>
      <c r="X1065" s="13"/>
      <c r="Y1065" s="13" t="s">
        <v>4558</v>
      </c>
    </row>
    <row r="1066" customFormat="false" ht="15.75" hidden="false" customHeight="true" outlineLevel="0" collapsed="false">
      <c r="A1066" s="7" t="s">
        <v>4559</v>
      </c>
      <c r="B1066" s="8" t="n">
        <v>2017</v>
      </c>
      <c r="C1066" s="8" t="s">
        <v>176</v>
      </c>
      <c r="D1066" s="8" t="n">
        <v>86</v>
      </c>
      <c r="E1066" s="7" t="s">
        <v>4560</v>
      </c>
      <c r="F1066" s="8" t="n">
        <v>7.7</v>
      </c>
      <c r="G1066" s="8"/>
      <c r="H1066" s="9" t="n">
        <v>1176</v>
      </c>
      <c r="I1066" s="7" t="s">
        <v>3956</v>
      </c>
      <c r="J1066" s="7" t="s">
        <v>47</v>
      </c>
      <c r="K1066" s="7"/>
      <c r="L1066" s="10" t="s">
        <v>2682</v>
      </c>
      <c r="M1066" s="10" t="s">
        <v>4561</v>
      </c>
      <c r="N1066" s="8" t="n">
        <v>0</v>
      </c>
      <c r="O1066" s="8" t="n">
        <v>0</v>
      </c>
      <c r="P1066" s="8" t="n">
        <v>0</v>
      </c>
      <c r="Q1066" s="8" t="n">
        <v>0</v>
      </c>
      <c r="R1066" s="13" t="n">
        <v>0</v>
      </c>
      <c r="S1066" s="13" t="n">
        <v>0</v>
      </c>
      <c r="T1066" s="13"/>
      <c r="U1066" s="11" t="n">
        <f aca="false">O1066*4 + P1066*2 + MAX(0,N1066-O1066-P1066)*1 + Q1066*0.2 + R1066*2 + S1066*1 + IF(T1066="",0,IF(T1066&lt;=10,8,IF(T1066&lt;=50,6,IF(T1066&lt;=100,4,2))))</f>
        <v>0</v>
      </c>
      <c r="V1066" s="7"/>
      <c r="W1066" s="12"/>
      <c r="X1066" s="13"/>
      <c r="Y1066" s="13" t="s">
        <v>4562</v>
      </c>
    </row>
    <row r="1067" customFormat="false" ht="15.75" hidden="false" customHeight="true" outlineLevel="0" collapsed="false">
      <c r="A1067" s="7" t="s">
        <v>4563</v>
      </c>
      <c r="B1067" s="8" t="n">
        <v>2019</v>
      </c>
      <c r="C1067" s="8" t="s">
        <v>176</v>
      </c>
      <c r="D1067" s="8" t="n">
        <v>92</v>
      </c>
      <c r="E1067" s="7" t="s">
        <v>4564</v>
      </c>
      <c r="F1067" s="8" t="n">
        <v>7.5</v>
      </c>
      <c r="G1067" s="8"/>
      <c r="H1067" s="9" t="n">
        <v>1590</v>
      </c>
      <c r="I1067" s="7" t="s">
        <v>4565</v>
      </c>
      <c r="J1067" s="7" t="s">
        <v>579</v>
      </c>
      <c r="K1067" s="7" t="s">
        <v>259</v>
      </c>
      <c r="L1067" s="10"/>
      <c r="M1067" s="10" t="s">
        <v>4566</v>
      </c>
      <c r="N1067" s="8" t="n">
        <v>0</v>
      </c>
      <c r="O1067" s="8" t="n">
        <v>0</v>
      </c>
      <c r="P1067" s="8" t="n">
        <v>0</v>
      </c>
      <c r="Q1067" s="8" t="n">
        <v>0</v>
      </c>
      <c r="R1067" s="13" t="n">
        <v>0</v>
      </c>
      <c r="S1067" s="13" t="n">
        <v>0</v>
      </c>
      <c r="T1067" s="13"/>
      <c r="U1067" s="11" t="n">
        <f aca="false">O1067*4 + P1067*2 + MAX(0,N1067-O1067-P1067)*1 + Q1067*0.2 + R1067*2 + S1067*1 + IF(T1067="",0,IF(T1067&lt;=10,8,IF(T1067&lt;=50,6,IF(T1067&lt;=100,4,2))))</f>
        <v>0</v>
      </c>
      <c r="V1067" s="7"/>
      <c r="W1067" s="12"/>
      <c r="X1067" s="13"/>
      <c r="Y1067" s="13" t="s">
        <v>4567</v>
      </c>
    </row>
    <row r="1068" customFormat="false" ht="15.75" hidden="false" customHeight="true" outlineLevel="0" collapsed="false">
      <c r="A1068" s="7" t="s">
        <v>4568</v>
      </c>
      <c r="B1068" s="8" t="n">
        <v>2019</v>
      </c>
      <c r="C1068" s="8" t="s">
        <v>176</v>
      </c>
      <c r="D1068" s="8" t="n">
        <v>100</v>
      </c>
      <c r="E1068" s="7" t="s">
        <v>4569</v>
      </c>
      <c r="F1068" s="8" t="n">
        <v>7.4</v>
      </c>
      <c r="G1068" s="8"/>
      <c r="H1068" s="9" t="n">
        <v>770</v>
      </c>
      <c r="I1068" s="7" t="s">
        <v>4570</v>
      </c>
      <c r="J1068" s="7" t="s">
        <v>154</v>
      </c>
      <c r="K1068" s="7"/>
      <c r="L1068" s="10"/>
      <c r="M1068" s="10" t="s">
        <v>4571</v>
      </c>
      <c r="N1068" s="8" t="n">
        <v>0</v>
      </c>
      <c r="O1068" s="8" t="n">
        <v>0</v>
      </c>
      <c r="P1068" s="8" t="n">
        <v>0</v>
      </c>
      <c r="Q1068" s="8" t="n">
        <v>0</v>
      </c>
      <c r="R1068" s="13" t="n">
        <v>0</v>
      </c>
      <c r="S1068" s="13" t="n">
        <v>0</v>
      </c>
      <c r="T1068" s="13"/>
      <c r="U1068" s="11" t="n">
        <f aca="false">O1068*4 + P1068*2 + MAX(0,N1068-O1068-P1068)*1 + Q1068*0.2 + R1068*2 + S1068*1 + IF(T1068="",0,IF(T1068&lt;=10,8,IF(T1068&lt;=50,6,IF(T1068&lt;=100,4,2))))</f>
        <v>0</v>
      </c>
      <c r="V1068" s="7"/>
      <c r="W1068" s="12"/>
      <c r="X1068" s="13"/>
      <c r="Y1068" s="13" t="s">
        <v>4572</v>
      </c>
    </row>
    <row r="1069" customFormat="false" ht="15.75" hidden="false" customHeight="true" outlineLevel="0" collapsed="false">
      <c r="A1069" s="7" t="s">
        <v>4573</v>
      </c>
      <c r="B1069" s="8" t="n">
        <v>2001</v>
      </c>
      <c r="C1069" s="8" t="s">
        <v>35</v>
      </c>
      <c r="D1069" s="8" t="n">
        <v>123</v>
      </c>
      <c r="E1069" s="7" t="s">
        <v>4087</v>
      </c>
      <c r="F1069" s="8" t="n">
        <v>7</v>
      </c>
      <c r="G1069" s="8"/>
      <c r="H1069" s="9" t="n">
        <v>552</v>
      </c>
      <c r="I1069" s="7" t="s">
        <v>4574</v>
      </c>
      <c r="J1069" s="7" t="s">
        <v>30</v>
      </c>
      <c r="K1069" s="7" t="s">
        <v>47</v>
      </c>
      <c r="L1069" s="10"/>
      <c r="M1069" s="10" t="s">
        <v>4575</v>
      </c>
      <c r="N1069" s="8" t="n">
        <v>0</v>
      </c>
      <c r="O1069" s="8" t="n">
        <v>0</v>
      </c>
      <c r="P1069" s="8" t="n">
        <v>0</v>
      </c>
      <c r="Q1069" s="8" t="n">
        <v>0</v>
      </c>
      <c r="R1069" s="13" t="n">
        <v>0</v>
      </c>
      <c r="S1069" s="13" t="n">
        <v>0</v>
      </c>
      <c r="T1069" s="13"/>
      <c r="U1069" s="11" t="n">
        <f aca="false">O1069*4 + P1069*2 + MAX(0,N1069-O1069-P1069)*1 + Q1069*0.2 + R1069*2 + S1069*1 + IF(T1069="",0,IF(T1069&lt;=10,8,IF(T1069&lt;=50,6,IF(T1069&lt;=100,4,2))))</f>
        <v>0</v>
      </c>
      <c r="V1069" s="7"/>
      <c r="W1069" s="12"/>
      <c r="X1069" s="13"/>
      <c r="Y1069" s="13" t="s">
        <v>4576</v>
      </c>
    </row>
    <row r="1070" customFormat="false" ht="15.75" hidden="false" customHeight="true" outlineLevel="0" collapsed="false">
      <c r="A1070" s="7" t="s">
        <v>4577</v>
      </c>
      <c r="B1070" s="8" t="n">
        <v>2018</v>
      </c>
      <c r="C1070" s="8" t="s">
        <v>176</v>
      </c>
      <c r="D1070" s="8" t="n">
        <v>808</v>
      </c>
      <c r="E1070" s="7" t="s">
        <v>4082</v>
      </c>
      <c r="F1070" s="8" t="n">
        <v>7.3</v>
      </c>
      <c r="G1070" s="8"/>
      <c r="H1070" s="9" t="n">
        <v>954</v>
      </c>
      <c r="I1070" s="7" t="s">
        <v>292</v>
      </c>
      <c r="J1070" s="7" t="s">
        <v>90</v>
      </c>
      <c r="K1070" s="7" t="s">
        <v>38</v>
      </c>
      <c r="L1070" s="10" t="s">
        <v>205</v>
      </c>
      <c r="M1070" s="10" t="s">
        <v>4578</v>
      </c>
      <c r="N1070" s="8" t="n">
        <v>0</v>
      </c>
      <c r="O1070" s="8" t="n">
        <v>0</v>
      </c>
      <c r="P1070" s="8" t="n">
        <v>0</v>
      </c>
      <c r="Q1070" s="8" t="n">
        <v>0</v>
      </c>
      <c r="R1070" s="13" t="n">
        <v>0</v>
      </c>
      <c r="S1070" s="13" t="n">
        <v>0</v>
      </c>
      <c r="T1070" s="13"/>
      <c r="U1070" s="11" t="n">
        <f aca="false">O1070*4 + P1070*2 + MAX(0,N1070-O1070-P1070)*1 + Q1070*0.2 + R1070*2 + S1070*1 + IF(T1070="",0,IF(T1070&lt;=10,8,IF(T1070&lt;=50,6,IF(T1070&lt;=100,4,2))))</f>
        <v>0</v>
      </c>
      <c r="V1070" s="7"/>
      <c r="W1070" s="12"/>
      <c r="X1070" s="13"/>
      <c r="Y1070" s="13" t="s">
        <v>4579</v>
      </c>
    </row>
    <row r="1071" customFormat="false" ht="15.75" hidden="false" customHeight="true" outlineLevel="0" collapsed="false">
      <c r="A1071" s="7" t="s">
        <v>4580</v>
      </c>
      <c r="B1071" s="8" t="n">
        <v>2001</v>
      </c>
      <c r="C1071" s="8" t="s">
        <v>35</v>
      </c>
      <c r="D1071" s="8" t="n">
        <v>154</v>
      </c>
      <c r="E1071" s="7" t="s">
        <v>4581</v>
      </c>
      <c r="F1071" s="8" t="n">
        <v>6.9</v>
      </c>
      <c r="G1071" s="8"/>
      <c r="H1071" s="9" t="n">
        <v>2661</v>
      </c>
      <c r="I1071" s="7" t="s">
        <v>4582</v>
      </c>
      <c r="J1071" s="7" t="s">
        <v>30</v>
      </c>
      <c r="K1071" s="7" t="s">
        <v>54</v>
      </c>
      <c r="L1071" s="10" t="s">
        <v>98</v>
      </c>
      <c r="M1071" s="7" t="s">
        <v>4583</v>
      </c>
      <c r="N1071" s="8" t="n">
        <v>0</v>
      </c>
      <c r="O1071" s="8" t="n">
        <v>0</v>
      </c>
      <c r="P1071" s="8" t="n">
        <v>0</v>
      </c>
      <c r="Q1071" s="8" t="n">
        <v>0</v>
      </c>
      <c r="R1071" s="8" t="n">
        <v>0</v>
      </c>
      <c r="S1071" s="13" t="n">
        <v>0</v>
      </c>
      <c r="T1071" s="8"/>
      <c r="U1071" s="11" t="n">
        <f aca="false">O1071*4 + P1071*2 + MAX(0,N1071-O1071-P1071)*1 + Q1071*0.2 + R1071*2 + S1071*1 + IF(T1071="",0,IF(T1071&lt;=10,8,IF(T1071&lt;=50,6,IF(T1071&lt;=100,4,2))))</f>
        <v>0</v>
      </c>
      <c r="V1071" s="10" t="s">
        <v>4584</v>
      </c>
      <c r="W1071" s="12"/>
      <c r="X1071" s="8" t="n">
        <v>33</v>
      </c>
      <c r="Y1071" s="8" t="s">
        <v>4585</v>
      </c>
    </row>
    <row r="1072" customFormat="false" ht="15.75" hidden="false" customHeight="true" outlineLevel="0" collapsed="false">
      <c r="A1072" s="7" t="s">
        <v>4586</v>
      </c>
      <c r="B1072" s="8" t="n">
        <v>2018</v>
      </c>
      <c r="C1072" s="8" t="s">
        <v>176</v>
      </c>
      <c r="D1072" s="8" t="n">
        <v>120</v>
      </c>
      <c r="E1072" s="7" t="s">
        <v>4587</v>
      </c>
      <c r="F1072" s="8" t="n">
        <v>7.4</v>
      </c>
      <c r="G1072" s="8"/>
      <c r="H1072" s="9" t="n">
        <v>6448</v>
      </c>
      <c r="I1072" s="7" t="s">
        <v>373</v>
      </c>
      <c r="J1072" s="7" t="s">
        <v>29</v>
      </c>
      <c r="K1072" s="7" t="s">
        <v>47</v>
      </c>
      <c r="L1072" s="10" t="s">
        <v>238</v>
      </c>
      <c r="M1072" s="10" t="s">
        <v>4588</v>
      </c>
      <c r="N1072" s="8" t="n">
        <v>0</v>
      </c>
      <c r="O1072" s="8" t="n">
        <v>0</v>
      </c>
      <c r="P1072" s="8" t="n">
        <v>0</v>
      </c>
      <c r="Q1072" s="8" t="n">
        <v>0</v>
      </c>
      <c r="R1072" s="13" t="n">
        <v>0</v>
      </c>
      <c r="S1072" s="13" t="n">
        <v>0</v>
      </c>
      <c r="T1072" s="13"/>
      <c r="U1072" s="11" t="n">
        <f aca="false">O1072*4 + P1072*2 + MAX(0,N1072-O1072-P1072)*1 + Q1072*0.2 + R1072*2 + S1072*1 + IF(T1072="",0,IF(T1072&lt;=10,8,IF(T1072&lt;=50,6,IF(T1072&lt;=100,4,2))))</f>
        <v>0</v>
      </c>
      <c r="V1072" s="7"/>
      <c r="W1072" s="12"/>
      <c r="X1072" s="13"/>
      <c r="Y1072" s="13" t="s">
        <v>4589</v>
      </c>
    </row>
    <row r="1073" customFormat="false" ht="15.75" hidden="false" customHeight="true" outlineLevel="0" collapsed="false">
      <c r="A1073" s="7" t="s">
        <v>4590</v>
      </c>
      <c r="B1073" s="8" t="n">
        <v>2013</v>
      </c>
      <c r="C1073" s="8" t="s">
        <v>176</v>
      </c>
      <c r="D1073" s="8" t="n">
        <v>116</v>
      </c>
      <c r="E1073" s="7" t="s">
        <v>4591</v>
      </c>
      <c r="F1073" s="8" t="n">
        <v>7.9</v>
      </c>
      <c r="G1073" s="8"/>
      <c r="H1073" s="9" t="n">
        <v>5129</v>
      </c>
      <c r="I1073" s="7"/>
      <c r="J1073" s="7"/>
      <c r="K1073" s="12"/>
      <c r="L1073" s="10" t="s">
        <v>1686</v>
      </c>
      <c r="M1073" s="10" t="s">
        <v>4592</v>
      </c>
      <c r="N1073" s="8" t="n">
        <v>0</v>
      </c>
      <c r="O1073" s="8" t="n">
        <v>0</v>
      </c>
      <c r="P1073" s="8" t="n">
        <v>0</v>
      </c>
      <c r="Q1073" s="8" t="n">
        <v>0</v>
      </c>
      <c r="R1073" s="13" t="n">
        <v>0</v>
      </c>
      <c r="S1073" s="13" t="n">
        <v>0</v>
      </c>
      <c r="T1073" s="13"/>
      <c r="U1073" s="11" t="n">
        <f aca="false">O1073*4 + P1073*2 + MAX(0,N1073-O1073-P1073)*1 + Q1073*0.2 + R1073*2 + S1073*1 + IF(T1073="",0,IF(T1073&lt;=10,8,IF(T1073&lt;=50,6,IF(T1073&lt;=100,4,2))))</f>
        <v>0</v>
      </c>
      <c r="V1073" s="7"/>
      <c r="W1073" s="12"/>
      <c r="X1073" s="13"/>
      <c r="Y1073" s="13" t="s">
        <v>4593</v>
      </c>
    </row>
    <row r="1074" customFormat="false" ht="15.75" hidden="false" customHeight="true" outlineLevel="0" collapsed="false">
      <c r="A1074" s="7" t="s">
        <v>4594</v>
      </c>
      <c r="B1074" s="8" t="n">
        <v>2020</v>
      </c>
      <c r="C1074" s="8" t="s">
        <v>378</v>
      </c>
      <c r="D1074" s="8" t="n">
        <v>140</v>
      </c>
      <c r="E1074" s="7" t="s">
        <v>4595</v>
      </c>
      <c r="F1074" s="8" t="n">
        <v>8.3</v>
      </c>
      <c r="G1074" s="8"/>
      <c r="H1074" s="9" t="n">
        <v>14996</v>
      </c>
      <c r="I1074" s="7" t="s">
        <v>124</v>
      </c>
      <c r="J1074" s="7" t="s">
        <v>579</v>
      </c>
      <c r="K1074" s="7" t="s">
        <v>38</v>
      </c>
      <c r="L1074" s="10" t="s">
        <v>238</v>
      </c>
      <c r="M1074" s="10" t="s">
        <v>4596</v>
      </c>
      <c r="N1074" s="8" t="n">
        <v>0</v>
      </c>
      <c r="O1074" s="8" t="n">
        <v>0</v>
      </c>
      <c r="P1074" s="8" t="n">
        <v>0</v>
      </c>
      <c r="Q1074" s="8" t="n">
        <v>0</v>
      </c>
      <c r="R1074" s="13" t="n">
        <v>0</v>
      </c>
      <c r="S1074" s="13" t="n">
        <v>0</v>
      </c>
      <c r="T1074" s="13"/>
      <c r="U1074" s="11" t="n">
        <f aca="false">O1074*4 + P1074*2 + MAX(0,N1074-O1074-P1074)*1 + Q1074*0.2 + R1074*2 + S1074*1 + IF(T1074="",0,IF(T1074&lt;=10,8,IF(T1074&lt;=50,6,IF(T1074&lt;=100,4,2))))</f>
        <v>0</v>
      </c>
      <c r="V1074" s="7"/>
      <c r="W1074" s="12"/>
      <c r="X1074" s="13"/>
      <c r="Y1074" s="13" t="s">
        <v>4597</v>
      </c>
    </row>
    <row r="1075" customFormat="false" ht="15.75" hidden="false" customHeight="true" outlineLevel="0" collapsed="false">
      <c r="A1075" s="7" t="s">
        <v>4598</v>
      </c>
      <c r="B1075" s="8" t="n">
        <v>2013</v>
      </c>
      <c r="C1075" s="8" t="s">
        <v>176</v>
      </c>
      <c r="D1075" s="8" t="n">
        <v>112</v>
      </c>
      <c r="E1075" s="7" t="s">
        <v>4599</v>
      </c>
      <c r="F1075" s="8" t="n">
        <v>7.6</v>
      </c>
      <c r="G1075" s="8"/>
      <c r="H1075" s="9" t="n">
        <v>3473</v>
      </c>
      <c r="I1075" s="7" t="s">
        <v>4512</v>
      </c>
      <c r="J1075" s="7" t="s">
        <v>47</v>
      </c>
      <c r="K1075" s="7"/>
      <c r="L1075" s="10" t="s">
        <v>205</v>
      </c>
      <c r="M1075" s="10" t="s">
        <v>4600</v>
      </c>
      <c r="N1075" s="8" t="n">
        <v>0</v>
      </c>
      <c r="O1075" s="8" t="n">
        <v>0</v>
      </c>
      <c r="P1075" s="8" t="n">
        <v>0</v>
      </c>
      <c r="Q1075" s="8" t="n">
        <v>0</v>
      </c>
      <c r="R1075" s="13" t="n">
        <v>0</v>
      </c>
      <c r="S1075" s="13" t="n">
        <v>0</v>
      </c>
      <c r="T1075" s="13"/>
      <c r="U1075" s="11" t="n">
        <f aca="false">O1075*4 + P1075*2 + MAX(0,N1075-O1075-P1075)*1 + Q1075*0.2 + R1075*2 + S1075*1 + IF(T1075="",0,IF(T1075&lt;=10,8,IF(T1075&lt;=50,6,IF(T1075&lt;=100,4,2))))</f>
        <v>0</v>
      </c>
      <c r="V1075" s="7"/>
      <c r="W1075" s="12"/>
      <c r="X1075" s="13"/>
      <c r="Y1075" s="13" t="s">
        <v>4601</v>
      </c>
    </row>
    <row r="1076" customFormat="false" ht="15.75" hidden="false" customHeight="true" outlineLevel="0" collapsed="false">
      <c r="A1076" s="7" t="s">
        <v>4602</v>
      </c>
      <c r="B1076" s="8" t="n">
        <v>2000</v>
      </c>
      <c r="C1076" s="8" t="s">
        <v>35</v>
      </c>
      <c r="D1076" s="8" t="n">
        <v>90</v>
      </c>
      <c r="E1076" s="7" t="s">
        <v>4120</v>
      </c>
      <c r="F1076" s="8" t="n">
        <v>7.3</v>
      </c>
      <c r="G1076" s="8"/>
      <c r="H1076" s="9" t="n">
        <v>3168</v>
      </c>
      <c r="I1076" s="7" t="s">
        <v>4603</v>
      </c>
      <c r="J1076" s="7" t="s">
        <v>47</v>
      </c>
      <c r="K1076" s="7" t="s">
        <v>54</v>
      </c>
      <c r="L1076" s="10"/>
      <c r="M1076" s="10" t="s">
        <v>4604</v>
      </c>
      <c r="N1076" s="8" t="n">
        <v>0</v>
      </c>
      <c r="O1076" s="8" t="n">
        <v>0</v>
      </c>
      <c r="P1076" s="8" t="n">
        <v>0</v>
      </c>
      <c r="Q1076" s="8" t="n">
        <v>0</v>
      </c>
      <c r="R1076" s="13" t="n">
        <v>0</v>
      </c>
      <c r="S1076" s="13" t="n">
        <v>0</v>
      </c>
      <c r="T1076" s="13"/>
      <c r="U1076" s="11" t="n">
        <f aca="false">O1076*4 + P1076*2 + MAX(0,N1076-O1076-P1076)*1 + Q1076*0.2 + R1076*2 + S1076*1 + IF(T1076="",0,IF(T1076&lt;=10,8,IF(T1076&lt;=50,6,IF(T1076&lt;=100,4,2))))</f>
        <v>0</v>
      </c>
      <c r="V1076" s="7"/>
      <c r="W1076" s="12"/>
      <c r="X1076" s="13"/>
      <c r="Y1076" s="13" t="s">
        <v>4605</v>
      </c>
    </row>
    <row r="1077" customFormat="false" ht="15.75" hidden="false" customHeight="true" outlineLevel="0" collapsed="false">
      <c r="A1077" s="7" t="s">
        <v>4606</v>
      </c>
      <c r="B1077" s="8" t="n">
        <v>2019</v>
      </c>
      <c r="C1077" s="8" t="s">
        <v>176</v>
      </c>
      <c r="D1077" s="8" t="n">
        <v>120</v>
      </c>
      <c r="E1077" s="7" t="s">
        <v>4607</v>
      </c>
      <c r="F1077" s="8" t="n">
        <v>7.3</v>
      </c>
      <c r="G1077" s="8"/>
      <c r="H1077" s="9" t="n">
        <v>1708</v>
      </c>
      <c r="I1077" s="7" t="s">
        <v>4608</v>
      </c>
      <c r="J1077" s="7" t="s">
        <v>47</v>
      </c>
      <c r="K1077" s="7"/>
      <c r="L1077" s="10" t="s">
        <v>1044</v>
      </c>
      <c r="M1077" s="10" t="s">
        <v>4609</v>
      </c>
      <c r="N1077" s="8" t="n">
        <v>0</v>
      </c>
      <c r="O1077" s="8" t="n">
        <v>0</v>
      </c>
      <c r="P1077" s="8" t="n">
        <v>0</v>
      </c>
      <c r="Q1077" s="8" t="n">
        <v>0</v>
      </c>
      <c r="R1077" s="13" t="n">
        <v>0</v>
      </c>
      <c r="S1077" s="13" t="n">
        <v>0</v>
      </c>
      <c r="T1077" s="13"/>
      <c r="U1077" s="11" t="n">
        <f aca="false">O1077*4 + P1077*2 + MAX(0,N1077-O1077-P1077)*1 + Q1077*0.2 + R1077*2 + S1077*1 + IF(T1077="",0,IF(T1077&lt;=10,8,IF(T1077&lt;=50,6,IF(T1077&lt;=100,4,2))))</f>
        <v>0</v>
      </c>
      <c r="V1077" s="7"/>
      <c r="W1077" s="12"/>
      <c r="X1077" s="13"/>
      <c r="Y1077" s="13" t="s">
        <v>4610</v>
      </c>
    </row>
    <row r="1078" customFormat="false" ht="15.75" hidden="false" customHeight="true" outlineLevel="0" collapsed="false">
      <c r="A1078" s="7" t="s">
        <v>4611</v>
      </c>
      <c r="B1078" s="8" t="n">
        <v>2008</v>
      </c>
      <c r="C1078" s="8" t="s">
        <v>35</v>
      </c>
      <c r="D1078" s="8" t="n">
        <v>111</v>
      </c>
      <c r="E1078" s="7" t="s">
        <v>4612</v>
      </c>
      <c r="F1078" s="8" t="n">
        <v>7.5</v>
      </c>
      <c r="G1078" s="8"/>
      <c r="H1078" s="9" t="n">
        <v>1910</v>
      </c>
      <c r="I1078" s="7" t="s">
        <v>28</v>
      </c>
      <c r="J1078" s="7" t="s">
        <v>30</v>
      </c>
      <c r="K1078" s="7"/>
      <c r="L1078" s="10"/>
      <c r="M1078" s="10" t="s">
        <v>4613</v>
      </c>
      <c r="N1078" s="8" t="n">
        <v>0</v>
      </c>
      <c r="O1078" s="8" t="n">
        <v>0</v>
      </c>
      <c r="P1078" s="8" t="n">
        <v>0</v>
      </c>
      <c r="Q1078" s="8" t="n">
        <v>0</v>
      </c>
      <c r="R1078" s="13" t="n">
        <v>0</v>
      </c>
      <c r="S1078" s="13" t="n">
        <v>0</v>
      </c>
      <c r="T1078" s="13"/>
      <c r="U1078" s="11" t="n">
        <f aca="false">O1078*4 + P1078*2 + MAX(0,N1078-O1078-P1078)*1 + Q1078*0.2 + R1078*2 + S1078*1 + IF(T1078="",0,IF(T1078&lt;=10,8,IF(T1078&lt;=50,6,IF(T1078&lt;=100,4,2))))</f>
        <v>0</v>
      </c>
      <c r="V1078" s="7"/>
      <c r="W1078" s="12"/>
      <c r="X1078" s="13"/>
      <c r="Y1078" s="13" t="s">
        <v>4614</v>
      </c>
    </row>
    <row r="1079" customFormat="false" ht="15.75" hidden="false" customHeight="true" outlineLevel="0" collapsed="false">
      <c r="A1079" s="7" t="s">
        <v>4615</v>
      </c>
      <c r="B1079" s="8" t="n">
        <v>2024</v>
      </c>
      <c r="C1079" s="8" t="s">
        <v>378</v>
      </c>
      <c r="D1079" s="8" t="n">
        <v>104</v>
      </c>
      <c r="E1079" s="7" t="s">
        <v>4616</v>
      </c>
      <c r="F1079" s="8" t="n">
        <v>7</v>
      </c>
      <c r="G1079" s="8"/>
      <c r="H1079" s="9" t="n">
        <v>2220</v>
      </c>
      <c r="I1079" s="7"/>
      <c r="J1079" s="7" t="s">
        <v>47</v>
      </c>
      <c r="K1079" s="7"/>
      <c r="L1079" s="10" t="s">
        <v>166</v>
      </c>
      <c r="M1079" s="10" t="s">
        <v>4617</v>
      </c>
      <c r="N1079" s="8" t="n">
        <v>0</v>
      </c>
      <c r="O1079" s="8" t="n">
        <v>0</v>
      </c>
      <c r="P1079" s="8" t="n">
        <v>0</v>
      </c>
      <c r="Q1079" s="8" t="n">
        <v>0</v>
      </c>
      <c r="R1079" s="13" t="n">
        <v>0</v>
      </c>
      <c r="S1079" s="13" t="n">
        <v>0</v>
      </c>
      <c r="T1079" s="13"/>
      <c r="U1079" s="11" t="n">
        <f aca="false">O1079*4 + P1079*2 + MAX(0,N1079-O1079-P1079)*1 + Q1079*0.2 + R1079*2 + S1079*1 + IF(T1079="",0,IF(T1079&lt;=10,8,IF(T1079&lt;=50,6,IF(T1079&lt;=100,4,2))))</f>
        <v>0</v>
      </c>
      <c r="V1079" s="7"/>
      <c r="W1079" s="12"/>
      <c r="X1079" s="13"/>
      <c r="Y1079" s="13" t="s">
        <v>4618</v>
      </c>
    </row>
    <row r="1080" customFormat="false" ht="15.75" hidden="false" customHeight="true" outlineLevel="0" collapsed="false">
      <c r="A1080" s="7" t="s">
        <v>4619</v>
      </c>
      <c r="B1080" s="8" t="n">
        <v>2012</v>
      </c>
      <c r="C1080" s="8" t="s">
        <v>176</v>
      </c>
      <c r="D1080" s="8" t="n">
        <v>100</v>
      </c>
      <c r="E1080" s="7" t="s">
        <v>4620</v>
      </c>
      <c r="F1080" s="8" t="n">
        <v>6.3</v>
      </c>
      <c r="G1080" s="8"/>
      <c r="H1080" s="9" t="n">
        <v>403</v>
      </c>
      <c r="I1080" s="7" t="s">
        <v>4341</v>
      </c>
      <c r="J1080" s="7" t="s">
        <v>47</v>
      </c>
      <c r="K1080" s="7" t="s">
        <v>48</v>
      </c>
      <c r="L1080" s="10" t="s">
        <v>4621</v>
      </c>
      <c r="M1080" s="10" t="s">
        <v>4622</v>
      </c>
      <c r="N1080" s="8" t="n">
        <v>0</v>
      </c>
      <c r="O1080" s="8" t="n">
        <v>0</v>
      </c>
      <c r="P1080" s="8" t="n">
        <v>0</v>
      </c>
      <c r="Q1080" s="8" t="n">
        <v>0</v>
      </c>
      <c r="R1080" s="13" t="n">
        <v>0</v>
      </c>
      <c r="S1080" s="13" t="n">
        <v>0</v>
      </c>
      <c r="T1080" s="13"/>
      <c r="U1080" s="11" t="n">
        <f aca="false">O1080*4 + P1080*2 + MAX(0,N1080-O1080-P1080)*1 + Q1080*0.2 + R1080*2 + S1080*1 + IF(T1080="",0,IF(T1080&lt;=10,8,IF(T1080&lt;=50,6,IF(T1080&lt;=100,4,2))))</f>
        <v>0</v>
      </c>
      <c r="V1080" s="7"/>
      <c r="W1080" s="12"/>
      <c r="X1080" s="13"/>
      <c r="Y1080" s="13" t="s">
        <v>4623</v>
      </c>
    </row>
    <row r="1081" customFormat="false" ht="15.75" hidden="false" customHeight="true" outlineLevel="0" collapsed="false">
      <c r="A1081" s="7" t="s">
        <v>4624</v>
      </c>
      <c r="B1081" s="8" t="n">
        <v>2004</v>
      </c>
      <c r="C1081" s="8" t="s">
        <v>35</v>
      </c>
      <c r="D1081" s="8" t="n">
        <v>93</v>
      </c>
      <c r="E1081" s="7" t="s">
        <v>4625</v>
      </c>
      <c r="F1081" s="8" t="n">
        <v>7.5</v>
      </c>
      <c r="G1081" s="8"/>
      <c r="H1081" s="9" t="n">
        <v>1101</v>
      </c>
      <c r="I1081" s="7"/>
      <c r="J1081" s="7"/>
      <c r="K1081" s="12"/>
      <c r="L1081" s="10"/>
      <c r="M1081" s="10" t="s">
        <v>4626</v>
      </c>
      <c r="N1081" s="8" t="n">
        <v>0</v>
      </c>
      <c r="O1081" s="8" t="n">
        <v>0</v>
      </c>
      <c r="P1081" s="8" t="n">
        <v>0</v>
      </c>
      <c r="Q1081" s="8" t="n">
        <v>0</v>
      </c>
      <c r="R1081" s="13" t="n">
        <v>0</v>
      </c>
      <c r="S1081" s="13" t="n">
        <v>0</v>
      </c>
      <c r="T1081" s="13"/>
      <c r="U1081" s="11" t="n">
        <f aca="false">O1081*4 + P1081*2 + MAX(0,N1081-O1081-P1081)*1 + Q1081*0.2 + R1081*2 + S1081*1 + IF(T1081="",0,IF(T1081&lt;=10,8,IF(T1081&lt;=50,6,IF(T1081&lt;=100,4,2))))</f>
        <v>0</v>
      </c>
      <c r="V1081" s="7"/>
      <c r="W1081" s="12"/>
      <c r="X1081" s="13"/>
      <c r="Y1081" s="13" t="s">
        <v>4627</v>
      </c>
    </row>
    <row r="1082" customFormat="false" ht="15.75" hidden="false" customHeight="true" outlineLevel="0" collapsed="false">
      <c r="A1082" s="7" t="s">
        <v>4628</v>
      </c>
      <c r="B1082" s="8" t="n">
        <v>2006</v>
      </c>
      <c r="C1082" s="8" t="s">
        <v>35</v>
      </c>
      <c r="D1082" s="8" t="n">
        <v>127</v>
      </c>
      <c r="E1082" s="7" t="s">
        <v>4545</v>
      </c>
      <c r="F1082" s="8" t="n">
        <v>6.8</v>
      </c>
      <c r="G1082" s="8"/>
      <c r="H1082" s="9" t="n">
        <v>1525</v>
      </c>
      <c r="I1082" s="7" t="s">
        <v>430</v>
      </c>
      <c r="J1082" s="7" t="s">
        <v>29</v>
      </c>
      <c r="K1082" s="7" t="s">
        <v>30</v>
      </c>
      <c r="L1082" s="10"/>
      <c r="M1082" s="10" t="s">
        <v>4629</v>
      </c>
      <c r="N1082" s="8" t="n">
        <v>0</v>
      </c>
      <c r="O1082" s="8" t="n">
        <v>0</v>
      </c>
      <c r="P1082" s="8" t="n">
        <v>0</v>
      </c>
      <c r="Q1082" s="8" t="n">
        <v>0</v>
      </c>
      <c r="R1082" s="13" t="n">
        <v>0</v>
      </c>
      <c r="S1082" s="13" t="n">
        <v>0</v>
      </c>
      <c r="T1082" s="13"/>
      <c r="U1082" s="11" t="n">
        <f aca="false">O1082*4 + P1082*2 + MAX(0,N1082-O1082-P1082)*1 + Q1082*0.2 + R1082*2 + S1082*1 + IF(T1082="",0,IF(T1082&lt;=10,8,IF(T1082&lt;=50,6,IF(T1082&lt;=100,4,2))))</f>
        <v>0</v>
      </c>
      <c r="V1082" s="7"/>
      <c r="W1082" s="12"/>
      <c r="X1082" s="13"/>
      <c r="Y1082" s="13" t="s">
        <v>4630</v>
      </c>
    </row>
    <row r="1083" customFormat="false" ht="15.75" hidden="false" customHeight="true" outlineLevel="0" collapsed="false">
      <c r="A1083" s="7" t="s">
        <v>4631</v>
      </c>
      <c r="B1083" s="8" t="n">
        <v>2006</v>
      </c>
      <c r="C1083" s="8" t="s">
        <v>35</v>
      </c>
      <c r="D1083" s="8" t="n">
        <v>102</v>
      </c>
      <c r="E1083" s="7" t="s">
        <v>2813</v>
      </c>
      <c r="F1083" s="8" t="n">
        <v>7.6</v>
      </c>
      <c r="G1083" s="8"/>
      <c r="H1083" s="9" t="n">
        <v>14878</v>
      </c>
      <c r="I1083" s="7" t="s">
        <v>1424</v>
      </c>
      <c r="J1083" s="7" t="s">
        <v>29</v>
      </c>
      <c r="K1083" s="7" t="s">
        <v>125</v>
      </c>
      <c r="L1083" s="10" t="s">
        <v>526</v>
      </c>
      <c r="M1083" s="10" t="s">
        <v>4632</v>
      </c>
      <c r="N1083" s="8" t="n">
        <v>0</v>
      </c>
      <c r="O1083" s="8" t="n">
        <v>0</v>
      </c>
      <c r="P1083" s="8" t="n">
        <v>0</v>
      </c>
      <c r="Q1083" s="8" t="n">
        <v>0</v>
      </c>
      <c r="R1083" s="13" t="n">
        <v>0</v>
      </c>
      <c r="S1083" s="13" t="n">
        <v>0</v>
      </c>
      <c r="T1083" s="13"/>
      <c r="U1083" s="11" t="n">
        <f aca="false">O1083*4 + P1083*2 + MAX(0,N1083-O1083-P1083)*1 + Q1083*0.2 + R1083*2 + S1083*1 + IF(T1083="",0,IF(T1083&lt;=10,8,IF(T1083&lt;=50,6,IF(T1083&lt;=100,4,2))))</f>
        <v>0</v>
      </c>
      <c r="V1083" s="7"/>
      <c r="W1083" s="12"/>
      <c r="X1083" s="13"/>
      <c r="Y1083" s="13" t="s">
        <v>4633</v>
      </c>
    </row>
    <row r="1084" customFormat="false" ht="15.75" hidden="false" customHeight="true" outlineLevel="0" collapsed="false">
      <c r="A1084" s="7" t="s">
        <v>4634</v>
      </c>
      <c r="B1084" s="8" t="n">
        <v>2015</v>
      </c>
      <c r="C1084" s="8" t="s">
        <v>176</v>
      </c>
      <c r="D1084" s="8" t="n">
        <v>131</v>
      </c>
      <c r="E1084" s="7" t="s">
        <v>3901</v>
      </c>
      <c r="F1084" s="8" t="n">
        <v>7</v>
      </c>
      <c r="G1084" s="8"/>
      <c r="H1084" s="9" t="n">
        <v>1722</v>
      </c>
      <c r="I1084" s="7" t="s">
        <v>4635</v>
      </c>
      <c r="J1084" s="7" t="s">
        <v>29</v>
      </c>
      <c r="K1084" s="7" t="s">
        <v>47</v>
      </c>
      <c r="L1084" s="10"/>
      <c r="M1084" s="10" t="s">
        <v>4636</v>
      </c>
      <c r="N1084" s="8" t="n">
        <v>0</v>
      </c>
      <c r="O1084" s="8" t="n">
        <v>0</v>
      </c>
      <c r="P1084" s="8" t="n">
        <v>0</v>
      </c>
      <c r="Q1084" s="8" t="n">
        <v>0</v>
      </c>
      <c r="R1084" s="13" t="n">
        <v>0</v>
      </c>
      <c r="S1084" s="13" t="n">
        <v>0</v>
      </c>
      <c r="T1084" s="13"/>
      <c r="U1084" s="11" t="n">
        <f aca="false">O1084*4 + P1084*2 + MAX(0,N1084-O1084-P1084)*1 + Q1084*0.2 + R1084*2 + S1084*1 + IF(T1084="",0,IF(T1084&lt;=10,8,IF(T1084&lt;=50,6,IF(T1084&lt;=100,4,2))))</f>
        <v>0</v>
      </c>
      <c r="V1084" s="7"/>
      <c r="W1084" s="12"/>
      <c r="X1084" s="13"/>
      <c r="Y1084" s="13" t="s">
        <v>4637</v>
      </c>
    </row>
    <row r="1085" customFormat="false" ht="15.75" hidden="false" customHeight="true" outlineLevel="0" collapsed="false">
      <c r="A1085" s="7" t="s">
        <v>4638</v>
      </c>
      <c r="B1085" s="8" t="n">
        <v>2003</v>
      </c>
      <c r="C1085" s="8" t="s">
        <v>35</v>
      </c>
      <c r="D1085" s="8" t="n">
        <v>124</v>
      </c>
      <c r="E1085" s="7" t="s">
        <v>4639</v>
      </c>
      <c r="F1085" s="8" t="n">
        <v>7.6</v>
      </c>
      <c r="G1085" s="8"/>
      <c r="H1085" s="9" t="n">
        <v>12854</v>
      </c>
      <c r="I1085" s="7" t="s">
        <v>139</v>
      </c>
      <c r="J1085" s="7" t="s">
        <v>30</v>
      </c>
      <c r="K1085" s="7" t="s">
        <v>54</v>
      </c>
      <c r="L1085" s="10"/>
      <c r="M1085" s="10" t="s">
        <v>4640</v>
      </c>
      <c r="N1085" s="8" t="n">
        <v>0</v>
      </c>
      <c r="O1085" s="8" t="n">
        <v>0</v>
      </c>
      <c r="P1085" s="8" t="n">
        <v>0</v>
      </c>
      <c r="Q1085" s="8" t="n">
        <v>0</v>
      </c>
      <c r="R1085" s="13" t="n">
        <v>0</v>
      </c>
      <c r="S1085" s="13" t="n">
        <v>0</v>
      </c>
      <c r="T1085" s="13"/>
      <c r="U1085" s="11" t="n">
        <f aca="false">O1085*4 + P1085*2 + MAX(0,N1085-O1085-P1085)*1 + Q1085*0.2 + R1085*2 + S1085*1 + IF(T1085="",0,IF(T1085&lt;=10,8,IF(T1085&lt;=50,6,IF(T1085&lt;=100,4,2))))</f>
        <v>0</v>
      </c>
      <c r="V1085" s="7"/>
      <c r="W1085" s="12"/>
      <c r="X1085" s="13"/>
      <c r="Y1085" s="13" t="s">
        <v>4641</v>
      </c>
    </row>
    <row r="1086" customFormat="false" ht="15.75" hidden="false" customHeight="true" outlineLevel="0" collapsed="false">
      <c r="A1086" s="7" t="s">
        <v>4642</v>
      </c>
      <c r="B1086" s="8" t="n">
        <v>2012</v>
      </c>
      <c r="C1086" s="8" t="s">
        <v>176</v>
      </c>
      <c r="D1086" s="8" t="n">
        <v>85</v>
      </c>
      <c r="E1086" s="7" t="s">
        <v>4643</v>
      </c>
      <c r="F1086" s="8" t="n">
        <v>7.9</v>
      </c>
      <c r="G1086" s="8"/>
      <c r="H1086" s="9" t="n">
        <v>3063</v>
      </c>
      <c r="I1086" s="7" t="s">
        <v>3745</v>
      </c>
      <c r="J1086" s="7" t="s">
        <v>29</v>
      </c>
      <c r="K1086" s="7" t="s">
        <v>30</v>
      </c>
      <c r="L1086" s="10"/>
      <c r="M1086" s="10" t="s">
        <v>4644</v>
      </c>
      <c r="N1086" s="8" t="n">
        <v>0</v>
      </c>
      <c r="O1086" s="8" t="n">
        <v>0</v>
      </c>
      <c r="P1086" s="8" t="n">
        <v>0</v>
      </c>
      <c r="Q1086" s="8" t="n">
        <v>0</v>
      </c>
      <c r="R1086" s="13" t="n">
        <v>0</v>
      </c>
      <c r="S1086" s="13" t="n">
        <v>0</v>
      </c>
      <c r="T1086" s="13"/>
      <c r="U1086" s="11" t="n">
        <f aca="false">O1086*4 + P1086*2 + MAX(0,N1086-O1086-P1086)*1 + Q1086*0.2 + R1086*2 + S1086*1 + IF(T1086="",0,IF(T1086&lt;=10,8,IF(T1086&lt;=50,6,IF(T1086&lt;=100,4,2))))</f>
        <v>0</v>
      </c>
      <c r="V1086" s="7"/>
      <c r="W1086" s="12"/>
      <c r="X1086" s="13"/>
      <c r="Y1086" s="13" t="s">
        <v>4645</v>
      </c>
    </row>
    <row r="1087" customFormat="false" ht="15.75" hidden="false" customHeight="true" outlineLevel="0" collapsed="false">
      <c r="A1087" s="7" t="s">
        <v>4646</v>
      </c>
      <c r="B1087" s="8" t="n">
        <v>1968</v>
      </c>
      <c r="C1087" s="8" t="s">
        <v>122</v>
      </c>
      <c r="D1087" s="8" t="n">
        <v>149</v>
      </c>
      <c r="E1087" s="7" t="s">
        <v>152</v>
      </c>
      <c r="F1087" s="8" t="n">
        <v>8.3</v>
      </c>
      <c r="G1087" s="13"/>
      <c r="H1087" s="9" t="n">
        <v>789907</v>
      </c>
      <c r="I1087" s="7" t="s">
        <v>153</v>
      </c>
      <c r="J1087" s="7" t="s">
        <v>111</v>
      </c>
      <c r="K1087" s="7" t="s">
        <v>39</v>
      </c>
      <c r="L1087" s="10" t="s">
        <v>220</v>
      </c>
      <c r="M1087" s="7" t="s">
        <v>4647</v>
      </c>
      <c r="N1087" s="8" t="n">
        <v>1</v>
      </c>
      <c r="O1087" s="8" t="n">
        <v>0</v>
      </c>
      <c r="P1087" s="8" t="n">
        <v>0</v>
      </c>
      <c r="Q1087" s="8" t="n">
        <v>4</v>
      </c>
      <c r="R1087" s="8" t="n">
        <v>0</v>
      </c>
      <c r="S1087" s="8" t="n">
        <v>0</v>
      </c>
      <c r="T1087" s="8" t="n">
        <v>6</v>
      </c>
      <c r="U1087" s="11" t="n">
        <f aca="false">O1087*4 + P1087*2 + MAX(0,N1087-O1087-P1087)*1 + Q1087*0.2 + R1087*2 + S1087*1 + IF(T1087="",0,IF(T1087&lt;=10,8,IF(T1087&lt;=50,6,IF(T1087&lt;=100,4,2))))</f>
        <v>9.8</v>
      </c>
      <c r="V1087" s="7" t="s">
        <v>4648</v>
      </c>
      <c r="W1087" s="7" t="s">
        <v>4649</v>
      </c>
      <c r="X1087" s="13"/>
      <c r="Y1087" s="13" t="s">
        <v>4650</v>
      </c>
    </row>
    <row r="1088" customFormat="false" ht="15.75" hidden="false" customHeight="true" outlineLevel="0" collapsed="false">
      <c r="A1088" s="7" t="s">
        <v>4651</v>
      </c>
      <c r="B1088" s="8" t="n">
        <v>1955</v>
      </c>
      <c r="C1088" s="8" t="s">
        <v>196</v>
      </c>
      <c r="D1088" s="8" t="n">
        <v>126</v>
      </c>
      <c r="E1088" s="7" t="s">
        <v>4652</v>
      </c>
      <c r="F1088" s="8" t="n">
        <v>8.2</v>
      </c>
      <c r="G1088" s="13"/>
      <c r="H1088" s="9" t="n">
        <v>19090</v>
      </c>
      <c r="I1088" s="7" t="s">
        <v>437</v>
      </c>
      <c r="J1088" s="7" t="s">
        <v>47</v>
      </c>
      <c r="K1088" s="7"/>
      <c r="L1088" s="10"/>
      <c r="M1088" s="7" t="s">
        <v>4653</v>
      </c>
      <c r="N1088" s="8" t="n">
        <v>0</v>
      </c>
      <c r="O1088" s="8" t="n">
        <v>0</v>
      </c>
      <c r="P1088" s="8" t="n">
        <v>0</v>
      </c>
      <c r="Q1088" s="8" t="n">
        <v>0</v>
      </c>
      <c r="R1088" s="8" t="n">
        <v>1</v>
      </c>
      <c r="S1088" s="13" t="n">
        <v>0</v>
      </c>
      <c r="T1088" s="8" t="n">
        <v>48</v>
      </c>
      <c r="U1088" s="11" t="n">
        <f aca="false">O1088*4 + P1088*2 + MAX(0,N1088-O1088-P1088)*1 + Q1088*0.2 + R1088*2 + S1088*1 + IF(T1088="",0,IF(T1088&lt;=10,8,IF(T1088&lt;=50,6,IF(T1088&lt;=100,4,2))))</f>
        <v>8</v>
      </c>
      <c r="V1088" s="7" t="s">
        <v>4654</v>
      </c>
      <c r="W1088" s="7" t="s">
        <v>4655</v>
      </c>
      <c r="X1088" s="13"/>
      <c r="Y1088" s="13" t="s">
        <v>4656</v>
      </c>
    </row>
    <row r="1089" customFormat="false" ht="15.75" hidden="false" customHeight="true" outlineLevel="0" collapsed="false">
      <c r="A1089" s="7" t="s">
        <v>4657</v>
      </c>
      <c r="B1089" s="8" t="n">
        <v>1973</v>
      </c>
      <c r="C1089" s="8" t="s">
        <v>61</v>
      </c>
      <c r="D1089" s="8" t="n">
        <v>122</v>
      </c>
      <c r="E1089" s="7" t="s">
        <v>4658</v>
      </c>
      <c r="F1089" s="13" t="n">
        <v>8.1</v>
      </c>
      <c r="G1089" s="8" t="n">
        <v>8</v>
      </c>
      <c r="H1089" s="14" t="n">
        <v>502718</v>
      </c>
      <c r="I1089" s="7" t="s">
        <v>46</v>
      </c>
      <c r="J1089" s="7" t="s">
        <v>147</v>
      </c>
      <c r="K1089" s="7"/>
      <c r="L1089" s="10" t="s">
        <v>4659</v>
      </c>
      <c r="M1089" s="7" t="s">
        <v>4660</v>
      </c>
      <c r="N1089" s="8" t="n">
        <v>2</v>
      </c>
      <c r="O1089" s="8" t="n">
        <v>0</v>
      </c>
      <c r="P1089" s="8" t="n">
        <v>0</v>
      </c>
      <c r="Q1089" s="8" t="n">
        <v>10</v>
      </c>
      <c r="R1089" s="8" t="n">
        <v>0</v>
      </c>
      <c r="S1089" s="8" t="n">
        <v>1</v>
      </c>
      <c r="T1089" s="8"/>
      <c r="U1089" s="11" t="n">
        <f aca="false">O1089*4 + P1089*2 + MAX(0,N1089-O1089-P1089)*1 + Q1089*0.2 + R1089*2 + S1089*1 + IF(T1089="",0,IF(T1089&lt;=10,8,IF(T1089&lt;=50,6,IF(T1089&lt;=100,4,2))))</f>
        <v>5</v>
      </c>
      <c r="V1089" s="7" t="s">
        <v>4661</v>
      </c>
      <c r="W1089" s="7" t="s">
        <v>4662</v>
      </c>
      <c r="X1089" s="13"/>
      <c r="Y1089" s="13" t="s">
        <v>4663</v>
      </c>
    </row>
    <row r="1090" customFormat="false" ht="15.75" hidden="false" customHeight="true" outlineLevel="0" collapsed="false">
      <c r="A1090" s="7" t="s">
        <v>4664</v>
      </c>
      <c r="B1090" s="8" t="n">
        <v>1961</v>
      </c>
      <c r="C1090" s="8" t="s">
        <v>122</v>
      </c>
      <c r="D1090" s="8" t="n">
        <v>94</v>
      </c>
      <c r="E1090" s="7" t="s">
        <v>4665</v>
      </c>
      <c r="F1090" s="8" t="n">
        <v>7.6</v>
      </c>
      <c r="G1090" s="13"/>
      <c r="H1090" s="9" t="n">
        <v>27233</v>
      </c>
      <c r="I1090" s="7" t="s">
        <v>4256</v>
      </c>
      <c r="J1090" s="7" t="s">
        <v>29</v>
      </c>
      <c r="K1090" s="7" t="s">
        <v>125</v>
      </c>
      <c r="L1090" s="10" t="s">
        <v>205</v>
      </c>
      <c r="M1090" s="7" t="s">
        <v>4666</v>
      </c>
      <c r="N1090" s="8" t="n">
        <v>0</v>
      </c>
      <c r="O1090" s="8" t="n">
        <v>0</v>
      </c>
      <c r="P1090" s="8" t="n">
        <v>0</v>
      </c>
      <c r="Q1090" s="8" t="n">
        <v>1</v>
      </c>
      <c r="R1090" s="8" t="n">
        <v>1</v>
      </c>
      <c r="S1090" s="8" t="n">
        <v>0</v>
      </c>
      <c r="T1090" s="8" t="n">
        <v>169</v>
      </c>
      <c r="U1090" s="11" t="n">
        <f aca="false">O1090*4 + P1090*2 + MAX(0,N1090-O1090-P1090)*1 + Q1090*0.2 + R1090*2 + S1090*1 + IF(T1090="",0,IF(T1090&lt;=10,8,IF(T1090&lt;=50,6,IF(T1090&lt;=100,4,2))))</f>
        <v>4.2</v>
      </c>
      <c r="V1090" s="7" t="s">
        <v>4667</v>
      </c>
      <c r="W1090" s="7" t="s">
        <v>201</v>
      </c>
      <c r="X1090" s="13"/>
      <c r="Y1090" s="13" t="s">
        <v>4668</v>
      </c>
    </row>
    <row r="1091" customFormat="false" ht="15.75" hidden="false" customHeight="true" outlineLevel="0" collapsed="false">
      <c r="A1091" s="7" t="s">
        <v>4669</v>
      </c>
      <c r="B1091" s="8" t="n">
        <v>1982</v>
      </c>
      <c r="C1091" s="8" t="s">
        <v>109</v>
      </c>
      <c r="D1091" s="8" t="n">
        <v>117</v>
      </c>
      <c r="E1091" s="7" t="s">
        <v>1074</v>
      </c>
      <c r="F1091" s="13" t="n">
        <v>8.1</v>
      </c>
      <c r="G1091" s="8" t="n">
        <v>7</v>
      </c>
      <c r="H1091" s="14" t="n">
        <v>888030</v>
      </c>
      <c r="I1091" s="7" t="s">
        <v>4670</v>
      </c>
      <c r="J1091" s="7" t="s">
        <v>111</v>
      </c>
      <c r="K1091" s="7" t="s">
        <v>852</v>
      </c>
      <c r="L1091" s="10" t="s">
        <v>104</v>
      </c>
      <c r="M1091" s="7" t="s">
        <v>4671</v>
      </c>
      <c r="N1091" s="8" t="n">
        <v>0</v>
      </c>
      <c r="O1091" s="8" t="n">
        <v>0</v>
      </c>
      <c r="P1091" s="8" t="n">
        <v>0</v>
      </c>
      <c r="Q1091" s="8" t="n">
        <v>2</v>
      </c>
      <c r="R1091" s="8" t="n">
        <v>0</v>
      </c>
      <c r="S1091" s="8" t="n">
        <v>0</v>
      </c>
      <c r="T1091" s="8" t="n">
        <v>54</v>
      </c>
      <c r="U1091" s="11" t="n">
        <f aca="false">O1091*4 + P1091*2 + MAX(0,N1091-O1091-P1091)*1 + Q1091*0.2 + R1091*2 + S1091*1 + IF(T1091="",0,IF(T1091&lt;=10,8,IF(T1091&lt;=50,6,IF(T1091&lt;=100,4,2))))</f>
        <v>4.4</v>
      </c>
      <c r="V1091" s="7" t="s">
        <v>4672</v>
      </c>
      <c r="W1091" s="7" t="s">
        <v>201</v>
      </c>
      <c r="X1091" s="13"/>
      <c r="Y1091" s="13" t="s">
        <v>4673</v>
      </c>
    </row>
    <row r="1092" customFormat="false" ht="15.75" hidden="false" customHeight="true" outlineLevel="0" collapsed="false">
      <c r="A1092" s="7" t="s">
        <v>4674</v>
      </c>
      <c r="B1092" s="8" t="n">
        <v>1956</v>
      </c>
      <c r="C1092" s="8" t="s">
        <v>196</v>
      </c>
      <c r="D1092" s="8" t="n">
        <v>119</v>
      </c>
      <c r="E1092" s="7" t="s">
        <v>285</v>
      </c>
      <c r="F1092" s="8" t="n">
        <v>7.8</v>
      </c>
      <c r="G1092" s="13"/>
      <c r="H1092" s="9" t="n">
        <v>103439</v>
      </c>
      <c r="I1092" s="7" t="s">
        <v>46</v>
      </c>
      <c r="J1092" s="7" t="s">
        <v>268</v>
      </c>
      <c r="K1092" s="7" t="s">
        <v>39</v>
      </c>
      <c r="L1092" s="10" t="s">
        <v>210</v>
      </c>
      <c r="M1092" s="7" t="s">
        <v>4675</v>
      </c>
      <c r="N1092" s="8" t="n">
        <v>0</v>
      </c>
      <c r="O1092" s="8" t="n">
        <v>0</v>
      </c>
      <c r="P1092" s="8" t="n">
        <v>0</v>
      </c>
      <c r="Q1092" s="8" t="n">
        <v>0</v>
      </c>
      <c r="R1092" s="8" t="n">
        <v>0</v>
      </c>
      <c r="S1092" s="13" t="n">
        <v>0</v>
      </c>
      <c r="T1092" s="8" t="n">
        <v>15</v>
      </c>
      <c r="U1092" s="11" t="n">
        <f aca="false">O1092*4 + P1092*2 + MAX(0,N1092-O1092-P1092)*1 + Q1092*0.2 + R1092*2 + S1092*1 + IF(T1092="",0,IF(T1092&lt;=10,8,IF(T1092&lt;=50,6,IF(T1092&lt;=100,4,2))))</f>
        <v>6</v>
      </c>
      <c r="V1092" s="7" t="s">
        <v>4676</v>
      </c>
      <c r="W1092" s="7" t="s">
        <v>201</v>
      </c>
      <c r="X1092" s="13"/>
      <c r="Y1092" s="13" t="s">
        <v>4677</v>
      </c>
    </row>
    <row r="1093" customFormat="false" ht="15.75" hidden="false" customHeight="true" outlineLevel="0" collapsed="false">
      <c r="A1093" s="7" t="s">
        <v>4678</v>
      </c>
      <c r="B1093" s="8" t="n">
        <v>1966</v>
      </c>
      <c r="C1093" s="8" t="s">
        <v>122</v>
      </c>
      <c r="D1093" s="8" t="n">
        <v>95</v>
      </c>
      <c r="E1093" s="7" t="s">
        <v>4679</v>
      </c>
      <c r="F1093" s="8" t="n">
        <v>7.7</v>
      </c>
      <c r="G1093" s="13"/>
      <c r="H1093" s="9" t="n">
        <v>25084</v>
      </c>
      <c r="I1093" s="7" t="s">
        <v>4680</v>
      </c>
      <c r="J1093" s="7" t="s">
        <v>47</v>
      </c>
      <c r="K1093" s="7"/>
      <c r="L1093" s="10" t="s">
        <v>517</v>
      </c>
      <c r="M1093" s="7" t="s">
        <v>4681</v>
      </c>
      <c r="N1093" s="8" t="n">
        <v>0</v>
      </c>
      <c r="O1093" s="8" t="n">
        <v>0</v>
      </c>
      <c r="P1093" s="8" t="n">
        <v>0</v>
      </c>
      <c r="Q1093" s="8" t="n">
        <v>0</v>
      </c>
      <c r="R1093" s="8" t="n">
        <v>0</v>
      </c>
      <c r="S1093" s="13" t="n">
        <v>0</v>
      </c>
      <c r="T1093" s="8" t="n">
        <v>25</v>
      </c>
      <c r="U1093" s="11" t="n">
        <f aca="false">O1093*4 + P1093*2 + MAX(0,N1093-O1093-P1093)*1 + Q1093*0.2 + R1093*2 + S1093*1 + IF(T1093="",0,IF(T1093&lt;=10,8,IF(T1093&lt;=50,6,IF(T1093&lt;=100,4,2))))</f>
        <v>6</v>
      </c>
      <c r="V1093" s="7" t="s">
        <v>4682</v>
      </c>
      <c r="W1093" s="7" t="s">
        <v>183</v>
      </c>
      <c r="X1093" s="13"/>
      <c r="Y1093" s="13" t="s">
        <v>4683</v>
      </c>
    </row>
    <row r="1094" customFormat="false" ht="15.75" hidden="false" customHeight="true" outlineLevel="0" collapsed="false">
      <c r="A1094" s="7" t="s">
        <v>4684</v>
      </c>
      <c r="B1094" s="8" t="n">
        <v>1925</v>
      </c>
      <c r="C1094" s="8" t="s">
        <v>851</v>
      </c>
      <c r="D1094" s="8" t="n">
        <v>66</v>
      </c>
      <c r="E1094" s="7" t="s">
        <v>4685</v>
      </c>
      <c r="F1094" s="8" t="n">
        <v>7.9</v>
      </c>
      <c r="G1094" s="13"/>
      <c r="H1094" s="9" t="n">
        <v>65507</v>
      </c>
      <c r="I1094" s="7" t="s">
        <v>3325</v>
      </c>
      <c r="J1094" s="7" t="s">
        <v>131</v>
      </c>
      <c r="K1094" s="7" t="s">
        <v>453</v>
      </c>
      <c r="L1094" s="10" t="s">
        <v>4686</v>
      </c>
      <c r="M1094" s="7" t="s">
        <v>4687</v>
      </c>
      <c r="N1094" s="8" t="n">
        <v>0</v>
      </c>
      <c r="O1094" s="8" t="n">
        <v>0</v>
      </c>
      <c r="P1094" s="8" t="n">
        <v>0</v>
      </c>
      <c r="Q1094" s="8" t="n">
        <v>0</v>
      </c>
      <c r="R1094" s="8" t="n">
        <v>0</v>
      </c>
      <c r="S1094" s="13" t="n">
        <v>0</v>
      </c>
      <c r="T1094" s="8" t="n">
        <v>54</v>
      </c>
      <c r="U1094" s="11" t="n">
        <f aca="false">O1094*4 + P1094*2 + MAX(0,N1094-O1094-P1094)*1 + Q1094*0.2 + R1094*2 + S1094*1 + IF(T1094="",0,IF(T1094&lt;=10,8,IF(T1094&lt;=50,6,IF(T1094&lt;=100,4,2))))</f>
        <v>4</v>
      </c>
      <c r="V1094" s="7" t="s">
        <v>4688</v>
      </c>
      <c r="W1094" s="7" t="s">
        <v>183</v>
      </c>
      <c r="X1094" s="13"/>
      <c r="Y1094" s="13" t="s">
        <v>4689</v>
      </c>
    </row>
    <row r="1095" customFormat="false" ht="15.75" hidden="false" customHeight="true" outlineLevel="0" collapsed="false">
      <c r="A1095" s="7" t="s">
        <v>4690</v>
      </c>
      <c r="B1095" s="8" t="n">
        <v>1929</v>
      </c>
      <c r="C1095" s="8" t="s">
        <v>851</v>
      </c>
      <c r="D1095" s="8" t="n">
        <v>68</v>
      </c>
      <c r="E1095" s="7" t="s">
        <v>4691</v>
      </c>
      <c r="F1095" s="8" t="n">
        <v>8.3</v>
      </c>
      <c r="G1095" s="13"/>
      <c r="H1095" s="9" t="n">
        <v>30615</v>
      </c>
      <c r="I1095" s="7" t="s">
        <v>4692</v>
      </c>
      <c r="J1095" s="7" t="s">
        <v>2730</v>
      </c>
      <c r="K1095" s="7"/>
      <c r="L1095" s="10" t="s">
        <v>4693</v>
      </c>
      <c r="M1095" s="7" t="s">
        <v>4694</v>
      </c>
      <c r="N1095" s="8" t="n">
        <v>0</v>
      </c>
      <c r="O1095" s="8" t="n">
        <v>0</v>
      </c>
      <c r="P1095" s="8" t="n">
        <v>0</v>
      </c>
      <c r="Q1095" s="8" t="n">
        <v>0</v>
      </c>
      <c r="R1095" s="8" t="n">
        <v>0</v>
      </c>
      <c r="S1095" s="13" t="n">
        <v>0</v>
      </c>
      <c r="T1095" s="8" t="n">
        <v>9</v>
      </c>
      <c r="U1095" s="11" t="n">
        <f aca="false">O1095*4 + P1095*2 + MAX(0,N1095-O1095-P1095)*1 + Q1095*0.2 + R1095*2 + S1095*1 + IF(T1095="",0,IF(T1095&lt;=10,8,IF(T1095&lt;=50,6,IF(T1095&lt;=100,4,2))))</f>
        <v>8</v>
      </c>
      <c r="V1095" s="7" t="s">
        <v>4695</v>
      </c>
      <c r="W1095" s="7" t="s">
        <v>183</v>
      </c>
      <c r="X1095" s="13"/>
      <c r="Y1095" s="13" t="s">
        <v>4696</v>
      </c>
    </row>
    <row r="1096" customFormat="false" ht="15.75" hidden="false" customHeight="true" outlineLevel="0" collapsed="false">
      <c r="A1096" s="7" t="s">
        <v>4697</v>
      </c>
      <c r="B1096" s="8" t="n">
        <v>1960</v>
      </c>
      <c r="C1096" s="8" t="s">
        <v>122</v>
      </c>
      <c r="D1096" s="8" t="n">
        <v>174</v>
      </c>
      <c r="E1096" s="7" t="s">
        <v>541</v>
      </c>
      <c r="F1096" s="8" t="n">
        <v>8</v>
      </c>
      <c r="G1096" s="13"/>
      <c r="H1096" s="9" t="n">
        <v>86372</v>
      </c>
      <c r="I1096" s="7" t="s">
        <v>1383</v>
      </c>
      <c r="J1096" s="7" t="s">
        <v>30</v>
      </c>
      <c r="K1096" s="7" t="s">
        <v>47</v>
      </c>
      <c r="L1096" s="10" t="s">
        <v>1078</v>
      </c>
      <c r="M1096" s="7" t="s">
        <v>4698</v>
      </c>
      <c r="N1096" s="8" t="n">
        <v>1</v>
      </c>
      <c r="O1096" s="8" t="n">
        <v>0</v>
      </c>
      <c r="P1096" s="8" t="n">
        <v>0</v>
      </c>
      <c r="Q1096" s="8" t="n">
        <v>4</v>
      </c>
      <c r="R1096" s="8" t="n">
        <v>1</v>
      </c>
      <c r="S1096" s="8" t="n">
        <v>0</v>
      </c>
      <c r="T1096" s="8" t="n">
        <v>60</v>
      </c>
      <c r="U1096" s="11" t="n">
        <f aca="false">O1096*4 + P1096*2 + MAX(0,N1096-O1096-P1096)*1 + Q1096*0.2 + R1096*2 + S1096*1 + IF(T1096="",0,IF(T1096&lt;=10,8,IF(T1096&lt;=50,6,IF(T1096&lt;=100,4,2))))</f>
        <v>7.8</v>
      </c>
      <c r="V1096" s="7" t="s">
        <v>4699</v>
      </c>
      <c r="W1096" s="7" t="s">
        <v>183</v>
      </c>
      <c r="X1096" s="13"/>
      <c r="Y1096" s="13" t="s">
        <v>4700</v>
      </c>
    </row>
    <row r="1097" customFormat="false" ht="15.75" hidden="false" customHeight="true" outlineLevel="0" collapsed="false">
      <c r="A1097" s="7" t="s">
        <v>4701</v>
      </c>
      <c r="B1097" s="8" t="n">
        <v>1924</v>
      </c>
      <c r="C1097" s="8" t="s">
        <v>851</v>
      </c>
      <c r="D1097" s="8" t="n">
        <v>45</v>
      </c>
      <c r="E1097" s="7" t="s">
        <v>1095</v>
      </c>
      <c r="F1097" s="8" t="n">
        <v>8.1</v>
      </c>
      <c r="G1097" s="13"/>
      <c r="H1097" s="9" t="n">
        <v>66672</v>
      </c>
      <c r="I1097" s="7" t="s">
        <v>46</v>
      </c>
      <c r="J1097" s="7" t="s">
        <v>112</v>
      </c>
      <c r="K1097" s="7" t="s">
        <v>29</v>
      </c>
      <c r="L1097" s="10" t="s">
        <v>4702</v>
      </c>
      <c r="M1097" s="7" t="s">
        <v>4703</v>
      </c>
      <c r="N1097" s="8" t="n">
        <v>0</v>
      </c>
      <c r="O1097" s="8" t="n">
        <v>0</v>
      </c>
      <c r="P1097" s="8" t="n">
        <v>0</v>
      </c>
      <c r="Q1097" s="8" t="n">
        <v>0</v>
      </c>
      <c r="R1097" s="8" t="n">
        <v>0</v>
      </c>
      <c r="S1097" s="13" t="n">
        <v>0</v>
      </c>
      <c r="T1097" s="8" t="n">
        <v>54</v>
      </c>
      <c r="U1097" s="11" t="n">
        <f aca="false">O1097*4 + P1097*2 + MAX(0,N1097-O1097-P1097)*1 + Q1097*0.2 + R1097*2 + S1097*1 + IF(T1097="",0,IF(T1097&lt;=10,8,IF(T1097&lt;=50,6,IF(T1097&lt;=100,4,2))))</f>
        <v>4</v>
      </c>
      <c r="V1097" s="7" t="s">
        <v>4704</v>
      </c>
      <c r="W1097" s="7" t="s">
        <v>183</v>
      </c>
      <c r="X1097" s="13"/>
      <c r="Y1097" s="13" t="s">
        <v>4705</v>
      </c>
    </row>
    <row r="1098" customFormat="false" ht="15.75" hidden="false" customHeight="true" outlineLevel="0" collapsed="false">
      <c r="A1098" s="7" t="s">
        <v>4706</v>
      </c>
      <c r="B1098" s="8" t="n">
        <v>1966</v>
      </c>
      <c r="C1098" s="8" t="s">
        <v>122</v>
      </c>
      <c r="D1098" s="8" t="n">
        <v>83</v>
      </c>
      <c r="E1098" s="7" t="s">
        <v>1437</v>
      </c>
      <c r="F1098" s="8" t="n">
        <v>8</v>
      </c>
      <c r="G1098" s="13"/>
      <c r="H1098" s="9" t="n">
        <v>141675</v>
      </c>
      <c r="I1098" s="7" t="s">
        <v>1438</v>
      </c>
      <c r="J1098" s="7" t="s">
        <v>131</v>
      </c>
      <c r="K1098" s="7" t="s">
        <v>47</v>
      </c>
      <c r="L1098" s="10" t="s">
        <v>4707</v>
      </c>
      <c r="M1098" s="7" t="s">
        <v>4708</v>
      </c>
      <c r="N1098" s="8" t="n">
        <v>0</v>
      </c>
      <c r="O1098" s="8" t="n">
        <v>0</v>
      </c>
      <c r="P1098" s="8" t="n">
        <v>0</v>
      </c>
      <c r="Q1098" s="8" t="n">
        <v>0</v>
      </c>
      <c r="R1098" s="8" t="n">
        <v>0</v>
      </c>
      <c r="S1098" s="13" t="n">
        <v>0</v>
      </c>
      <c r="T1098" s="8" t="n">
        <v>18</v>
      </c>
      <c r="U1098" s="11" t="n">
        <f aca="false">O1098*4 + P1098*2 + MAX(0,N1098-O1098-P1098)*1 + Q1098*0.2 + R1098*2 + S1098*1 + IF(T1098="",0,IF(T1098&lt;=10,8,IF(T1098&lt;=50,6,IF(T1098&lt;=100,4,2))))</f>
        <v>6</v>
      </c>
      <c r="V1098" s="7" t="s">
        <v>4709</v>
      </c>
      <c r="W1098" s="7" t="s">
        <v>183</v>
      </c>
      <c r="X1098" s="13"/>
      <c r="Y1098" s="13" t="s">
        <v>4710</v>
      </c>
    </row>
    <row r="1099" customFormat="false" ht="15.75" hidden="false" customHeight="true" outlineLevel="0" collapsed="false">
      <c r="A1099" s="7" t="s">
        <v>4711</v>
      </c>
      <c r="B1099" s="8" t="n">
        <v>1973</v>
      </c>
      <c r="C1099" s="8" t="s">
        <v>61</v>
      </c>
      <c r="D1099" s="8" t="n">
        <v>86</v>
      </c>
      <c r="E1099" s="7" t="s">
        <v>4712</v>
      </c>
      <c r="F1099" s="13" t="n">
        <v>7.3</v>
      </c>
      <c r="G1099" s="13"/>
      <c r="H1099" s="14" t="n">
        <v>9617</v>
      </c>
      <c r="I1099" s="7" t="s">
        <v>124</v>
      </c>
      <c r="J1099" s="7" t="s">
        <v>579</v>
      </c>
      <c r="K1099" s="7" t="s">
        <v>38</v>
      </c>
      <c r="L1099" s="10"/>
      <c r="M1099" s="7" t="s">
        <v>4713</v>
      </c>
      <c r="N1099" s="8" t="n">
        <v>0</v>
      </c>
      <c r="O1099" s="8" t="n">
        <v>0</v>
      </c>
      <c r="P1099" s="8" t="n">
        <v>0</v>
      </c>
      <c r="Q1099" s="8" t="n">
        <v>0</v>
      </c>
      <c r="R1099" s="8" t="n">
        <v>0</v>
      </c>
      <c r="S1099" s="13" t="n">
        <v>0</v>
      </c>
      <c r="T1099" s="8"/>
      <c r="U1099" s="11" t="n">
        <f aca="false">O1099*4 + P1099*2 + MAX(0,N1099-O1099-P1099)*1 + Q1099*0.2 + R1099*2 + S1099*1 + IF(T1099="",0,IF(T1099&lt;=10,8,IF(T1099&lt;=50,6,IF(T1099&lt;=100,4,2))))</f>
        <v>0</v>
      </c>
      <c r="V1099" s="7" t="s">
        <v>4714</v>
      </c>
      <c r="W1099" s="7" t="s">
        <v>579</v>
      </c>
      <c r="X1099" s="13"/>
      <c r="Y1099" s="13" t="s">
        <v>4715</v>
      </c>
    </row>
    <row r="1100" customFormat="false" ht="15.75" hidden="false" customHeight="true" outlineLevel="0" collapsed="false">
      <c r="A1100" s="7" t="s">
        <v>4716</v>
      </c>
      <c r="B1100" s="8" t="n">
        <v>1970</v>
      </c>
      <c r="C1100" s="8" t="s">
        <v>61</v>
      </c>
      <c r="D1100" s="8" t="n">
        <v>140</v>
      </c>
      <c r="E1100" s="7" t="s">
        <v>4717</v>
      </c>
      <c r="F1100" s="13" t="n">
        <v>7.9</v>
      </c>
      <c r="G1100" s="13"/>
      <c r="H1100" s="14" t="n">
        <v>32063</v>
      </c>
      <c r="I1100" s="7" t="s">
        <v>4256</v>
      </c>
      <c r="J1100" s="7" t="s">
        <v>131</v>
      </c>
      <c r="K1100" s="7" t="s">
        <v>54</v>
      </c>
      <c r="L1100" s="10" t="s">
        <v>416</v>
      </c>
      <c r="M1100" s="7" t="s">
        <v>4718</v>
      </c>
      <c r="N1100" s="8" t="n">
        <v>0</v>
      </c>
      <c r="O1100" s="8" t="n">
        <v>0</v>
      </c>
      <c r="P1100" s="8" t="n">
        <v>0</v>
      </c>
      <c r="Q1100" s="8" t="n">
        <v>0</v>
      </c>
      <c r="R1100" s="8" t="n">
        <v>0</v>
      </c>
      <c r="S1100" s="13" t="n">
        <v>0</v>
      </c>
      <c r="T1100" s="8"/>
      <c r="U1100" s="11" t="n">
        <f aca="false">O1100*4 + P1100*2 + MAX(0,N1100-O1100-P1100)*1 + Q1100*0.2 + R1100*2 + S1100*1 + IF(T1100="",0,IF(T1100&lt;=10,8,IF(T1100&lt;=50,6,IF(T1100&lt;=100,4,2))))</f>
        <v>0</v>
      </c>
      <c r="V1100" s="7" t="s">
        <v>4719</v>
      </c>
      <c r="W1100" s="7" t="s">
        <v>58</v>
      </c>
      <c r="X1100" s="13"/>
      <c r="Y1100" s="13" t="s">
        <v>4720</v>
      </c>
    </row>
    <row r="1101" customFormat="false" ht="15.75" hidden="false" customHeight="true" outlineLevel="0" collapsed="false">
      <c r="A1101" s="7" t="s">
        <v>4721</v>
      </c>
      <c r="B1101" s="8" t="n">
        <v>1953</v>
      </c>
      <c r="C1101" s="8" t="s">
        <v>196</v>
      </c>
      <c r="D1101" s="8" t="n">
        <v>96</v>
      </c>
      <c r="E1101" s="7" t="s">
        <v>4722</v>
      </c>
      <c r="F1101" s="8" t="n">
        <v>8.1</v>
      </c>
      <c r="G1101" s="13"/>
      <c r="H1101" s="9" t="n">
        <v>28493</v>
      </c>
      <c r="I1101" s="7" t="s">
        <v>124</v>
      </c>
      <c r="J1101" s="7" t="s">
        <v>154</v>
      </c>
      <c r="K1101" s="7" t="s">
        <v>38</v>
      </c>
      <c r="L1101" s="10" t="s">
        <v>3351</v>
      </c>
      <c r="M1101" s="7" t="s">
        <v>4723</v>
      </c>
      <c r="N1101" s="8" t="n">
        <v>0</v>
      </c>
      <c r="O1101" s="8" t="n">
        <v>0</v>
      </c>
      <c r="P1101" s="8" t="n">
        <v>0</v>
      </c>
      <c r="Q1101" s="8" t="n">
        <v>1</v>
      </c>
      <c r="R1101" s="8" t="n">
        <v>0</v>
      </c>
      <c r="S1101" s="8" t="n">
        <v>0</v>
      </c>
      <c r="T1101" s="8" t="n">
        <v>90</v>
      </c>
      <c r="U1101" s="11" t="n">
        <f aca="false">O1101*4 + P1101*2 + MAX(0,N1101-O1101-P1101)*1 + Q1101*0.2 + R1101*2 + S1101*1 + IF(T1101="",0,IF(T1101&lt;=10,8,IF(T1101&lt;=50,6,IF(T1101&lt;=100,4,2))))</f>
        <v>4.2</v>
      </c>
      <c r="V1101" s="7" t="s">
        <v>4724</v>
      </c>
      <c r="W1101" s="7" t="s">
        <v>58</v>
      </c>
      <c r="X1101" s="13"/>
      <c r="Y1101" s="13" t="s">
        <v>4725</v>
      </c>
    </row>
    <row r="1102" customFormat="false" ht="15.75" hidden="false" customHeight="true" outlineLevel="0" collapsed="false">
      <c r="A1102" s="7" t="s">
        <v>4726</v>
      </c>
      <c r="B1102" s="8" t="n">
        <v>1953</v>
      </c>
      <c r="C1102" s="8" t="s">
        <v>196</v>
      </c>
      <c r="D1102" s="8" t="n">
        <v>156</v>
      </c>
      <c r="E1102" s="7" t="s">
        <v>4727</v>
      </c>
      <c r="F1102" s="8" t="n">
        <v>8.1</v>
      </c>
      <c r="G1102" s="13"/>
      <c r="H1102" s="9" t="n">
        <v>74149</v>
      </c>
      <c r="I1102" s="7" t="s">
        <v>4256</v>
      </c>
      <c r="J1102" s="7" t="s">
        <v>131</v>
      </c>
      <c r="K1102" s="7" t="s">
        <v>39</v>
      </c>
      <c r="L1102" s="10" t="s">
        <v>478</v>
      </c>
      <c r="M1102" s="7" t="s">
        <v>4728</v>
      </c>
      <c r="N1102" s="8" t="n">
        <v>0</v>
      </c>
      <c r="O1102" s="8" t="n">
        <v>0</v>
      </c>
      <c r="P1102" s="8" t="n">
        <v>0</v>
      </c>
      <c r="Q1102" s="8" t="n">
        <v>0</v>
      </c>
      <c r="R1102" s="8" t="n">
        <v>2</v>
      </c>
      <c r="S1102" s="13" t="n">
        <v>0</v>
      </c>
      <c r="T1102" s="8"/>
      <c r="U1102" s="11" t="n">
        <f aca="false">O1102*4 + P1102*2 + MAX(0,N1102-O1102-P1102)*1 + Q1102*0.2 + R1102*2 + S1102*1 + IF(T1102="",0,IF(T1102&lt;=10,8,IF(T1102&lt;=50,6,IF(T1102&lt;=100,4,2))))</f>
        <v>4</v>
      </c>
      <c r="V1102" s="7" t="s">
        <v>4729</v>
      </c>
      <c r="W1102" s="7" t="s">
        <v>58</v>
      </c>
      <c r="X1102" s="13"/>
      <c r="Y1102" s="13" t="s">
        <v>4730</v>
      </c>
    </row>
    <row r="1103" customFormat="false" ht="15.75" hidden="false" customHeight="true" outlineLevel="0" collapsed="false">
      <c r="A1103" s="7" t="s">
        <v>4731</v>
      </c>
      <c r="B1103" s="8" t="n">
        <v>1981</v>
      </c>
      <c r="C1103" s="8" t="s">
        <v>109</v>
      </c>
      <c r="D1103" s="8" t="n">
        <v>124</v>
      </c>
      <c r="E1103" s="7" t="s">
        <v>4732</v>
      </c>
      <c r="F1103" s="8" t="n">
        <v>7.2</v>
      </c>
      <c r="G1103" s="13"/>
      <c r="H1103" s="9" t="n">
        <v>59579</v>
      </c>
      <c r="I1103" s="7" t="s">
        <v>3350</v>
      </c>
      <c r="J1103" s="7" t="s">
        <v>147</v>
      </c>
      <c r="K1103" s="7" t="s">
        <v>464</v>
      </c>
      <c r="L1103" s="10"/>
      <c r="M1103" s="7" t="s">
        <v>4733</v>
      </c>
      <c r="N1103" s="8" t="n">
        <v>0</v>
      </c>
      <c r="O1103" s="8" t="n">
        <v>0</v>
      </c>
      <c r="P1103" s="8" t="n">
        <v>0</v>
      </c>
      <c r="Q1103" s="8" t="n">
        <v>0</v>
      </c>
      <c r="R1103" s="8" t="n">
        <v>0</v>
      </c>
      <c r="S1103" s="13" t="n">
        <v>0</v>
      </c>
      <c r="T1103" s="8" t="n">
        <v>243</v>
      </c>
      <c r="U1103" s="11" t="n">
        <f aca="false">O1103*4 + P1103*2 + MAX(0,N1103-O1103-P1103)*1 + Q1103*0.2 + R1103*2 + S1103*1 + IF(T1103="",0,IF(T1103&lt;=10,8,IF(T1103&lt;=50,6,IF(T1103&lt;=100,4,2))))</f>
        <v>2</v>
      </c>
      <c r="V1103" s="7" t="s">
        <v>4734</v>
      </c>
      <c r="W1103" s="7" t="s">
        <v>58</v>
      </c>
      <c r="X1103" s="13"/>
      <c r="Y1103" s="13" t="s">
        <v>4735</v>
      </c>
    </row>
    <row r="1104" customFormat="false" ht="15.75" hidden="false" customHeight="true" outlineLevel="0" collapsed="false">
      <c r="A1104" s="7" t="s">
        <v>4736</v>
      </c>
      <c r="B1104" s="8" t="n">
        <v>1933</v>
      </c>
      <c r="C1104" s="8" t="s">
        <v>96</v>
      </c>
      <c r="D1104" s="8" t="n">
        <v>69</v>
      </c>
      <c r="E1104" s="7" t="s">
        <v>4737</v>
      </c>
      <c r="F1104" s="8" t="n">
        <v>7.7</v>
      </c>
      <c r="G1104" s="13"/>
      <c r="H1104" s="9" t="n">
        <v>64311</v>
      </c>
      <c r="I1104" s="7" t="s">
        <v>46</v>
      </c>
      <c r="J1104" s="7" t="s">
        <v>90</v>
      </c>
      <c r="K1104" s="7" t="s">
        <v>30</v>
      </c>
      <c r="L1104" s="10"/>
      <c r="M1104" s="7" t="s">
        <v>4738</v>
      </c>
      <c r="N1104" s="8" t="n">
        <v>0</v>
      </c>
      <c r="O1104" s="8" t="n">
        <v>0</v>
      </c>
      <c r="P1104" s="8" t="n">
        <v>0</v>
      </c>
      <c r="Q1104" s="8" t="n">
        <v>0</v>
      </c>
      <c r="R1104" s="8" t="n">
        <v>0</v>
      </c>
      <c r="S1104" s="13" t="n">
        <v>0</v>
      </c>
      <c r="T1104" s="8" t="n">
        <v>211</v>
      </c>
      <c r="U1104" s="11" t="n">
        <f aca="false">O1104*4 + P1104*2 + MAX(0,N1104-O1104-P1104)*1 + Q1104*0.2 + R1104*2 + S1104*1 + IF(T1104="",0,IF(T1104&lt;=10,8,IF(T1104&lt;=50,6,IF(T1104&lt;=100,4,2))))</f>
        <v>2</v>
      </c>
      <c r="V1104" s="7" t="s">
        <v>4739</v>
      </c>
      <c r="W1104" s="7" t="s">
        <v>58</v>
      </c>
      <c r="X1104" s="13"/>
      <c r="Y1104" s="13" t="s">
        <v>4740</v>
      </c>
    </row>
    <row r="1105" customFormat="false" ht="15.75" hidden="false" customHeight="true" outlineLevel="0" collapsed="false">
      <c r="A1105" s="7" t="s">
        <v>4741</v>
      </c>
      <c r="B1105" s="8" t="n">
        <v>1928</v>
      </c>
      <c r="C1105" s="8" t="s">
        <v>851</v>
      </c>
      <c r="D1105" s="8" t="n">
        <v>114</v>
      </c>
      <c r="E1105" s="7" t="s">
        <v>4652</v>
      </c>
      <c r="F1105" s="8" t="n">
        <v>8.1</v>
      </c>
      <c r="G1105" s="13"/>
      <c r="H1105" s="9" t="n">
        <v>68975</v>
      </c>
      <c r="I1105" s="7" t="s">
        <v>219</v>
      </c>
      <c r="J1105" s="7" t="s">
        <v>47</v>
      </c>
      <c r="K1105" s="7" t="s">
        <v>48</v>
      </c>
      <c r="L1105" s="10" t="s">
        <v>4742</v>
      </c>
      <c r="M1105" s="7" t="s">
        <v>4743</v>
      </c>
      <c r="N1105" s="8" t="n">
        <v>0</v>
      </c>
      <c r="O1105" s="8" t="n">
        <v>0</v>
      </c>
      <c r="P1105" s="8" t="n">
        <v>0</v>
      </c>
      <c r="Q1105" s="8" t="n">
        <v>0</v>
      </c>
      <c r="R1105" s="8" t="n">
        <v>0</v>
      </c>
      <c r="S1105" s="13" t="n">
        <v>0</v>
      </c>
      <c r="T1105" s="8" t="n">
        <v>21</v>
      </c>
      <c r="U1105" s="11" t="n">
        <f aca="false">O1105*4 + P1105*2 + MAX(0,N1105-O1105-P1105)*1 + Q1105*0.2 + R1105*2 + S1105*1 + IF(T1105="",0,IF(T1105&lt;=10,8,IF(T1105&lt;=50,6,IF(T1105&lt;=100,4,2))))</f>
        <v>6</v>
      </c>
      <c r="V1105" s="7" t="s">
        <v>4744</v>
      </c>
      <c r="W1105" s="7" t="s">
        <v>735</v>
      </c>
      <c r="X1105" s="13"/>
      <c r="Y1105" s="13" t="s">
        <v>4745</v>
      </c>
    </row>
    <row r="1106" customFormat="false" ht="15.75" hidden="false" customHeight="true" outlineLevel="0" collapsed="false">
      <c r="A1106" s="7" t="s">
        <v>4746</v>
      </c>
      <c r="B1106" s="8" t="n">
        <v>1970</v>
      </c>
      <c r="C1106" s="8" t="s">
        <v>61</v>
      </c>
      <c r="D1106" s="8" t="n">
        <v>154</v>
      </c>
      <c r="E1106" s="7" t="s">
        <v>4747</v>
      </c>
      <c r="F1106" s="8" t="n">
        <v>7</v>
      </c>
      <c r="G1106" s="13"/>
      <c r="H1106" s="9" t="n">
        <v>8217</v>
      </c>
      <c r="I1106" s="7" t="s">
        <v>46</v>
      </c>
      <c r="J1106" s="7" t="s">
        <v>30</v>
      </c>
      <c r="K1106" s="7" t="s">
        <v>47</v>
      </c>
      <c r="L1106" s="10" t="s">
        <v>205</v>
      </c>
      <c r="M1106" s="7" t="s">
        <v>4748</v>
      </c>
      <c r="N1106" s="8" t="n">
        <v>0</v>
      </c>
      <c r="O1106" s="8" t="n">
        <v>0</v>
      </c>
      <c r="P1106" s="8" t="n">
        <v>0</v>
      </c>
      <c r="Q1106" s="8" t="n">
        <v>0</v>
      </c>
      <c r="R1106" s="8" t="n">
        <v>0</v>
      </c>
      <c r="S1106" s="13" t="n">
        <v>0</v>
      </c>
      <c r="T1106" s="8"/>
      <c r="U1106" s="11" t="n">
        <f aca="false">O1106*4 + P1106*2 + MAX(0,N1106-O1106-P1106)*1 + Q1106*0.2 + R1106*2 + S1106*1 + IF(T1106="",0,IF(T1106&lt;=10,8,IF(T1106&lt;=50,6,IF(T1106&lt;=100,4,2))))</f>
        <v>0</v>
      </c>
      <c r="V1106" s="7" t="s">
        <v>4749</v>
      </c>
      <c r="W1106" s="7" t="s">
        <v>735</v>
      </c>
      <c r="X1106" s="13"/>
      <c r="Y1106" s="13" t="s">
        <v>4750</v>
      </c>
    </row>
    <row r="1107" customFormat="false" ht="15.75" hidden="false" customHeight="true" outlineLevel="0" collapsed="false">
      <c r="A1107" s="7" t="s">
        <v>4751</v>
      </c>
      <c r="B1107" s="8" t="n">
        <v>1962</v>
      </c>
      <c r="C1107" s="8" t="s">
        <v>122</v>
      </c>
      <c r="D1107" s="8" t="n">
        <v>90</v>
      </c>
      <c r="E1107" s="7" t="s">
        <v>4752</v>
      </c>
      <c r="F1107" s="8" t="n">
        <v>7.8</v>
      </c>
      <c r="G1107" s="13"/>
      <c r="H1107" s="9" t="n">
        <v>32083</v>
      </c>
      <c r="I1107" s="7" t="s">
        <v>4256</v>
      </c>
      <c r="J1107" s="7" t="s">
        <v>90</v>
      </c>
      <c r="K1107" s="7" t="s">
        <v>30</v>
      </c>
      <c r="L1107" s="10" t="s">
        <v>478</v>
      </c>
      <c r="M1107" s="7" t="s">
        <v>4753</v>
      </c>
      <c r="N1107" s="8" t="n">
        <v>0</v>
      </c>
      <c r="O1107" s="8" t="n">
        <v>0</v>
      </c>
      <c r="P1107" s="8" t="n">
        <v>0</v>
      </c>
      <c r="Q1107" s="8" t="n">
        <v>0</v>
      </c>
      <c r="R1107" s="8" t="n">
        <v>0</v>
      </c>
      <c r="S1107" s="13" t="n">
        <v>0</v>
      </c>
      <c r="T1107" s="8" t="n">
        <v>14</v>
      </c>
      <c r="U1107" s="11" t="n">
        <f aca="false">O1107*4 + P1107*2 + MAX(0,N1107-O1107-P1107)*1 + Q1107*0.2 + R1107*2 + S1107*1 + IF(T1107="",0,IF(T1107&lt;=10,8,IF(T1107&lt;=50,6,IF(T1107&lt;=100,4,2))))</f>
        <v>6</v>
      </c>
      <c r="V1107" s="7" t="s">
        <v>4754</v>
      </c>
      <c r="W1107" s="7" t="s">
        <v>735</v>
      </c>
      <c r="X1107" s="13"/>
      <c r="Y1107" s="13" t="s">
        <v>4755</v>
      </c>
    </row>
    <row r="1108" customFormat="false" ht="15.75" hidden="false" customHeight="true" outlineLevel="0" collapsed="false">
      <c r="A1108" s="7" t="s">
        <v>4756</v>
      </c>
      <c r="B1108" s="8" t="n">
        <v>1994</v>
      </c>
      <c r="C1108" s="8" t="s">
        <v>26</v>
      </c>
      <c r="D1108" s="8" t="n">
        <v>439</v>
      </c>
      <c r="E1108" s="7" t="s">
        <v>4757</v>
      </c>
      <c r="F1108" s="8" t="n">
        <v>8.2</v>
      </c>
      <c r="G1108" s="13"/>
      <c r="H1108" s="9" t="n">
        <v>14480</v>
      </c>
      <c r="I1108" s="7" t="s">
        <v>4758</v>
      </c>
      <c r="J1108" s="7" t="s">
        <v>47</v>
      </c>
      <c r="K1108" s="7" t="s">
        <v>1455</v>
      </c>
      <c r="L1108" s="10" t="s">
        <v>205</v>
      </c>
      <c r="M1108" s="7" t="s">
        <v>4759</v>
      </c>
      <c r="N1108" s="8" t="n">
        <v>0</v>
      </c>
      <c r="O1108" s="8" t="n">
        <v>0</v>
      </c>
      <c r="P1108" s="8" t="n">
        <v>0</v>
      </c>
      <c r="Q1108" s="8" t="n">
        <v>0</v>
      </c>
      <c r="R1108" s="8" t="n">
        <v>0</v>
      </c>
      <c r="S1108" s="13" t="n">
        <v>0</v>
      </c>
      <c r="T1108" s="8" t="n">
        <v>78</v>
      </c>
      <c r="U1108" s="11" t="n">
        <f aca="false">O1108*4 + P1108*2 + MAX(0,N1108-O1108-P1108)*1 + Q1108*0.2 + R1108*2 + S1108*1 + IF(T1108="",0,IF(T1108&lt;=10,8,IF(T1108&lt;=50,6,IF(T1108&lt;=100,4,2))))</f>
        <v>4</v>
      </c>
      <c r="V1108" s="7" t="s">
        <v>4760</v>
      </c>
      <c r="W1108" s="7" t="s">
        <v>735</v>
      </c>
      <c r="X1108" s="13"/>
      <c r="Y1108" s="13" t="s">
        <v>4761</v>
      </c>
    </row>
    <row r="1109" customFormat="false" ht="15.75" hidden="false" customHeight="true" outlineLevel="0" collapsed="false">
      <c r="A1109" s="7" t="s">
        <v>4762</v>
      </c>
      <c r="B1109" s="8" t="n">
        <v>1985</v>
      </c>
      <c r="C1109" s="8" t="s">
        <v>109</v>
      </c>
      <c r="D1109" s="8" t="n">
        <v>566</v>
      </c>
      <c r="E1109" s="7" t="s">
        <v>4763</v>
      </c>
      <c r="F1109" s="8" t="n">
        <v>8.7</v>
      </c>
      <c r="G1109" s="13"/>
      <c r="H1109" s="9" t="n">
        <v>11689</v>
      </c>
      <c r="I1109" s="7" t="s">
        <v>219</v>
      </c>
      <c r="J1109" s="7" t="s">
        <v>2730</v>
      </c>
      <c r="K1109" s="7" t="s">
        <v>453</v>
      </c>
      <c r="L1109" s="10"/>
      <c r="M1109" s="7" t="s">
        <v>4764</v>
      </c>
      <c r="N1109" s="8" t="n">
        <v>0</v>
      </c>
      <c r="O1109" s="8" t="n">
        <v>0</v>
      </c>
      <c r="P1109" s="8" t="n">
        <v>0</v>
      </c>
      <c r="Q1109" s="8" t="n">
        <v>0</v>
      </c>
      <c r="R1109" s="8" t="n">
        <v>0</v>
      </c>
      <c r="S1109" s="13" t="n">
        <v>0</v>
      </c>
      <c r="T1109" s="8" t="n">
        <v>27</v>
      </c>
      <c r="U1109" s="11" t="n">
        <f aca="false">O1109*4 + P1109*2 + MAX(0,N1109-O1109-P1109)*1 + Q1109*0.2 + R1109*2 + S1109*1 + IF(T1109="",0,IF(T1109&lt;=10,8,IF(T1109&lt;=50,6,IF(T1109&lt;=100,4,2))))</f>
        <v>6</v>
      </c>
      <c r="V1109" s="7" t="s">
        <v>4765</v>
      </c>
      <c r="W1109" s="7" t="s">
        <v>735</v>
      </c>
      <c r="X1109" s="13"/>
      <c r="Y1109" s="13" t="s">
        <v>4766</v>
      </c>
    </row>
    <row r="1110" customFormat="false" ht="15.75" hidden="false" customHeight="true" outlineLevel="0" collapsed="false">
      <c r="A1110" s="7" t="s">
        <v>4767</v>
      </c>
      <c r="B1110" s="8" t="n">
        <v>1948</v>
      </c>
      <c r="C1110" s="8" t="s">
        <v>243</v>
      </c>
      <c r="D1110" s="8" t="n">
        <v>135</v>
      </c>
      <c r="E1110" s="7" t="s">
        <v>4768</v>
      </c>
      <c r="F1110" s="8" t="n">
        <v>8.1</v>
      </c>
      <c r="G1110" s="13"/>
      <c r="H1110" s="9" t="n">
        <v>44051</v>
      </c>
      <c r="I1110" s="7" t="s">
        <v>280</v>
      </c>
      <c r="J1110" s="7" t="s">
        <v>90</v>
      </c>
      <c r="K1110" s="7" t="s">
        <v>29</v>
      </c>
      <c r="L1110" s="10" t="s">
        <v>1006</v>
      </c>
      <c r="M1110" s="7" t="s">
        <v>4769</v>
      </c>
      <c r="N1110" s="8" t="n">
        <v>2</v>
      </c>
      <c r="O1110" s="8" t="n">
        <v>0</v>
      </c>
      <c r="P1110" s="8" t="n">
        <v>0</v>
      </c>
      <c r="Q1110" s="8" t="n">
        <v>5</v>
      </c>
      <c r="R1110" s="8" t="n">
        <v>0</v>
      </c>
      <c r="S1110" s="8" t="n">
        <v>0</v>
      </c>
      <c r="T1110" s="8" t="n">
        <v>67</v>
      </c>
      <c r="U1110" s="11" t="n">
        <f aca="false">O1110*4 + P1110*2 + MAX(0,N1110-O1110-P1110)*1 + Q1110*0.2 + R1110*2 + S1110*1 + IF(T1110="",0,IF(T1110&lt;=10,8,IF(T1110&lt;=50,6,IF(T1110&lt;=100,4,2))))</f>
        <v>7</v>
      </c>
      <c r="V1110" s="7" t="s">
        <v>4770</v>
      </c>
      <c r="W1110" s="7" t="s">
        <v>735</v>
      </c>
      <c r="X1110" s="13"/>
      <c r="Y1110" s="13" t="s">
        <v>4771</v>
      </c>
    </row>
    <row r="1111" customFormat="false" ht="15.75" hidden="false" customHeight="true" outlineLevel="0" collapsed="false">
      <c r="A1111" s="7" t="s">
        <v>4772</v>
      </c>
      <c r="B1111" s="8" t="n">
        <v>1985</v>
      </c>
      <c r="C1111" s="8" t="s">
        <v>109</v>
      </c>
      <c r="D1111" s="8" t="n">
        <v>142</v>
      </c>
      <c r="E1111" s="7" t="s">
        <v>4773</v>
      </c>
      <c r="F1111" s="8" t="n">
        <v>8.3</v>
      </c>
      <c r="G1111" s="13"/>
      <c r="H1111" s="9" t="n">
        <v>125585</v>
      </c>
      <c r="I1111" s="7" t="s">
        <v>3325</v>
      </c>
      <c r="J1111" s="7" t="s">
        <v>154</v>
      </c>
      <c r="K1111" s="7" t="s">
        <v>131</v>
      </c>
      <c r="L1111" s="10" t="s">
        <v>205</v>
      </c>
      <c r="M1111" s="7" t="s">
        <v>4774</v>
      </c>
      <c r="N1111" s="8" t="n">
        <v>0</v>
      </c>
      <c r="O1111" s="8" t="n">
        <v>0</v>
      </c>
      <c r="P1111" s="8" t="n">
        <v>0</v>
      </c>
      <c r="Q1111" s="8" t="n">
        <v>0</v>
      </c>
      <c r="R1111" s="8" t="n">
        <v>0</v>
      </c>
      <c r="S1111" s="13" t="n">
        <v>0</v>
      </c>
      <c r="T1111" s="8" t="n">
        <v>104</v>
      </c>
      <c r="U1111" s="11" t="n">
        <f aca="false">O1111*4 + P1111*2 + MAX(0,N1111-O1111-P1111)*1 + Q1111*0.2 + R1111*2 + S1111*1 + IF(T1111="",0,IF(T1111&lt;=10,8,IF(T1111&lt;=50,6,IF(T1111&lt;=100,4,2))))</f>
        <v>2</v>
      </c>
      <c r="V1111" s="7" t="s">
        <v>4775</v>
      </c>
      <c r="W1111" s="7" t="s">
        <v>735</v>
      </c>
      <c r="X1111" s="13"/>
      <c r="Y1111" s="13" t="s">
        <v>4776</v>
      </c>
    </row>
    <row r="1112" customFormat="false" ht="15.75" hidden="false" customHeight="true" outlineLevel="0" collapsed="false">
      <c r="A1112" s="7" t="s">
        <v>4777</v>
      </c>
      <c r="B1112" s="8" t="n">
        <v>1967</v>
      </c>
      <c r="C1112" s="8" t="s">
        <v>122</v>
      </c>
      <c r="D1112" s="8" t="n">
        <v>106</v>
      </c>
      <c r="E1112" s="7" t="s">
        <v>4778</v>
      </c>
      <c r="F1112" s="8" t="n">
        <v>8</v>
      </c>
      <c r="G1112" s="13"/>
      <c r="H1112" s="9" t="n">
        <v>303360</v>
      </c>
      <c r="I1112" s="7" t="s">
        <v>46</v>
      </c>
      <c r="J1112" s="7" t="s">
        <v>29</v>
      </c>
      <c r="K1112" s="7" t="s">
        <v>30</v>
      </c>
      <c r="L1112" s="10" t="s">
        <v>416</v>
      </c>
      <c r="M1112" s="7" t="s">
        <v>4779</v>
      </c>
      <c r="N1112" s="8" t="n">
        <v>1</v>
      </c>
      <c r="O1112" s="8" t="n">
        <v>0</v>
      </c>
      <c r="P1112" s="8" t="n">
        <v>1</v>
      </c>
      <c r="Q1112" s="8" t="n">
        <v>7</v>
      </c>
      <c r="R1112" s="8" t="n">
        <v>0</v>
      </c>
      <c r="S1112" s="8" t="n">
        <v>1</v>
      </c>
      <c r="T1112" s="8"/>
      <c r="U1112" s="11" t="n">
        <f aca="false">O1112*4 + P1112*2 + MAX(0,N1112-O1112-P1112)*1 + Q1112*0.2 + R1112*2 + S1112*1 + IF(T1112="",0,IF(T1112&lt;=10,8,IF(T1112&lt;=50,6,IF(T1112&lt;=100,4,2))))</f>
        <v>4.4</v>
      </c>
      <c r="V1112" s="7" t="s">
        <v>4780</v>
      </c>
      <c r="W1112" s="7" t="s">
        <v>143</v>
      </c>
      <c r="X1112" s="13"/>
      <c r="Y1112" s="13" t="s">
        <v>4781</v>
      </c>
    </row>
    <row r="1113" customFormat="false" ht="15.75" hidden="false" customHeight="true" outlineLevel="0" collapsed="false">
      <c r="A1113" s="7" t="s">
        <v>4782</v>
      </c>
      <c r="B1113" s="8" t="n">
        <v>1950</v>
      </c>
      <c r="C1113" s="8" t="s">
        <v>196</v>
      </c>
      <c r="D1113" s="8" t="n">
        <v>88</v>
      </c>
      <c r="E1113" s="7" t="s">
        <v>197</v>
      </c>
      <c r="F1113" s="8" t="n">
        <v>8.1</v>
      </c>
      <c r="G1113" s="13" t="n">
        <v>7</v>
      </c>
      <c r="H1113" s="9" t="n">
        <v>198889</v>
      </c>
      <c r="I1113" s="7" t="s">
        <v>124</v>
      </c>
      <c r="J1113" s="7" t="s">
        <v>47</v>
      </c>
      <c r="K1113" s="7" t="s">
        <v>695</v>
      </c>
      <c r="L1113" s="10" t="s">
        <v>4783</v>
      </c>
      <c r="M1113" s="7" t="s">
        <v>4784</v>
      </c>
      <c r="N1113" s="8" t="n">
        <v>1</v>
      </c>
      <c r="O1113" s="8" t="n">
        <v>0</v>
      </c>
      <c r="P1113" s="8" t="n">
        <v>0</v>
      </c>
      <c r="Q1113" s="8" t="n">
        <v>2</v>
      </c>
      <c r="R1113" s="8" t="n">
        <v>1</v>
      </c>
      <c r="S1113" s="8" t="n">
        <v>0</v>
      </c>
      <c r="T1113" s="8" t="n">
        <v>41</v>
      </c>
      <c r="U1113" s="11" t="n">
        <f aca="false">O1113*4 + P1113*2 + MAX(0,N1113-O1113-P1113)*1 + Q1113*0.2 + R1113*2 + S1113*1 + IF(T1113="",0,IF(T1113&lt;=10,8,IF(T1113&lt;=50,6,IF(T1113&lt;=100,4,2))))</f>
        <v>9.4</v>
      </c>
      <c r="V1113" s="7" t="s">
        <v>4785</v>
      </c>
      <c r="W1113" s="7" t="s">
        <v>143</v>
      </c>
      <c r="X1113" s="13"/>
      <c r="Y1113" s="13" t="s">
        <v>4786</v>
      </c>
    </row>
    <row r="1114" customFormat="false" ht="15.75" hidden="false" customHeight="true" outlineLevel="0" collapsed="false">
      <c r="A1114" s="7" t="s">
        <v>4787</v>
      </c>
      <c r="B1114" s="8" t="n">
        <v>1958</v>
      </c>
      <c r="C1114" s="8" t="s">
        <v>196</v>
      </c>
      <c r="D1114" s="8" t="n">
        <v>106</v>
      </c>
      <c r="E1114" s="7" t="s">
        <v>4788</v>
      </c>
      <c r="F1114" s="8" t="n">
        <v>7.9</v>
      </c>
      <c r="G1114" s="13"/>
      <c r="H1114" s="9" t="n">
        <v>12975</v>
      </c>
      <c r="I1114" s="7" t="s">
        <v>28</v>
      </c>
      <c r="J1114" s="7" t="s">
        <v>30</v>
      </c>
      <c r="K1114" s="7" t="s">
        <v>54</v>
      </c>
      <c r="L1114" s="10" t="s">
        <v>4789</v>
      </c>
      <c r="M1114" s="7" t="s">
        <v>4790</v>
      </c>
      <c r="N1114" s="8" t="n">
        <v>0</v>
      </c>
      <c r="O1114" s="8" t="n">
        <v>0</v>
      </c>
      <c r="P1114" s="8" t="n">
        <v>0</v>
      </c>
      <c r="Q1114" s="8" t="n">
        <v>1</v>
      </c>
      <c r="R1114" s="8" t="n">
        <v>0</v>
      </c>
      <c r="S1114" s="8" t="n">
        <v>0</v>
      </c>
      <c r="T1114" s="8"/>
      <c r="U1114" s="11" t="n">
        <f aca="false">O1114*4 + P1114*2 + MAX(0,N1114-O1114-P1114)*1 + Q1114*0.2 + R1114*2 + S1114*1 + IF(T1114="",0,IF(T1114&lt;=10,8,IF(T1114&lt;=50,6,IF(T1114&lt;=100,4,2))))</f>
        <v>0.2</v>
      </c>
      <c r="V1114" s="7" t="s">
        <v>4791</v>
      </c>
      <c r="W1114" s="7" t="s">
        <v>143</v>
      </c>
      <c r="X1114" s="13"/>
      <c r="Y1114" s="13" t="s">
        <v>4792</v>
      </c>
    </row>
    <row r="1115" customFormat="false" ht="15.75" hidden="false" customHeight="true" outlineLevel="0" collapsed="false">
      <c r="A1115" s="7" t="s">
        <v>4793</v>
      </c>
      <c r="B1115" s="8" t="n">
        <v>1979</v>
      </c>
      <c r="C1115" s="8" t="s">
        <v>61</v>
      </c>
      <c r="D1115" s="8" t="n">
        <v>162</v>
      </c>
      <c r="E1115" s="7" t="s">
        <v>4794</v>
      </c>
      <c r="F1115" s="8" t="n">
        <v>8</v>
      </c>
      <c r="G1115" s="13"/>
      <c r="H1115" s="9" t="n">
        <v>157429</v>
      </c>
      <c r="I1115" s="7" t="s">
        <v>3325</v>
      </c>
      <c r="J1115" s="7" t="s">
        <v>111</v>
      </c>
      <c r="K1115" s="7" t="s">
        <v>2004</v>
      </c>
      <c r="L1115" s="10" t="s">
        <v>766</v>
      </c>
      <c r="M1115" s="7" t="s">
        <v>4795</v>
      </c>
      <c r="N1115" s="8" t="n">
        <v>0</v>
      </c>
      <c r="O1115" s="8" t="n">
        <v>0</v>
      </c>
      <c r="P1115" s="8" t="n">
        <v>0</v>
      </c>
      <c r="Q1115" s="8" t="n">
        <v>0</v>
      </c>
      <c r="R1115" s="8" t="n">
        <v>0</v>
      </c>
      <c r="S1115" s="13" t="n">
        <v>0</v>
      </c>
      <c r="T1115" s="8" t="n">
        <v>43</v>
      </c>
      <c r="U1115" s="11" t="n">
        <f aca="false">O1115*4 + P1115*2 + MAX(0,N1115-O1115-P1115)*1 + Q1115*0.2 + R1115*2 + S1115*1 + IF(T1115="",0,IF(T1115&lt;=10,8,IF(T1115&lt;=50,6,IF(T1115&lt;=100,4,2))))</f>
        <v>6</v>
      </c>
      <c r="V1115" s="7" t="s">
        <v>4796</v>
      </c>
      <c r="W1115" s="7" t="s">
        <v>143</v>
      </c>
      <c r="X1115" s="13"/>
      <c r="Y1115" s="13" t="s">
        <v>4797</v>
      </c>
    </row>
    <row r="1116" customFormat="false" ht="15.75" hidden="false" customHeight="true" outlineLevel="0" collapsed="false">
      <c r="A1116" s="7" t="s">
        <v>4798</v>
      </c>
      <c r="B1116" s="8" t="n">
        <v>1960</v>
      </c>
      <c r="C1116" s="8" t="s">
        <v>122</v>
      </c>
      <c r="D1116" s="8" t="n">
        <v>90</v>
      </c>
      <c r="E1116" s="7" t="s">
        <v>4799</v>
      </c>
      <c r="F1116" s="8" t="n">
        <v>7.6</v>
      </c>
      <c r="G1116" s="13"/>
      <c r="H1116" s="9" t="n">
        <v>96237</v>
      </c>
      <c r="I1116" s="7" t="s">
        <v>219</v>
      </c>
      <c r="J1116" s="7" t="s">
        <v>47</v>
      </c>
      <c r="K1116" s="7" t="s">
        <v>54</v>
      </c>
      <c r="L1116" s="10" t="s">
        <v>4800</v>
      </c>
      <c r="M1116" s="7" t="s">
        <v>4801</v>
      </c>
      <c r="N1116" s="8" t="n">
        <v>0</v>
      </c>
      <c r="O1116" s="8" t="n">
        <v>0</v>
      </c>
      <c r="P1116" s="8" t="n">
        <v>0</v>
      </c>
      <c r="Q1116" s="8" t="n">
        <v>0</v>
      </c>
      <c r="R1116" s="8" t="n">
        <v>0</v>
      </c>
      <c r="S1116" s="13" t="n">
        <v>0</v>
      </c>
      <c r="T1116" s="8" t="n">
        <v>38</v>
      </c>
      <c r="U1116" s="11" t="n">
        <f aca="false">O1116*4 + P1116*2 + MAX(0,N1116-O1116-P1116)*1 + Q1116*0.2 + R1116*2 + S1116*1 + IF(T1116="",0,IF(T1116&lt;=10,8,IF(T1116&lt;=50,6,IF(T1116&lt;=100,4,2))))</f>
        <v>6</v>
      </c>
      <c r="V1116" s="7" t="s">
        <v>4802</v>
      </c>
      <c r="W1116" s="7" t="s">
        <v>143</v>
      </c>
      <c r="X1116" s="13"/>
      <c r="Y1116" s="13" t="s">
        <v>4803</v>
      </c>
    </row>
    <row r="1117" customFormat="false" ht="15.75" hidden="false" customHeight="true" outlineLevel="0" collapsed="false">
      <c r="A1117" s="7" t="s">
        <v>4804</v>
      </c>
      <c r="B1117" s="8" t="n">
        <v>1951</v>
      </c>
      <c r="C1117" s="8" t="s">
        <v>196</v>
      </c>
      <c r="D1117" s="8" t="n">
        <v>114</v>
      </c>
      <c r="E1117" s="7" t="s">
        <v>4805</v>
      </c>
      <c r="F1117" s="8" t="n">
        <v>7.1</v>
      </c>
      <c r="G1117" s="13"/>
      <c r="H1117" s="9" t="n">
        <v>39666</v>
      </c>
      <c r="I1117" s="7" t="s">
        <v>46</v>
      </c>
      <c r="J1117" s="7" t="s">
        <v>90</v>
      </c>
      <c r="K1117" s="7" t="s">
        <v>29</v>
      </c>
      <c r="L1117" s="10"/>
      <c r="M1117" s="7" t="s">
        <v>4806</v>
      </c>
      <c r="N1117" s="8" t="n">
        <v>6</v>
      </c>
      <c r="O1117" s="8" t="n">
        <v>1</v>
      </c>
      <c r="P1117" s="8" t="n">
        <v>0</v>
      </c>
      <c r="Q1117" s="8" t="n">
        <v>8</v>
      </c>
      <c r="R1117" s="8" t="n">
        <v>0</v>
      </c>
      <c r="S1117" s="8" t="n">
        <v>1</v>
      </c>
      <c r="T1117" s="8"/>
      <c r="U1117" s="11" t="n">
        <f aca="false">O1117*4 + P1117*2 + MAX(0,N1117-O1117-P1117)*1 + Q1117*0.2 + R1117*2 + S1117*1 + IF(T1117="",0,IF(T1117&lt;=10,8,IF(T1117&lt;=50,6,IF(T1117&lt;=100,4,2))))</f>
        <v>11.6</v>
      </c>
      <c r="V1117" s="7" t="s">
        <v>4807</v>
      </c>
      <c r="W1117" s="7" t="s">
        <v>143</v>
      </c>
      <c r="X1117" s="13"/>
      <c r="Y1117" s="13" t="s">
        <v>4808</v>
      </c>
    </row>
    <row r="1118" customFormat="false" ht="15.75" hidden="false" customHeight="true" outlineLevel="0" collapsed="false">
      <c r="A1118" s="7" t="s">
        <v>4809</v>
      </c>
      <c r="B1118" s="8" t="n">
        <v>1983</v>
      </c>
      <c r="C1118" s="8" t="s">
        <v>109</v>
      </c>
      <c r="D1118" s="8" t="n">
        <v>87</v>
      </c>
      <c r="E1118" s="7" t="s">
        <v>1086</v>
      </c>
      <c r="F1118" s="8" t="n">
        <v>7.2</v>
      </c>
      <c r="G1118" s="13"/>
      <c r="H1118" s="9" t="n">
        <v>114092</v>
      </c>
      <c r="I1118" s="7" t="s">
        <v>1111</v>
      </c>
      <c r="J1118" s="7" t="s">
        <v>147</v>
      </c>
      <c r="K1118" s="7" t="s">
        <v>953</v>
      </c>
      <c r="L1118" s="10" t="s">
        <v>205</v>
      </c>
      <c r="M1118" s="7" t="s">
        <v>4810</v>
      </c>
      <c r="N1118" s="8" t="n">
        <v>0</v>
      </c>
      <c r="O1118" s="8" t="n">
        <v>0</v>
      </c>
      <c r="P1118" s="8" t="n">
        <v>0</v>
      </c>
      <c r="Q1118" s="8" t="n">
        <v>0</v>
      </c>
      <c r="R1118" s="8" t="n">
        <v>0</v>
      </c>
      <c r="S1118" s="13" t="n">
        <v>0</v>
      </c>
      <c r="T1118" s="8" t="n">
        <v>243</v>
      </c>
      <c r="U1118" s="11" t="n">
        <f aca="false">O1118*4 + P1118*2 + MAX(0,N1118-O1118-P1118)*1 + Q1118*0.2 + R1118*2 + S1118*1 + IF(T1118="",0,IF(T1118&lt;=10,8,IF(T1118&lt;=50,6,IF(T1118&lt;=100,4,2))))</f>
        <v>2</v>
      </c>
      <c r="V1118" s="7" t="s">
        <v>4811</v>
      </c>
      <c r="W1118" s="7" t="s">
        <v>143</v>
      </c>
      <c r="X1118" s="13"/>
      <c r="Y1118" s="13" t="s">
        <v>4812</v>
      </c>
    </row>
    <row r="1119" customFormat="false" ht="15.75" hidden="false" customHeight="true" outlineLevel="0" collapsed="false">
      <c r="A1119" s="7" t="s">
        <v>4813</v>
      </c>
      <c r="B1119" s="8" t="n">
        <v>1975</v>
      </c>
      <c r="C1119" s="8" t="s">
        <v>61</v>
      </c>
      <c r="D1119" s="8" t="n">
        <v>202</v>
      </c>
      <c r="E1119" s="7" t="s">
        <v>4814</v>
      </c>
      <c r="F1119" s="8" t="n">
        <v>7.5</v>
      </c>
      <c r="G1119" s="8"/>
      <c r="H1119" s="9" t="n">
        <v>17750</v>
      </c>
      <c r="I1119" s="7" t="s">
        <v>3398</v>
      </c>
      <c r="J1119" s="7" t="s">
        <v>47</v>
      </c>
      <c r="K1119" s="7"/>
      <c r="L1119" s="10" t="s">
        <v>205</v>
      </c>
      <c r="M1119" s="7" t="s">
        <v>4815</v>
      </c>
      <c r="N1119" s="8" t="n">
        <v>0</v>
      </c>
      <c r="O1119" s="8" t="n">
        <v>0</v>
      </c>
      <c r="P1119" s="8" t="n">
        <v>0</v>
      </c>
      <c r="Q1119" s="8" t="n">
        <v>0</v>
      </c>
      <c r="R1119" s="8" t="n">
        <v>0</v>
      </c>
      <c r="S1119" s="13" t="n">
        <v>0</v>
      </c>
      <c r="T1119" s="8" t="n">
        <v>1</v>
      </c>
      <c r="U1119" s="11" t="n">
        <f aca="false">O1119*4 + P1119*2 + MAX(0,N1119-O1119-P1119)*1 + Q1119*0.2 + R1119*2 + S1119*1 + IF(T1119="",0,IF(T1119&lt;=10,8,IF(T1119&lt;=50,6,IF(T1119&lt;=100,4,2))))</f>
        <v>8</v>
      </c>
      <c r="V1119" s="7" t="s">
        <v>4816</v>
      </c>
      <c r="W1119" s="7" t="s">
        <v>143</v>
      </c>
      <c r="X1119" s="13"/>
      <c r="Y1119" s="13" t="s">
        <v>4817</v>
      </c>
    </row>
    <row r="1120" customFormat="false" ht="15.75" hidden="false" customHeight="true" outlineLevel="0" collapsed="false">
      <c r="A1120" s="7" t="s">
        <v>4818</v>
      </c>
      <c r="B1120" s="8" t="n">
        <v>2008</v>
      </c>
      <c r="C1120" s="8" t="s">
        <v>35</v>
      </c>
      <c r="D1120" s="8" t="n">
        <v>110</v>
      </c>
      <c r="E1120" s="7" t="s">
        <v>4819</v>
      </c>
      <c r="F1120" s="8" t="n">
        <v>7</v>
      </c>
      <c r="G1120" s="8"/>
      <c r="H1120" s="9" t="n">
        <v>46205</v>
      </c>
      <c r="I1120" s="7" t="s">
        <v>2810</v>
      </c>
      <c r="J1120" s="7" t="s">
        <v>29</v>
      </c>
      <c r="K1120" s="7" t="s">
        <v>47</v>
      </c>
      <c r="L1120" s="10" t="s">
        <v>4820</v>
      </c>
      <c r="M1120" s="7" t="s">
        <v>4821</v>
      </c>
      <c r="N1120" s="8" t="n">
        <v>0</v>
      </c>
      <c r="O1120" s="8" t="n">
        <v>0</v>
      </c>
      <c r="P1120" s="8" t="n">
        <v>0</v>
      </c>
      <c r="Q1120" s="8" t="n">
        <v>0</v>
      </c>
      <c r="R1120" s="8" t="n">
        <v>0</v>
      </c>
      <c r="S1120" s="13" t="n">
        <v>0</v>
      </c>
      <c r="T1120" s="8"/>
      <c r="U1120" s="11" t="n">
        <f aca="false">O1120*4 + P1120*2 + MAX(0,N1120-O1120-P1120)*1 + Q1120*0.2 + R1120*2 + S1120*1 + IF(T1120="",0,IF(T1120&lt;=10,8,IF(T1120&lt;=50,6,IF(T1120&lt;=100,4,2))))</f>
        <v>0</v>
      </c>
      <c r="V1120" s="10" t="s">
        <v>4822</v>
      </c>
      <c r="W1120" s="7"/>
      <c r="X1120" s="8" t="n">
        <v>4</v>
      </c>
      <c r="Y1120" s="8" t="s">
        <v>4823</v>
      </c>
    </row>
    <row r="1121" customFormat="false" ht="15.75" hidden="false" customHeight="true" outlineLevel="0" collapsed="false">
      <c r="A1121" s="7" t="s">
        <v>4824</v>
      </c>
      <c r="B1121" s="8" t="n">
        <v>2021</v>
      </c>
      <c r="C1121" s="8" t="s">
        <v>378</v>
      </c>
      <c r="D1121" s="8" t="n">
        <v>111</v>
      </c>
      <c r="E1121" s="7" t="s">
        <v>4825</v>
      </c>
      <c r="F1121" s="8" t="n">
        <v>6.2</v>
      </c>
      <c r="G1121" s="8"/>
      <c r="H1121" s="9" t="n">
        <v>47452</v>
      </c>
      <c r="I1121" s="7" t="s">
        <v>359</v>
      </c>
      <c r="J1121" s="7" t="s">
        <v>131</v>
      </c>
      <c r="K1121" s="7" t="s">
        <v>54</v>
      </c>
      <c r="L1121" s="10" t="s">
        <v>192</v>
      </c>
      <c r="M1121" s="7" t="s">
        <v>4826</v>
      </c>
      <c r="N1121" s="8" t="n">
        <v>0</v>
      </c>
      <c r="O1121" s="8" t="n">
        <v>0</v>
      </c>
      <c r="P1121" s="8" t="n">
        <v>0</v>
      </c>
      <c r="Q1121" s="8" t="n">
        <v>0</v>
      </c>
      <c r="R1121" s="8" t="n">
        <v>0</v>
      </c>
      <c r="S1121" s="13" t="n">
        <v>0</v>
      </c>
      <c r="T1121" s="8"/>
      <c r="U1121" s="11" t="n">
        <f aca="false">O1121*4 + P1121*2 + MAX(0,N1121-O1121-P1121)*1 + Q1121*0.2 + R1121*2 + S1121*1 + IF(T1121="",0,IF(T1121&lt;=10,8,IF(T1121&lt;=50,6,IF(T1121&lt;=100,4,2))))</f>
        <v>0</v>
      </c>
      <c r="V1121" s="10" t="s">
        <v>4827</v>
      </c>
      <c r="W1121" s="7"/>
      <c r="X1121" s="8" t="n">
        <v>11</v>
      </c>
      <c r="Y1121" s="8" t="s">
        <v>4828</v>
      </c>
    </row>
    <row r="1122" customFormat="false" ht="15.75" hidden="false" customHeight="true" outlineLevel="0" collapsed="false">
      <c r="A1122" s="7" t="s">
        <v>4829</v>
      </c>
      <c r="B1122" s="8" t="n">
        <v>2009</v>
      </c>
      <c r="C1122" s="8" t="s">
        <v>35</v>
      </c>
      <c r="D1122" s="8" t="n">
        <v>107</v>
      </c>
      <c r="E1122" s="7" t="s">
        <v>4830</v>
      </c>
      <c r="F1122" s="8" t="n">
        <v>6.8</v>
      </c>
      <c r="G1122" s="8"/>
      <c r="H1122" s="9" t="n">
        <v>175231</v>
      </c>
      <c r="I1122" s="7" t="s">
        <v>46</v>
      </c>
      <c r="J1122" s="7" t="s">
        <v>29</v>
      </c>
      <c r="K1122" s="7" t="s">
        <v>30</v>
      </c>
      <c r="L1122" s="10"/>
      <c r="M1122" s="7" t="s">
        <v>4831</v>
      </c>
      <c r="N1122" s="8" t="n">
        <v>0</v>
      </c>
      <c r="O1122" s="8" t="n">
        <v>0</v>
      </c>
      <c r="P1122" s="8" t="n">
        <v>0</v>
      </c>
      <c r="Q1122" s="8" t="n">
        <v>0</v>
      </c>
      <c r="R1122" s="8" t="n">
        <v>0</v>
      </c>
      <c r="S1122" s="13" t="n">
        <v>0</v>
      </c>
      <c r="T1122" s="8"/>
      <c r="U1122" s="11" t="n">
        <f aca="false">O1122*4 + P1122*2 + MAX(0,N1122-O1122-P1122)*1 + Q1122*0.2 + R1122*2 + S1122*1 + IF(T1122="",0,IF(T1122&lt;=10,8,IF(T1122&lt;=50,6,IF(T1122&lt;=100,4,2))))</f>
        <v>0</v>
      </c>
      <c r="V1122" s="10" t="s">
        <v>4832</v>
      </c>
      <c r="W1122" s="7"/>
      <c r="X1122" s="8" t="n">
        <v>12</v>
      </c>
      <c r="Y1122" s="8" t="s">
        <v>4833</v>
      </c>
    </row>
    <row r="1123" customFormat="false" ht="15.75" hidden="false" customHeight="true" outlineLevel="0" collapsed="false">
      <c r="A1123" s="7" t="s">
        <v>4834</v>
      </c>
      <c r="B1123" s="8" t="n">
        <v>2018</v>
      </c>
      <c r="C1123" s="8" t="s">
        <v>176</v>
      </c>
      <c r="D1123" s="8" t="n">
        <v>121</v>
      </c>
      <c r="E1123" s="7" t="s">
        <v>4835</v>
      </c>
      <c r="F1123" s="8" t="n">
        <v>6.5</v>
      </c>
      <c r="G1123" s="8"/>
      <c r="H1123" s="9" t="n">
        <v>99387</v>
      </c>
      <c r="I1123" s="7" t="s">
        <v>4836</v>
      </c>
      <c r="J1123" s="7" t="s">
        <v>147</v>
      </c>
      <c r="K1123" s="7" t="s">
        <v>38</v>
      </c>
      <c r="L1123" s="10" t="s">
        <v>3491</v>
      </c>
      <c r="M1123" s="7" t="s">
        <v>4837</v>
      </c>
      <c r="N1123" s="8" t="n">
        <v>0</v>
      </c>
      <c r="O1123" s="8" t="n">
        <v>0</v>
      </c>
      <c r="P1123" s="8" t="n">
        <v>0</v>
      </c>
      <c r="Q1123" s="8" t="n">
        <v>0</v>
      </c>
      <c r="R1123" s="8" t="n">
        <v>0</v>
      </c>
      <c r="S1123" s="13" t="n">
        <v>0</v>
      </c>
      <c r="T1123" s="8"/>
      <c r="U1123" s="11" t="n">
        <f aca="false">O1123*4 + P1123*2 + MAX(0,N1123-O1123-P1123)*1 + Q1123*0.2 + R1123*2 + S1123*1 + IF(T1123="",0,IF(T1123&lt;=10,8,IF(T1123&lt;=50,6,IF(T1123&lt;=100,4,2))))</f>
        <v>0</v>
      </c>
      <c r="V1123" s="10" t="s">
        <v>4838</v>
      </c>
      <c r="W1123" s="7"/>
      <c r="X1123" s="8" t="n">
        <v>13</v>
      </c>
      <c r="Y1123" s="8" t="s">
        <v>4839</v>
      </c>
    </row>
    <row r="1124" customFormat="false" ht="15.75" hidden="false" customHeight="true" outlineLevel="0" collapsed="false">
      <c r="A1124" s="7" t="s">
        <v>4840</v>
      </c>
      <c r="B1124" s="8" t="n">
        <v>2023</v>
      </c>
      <c r="C1124" s="8" t="s">
        <v>378</v>
      </c>
      <c r="D1124" s="8" t="n">
        <v>131</v>
      </c>
      <c r="E1124" s="7" t="s">
        <v>3287</v>
      </c>
      <c r="F1124" s="8" t="n">
        <v>7.3</v>
      </c>
      <c r="G1124" s="8"/>
      <c r="H1124" s="9" t="n">
        <v>22947</v>
      </c>
      <c r="I1124" s="7" t="s">
        <v>3288</v>
      </c>
      <c r="J1124" s="7" t="s">
        <v>39</v>
      </c>
      <c r="K1124" s="7" t="s">
        <v>30</v>
      </c>
      <c r="L1124" s="10" t="s">
        <v>4841</v>
      </c>
      <c r="M1124" s="7" t="s">
        <v>4842</v>
      </c>
      <c r="N1124" s="8" t="n">
        <v>0</v>
      </c>
      <c r="O1124" s="8" t="n">
        <v>0</v>
      </c>
      <c r="P1124" s="8" t="n">
        <v>0</v>
      </c>
      <c r="Q1124" s="8" t="n">
        <v>0</v>
      </c>
      <c r="R1124" s="8" t="n">
        <v>0</v>
      </c>
      <c r="S1124" s="13" t="n">
        <v>0</v>
      </c>
      <c r="T1124" s="8"/>
      <c r="U1124" s="11" t="n">
        <f aca="false">O1124*4 + P1124*2 + MAX(0,N1124-O1124-P1124)*1 + Q1124*0.2 + R1124*2 + S1124*1 + IF(T1124="",0,IF(T1124&lt;=10,8,IF(T1124&lt;=50,6,IF(T1124&lt;=100,4,2))))</f>
        <v>0</v>
      </c>
      <c r="V1124" s="10" t="s">
        <v>4843</v>
      </c>
      <c r="W1124" s="7"/>
      <c r="X1124" s="8" t="n">
        <v>14</v>
      </c>
      <c r="Y1124" s="8" t="s">
        <v>4844</v>
      </c>
    </row>
    <row r="1125" customFormat="false" ht="15.75" hidden="false" customHeight="true" outlineLevel="0" collapsed="false">
      <c r="A1125" s="7" t="s">
        <v>4845</v>
      </c>
      <c r="B1125" s="8" t="n">
        <v>2019</v>
      </c>
      <c r="C1125" s="8" t="s">
        <v>176</v>
      </c>
      <c r="D1125" s="8" t="n">
        <v>135</v>
      </c>
      <c r="E1125" s="7" t="s">
        <v>4846</v>
      </c>
      <c r="F1125" s="8" t="n">
        <v>7.4</v>
      </c>
      <c r="G1125" s="8" t="n">
        <v>5</v>
      </c>
      <c r="H1125" s="9" t="n">
        <v>360366</v>
      </c>
      <c r="I1125" s="7" t="s">
        <v>46</v>
      </c>
      <c r="J1125" s="7" t="s">
        <v>131</v>
      </c>
      <c r="K1125" s="7" t="s">
        <v>54</v>
      </c>
      <c r="L1125" s="10" t="s">
        <v>238</v>
      </c>
      <c r="M1125" s="7" t="s">
        <v>4847</v>
      </c>
      <c r="N1125" s="8" t="n">
        <v>0</v>
      </c>
      <c r="O1125" s="8" t="n">
        <v>0</v>
      </c>
      <c r="P1125" s="8" t="n">
        <v>0</v>
      </c>
      <c r="Q1125" s="8" t="n">
        <v>0</v>
      </c>
      <c r="R1125" s="8" t="n">
        <v>0</v>
      </c>
      <c r="S1125" s="13" t="n">
        <v>0</v>
      </c>
      <c r="T1125" s="8"/>
      <c r="U1125" s="11" t="n">
        <f aca="false">O1125*4 + P1125*2 + MAX(0,N1125-O1125-P1125)*1 + Q1125*0.2 + R1125*2 + S1125*1 + IF(T1125="",0,IF(T1125&lt;=10,8,IF(T1125&lt;=50,6,IF(T1125&lt;=100,4,2))))</f>
        <v>0</v>
      </c>
      <c r="V1125" s="10" t="s">
        <v>4848</v>
      </c>
      <c r="W1125" s="7"/>
      <c r="X1125" s="8" t="n">
        <v>15</v>
      </c>
      <c r="Y1125" s="8" t="s">
        <v>4849</v>
      </c>
    </row>
    <row r="1126" customFormat="false" ht="15.75" hidden="false" customHeight="true" outlineLevel="0" collapsed="false">
      <c r="A1126" s="7" t="s">
        <v>4850</v>
      </c>
      <c r="B1126" s="8" t="n">
        <v>2011</v>
      </c>
      <c r="C1126" s="8" t="s">
        <v>176</v>
      </c>
      <c r="D1126" s="8" t="n">
        <v>101</v>
      </c>
      <c r="E1126" s="7" t="s">
        <v>3217</v>
      </c>
      <c r="F1126" s="8" t="n">
        <v>7.6</v>
      </c>
      <c r="G1126" s="8" t="n">
        <v>6</v>
      </c>
      <c r="H1126" s="9" t="n">
        <v>232533</v>
      </c>
      <c r="I1126" s="7"/>
      <c r="J1126" s="7"/>
      <c r="K1126" s="12"/>
      <c r="L1126" s="10" t="s">
        <v>210</v>
      </c>
      <c r="M1126" s="10" t="s">
        <v>4851</v>
      </c>
      <c r="N1126" s="8" t="n">
        <v>0</v>
      </c>
      <c r="O1126" s="8" t="n">
        <v>0</v>
      </c>
      <c r="P1126" s="8" t="n">
        <v>0</v>
      </c>
      <c r="Q1126" s="8" t="n">
        <v>0</v>
      </c>
      <c r="R1126" s="13" t="n">
        <v>0</v>
      </c>
      <c r="S1126" s="13" t="n">
        <v>0</v>
      </c>
      <c r="T1126" s="13"/>
      <c r="U1126" s="11" t="n">
        <f aca="false">O1126*4 + P1126*2 + MAX(0,N1126-O1126-P1126)*1 + Q1126*0.2 + R1126*2 + S1126*1 + IF(T1126="",0,IF(T1126&lt;=10,8,IF(T1126&lt;=50,6,IF(T1126&lt;=100,4,2))))</f>
        <v>0</v>
      </c>
      <c r="V1126" s="10" t="s">
        <v>4852</v>
      </c>
      <c r="W1126" s="7"/>
      <c r="X1126" s="8" t="n">
        <v>16</v>
      </c>
      <c r="Y1126" s="8" t="s">
        <v>4853</v>
      </c>
    </row>
    <row r="1127" customFormat="false" ht="15.75" hidden="false" customHeight="true" outlineLevel="0" collapsed="false">
      <c r="A1127" s="7" t="s">
        <v>4854</v>
      </c>
      <c r="B1127" s="8" t="n">
        <v>2001</v>
      </c>
      <c r="C1127" s="8" t="s">
        <v>35</v>
      </c>
      <c r="D1127" s="8" t="n">
        <v>119</v>
      </c>
      <c r="E1127" s="7" t="s">
        <v>4855</v>
      </c>
      <c r="F1127" s="8" t="n">
        <v>6.9</v>
      </c>
      <c r="G1127" s="8"/>
      <c r="H1127" s="9" t="n">
        <v>8720</v>
      </c>
      <c r="I1127" s="7" t="s">
        <v>4209</v>
      </c>
      <c r="J1127" s="7" t="s">
        <v>29</v>
      </c>
      <c r="K1127" s="7" t="s">
        <v>47</v>
      </c>
      <c r="L1127" s="10" t="s">
        <v>205</v>
      </c>
      <c r="M1127" s="7" t="s">
        <v>4856</v>
      </c>
      <c r="N1127" s="8" t="n">
        <v>0</v>
      </c>
      <c r="O1127" s="8" t="n">
        <v>0</v>
      </c>
      <c r="P1127" s="8" t="n">
        <v>0</v>
      </c>
      <c r="Q1127" s="8" t="n">
        <v>0</v>
      </c>
      <c r="R1127" s="8" t="n">
        <v>0</v>
      </c>
      <c r="S1127" s="13" t="n">
        <v>0</v>
      </c>
      <c r="T1127" s="8"/>
      <c r="U1127" s="11" t="n">
        <f aca="false">O1127*4 + P1127*2 + MAX(0,N1127-O1127-P1127)*1 + Q1127*0.2 + R1127*2 + S1127*1 + IF(T1127="",0,IF(T1127&lt;=10,8,IF(T1127&lt;=50,6,IF(T1127&lt;=100,4,2))))</f>
        <v>0</v>
      </c>
      <c r="V1127" s="10" t="s">
        <v>4857</v>
      </c>
      <c r="W1127" s="7"/>
      <c r="X1127" s="8" t="n">
        <v>17</v>
      </c>
      <c r="Y1127" s="8" t="s">
        <v>4858</v>
      </c>
    </row>
    <row r="1128" customFormat="false" ht="15.75" hidden="false" customHeight="true" outlineLevel="0" collapsed="false">
      <c r="A1128" s="7" t="s">
        <v>4859</v>
      </c>
      <c r="B1128" s="8" t="n">
        <v>2023</v>
      </c>
      <c r="C1128" s="8" t="s">
        <v>378</v>
      </c>
      <c r="D1128" s="8" t="n">
        <v>81</v>
      </c>
      <c r="E1128" s="7" t="s">
        <v>3275</v>
      </c>
      <c r="F1128" s="8" t="n">
        <v>7.2</v>
      </c>
      <c r="G1128" s="8"/>
      <c r="H1128" s="9" t="n">
        <v>37147</v>
      </c>
      <c r="I1128" s="7" t="s">
        <v>4860</v>
      </c>
      <c r="J1128" s="7" t="s">
        <v>29</v>
      </c>
      <c r="K1128" s="7" t="s">
        <v>30</v>
      </c>
      <c r="L1128" s="10"/>
      <c r="M1128" s="7" t="s">
        <v>4861</v>
      </c>
      <c r="N1128" s="8" t="n">
        <v>0</v>
      </c>
      <c r="O1128" s="8" t="n">
        <v>0</v>
      </c>
      <c r="P1128" s="8" t="n">
        <v>0</v>
      </c>
      <c r="Q1128" s="8" t="n">
        <v>0</v>
      </c>
      <c r="R1128" s="8" t="n">
        <v>0</v>
      </c>
      <c r="S1128" s="13" t="n">
        <v>0</v>
      </c>
      <c r="T1128" s="8"/>
      <c r="U1128" s="11" t="n">
        <f aca="false">O1128*4 + P1128*2 + MAX(0,N1128-O1128-P1128)*1 + Q1128*0.2 + R1128*2 + S1128*1 + IF(T1128="",0,IF(T1128&lt;=10,8,IF(T1128&lt;=50,6,IF(T1128&lt;=100,4,2))))</f>
        <v>0</v>
      </c>
      <c r="V1128" s="10" t="s">
        <v>4862</v>
      </c>
      <c r="W1128" s="7"/>
      <c r="X1128" s="8" t="n">
        <v>19</v>
      </c>
      <c r="Y1128" s="8" t="s">
        <v>4863</v>
      </c>
    </row>
    <row r="1129" customFormat="false" ht="15.75" hidden="false" customHeight="true" outlineLevel="0" collapsed="false">
      <c r="A1129" s="7" t="s">
        <v>4864</v>
      </c>
      <c r="B1129" s="8" t="n">
        <v>2002</v>
      </c>
      <c r="C1129" s="8" t="s">
        <v>35</v>
      </c>
      <c r="D1129" s="8" t="n">
        <v>114</v>
      </c>
      <c r="E1129" s="7" t="s">
        <v>273</v>
      </c>
      <c r="F1129" s="8" t="n">
        <v>6.2</v>
      </c>
      <c r="G1129" s="8"/>
      <c r="H1129" s="9" t="n">
        <v>39709</v>
      </c>
      <c r="I1129" s="7" t="s">
        <v>3371</v>
      </c>
      <c r="J1129" s="7" t="s">
        <v>47</v>
      </c>
      <c r="K1129" s="7" t="s">
        <v>54</v>
      </c>
      <c r="L1129" s="10" t="s">
        <v>447</v>
      </c>
      <c r="M1129" s="7" t="s">
        <v>4865</v>
      </c>
      <c r="N1129" s="8" t="n">
        <v>0</v>
      </c>
      <c r="O1129" s="8" t="n">
        <v>0</v>
      </c>
      <c r="P1129" s="8" t="n">
        <v>0</v>
      </c>
      <c r="Q1129" s="8" t="n">
        <v>0</v>
      </c>
      <c r="R1129" s="8" t="n">
        <v>0</v>
      </c>
      <c r="S1129" s="13" t="n">
        <v>0</v>
      </c>
      <c r="T1129" s="8"/>
      <c r="U1129" s="11" t="n">
        <f aca="false">O1129*4 + P1129*2 + MAX(0,N1129-O1129-P1129)*1 + Q1129*0.2 + R1129*2 + S1129*1 + IF(T1129="",0,IF(T1129&lt;=10,8,IF(T1129&lt;=50,6,IF(T1129&lt;=100,4,2))))</f>
        <v>0</v>
      </c>
      <c r="V1129" s="10" t="s">
        <v>4866</v>
      </c>
      <c r="W1129" s="7"/>
      <c r="X1129" s="8" t="n">
        <v>21</v>
      </c>
      <c r="Y1129" s="8" t="s">
        <v>4867</v>
      </c>
    </row>
    <row r="1130" customFormat="false" ht="15.75" hidden="false" customHeight="true" outlineLevel="0" collapsed="false">
      <c r="A1130" s="7" t="s">
        <v>4868</v>
      </c>
      <c r="B1130" s="8" t="n">
        <v>2014</v>
      </c>
      <c r="C1130" s="8" t="s">
        <v>176</v>
      </c>
      <c r="D1130" s="8" t="n">
        <v>100</v>
      </c>
      <c r="E1130" s="7" t="s">
        <v>4869</v>
      </c>
      <c r="F1130" s="8" t="n">
        <v>7.7</v>
      </c>
      <c r="G1130" s="8" t="n">
        <v>5</v>
      </c>
      <c r="H1130" s="9" t="n">
        <v>419886</v>
      </c>
      <c r="I1130" s="7" t="s">
        <v>46</v>
      </c>
      <c r="J1130" s="7" t="s">
        <v>579</v>
      </c>
      <c r="K1130" s="7" t="s">
        <v>112</v>
      </c>
      <c r="L1130" s="10" t="s">
        <v>177</v>
      </c>
      <c r="M1130" s="7" t="s">
        <v>4870</v>
      </c>
      <c r="N1130" s="8" t="n">
        <v>0</v>
      </c>
      <c r="O1130" s="8" t="n">
        <v>0</v>
      </c>
      <c r="P1130" s="8" t="n">
        <v>0</v>
      </c>
      <c r="Q1130" s="8" t="n">
        <v>1</v>
      </c>
      <c r="R1130" s="8" t="n">
        <v>0</v>
      </c>
      <c r="S1130" s="8" t="n">
        <v>0</v>
      </c>
      <c r="T1130" s="8"/>
      <c r="U1130" s="11" t="n">
        <f aca="false">O1130*4 + P1130*2 + MAX(0,N1130-O1130-P1130)*1 + Q1130*0.2 + R1130*2 + S1130*1 + IF(T1130="",0,IF(T1130&lt;=10,8,IF(T1130&lt;=50,6,IF(T1130&lt;=100,4,2))))</f>
        <v>0.2</v>
      </c>
      <c r="V1130" s="10" t="s">
        <v>4871</v>
      </c>
      <c r="W1130" s="7"/>
      <c r="X1130" s="8" t="n">
        <v>22</v>
      </c>
      <c r="Y1130" s="8" t="s">
        <v>4872</v>
      </c>
    </row>
    <row r="1131" customFormat="false" ht="15.75" hidden="false" customHeight="true" outlineLevel="0" collapsed="false">
      <c r="A1131" s="7" t="s">
        <v>4873</v>
      </c>
      <c r="B1131" s="8" t="n">
        <v>2017</v>
      </c>
      <c r="C1131" s="8" t="s">
        <v>176</v>
      </c>
      <c r="D1131" s="8" t="n">
        <v>130</v>
      </c>
      <c r="E1131" s="7" t="s">
        <v>1192</v>
      </c>
      <c r="F1131" s="8" t="n">
        <v>7.4</v>
      </c>
      <c r="G1131" s="8"/>
      <c r="H1131" s="9" t="n">
        <v>163504</v>
      </c>
      <c r="I1131" s="7" t="s">
        <v>153</v>
      </c>
      <c r="J1131" s="7" t="s">
        <v>29</v>
      </c>
      <c r="K1131" s="7" t="s">
        <v>47</v>
      </c>
      <c r="L1131" s="10"/>
      <c r="M1131" s="7" t="s">
        <v>4874</v>
      </c>
      <c r="N1131" s="8" t="n">
        <v>1</v>
      </c>
      <c r="O1131" s="8" t="n">
        <v>0</v>
      </c>
      <c r="P1131" s="8" t="n">
        <v>0</v>
      </c>
      <c r="Q1131" s="8" t="n">
        <v>6</v>
      </c>
      <c r="R1131" s="8" t="n">
        <v>0</v>
      </c>
      <c r="S1131" s="8" t="n">
        <v>0</v>
      </c>
      <c r="T1131" s="8"/>
      <c r="U1131" s="11" t="n">
        <f aca="false">O1131*4 + P1131*2 + MAX(0,N1131-O1131-P1131)*1 + Q1131*0.2 + R1131*2 + S1131*1 + IF(T1131="",0,IF(T1131&lt;=10,8,IF(T1131&lt;=50,6,IF(T1131&lt;=100,4,2))))</f>
        <v>2.2</v>
      </c>
      <c r="V1131" s="10" t="s">
        <v>4875</v>
      </c>
      <c r="W1131" s="7"/>
      <c r="X1131" s="8" t="n">
        <v>23</v>
      </c>
      <c r="Y1131" s="8" t="s">
        <v>4876</v>
      </c>
    </row>
    <row r="1132" customFormat="false" ht="15.75" hidden="false" customHeight="true" outlineLevel="0" collapsed="false">
      <c r="A1132" s="7" t="s">
        <v>4877</v>
      </c>
      <c r="B1132" s="8" t="n">
        <v>2008</v>
      </c>
      <c r="C1132" s="8" t="s">
        <v>35</v>
      </c>
      <c r="D1132" s="8" t="n">
        <v>131</v>
      </c>
      <c r="E1132" s="7" t="s">
        <v>4878</v>
      </c>
      <c r="F1132" s="8" t="n">
        <v>7.5</v>
      </c>
      <c r="G1132" s="8" t="n">
        <v>7</v>
      </c>
      <c r="H1132" s="9" t="n">
        <v>498836</v>
      </c>
      <c r="I1132" s="7" t="s">
        <v>46</v>
      </c>
      <c r="J1132" s="7" t="s">
        <v>154</v>
      </c>
      <c r="K1132" s="7" t="s">
        <v>131</v>
      </c>
      <c r="L1132" s="10" t="s">
        <v>587</v>
      </c>
      <c r="M1132" s="7" t="s">
        <v>4879</v>
      </c>
      <c r="N1132" s="8" t="n">
        <v>6</v>
      </c>
      <c r="O1132" s="8" t="n">
        <v>1</v>
      </c>
      <c r="P1132" s="8" t="n">
        <v>1</v>
      </c>
      <c r="Q1132" s="8" t="n">
        <v>9</v>
      </c>
      <c r="R1132" s="8" t="n">
        <v>0</v>
      </c>
      <c r="S1132" s="8" t="n">
        <v>0</v>
      </c>
      <c r="T1132" s="8"/>
      <c r="U1132" s="11" t="n">
        <f aca="false">O1132*4 + P1132*2 + MAX(0,N1132-O1132-P1132)*1 + Q1132*0.2 + R1132*2 + S1132*1 + IF(T1132="",0,IF(T1132&lt;=10,8,IF(T1132&lt;=50,6,IF(T1132&lt;=100,4,2))))</f>
        <v>11.8</v>
      </c>
      <c r="V1132" s="10" t="s">
        <v>4880</v>
      </c>
      <c r="W1132" s="7"/>
      <c r="X1132" s="8" t="n">
        <v>27</v>
      </c>
      <c r="Y1132" s="8" t="s">
        <v>4881</v>
      </c>
    </row>
    <row r="1133" customFormat="false" ht="15.75" hidden="false" customHeight="true" outlineLevel="0" collapsed="false">
      <c r="A1133" s="7" t="s">
        <v>4882</v>
      </c>
      <c r="B1133" s="8" t="n">
        <v>2015</v>
      </c>
      <c r="C1133" s="8" t="s">
        <v>176</v>
      </c>
      <c r="D1133" s="8" t="n">
        <v>131</v>
      </c>
      <c r="E1133" s="7" t="s">
        <v>4883</v>
      </c>
      <c r="F1133" s="8" t="n">
        <v>7.4</v>
      </c>
      <c r="G1133" s="8" t="n">
        <v>6</v>
      </c>
      <c r="H1133" s="9" t="n">
        <v>448821</v>
      </c>
      <c r="I1133" s="7" t="s">
        <v>2276</v>
      </c>
      <c r="J1133" s="7" t="s">
        <v>131</v>
      </c>
      <c r="K1133" s="7" t="s">
        <v>112</v>
      </c>
      <c r="L1133" s="10" t="s">
        <v>2512</v>
      </c>
      <c r="M1133" s="7" t="s">
        <v>4884</v>
      </c>
      <c r="N1133" s="8" t="n">
        <v>0</v>
      </c>
      <c r="O1133" s="8" t="n">
        <v>0</v>
      </c>
      <c r="P1133" s="8" t="n">
        <v>0</v>
      </c>
      <c r="Q1133" s="8" t="n">
        <v>0</v>
      </c>
      <c r="R1133" s="8" t="n">
        <v>0</v>
      </c>
      <c r="S1133" s="13" t="n">
        <v>0</v>
      </c>
      <c r="T1133" s="8"/>
      <c r="U1133" s="11" t="n">
        <f aca="false">O1133*4 + P1133*2 + MAX(0,N1133-O1133-P1133)*1 + Q1133*0.2 + R1133*2 + S1133*1 + IF(T1133="",0,IF(T1133&lt;=10,8,IF(T1133&lt;=50,6,IF(T1133&lt;=100,4,2))))</f>
        <v>0</v>
      </c>
      <c r="V1133" s="10" t="s">
        <v>4885</v>
      </c>
      <c r="W1133" s="7"/>
      <c r="X1133" s="8" t="n">
        <v>28</v>
      </c>
      <c r="Y1133" s="8" t="s">
        <v>4886</v>
      </c>
    </row>
    <row r="1134" customFormat="false" ht="15.75" hidden="false" customHeight="true" outlineLevel="0" collapsed="false">
      <c r="A1134" s="7" t="s">
        <v>4887</v>
      </c>
      <c r="B1134" s="8" t="n">
        <v>2024</v>
      </c>
      <c r="C1134" s="8" t="s">
        <v>378</v>
      </c>
      <c r="D1134" s="8" t="n">
        <v>216</v>
      </c>
      <c r="E1134" s="7" t="s">
        <v>4888</v>
      </c>
      <c r="F1134" s="8" t="n">
        <v>7.2</v>
      </c>
      <c r="G1134" s="8"/>
      <c r="H1134" s="9" t="n">
        <v>161669</v>
      </c>
      <c r="I1134" s="7" t="s">
        <v>280</v>
      </c>
      <c r="J1134" s="7" t="s">
        <v>47</v>
      </c>
      <c r="K1134" s="7"/>
      <c r="L1134" s="10" t="s">
        <v>210</v>
      </c>
      <c r="M1134" s="7" t="s">
        <v>4889</v>
      </c>
      <c r="N1134" s="8" t="n">
        <v>3</v>
      </c>
      <c r="O1134" s="8" t="n">
        <v>0</v>
      </c>
      <c r="P1134" s="8" t="n">
        <v>0</v>
      </c>
      <c r="Q1134" s="8" t="n">
        <v>10</v>
      </c>
      <c r="R1134" s="8" t="n">
        <v>0</v>
      </c>
      <c r="S1134" s="8" t="n">
        <v>0</v>
      </c>
      <c r="T1134" s="8"/>
      <c r="U1134" s="11" t="n">
        <f aca="false">O1134*4 + P1134*2 + MAX(0,N1134-O1134-P1134)*1 + Q1134*0.2 + R1134*2 + S1134*1 + IF(T1134="",0,IF(T1134&lt;=10,8,IF(T1134&lt;=50,6,IF(T1134&lt;=100,4,2))))</f>
        <v>5</v>
      </c>
      <c r="V1134" s="10" t="s">
        <v>4890</v>
      </c>
      <c r="W1134" s="7"/>
      <c r="X1134" s="8" t="n">
        <v>31</v>
      </c>
      <c r="Y1134" s="8" t="s">
        <v>4891</v>
      </c>
    </row>
    <row r="1135" customFormat="false" ht="15.75" hidden="false" customHeight="true" outlineLevel="0" collapsed="false">
      <c r="A1135" s="7" t="s">
        <v>4892</v>
      </c>
      <c r="B1135" s="8" t="n">
        <v>2023</v>
      </c>
      <c r="C1135" s="8" t="s">
        <v>378</v>
      </c>
      <c r="D1135" s="8" t="n">
        <v>169</v>
      </c>
      <c r="E1135" s="7" t="s">
        <v>4893</v>
      </c>
      <c r="F1135" s="8" t="n">
        <v>7.6</v>
      </c>
      <c r="G1135" s="8"/>
      <c r="H1135" s="9" t="n">
        <v>417463</v>
      </c>
      <c r="I1135" s="7" t="s">
        <v>2011</v>
      </c>
      <c r="J1135" s="7" t="s">
        <v>131</v>
      </c>
      <c r="K1135" s="7" t="s">
        <v>54</v>
      </c>
      <c r="L1135" s="10" t="s">
        <v>113</v>
      </c>
      <c r="M1135" s="7" t="s">
        <v>4894</v>
      </c>
      <c r="N1135" s="8" t="n">
        <v>0</v>
      </c>
      <c r="O1135" s="8" t="n">
        <v>0</v>
      </c>
      <c r="P1135" s="8" t="n">
        <v>0</v>
      </c>
      <c r="Q1135" s="8" t="n">
        <v>0</v>
      </c>
      <c r="R1135" s="8" t="n">
        <v>0</v>
      </c>
      <c r="S1135" s="13" t="n">
        <v>0</v>
      </c>
      <c r="T1135" s="8"/>
      <c r="U1135" s="11" t="n">
        <f aca="false">O1135*4 + P1135*2 + MAX(0,N1135-O1135-P1135)*1 + Q1135*0.2 + R1135*2 + S1135*1 + IF(T1135="",0,IF(T1135&lt;=10,8,IF(T1135&lt;=50,6,IF(T1135&lt;=100,4,2))))</f>
        <v>0</v>
      </c>
      <c r="V1135" s="10" t="s">
        <v>4895</v>
      </c>
      <c r="W1135" s="7"/>
      <c r="X1135" s="8" t="n">
        <v>32</v>
      </c>
      <c r="Y1135" s="8" t="s">
        <v>4896</v>
      </c>
    </row>
    <row r="1136" customFormat="false" ht="15.75" hidden="false" customHeight="true" outlineLevel="0" collapsed="false">
      <c r="A1136" s="7" t="s">
        <v>4897</v>
      </c>
      <c r="B1136" s="8" t="n">
        <v>2011</v>
      </c>
      <c r="C1136" s="8" t="s">
        <v>176</v>
      </c>
      <c r="D1136" s="8" t="n">
        <v>139</v>
      </c>
      <c r="E1136" s="7" t="s">
        <v>452</v>
      </c>
      <c r="F1136" s="8" t="n">
        <v>6.8</v>
      </c>
      <c r="G1136" s="8"/>
      <c r="H1136" s="9" t="n">
        <v>193153</v>
      </c>
      <c r="I1136" s="7" t="s">
        <v>46</v>
      </c>
      <c r="J1136" s="7" t="s">
        <v>38</v>
      </c>
      <c r="K1136" s="7" t="s">
        <v>47</v>
      </c>
      <c r="L1136" s="10"/>
      <c r="M1136" s="7" t="s">
        <v>4898</v>
      </c>
      <c r="N1136" s="8" t="n">
        <v>0</v>
      </c>
      <c r="O1136" s="8" t="n">
        <v>0</v>
      </c>
      <c r="P1136" s="8" t="n">
        <v>0</v>
      </c>
      <c r="Q1136" s="8" t="n">
        <v>3</v>
      </c>
      <c r="R1136" s="8" t="n">
        <v>1</v>
      </c>
      <c r="S1136" s="8" t="n">
        <v>0</v>
      </c>
      <c r="T1136" s="8" t="n">
        <v>196</v>
      </c>
      <c r="U1136" s="11" t="n">
        <f aca="false">O1136*4 + P1136*2 + MAX(0,N1136-O1136-P1136)*1 + Q1136*0.2 + R1136*2 + S1136*1 + IF(T1136="",0,IF(T1136&lt;=10,8,IF(T1136&lt;=50,6,IF(T1136&lt;=100,4,2))))</f>
        <v>4.6</v>
      </c>
      <c r="V1136" s="10" t="s">
        <v>4899</v>
      </c>
      <c r="W1136" s="7"/>
      <c r="X1136" s="8" t="n">
        <v>39</v>
      </c>
      <c r="Y1136" s="8" t="s">
        <v>4900</v>
      </c>
    </row>
    <row r="1137" customFormat="false" ht="15.75" hidden="false" customHeight="true" outlineLevel="0" collapsed="false">
      <c r="A1137" s="7" t="s">
        <v>4901</v>
      </c>
      <c r="B1137" s="8" t="n">
        <v>2003</v>
      </c>
      <c r="C1137" s="8" t="s">
        <v>35</v>
      </c>
      <c r="D1137" s="8" t="n">
        <v>81</v>
      </c>
      <c r="E1137" s="7" t="s">
        <v>1052</v>
      </c>
      <c r="F1137" s="8" t="n">
        <v>7.1</v>
      </c>
      <c r="G1137" s="8"/>
      <c r="H1137" s="9" t="n">
        <v>105292</v>
      </c>
      <c r="I1137" s="7" t="s">
        <v>46</v>
      </c>
      <c r="J1137" s="7" t="s">
        <v>131</v>
      </c>
      <c r="K1137" s="7" t="s">
        <v>54</v>
      </c>
      <c r="L1137" s="10" t="s">
        <v>4902</v>
      </c>
      <c r="M1137" s="7" t="s">
        <v>4903</v>
      </c>
      <c r="N1137" s="8" t="n">
        <v>0</v>
      </c>
      <c r="O1137" s="8" t="n">
        <v>0</v>
      </c>
      <c r="P1137" s="8" t="n">
        <v>0</v>
      </c>
      <c r="Q1137" s="8" t="n">
        <v>0</v>
      </c>
      <c r="R1137" s="8" t="n">
        <v>1</v>
      </c>
      <c r="S1137" s="13" t="n">
        <v>0</v>
      </c>
      <c r="T1137" s="8"/>
      <c r="U1137" s="11" t="n">
        <f aca="false">O1137*4 + P1137*2 + MAX(0,N1137-O1137-P1137)*1 + Q1137*0.2 + R1137*2 + S1137*1 + IF(T1137="",0,IF(T1137&lt;=10,8,IF(T1137&lt;=50,6,IF(T1137&lt;=100,4,2))))</f>
        <v>2</v>
      </c>
      <c r="V1137" s="10" t="s">
        <v>4904</v>
      </c>
      <c r="W1137" s="7"/>
      <c r="X1137" s="8" t="n">
        <v>40</v>
      </c>
      <c r="Y1137" s="8" t="s">
        <v>4905</v>
      </c>
    </row>
    <row r="1138" customFormat="false" ht="15.75" hidden="false" customHeight="true" outlineLevel="0" collapsed="false">
      <c r="A1138" s="7" t="s">
        <v>4906</v>
      </c>
      <c r="B1138" s="8" t="n">
        <v>2024</v>
      </c>
      <c r="C1138" s="8" t="s">
        <v>378</v>
      </c>
      <c r="D1138" s="8" t="n">
        <v>139</v>
      </c>
      <c r="E1138" s="7" t="s">
        <v>1409</v>
      </c>
      <c r="F1138" s="8" t="n">
        <v>7.4</v>
      </c>
      <c r="G1138" s="8"/>
      <c r="H1138" s="9" t="n">
        <v>302705</v>
      </c>
      <c r="I1138" s="7" t="s">
        <v>46</v>
      </c>
      <c r="J1138" s="7" t="s">
        <v>29</v>
      </c>
      <c r="K1138" s="7" t="s">
        <v>30</v>
      </c>
      <c r="L1138" s="10" t="s">
        <v>210</v>
      </c>
      <c r="M1138" s="7" t="s">
        <v>4907</v>
      </c>
      <c r="N1138" s="8" t="n">
        <v>5</v>
      </c>
      <c r="O1138" s="8" t="n">
        <v>1</v>
      </c>
      <c r="P1138" s="8" t="n">
        <v>1</v>
      </c>
      <c r="Q1138" s="8" t="n">
        <v>6</v>
      </c>
      <c r="R1138" s="8" t="n">
        <v>0</v>
      </c>
      <c r="S1138" s="8" t="n">
        <v>0</v>
      </c>
      <c r="T1138" s="8"/>
      <c r="U1138" s="11" t="n">
        <f aca="false">O1138*4 + P1138*2 + MAX(0,N1138-O1138-P1138)*1 + Q1138*0.2 + R1138*2 + S1138*1 + IF(T1138="",0,IF(T1138&lt;=10,8,IF(T1138&lt;=50,6,IF(T1138&lt;=100,4,2))))</f>
        <v>10.2</v>
      </c>
      <c r="V1138" s="10" t="s">
        <v>4908</v>
      </c>
      <c r="W1138" s="7"/>
      <c r="X1138" s="8" t="n">
        <v>41</v>
      </c>
      <c r="Y1138" s="8" t="s">
        <v>4909</v>
      </c>
    </row>
    <row r="1139" customFormat="false" ht="15.75" hidden="false" customHeight="true" outlineLevel="0" collapsed="false">
      <c r="A1139" s="7" t="s">
        <v>4910</v>
      </c>
      <c r="B1139" s="8" t="n">
        <v>2022</v>
      </c>
      <c r="C1139" s="8" t="s">
        <v>378</v>
      </c>
      <c r="D1139" s="8" t="n">
        <v>103</v>
      </c>
      <c r="E1139" s="7" t="s">
        <v>4911</v>
      </c>
      <c r="F1139" s="8" t="n">
        <v>5.9</v>
      </c>
      <c r="G1139" s="8"/>
      <c r="H1139" s="9" t="n">
        <v>14025</v>
      </c>
      <c r="I1139" s="7" t="s">
        <v>46</v>
      </c>
      <c r="J1139" s="7" t="s">
        <v>147</v>
      </c>
      <c r="K1139" s="7" t="s">
        <v>54</v>
      </c>
      <c r="L1139" s="10"/>
      <c r="M1139" s="7" t="s">
        <v>4912</v>
      </c>
      <c r="N1139" s="8" t="n">
        <v>0</v>
      </c>
      <c r="O1139" s="8" t="n">
        <v>0</v>
      </c>
      <c r="P1139" s="8" t="n">
        <v>0</v>
      </c>
      <c r="Q1139" s="8" t="n">
        <v>0</v>
      </c>
      <c r="R1139" s="8" t="n">
        <v>0</v>
      </c>
      <c r="S1139" s="13" t="n">
        <v>0</v>
      </c>
      <c r="T1139" s="8"/>
      <c r="U1139" s="11" t="n">
        <f aca="false">O1139*4 + P1139*2 + MAX(0,N1139-O1139-P1139)*1 + Q1139*0.2 + R1139*2 + S1139*1 + IF(T1139="",0,IF(T1139&lt;=10,8,IF(T1139&lt;=50,6,IF(T1139&lt;=100,4,2))))</f>
        <v>0</v>
      </c>
      <c r="V1139" s="10" t="s">
        <v>4913</v>
      </c>
      <c r="W1139" s="7"/>
      <c r="X1139" s="8" t="n">
        <v>42</v>
      </c>
      <c r="Y1139" s="8" t="s">
        <v>4914</v>
      </c>
    </row>
    <row r="1140" customFormat="false" ht="15.75" hidden="false" customHeight="true" outlineLevel="0" collapsed="false">
      <c r="A1140" s="7" t="s">
        <v>4915</v>
      </c>
      <c r="B1140" s="8" t="n">
        <v>2005</v>
      </c>
      <c r="C1140" s="8" t="s">
        <v>35</v>
      </c>
      <c r="D1140" s="8" t="n">
        <v>153</v>
      </c>
      <c r="E1140" s="7" t="s">
        <v>4916</v>
      </c>
      <c r="F1140" s="8" t="n">
        <v>7.8</v>
      </c>
      <c r="G1140" s="8"/>
      <c r="H1140" s="9" t="n">
        <v>17080</v>
      </c>
      <c r="I1140" s="7" t="s">
        <v>4917</v>
      </c>
      <c r="J1140" s="7" t="s">
        <v>30</v>
      </c>
      <c r="K1140" s="7" t="s">
        <v>47</v>
      </c>
      <c r="L1140" s="10" t="s">
        <v>205</v>
      </c>
      <c r="M1140" s="7" t="s">
        <v>4918</v>
      </c>
      <c r="N1140" s="8" t="n">
        <v>0</v>
      </c>
      <c r="O1140" s="8" t="n">
        <v>0</v>
      </c>
      <c r="P1140" s="8" t="n">
        <v>0</v>
      </c>
      <c r="Q1140" s="8" t="n">
        <v>0</v>
      </c>
      <c r="R1140" s="8" t="n">
        <v>0</v>
      </c>
      <c r="S1140" s="13" t="n">
        <v>0</v>
      </c>
      <c r="T1140" s="8"/>
      <c r="U1140" s="11" t="n">
        <f aca="false">O1140*4 + P1140*2 + MAX(0,N1140-O1140-P1140)*1 + Q1140*0.2 + R1140*2 + S1140*1 + IF(T1140="",0,IF(T1140&lt;=10,8,IF(T1140&lt;=50,6,IF(T1140&lt;=100,4,2))))</f>
        <v>0</v>
      </c>
      <c r="V1140" s="10" t="s">
        <v>4919</v>
      </c>
      <c r="W1140" s="7"/>
      <c r="X1140" s="8" t="n">
        <v>44</v>
      </c>
      <c r="Y1140" s="8" t="s">
        <v>4920</v>
      </c>
    </row>
    <row r="1141" customFormat="false" ht="15.75" hidden="false" customHeight="true" outlineLevel="0" collapsed="false">
      <c r="A1141" s="7" t="s">
        <v>4921</v>
      </c>
      <c r="B1141" s="8" t="n">
        <v>2013</v>
      </c>
      <c r="C1141" s="8" t="s">
        <v>176</v>
      </c>
      <c r="D1141" s="8" t="n">
        <v>123</v>
      </c>
      <c r="E1141" s="7" t="s">
        <v>1307</v>
      </c>
      <c r="F1141" s="8" t="n">
        <v>7.2</v>
      </c>
      <c r="G1141" s="8"/>
      <c r="H1141" s="9" t="n">
        <v>116374</v>
      </c>
      <c r="I1141" s="7" t="s">
        <v>4922</v>
      </c>
      <c r="J1141" s="7" t="s">
        <v>38</v>
      </c>
      <c r="K1141" s="7" t="s">
        <v>30</v>
      </c>
      <c r="L1141" s="10" t="s">
        <v>205</v>
      </c>
      <c r="M1141" s="7" t="s">
        <v>4923</v>
      </c>
      <c r="N1141" s="8" t="n">
        <v>0</v>
      </c>
      <c r="O1141" s="8" t="n">
        <v>0</v>
      </c>
      <c r="P1141" s="8" t="n">
        <v>0</v>
      </c>
      <c r="Q1141" s="8" t="n">
        <v>0</v>
      </c>
      <c r="R1141" s="8" t="n">
        <v>0</v>
      </c>
      <c r="S1141" s="13" t="n">
        <v>0</v>
      </c>
      <c r="T1141" s="8"/>
      <c r="U1141" s="11" t="n">
        <f aca="false">O1141*4 + P1141*2 + MAX(0,N1141-O1141-P1141)*1 + Q1141*0.2 + R1141*2 + S1141*1 + IF(T1141="",0,IF(T1141&lt;=10,8,IF(T1141&lt;=50,6,IF(T1141&lt;=100,4,2))))</f>
        <v>0</v>
      </c>
      <c r="V1141" s="10" t="s">
        <v>4924</v>
      </c>
      <c r="W1141" s="7"/>
      <c r="X1141" s="8" t="n">
        <v>45</v>
      </c>
      <c r="Y1141" s="8" t="s">
        <v>4925</v>
      </c>
    </row>
    <row r="1142" customFormat="false" ht="15.75" hidden="false" customHeight="true" outlineLevel="0" collapsed="false">
      <c r="A1142" s="7" t="s">
        <v>4926</v>
      </c>
      <c r="B1142" s="8" t="n">
        <v>2022</v>
      </c>
      <c r="C1142" s="8" t="s">
        <v>378</v>
      </c>
      <c r="D1142" s="8" t="n">
        <v>139</v>
      </c>
      <c r="E1142" s="7" t="s">
        <v>2307</v>
      </c>
      <c r="F1142" s="8" t="n">
        <v>7.3</v>
      </c>
      <c r="G1142" s="8"/>
      <c r="H1142" s="9" t="n">
        <v>70835</v>
      </c>
      <c r="I1142" s="7" t="s">
        <v>430</v>
      </c>
      <c r="J1142" s="7" t="s">
        <v>47</v>
      </c>
      <c r="K1142" s="7" t="s">
        <v>54</v>
      </c>
      <c r="L1142" s="10" t="s">
        <v>4927</v>
      </c>
      <c r="M1142" s="7" t="s">
        <v>4928</v>
      </c>
      <c r="N1142" s="8" t="n">
        <v>0</v>
      </c>
      <c r="O1142" s="8" t="n">
        <v>0</v>
      </c>
      <c r="P1142" s="8" t="n">
        <v>0</v>
      </c>
      <c r="Q1142" s="8" t="n">
        <v>0</v>
      </c>
      <c r="R1142" s="8" t="n">
        <v>0</v>
      </c>
      <c r="S1142" s="13" t="n">
        <v>0</v>
      </c>
      <c r="T1142" s="8"/>
      <c r="U1142" s="11" t="n">
        <f aca="false">O1142*4 + P1142*2 + MAX(0,N1142-O1142-P1142)*1 + Q1142*0.2 + R1142*2 + S1142*1 + IF(T1142="",0,IF(T1142&lt;=10,8,IF(T1142&lt;=50,6,IF(T1142&lt;=100,4,2))))</f>
        <v>0</v>
      </c>
      <c r="V1142" s="10" t="s">
        <v>4929</v>
      </c>
      <c r="W1142" s="7"/>
      <c r="X1142" s="8" t="n">
        <v>46</v>
      </c>
      <c r="Y1142" s="8" t="s">
        <v>4930</v>
      </c>
    </row>
    <row r="1143" customFormat="false" ht="15.75" hidden="false" customHeight="true" outlineLevel="0" collapsed="false">
      <c r="A1143" s="7" t="s">
        <v>4931</v>
      </c>
      <c r="B1143" s="8" t="n">
        <v>2012</v>
      </c>
      <c r="C1143" s="8" t="s">
        <v>176</v>
      </c>
      <c r="D1143" s="8" t="n">
        <v>115</v>
      </c>
      <c r="E1143" s="7" t="s">
        <v>4932</v>
      </c>
      <c r="F1143" s="8" t="n">
        <v>7</v>
      </c>
      <c r="G1143" s="8"/>
      <c r="H1143" s="9" t="n">
        <v>51566</v>
      </c>
      <c r="I1143" s="7" t="s">
        <v>219</v>
      </c>
      <c r="J1143" s="7" t="s">
        <v>38</v>
      </c>
      <c r="K1143" s="7" t="s">
        <v>47</v>
      </c>
      <c r="L1143" s="10" t="s">
        <v>1044</v>
      </c>
      <c r="M1143" s="7" t="s">
        <v>4933</v>
      </c>
      <c r="N1143" s="8" t="n">
        <v>0</v>
      </c>
      <c r="O1143" s="8" t="n">
        <v>0</v>
      </c>
      <c r="P1143" s="8" t="n">
        <v>0</v>
      </c>
      <c r="Q1143" s="8" t="n">
        <v>0</v>
      </c>
      <c r="R1143" s="8" t="n">
        <v>0</v>
      </c>
      <c r="S1143" s="13" t="n">
        <v>0</v>
      </c>
      <c r="T1143" s="8"/>
      <c r="U1143" s="11" t="n">
        <f aca="false">O1143*4 + P1143*2 + MAX(0,N1143-O1143-P1143)*1 + Q1143*0.2 + R1143*2 + S1143*1 + IF(T1143="",0,IF(T1143&lt;=10,8,IF(T1143&lt;=50,6,IF(T1143&lt;=100,4,2))))</f>
        <v>0</v>
      </c>
      <c r="V1143" s="10" t="s">
        <v>4934</v>
      </c>
      <c r="W1143" s="7"/>
      <c r="X1143" s="8" t="n">
        <v>47</v>
      </c>
      <c r="Y1143" s="8" t="s">
        <v>4935</v>
      </c>
    </row>
    <row r="1144" customFormat="false" ht="15.75" hidden="false" customHeight="true" outlineLevel="0" collapsed="false">
      <c r="A1144" s="7" t="s">
        <v>4936</v>
      </c>
      <c r="B1144" s="8" t="n">
        <v>2021</v>
      </c>
      <c r="C1144" s="8" t="s">
        <v>378</v>
      </c>
      <c r="D1144" s="8" t="n">
        <v>108</v>
      </c>
      <c r="E1144" s="7" t="s">
        <v>4937</v>
      </c>
      <c r="F1144" s="8" t="n">
        <v>6.4</v>
      </c>
      <c r="G1144" s="8"/>
      <c r="H1144" s="9" t="n">
        <v>67311</v>
      </c>
      <c r="I1144" s="7" t="s">
        <v>3398</v>
      </c>
      <c r="J1144" s="7" t="s">
        <v>147</v>
      </c>
      <c r="K1144" s="7" t="s">
        <v>111</v>
      </c>
      <c r="L1144" s="10" t="s">
        <v>4938</v>
      </c>
      <c r="M1144" s="7" t="s">
        <v>4939</v>
      </c>
      <c r="N1144" s="8" t="n">
        <v>0</v>
      </c>
      <c r="O1144" s="8" t="n">
        <v>0</v>
      </c>
      <c r="P1144" s="8" t="n">
        <v>0</v>
      </c>
      <c r="Q1144" s="8" t="n">
        <v>0</v>
      </c>
      <c r="R1144" s="8" t="n">
        <v>0</v>
      </c>
      <c r="S1144" s="13" t="n">
        <v>0</v>
      </c>
      <c r="T1144" s="8"/>
      <c r="U1144" s="11" t="n">
        <f aca="false">O1144*4 + P1144*2 + MAX(0,N1144-O1144-P1144)*1 + Q1144*0.2 + R1144*2 + S1144*1 + IF(T1144="",0,IF(T1144&lt;=10,8,IF(T1144&lt;=50,6,IF(T1144&lt;=100,4,2))))</f>
        <v>0</v>
      </c>
      <c r="V1144" s="10" t="s">
        <v>4940</v>
      </c>
      <c r="W1144" s="7"/>
      <c r="X1144" s="8" t="n">
        <v>48</v>
      </c>
      <c r="Y1144" s="8" t="s">
        <v>4941</v>
      </c>
    </row>
    <row r="1145" customFormat="false" ht="15.75" hidden="false" customHeight="true" outlineLevel="0" collapsed="false">
      <c r="A1145" s="7" t="s">
        <v>4942</v>
      </c>
      <c r="B1145" s="8" t="n">
        <v>2023</v>
      </c>
      <c r="C1145" s="8" t="s">
        <v>378</v>
      </c>
      <c r="D1145" s="8" t="n">
        <v>169</v>
      </c>
      <c r="E1145" s="7" t="s">
        <v>1854</v>
      </c>
      <c r="F1145" s="8" t="n">
        <v>7.2</v>
      </c>
      <c r="G1145" s="8"/>
      <c r="H1145" s="9" t="n">
        <v>4998</v>
      </c>
      <c r="I1145" s="7" t="s">
        <v>2336</v>
      </c>
      <c r="J1145" s="7" t="s">
        <v>47</v>
      </c>
      <c r="K1145" s="7"/>
      <c r="L1145" s="10" t="s">
        <v>4943</v>
      </c>
      <c r="M1145" s="7" t="s">
        <v>4944</v>
      </c>
      <c r="N1145" s="8" t="n">
        <v>0</v>
      </c>
      <c r="O1145" s="8" t="n">
        <v>0</v>
      </c>
      <c r="P1145" s="8" t="n">
        <v>0</v>
      </c>
      <c r="Q1145" s="8" t="n">
        <v>0</v>
      </c>
      <c r="R1145" s="8" t="n">
        <v>0</v>
      </c>
      <c r="S1145" s="13" t="n">
        <v>0</v>
      </c>
      <c r="T1145" s="8"/>
      <c r="U1145" s="11" t="n">
        <f aca="false">O1145*4 + P1145*2 + MAX(0,N1145-O1145-P1145)*1 + Q1145*0.2 + R1145*2 + S1145*1 + IF(T1145="",0,IF(T1145&lt;=10,8,IF(T1145&lt;=50,6,IF(T1145&lt;=100,4,2))))</f>
        <v>0</v>
      </c>
      <c r="V1145" s="10" t="s">
        <v>4945</v>
      </c>
      <c r="W1145" s="7"/>
      <c r="X1145" s="8" t="n">
        <v>50</v>
      </c>
      <c r="Y1145" s="8" t="s">
        <v>4946</v>
      </c>
    </row>
    <row r="1146" customFormat="false" ht="15.75" hidden="false" customHeight="true" outlineLevel="0" collapsed="false">
      <c r="A1146" s="7" t="s">
        <v>4947</v>
      </c>
      <c r="B1146" s="8" t="n">
        <v>2001</v>
      </c>
      <c r="C1146" s="8" t="s">
        <v>35</v>
      </c>
      <c r="D1146" s="8" t="n">
        <v>101</v>
      </c>
      <c r="E1146" s="7" t="s">
        <v>4948</v>
      </c>
      <c r="F1146" s="8" t="n">
        <v>5.9</v>
      </c>
      <c r="G1146" s="8"/>
      <c r="H1146" s="9" t="n">
        <v>11093</v>
      </c>
      <c r="I1146" s="7" t="s">
        <v>4949</v>
      </c>
      <c r="J1146" s="7" t="s">
        <v>147</v>
      </c>
      <c r="K1146" s="7" t="s">
        <v>3805</v>
      </c>
      <c r="L1146" s="10" t="s">
        <v>205</v>
      </c>
      <c r="M1146" s="7" t="s">
        <v>4950</v>
      </c>
      <c r="N1146" s="8" t="n">
        <v>0</v>
      </c>
      <c r="O1146" s="8" t="n">
        <v>0</v>
      </c>
      <c r="P1146" s="8" t="n">
        <v>0</v>
      </c>
      <c r="Q1146" s="8" t="n">
        <v>0</v>
      </c>
      <c r="R1146" s="8" t="n">
        <v>0</v>
      </c>
      <c r="S1146" s="13" t="n">
        <v>0</v>
      </c>
      <c r="T1146" s="8"/>
      <c r="U1146" s="11" t="n">
        <f aca="false">O1146*4 + P1146*2 + MAX(0,N1146-O1146-P1146)*1 + Q1146*0.2 + R1146*2 + S1146*1 + IF(T1146="",0,IF(T1146&lt;=10,8,IF(T1146&lt;=50,6,IF(T1146&lt;=100,4,2))))</f>
        <v>0</v>
      </c>
      <c r="V1146" s="10" t="s">
        <v>4951</v>
      </c>
      <c r="W1146" s="7"/>
      <c r="X1146" s="8" t="n">
        <v>54</v>
      </c>
      <c r="Y1146" s="8" t="s">
        <v>4952</v>
      </c>
    </row>
    <row r="1147" customFormat="false" ht="15.75" hidden="false" customHeight="true" outlineLevel="0" collapsed="false">
      <c r="A1147" s="7" t="s">
        <v>4953</v>
      </c>
      <c r="B1147" s="8" t="n">
        <v>2011</v>
      </c>
      <c r="C1147" s="8" t="s">
        <v>176</v>
      </c>
      <c r="D1147" s="8" t="n">
        <v>135</v>
      </c>
      <c r="E1147" s="7" t="s">
        <v>436</v>
      </c>
      <c r="F1147" s="8" t="n">
        <v>7.1</v>
      </c>
      <c r="G1147" s="8"/>
      <c r="H1147" s="9" t="n">
        <v>209530</v>
      </c>
      <c r="I1147" s="7" t="s">
        <v>3260</v>
      </c>
      <c r="J1147" s="7" t="s">
        <v>111</v>
      </c>
      <c r="K1147" s="7" t="s">
        <v>47</v>
      </c>
      <c r="L1147" s="10" t="s">
        <v>205</v>
      </c>
      <c r="M1147" s="7" t="s">
        <v>4954</v>
      </c>
      <c r="N1147" s="8" t="n">
        <v>0</v>
      </c>
      <c r="O1147" s="8" t="n">
        <v>0</v>
      </c>
      <c r="P1147" s="8" t="n">
        <v>0</v>
      </c>
      <c r="Q1147" s="8" t="n">
        <v>0</v>
      </c>
      <c r="R1147" s="8" t="n">
        <v>0</v>
      </c>
      <c r="S1147" s="13" t="n">
        <v>0</v>
      </c>
      <c r="T1147" s="8" t="n">
        <v>211</v>
      </c>
      <c r="U1147" s="11" t="n">
        <f aca="false">O1147*4 + P1147*2 + MAX(0,N1147-O1147-P1147)*1 + Q1147*0.2 + R1147*2 + S1147*1 + IF(T1147="",0,IF(T1147&lt;=10,8,IF(T1147&lt;=50,6,IF(T1147&lt;=100,4,2))))</f>
        <v>2</v>
      </c>
      <c r="V1147" s="10" t="s">
        <v>4955</v>
      </c>
      <c r="W1147" s="7"/>
      <c r="X1147" s="8" t="n">
        <v>55</v>
      </c>
      <c r="Y1147" s="8" t="s">
        <v>4956</v>
      </c>
    </row>
    <row r="1148" customFormat="false" ht="15.75" hidden="false" customHeight="true" outlineLevel="0" collapsed="false">
      <c r="A1148" s="7" t="s">
        <v>4957</v>
      </c>
      <c r="B1148" s="8" t="n">
        <v>2013</v>
      </c>
      <c r="C1148" s="8" t="s">
        <v>176</v>
      </c>
      <c r="D1148" s="8" t="n">
        <v>108</v>
      </c>
      <c r="E1148" s="7" t="s">
        <v>4958</v>
      </c>
      <c r="F1148" s="8" t="n">
        <v>6.3</v>
      </c>
      <c r="G1148" s="8"/>
      <c r="H1148" s="9" t="n">
        <v>172743</v>
      </c>
      <c r="I1148" s="7" t="s">
        <v>4959</v>
      </c>
      <c r="J1148" s="7" t="s">
        <v>147</v>
      </c>
      <c r="K1148" s="7" t="s">
        <v>125</v>
      </c>
      <c r="L1148" s="10" t="s">
        <v>205</v>
      </c>
      <c r="M1148" s="7" t="s">
        <v>4960</v>
      </c>
      <c r="N1148" s="8" t="n">
        <v>0</v>
      </c>
      <c r="O1148" s="8" t="n">
        <v>0</v>
      </c>
      <c r="P1148" s="8" t="n">
        <v>0</v>
      </c>
      <c r="Q1148" s="8" t="n">
        <v>0</v>
      </c>
      <c r="R1148" s="8" t="n">
        <v>0</v>
      </c>
      <c r="S1148" s="13" t="n">
        <v>0</v>
      </c>
      <c r="T1148" s="8" t="n">
        <v>169</v>
      </c>
      <c r="U1148" s="11" t="n">
        <f aca="false">O1148*4 + P1148*2 + MAX(0,N1148-O1148-P1148)*1 + Q1148*0.2 + R1148*2 + S1148*1 + IF(T1148="",0,IF(T1148&lt;=10,8,IF(T1148&lt;=50,6,IF(T1148&lt;=100,4,2))))</f>
        <v>2</v>
      </c>
      <c r="V1148" s="10" t="s">
        <v>4961</v>
      </c>
      <c r="W1148" s="7"/>
      <c r="X1148" s="8" t="n">
        <v>57</v>
      </c>
      <c r="Y1148" s="8" t="s">
        <v>4962</v>
      </c>
    </row>
    <row r="1149" customFormat="false" ht="15.75" hidden="false" customHeight="true" outlineLevel="0" collapsed="false">
      <c r="A1149" s="7" t="s">
        <v>4963</v>
      </c>
      <c r="B1149" s="8" t="n">
        <v>2011</v>
      </c>
      <c r="C1149" s="8" t="s">
        <v>176</v>
      </c>
      <c r="D1149" s="8" t="n">
        <v>120</v>
      </c>
      <c r="E1149" s="7" t="s">
        <v>349</v>
      </c>
      <c r="F1149" s="8" t="n">
        <v>7.6</v>
      </c>
      <c r="G1149" s="8" t="n">
        <v>7</v>
      </c>
      <c r="H1149" s="9" t="n">
        <v>181731</v>
      </c>
      <c r="I1149" s="7" t="s">
        <v>232</v>
      </c>
      <c r="J1149" s="7" t="s">
        <v>131</v>
      </c>
      <c r="K1149" s="7" t="s">
        <v>125</v>
      </c>
      <c r="L1149" s="10" t="s">
        <v>587</v>
      </c>
      <c r="M1149" s="7" t="s">
        <v>4964</v>
      </c>
      <c r="N1149" s="8" t="n">
        <v>0</v>
      </c>
      <c r="O1149" s="8" t="n">
        <v>0</v>
      </c>
      <c r="P1149" s="8" t="n">
        <v>0</v>
      </c>
      <c r="Q1149" s="8" t="n">
        <v>0</v>
      </c>
      <c r="R1149" s="8" t="n">
        <v>0</v>
      </c>
      <c r="S1149" s="13" t="n">
        <v>0</v>
      </c>
      <c r="T1149" s="8"/>
      <c r="U1149" s="11" t="n">
        <f aca="false">O1149*4 + P1149*2 + MAX(0,N1149-O1149-P1149)*1 + Q1149*0.2 + R1149*2 + S1149*1 + IF(T1149="",0,IF(T1149&lt;=10,8,IF(T1149&lt;=50,6,IF(T1149&lt;=100,4,2))))</f>
        <v>0</v>
      </c>
      <c r="V1149" s="10" t="s">
        <v>4965</v>
      </c>
      <c r="W1149" s="7"/>
      <c r="X1149" s="8" t="n">
        <v>58</v>
      </c>
      <c r="Y1149" s="8" t="s">
        <v>4966</v>
      </c>
    </row>
    <row r="1150" customFormat="false" ht="15.75" hidden="false" customHeight="true" outlineLevel="0" collapsed="false">
      <c r="A1150" s="7" t="s">
        <v>4967</v>
      </c>
      <c r="B1150" s="8" t="n">
        <v>2005</v>
      </c>
      <c r="C1150" s="8" t="s">
        <v>35</v>
      </c>
      <c r="D1150" s="8" t="n">
        <v>103</v>
      </c>
      <c r="E1150" s="7" t="s">
        <v>4968</v>
      </c>
      <c r="F1150" s="8" t="n">
        <v>7.7</v>
      </c>
      <c r="G1150" s="8"/>
      <c r="H1150" s="9" t="n">
        <v>68195</v>
      </c>
      <c r="I1150" s="7" t="s">
        <v>46</v>
      </c>
      <c r="J1150" s="7" t="s">
        <v>2730</v>
      </c>
      <c r="K1150" s="7" t="s">
        <v>48</v>
      </c>
      <c r="L1150" s="10"/>
      <c r="M1150" s="7" t="s">
        <v>4969</v>
      </c>
      <c r="N1150" s="8" t="n">
        <v>0</v>
      </c>
      <c r="O1150" s="8" t="n">
        <v>0</v>
      </c>
      <c r="P1150" s="8" t="n">
        <v>0</v>
      </c>
      <c r="Q1150" s="8" t="n">
        <v>0</v>
      </c>
      <c r="R1150" s="8" t="n">
        <v>0</v>
      </c>
      <c r="S1150" s="13" t="n">
        <v>0</v>
      </c>
      <c r="T1150" s="8"/>
      <c r="U1150" s="11" t="n">
        <f aca="false">O1150*4 + P1150*2 + MAX(0,N1150-O1150-P1150)*1 + Q1150*0.2 + R1150*2 + S1150*1 + IF(T1150="",0,IF(T1150&lt;=10,8,IF(T1150&lt;=50,6,IF(T1150&lt;=100,4,2))))</f>
        <v>0</v>
      </c>
      <c r="V1150" s="10" t="s">
        <v>4970</v>
      </c>
      <c r="W1150" s="7"/>
      <c r="X1150" s="8" t="n">
        <v>60</v>
      </c>
      <c r="Y1150" s="8" t="s">
        <v>4971</v>
      </c>
    </row>
    <row r="1151" customFormat="false" ht="15.75" hidden="false" customHeight="true" outlineLevel="0" collapsed="false">
      <c r="A1151" s="7" t="s">
        <v>4972</v>
      </c>
      <c r="B1151" s="8" t="n">
        <v>2006</v>
      </c>
      <c r="C1151" s="8" t="s">
        <v>35</v>
      </c>
      <c r="D1151" s="8" t="n">
        <v>105</v>
      </c>
      <c r="E1151" s="7" t="s">
        <v>4973</v>
      </c>
      <c r="F1151" s="8" t="n">
        <v>7.3</v>
      </c>
      <c r="G1151" s="8"/>
      <c r="H1151" s="9" t="n">
        <v>4950</v>
      </c>
      <c r="I1151" s="7" t="s">
        <v>4974</v>
      </c>
      <c r="J1151" s="7" t="s">
        <v>47</v>
      </c>
      <c r="K1151" s="7"/>
      <c r="L1151" s="10"/>
      <c r="M1151" s="7" t="s">
        <v>4975</v>
      </c>
      <c r="N1151" s="8" t="n">
        <v>0</v>
      </c>
      <c r="O1151" s="8" t="n">
        <v>0</v>
      </c>
      <c r="P1151" s="8" t="n">
        <v>0</v>
      </c>
      <c r="Q1151" s="8" t="n">
        <v>0</v>
      </c>
      <c r="R1151" s="8" t="n">
        <v>0</v>
      </c>
      <c r="S1151" s="13" t="n">
        <v>0</v>
      </c>
      <c r="T1151" s="8" t="n">
        <v>243</v>
      </c>
      <c r="U1151" s="11" t="n">
        <f aca="false">O1151*4 + P1151*2 + MAX(0,N1151-O1151-P1151)*1 + Q1151*0.2 + R1151*2 + S1151*1 + IF(T1151="",0,IF(T1151&lt;=10,8,IF(T1151&lt;=50,6,IF(T1151&lt;=100,4,2))))</f>
        <v>2</v>
      </c>
      <c r="V1151" s="10" t="s">
        <v>4976</v>
      </c>
      <c r="W1151" s="7"/>
      <c r="X1151" s="8" t="n">
        <v>61</v>
      </c>
      <c r="Y1151" s="8" t="s">
        <v>4977</v>
      </c>
    </row>
    <row r="1152" customFormat="false" ht="15.75" hidden="false" customHeight="true" outlineLevel="0" collapsed="false">
      <c r="A1152" s="7" t="s">
        <v>4978</v>
      </c>
      <c r="B1152" s="8" t="n">
        <v>2007</v>
      </c>
      <c r="C1152" s="8" t="s">
        <v>35</v>
      </c>
      <c r="D1152" s="8" t="n">
        <v>157</v>
      </c>
      <c r="E1152" s="7" t="s">
        <v>225</v>
      </c>
      <c r="F1152" s="8" t="n">
        <v>7.7</v>
      </c>
      <c r="G1152" s="8" t="n">
        <v>7</v>
      </c>
      <c r="H1152" s="9" t="n">
        <v>683767</v>
      </c>
      <c r="I1152" s="7" t="s">
        <v>46</v>
      </c>
      <c r="J1152" s="7" t="s">
        <v>47</v>
      </c>
      <c r="K1152" s="7" t="s">
        <v>464</v>
      </c>
      <c r="L1152" s="10" t="s">
        <v>636</v>
      </c>
      <c r="M1152" s="7" t="s">
        <v>4979</v>
      </c>
      <c r="N1152" s="8" t="n">
        <v>0</v>
      </c>
      <c r="O1152" s="8" t="n">
        <v>0</v>
      </c>
      <c r="P1152" s="8" t="n">
        <v>0</v>
      </c>
      <c r="Q1152" s="8" t="n">
        <v>0</v>
      </c>
      <c r="R1152" s="8" t="n">
        <v>0</v>
      </c>
      <c r="S1152" s="13" t="n">
        <v>0</v>
      </c>
      <c r="T1152" s="8"/>
      <c r="U1152" s="11" t="n">
        <f aca="false">O1152*4 + P1152*2 + MAX(0,N1152-O1152-P1152)*1 + Q1152*0.2 + R1152*2 + S1152*1 + IF(T1152="",0,IF(T1152&lt;=10,8,IF(T1152&lt;=50,6,IF(T1152&lt;=100,4,2))))</f>
        <v>0</v>
      </c>
      <c r="V1152" s="10" t="s">
        <v>4980</v>
      </c>
      <c r="W1152" s="7"/>
      <c r="X1152" s="8" t="n">
        <v>62</v>
      </c>
      <c r="Y1152" s="8" t="s">
        <v>4981</v>
      </c>
    </row>
    <row r="1153" customFormat="false" ht="15.75" hidden="false" customHeight="true" outlineLevel="0" collapsed="false">
      <c r="A1153" s="7" t="s">
        <v>4982</v>
      </c>
      <c r="B1153" s="8" t="n">
        <v>2001</v>
      </c>
      <c r="C1153" s="8" t="s">
        <v>35</v>
      </c>
      <c r="D1153" s="8" t="n">
        <v>146</v>
      </c>
      <c r="E1153" s="7" t="s">
        <v>45</v>
      </c>
      <c r="F1153" s="8" t="n">
        <v>7.2</v>
      </c>
      <c r="G1153" s="8"/>
      <c r="H1153" s="9" t="n">
        <v>341824</v>
      </c>
      <c r="I1153" s="7" t="s">
        <v>46</v>
      </c>
      <c r="J1153" s="7" t="s">
        <v>111</v>
      </c>
      <c r="K1153" s="7" t="s">
        <v>39</v>
      </c>
      <c r="L1153" s="10" t="s">
        <v>205</v>
      </c>
      <c r="M1153" s="7" t="s">
        <v>4983</v>
      </c>
      <c r="N1153" s="8" t="n">
        <v>0</v>
      </c>
      <c r="O1153" s="8" t="n">
        <v>0</v>
      </c>
      <c r="P1153" s="8" t="n">
        <v>0</v>
      </c>
      <c r="Q1153" s="8" t="n">
        <v>2</v>
      </c>
      <c r="R1153" s="8" t="n">
        <v>0</v>
      </c>
      <c r="S1153" s="8" t="n">
        <v>0</v>
      </c>
      <c r="T1153" s="8"/>
      <c r="U1153" s="11" t="n">
        <f aca="false">O1153*4 + P1153*2 + MAX(0,N1153-O1153-P1153)*1 + Q1153*0.2 + R1153*2 + S1153*1 + IF(T1153="",0,IF(T1153&lt;=10,8,IF(T1153&lt;=50,6,IF(T1153&lt;=100,4,2))))</f>
        <v>0.4</v>
      </c>
      <c r="V1153" s="10" t="s">
        <v>4984</v>
      </c>
      <c r="W1153" s="7"/>
      <c r="X1153" s="8" t="n">
        <v>64</v>
      </c>
      <c r="Y1153" s="8" t="s">
        <v>4985</v>
      </c>
    </row>
    <row r="1154" customFormat="false" ht="15.75" hidden="false" customHeight="true" outlineLevel="0" collapsed="false">
      <c r="A1154" s="7" t="s">
        <v>4986</v>
      </c>
      <c r="B1154" s="8" t="n">
        <v>2005</v>
      </c>
      <c r="C1154" s="8" t="s">
        <v>35</v>
      </c>
      <c r="D1154" s="8" t="n">
        <v>101</v>
      </c>
      <c r="E1154" s="7" t="s">
        <v>4987</v>
      </c>
      <c r="F1154" s="8" t="n">
        <v>7.1</v>
      </c>
      <c r="G1154" s="8" t="n">
        <v>5</v>
      </c>
      <c r="H1154" s="9" t="n">
        <v>12493</v>
      </c>
      <c r="I1154" s="7"/>
      <c r="J1154" s="7"/>
      <c r="K1154" s="7" t="s">
        <v>54</v>
      </c>
      <c r="L1154" s="10"/>
      <c r="M1154" s="10" t="s">
        <v>4988</v>
      </c>
      <c r="N1154" s="8" t="n">
        <v>0</v>
      </c>
      <c r="O1154" s="8" t="n">
        <v>0</v>
      </c>
      <c r="P1154" s="8" t="n">
        <v>0</v>
      </c>
      <c r="Q1154" s="8" t="n">
        <v>0</v>
      </c>
      <c r="R1154" s="13" t="n">
        <v>0</v>
      </c>
      <c r="S1154" s="13" t="n">
        <v>0</v>
      </c>
      <c r="T1154" s="13"/>
      <c r="U1154" s="11" t="n">
        <f aca="false">O1154*4 + P1154*2 + MAX(0,N1154-O1154-P1154)*1 + Q1154*0.2 + R1154*2 + S1154*1 + IF(T1154="",0,IF(T1154&lt;=10,8,IF(T1154&lt;=50,6,IF(T1154&lt;=100,4,2))))</f>
        <v>0</v>
      </c>
      <c r="V1154" s="10" t="s">
        <v>4989</v>
      </c>
      <c r="W1154" s="7"/>
      <c r="X1154" s="8" t="n">
        <v>68</v>
      </c>
      <c r="Y1154" s="8" t="s">
        <v>4990</v>
      </c>
    </row>
    <row r="1155" customFormat="false" ht="15.75" hidden="false" customHeight="true" outlineLevel="0" collapsed="false">
      <c r="A1155" s="7" t="s">
        <v>4991</v>
      </c>
      <c r="B1155" s="8" t="n">
        <v>2019</v>
      </c>
      <c r="C1155" s="8" t="s">
        <v>176</v>
      </c>
      <c r="D1155" s="8" t="n">
        <v>122</v>
      </c>
      <c r="E1155" s="7" t="s">
        <v>4992</v>
      </c>
      <c r="F1155" s="8" t="n">
        <v>7.1</v>
      </c>
      <c r="G1155" s="8"/>
      <c r="H1155" s="9" t="n">
        <v>24772</v>
      </c>
      <c r="I1155" s="7" t="s">
        <v>46</v>
      </c>
      <c r="J1155" s="7" t="s">
        <v>268</v>
      </c>
      <c r="K1155" s="7" t="s">
        <v>47</v>
      </c>
      <c r="L1155" s="10" t="s">
        <v>3130</v>
      </c>
      <c r="M1155" s="7" t="s">
        <v>4993</v>
      </c>
      <c r="N1155" s="8" t="n">
        <v>0</v>
      </c>
      <c r="O1155" s="8" t="n">
        <v>0</v>
      </c>
      <c r="P1155" s="8" t="n">
        <v>0</v>
      </c>
      <c r="Q1155" s="8" t="n">
        <v>0</v>
      </c>
      <c r="R1155" s="8" t="n">
        <v>0</v>
      </c>
      <c r="S1155" s="13" t="n">
        <v>0</v>
      </c>
      <c r="T1155" s="8"/>
      <c r="U1155" s="11" t="n">
        <f aca="false">O1155*4 + P1155*2 + MAX(0,N1155-O1155-P1155)*1 + Q1155*0.2 + R1155*2 + S1155*1 + IF(T1155="",0,IF(T1155&lt;=10,8,IF(T1155&lt;=50,6,IF(T1155&lt;=100,4,2))))</f>
        <v>0</v>
      </c>
      <c r="V1155" s="10" t="s">
        <v>4994</v>
      </c>
      <c r="W1155" s="7"/>
      <c r="X1155" s="8" t="n">
        <v>69</v>
      </c>
      <c r="Y1155" s="8" t="s">
        <v>4995</v>
      </c>
    </row>
    <row r="1156" customFormat="false" ht="15.75" hidden="false" customHeight="true" outlineLevel="0" collapsed="false">
      <c r="A1156" s="7" t="s">
        <v>4996</v>
      </c>
      <c r="B1156" s="8" t="n">
        <v>2016</v>
      </c>
      <c r="C1156" s="8" t="s">
        <v>176</v>
      </c>
      <c r="D1156" s="8" t="n">
        <v>161</v>
      </c>
      <c r="E1156" s="7" t="s">
        <v>165</v>
      </c>
      <c r="F1156" s="8" t="n">
        <v>7.2</v>
      </c>
      <c r="G1156" s="8"/>
      <c r="H1156" s="9" t="n">
        <v>135531</v>
      </c>
      <c r="I1156" s="7" t="s">
        <v>46</v>
      </c>
      <c r="J1156" s="7" t="s">
        <v>2730</v>
      </c>
      <c r="K1156" s="7"/>
      <c r="L1156" s="10" t="s">
        <v>507</v>
      </c>
      <c r="M1156" s="7" t="s">
        <v>4997</v>
      </c>
      <c r="N1156" s="8" t="n">
        <v>0</v>
      </c>
      <c r="O1156" s="8" t="n">
        <v>0</v>
      </c>
      <c r="P1156" s="8" t="n">
        <v>0</v>
      </c>
      <c r="Q1156" s="8" t="n">
        <v>1</v>
      </c>
      <c r="R1156" s="8" t="n">
        <v>0</v>
      </c>
      <c r="S1156" s="8" t="n">
        <v>0</v>
      </c>
      <c r="T1156" s="8"/>
      <c r="U1156" s="11" t="n">
        <f aca="false">O1156*4 + P1156*2 + MAX(0,N1156-O1156-P1156)*1 + Q1156*0.2 + R1156*2 + S1156*1 + IF(T1156="",0,IF(T1156&lt;=10,8,IF(T1156&lt;=50,6,IF(T1156&lt;=100,4,2))))</f>
        <v>0.2</v>
      </c>
      <c r="V1156" s="10" t="s">
        <v>4998</v>
      </c>
      <c r="W1156" s="7"/>
      <c r="X1156" s="8" t="n">
        <v>70</v>
      </c>
      <c r="Y1156" s="8" t="s">
        <v>4999</v>
      </c>
    </row>
    <row r="1157" customFormat="false" ht="15.75" hidden="false" customHeight="true" outlineLevel="0" collapsed="false">
      <c r="A1157" s="7" t="s">
        <v>5000</v>
      </c>
      <c r="B1157" s="8" t="n">
        <v>2024</v>
      </c>
      <c r="C1157" s="8" t="s">
        <v>378</v>
      </c>
      <c r="D1157" s="8" t="n">
        <v>141</v>
      </c>
      <c r="E1157" s="7" t="s">
        <v>5001</v>
      </c>
      <c r="F1157" s="8" t="n">
        <v>7.2</v>
      </c>
      <c r="G1157" s="8" t="n">
        <v>8</v>
      </c>
      <c r="H1157" s="9" t="n">
        <v>456923</v>
      </c>
      <c r="I1157" s="7" t="s">
        <v>359</v>
      </c>
      <c r="J1157" s="7" t="s">
        <v>147</v>
      </c>
      <c r="K1157" s="7" t="s">
        <v>111</v>
      </c>
      <c r="L1157" s="10" t="s">
        <v>4943</v>
      </c>
      <c r="M1157" s="7" t="s">
        <v>5002</v>
      </c>
      <c r="N1157" s="8" t="n">
        <v>1</v>
      </c>
      <c r="O1157" s="8" t="n">
        <v>0</v>
      </c>
      <c r="P1157" s="8" t="n">
        <v>0</v>
      </c>
      <c r="Q1157" s="8" t="n">
        <v>5</v>
      </c>
      <c r="R1157" s="8" t="n">
        <v>0</v>
      </c>
      <c r="S1157" s="8" t="n">
        <v>0</v>
      </c>
      <c r="T1157" s="8"/>
      <c r="U1157" s="11" t="n">
        <f aca="false">O1157*4 + P1157*2 + MAX(0,N1157-O1157-P1157)*1 + Q1157*0.2 + R1157*2 + S1157*1 + IF(T1157="",0,IF(T1157&lt;=10,8,IF(T1157&lt;=50,6,IF(T1157&lt;=100,4,2))))</f>
        <v>2</v>
      </c>
      <c r="V1157" s="10" t="s">
        <v>5003</v>
      </c>
      <c r="W1157" s="7"/>
      <c r="X1157" s="8" t="n">
        <v>71</v>
      </c>
      <c r="Y1157" s="8" t="s">
        <v>5004</v>
      </c>
    </row>
    <row r="1158" customFormat="false" ht="15.75" hidden="false" customHeight="true" outlineLevel="0" collapsed="false">
      <c r="A1158" s="7" t="s">
        <v>5005</v>
      </c>
      <c r="B1158" s="8" t="n">
        <v>2011</v>
      </c>
      <c r="C1158" s="8" t="s">
        <v>176</v>
      </c>
      <c r="D1158" s="8" t="n">
        <v>122</v>
      </c>
      <c r="E1158" s="7" t="s">
        <v>5006</v>
      </c>
      <c r="F1158" s="8" t="n">
        <v>6.7</v>
      </c>
      <c r="G1158" s="8"/>
      <c r="H1158" s="9" t="n">
        <v>8704</v>
      </c>
      <c r="I1158" s="7" t="s">
        <v>219</v>
      </c>
      <c r="J1158" s="7" t="s">
        <v>47</v>
      </c>
      <c r="K1158" s="7"/>
      <c r="L1158" s="10" t="s">
        <v>205</v>
      </c>
      <c r="M1158" s="7" t="s">
        <v>5007</v>
      </c>
      <c r="N1158" s="8" t="n">
        <v>0</v>
      </c>
      <c r="O1158" s="8" t="n">
        <v>0</v>
      </c>
      <c r="P1158" s="8" t="n">
        <v>0</v>
      </c>
      <c r="Q1158" s="8" t="n">
        <v>0</v>
      </c>
      <c r="R1158" s="8" t="n">
        <v>0</v>
      </c>
      <c r="S1158" s="13" t="n">
        <v>0</v>
      </c>
      <c r="T1158" s="8"/>
      <c r="U1158" s="11" t="n">
        <f aca="false">O1158*4 + P1158*2 + MAX(0,N1158-O1158-P1158)*1 + Q1158*0.2 + R1158*2 + S1158*1 + IF(T1158="",0,IF(T1158&lt;=10,8,IF(T1158&lt;=50,6,IF(T1158&lt;=100,4,2))))</f>
        <v>0</v>
      </c>
      <c r="V1158" s="10" t="s">
        <v>5008</v>
      </c>
      <c r="W1158" s="7"/>
      <c r="X1158" s="8" t="n">
        <v>72</v>
      </c>
      <c r="Y1158" s="8" t="s">
        <v>5009</v>
      </c>
    </row>
    <row r="1159" customFormat="false" ht="15.75" hidden="false" customHeight="true" outlineLevel="0" collapsed="false">
      <c r="A1159" s="7" t="s">
        <v>5010</v>
      </c>
      <c r="B1159" s="8" t="n">
        <v>2016</v>
      </c>
      <c r="C1159" s="8" t="s">
        <v>176</v>
      </c>
      <c r="D1159" s="8" t="n">
        <v>162</v>
      </c>
      <c r="E1159" s="7" t="s">
        <v>5011</v>
      </c>
      <c r="F1159" s="8" t="n">
        <v>7.3</v>
      </c>
      <c r="G1159" s="8"/>
      <c r="H1159" s="9" t="n">
        <v>55517</v>
      </c>
      <c r="I1159" s="7" t="s">
        <v>794</v>
      </c>
      <c r="J1159" s="7" t="s">
        <v>30</v>
      </c>
      <c r="K1159" s="7" t="s">
        <v>259</v>
      </c>
      <c r="L1159" s="10" t="s">
        <v>205</v>
      </c>
      <c r="M1159" s="7" t="s">
        <v>5012</v>
      </c>
      <c r="N1159" s="8" t="n">
        <v>0</v>
      </c>
      <c r="O1159" s="8" t="n">
        <v>0</v>
      </c>
      <c r="P1159" s="8" t="n">
        <v>0</v>
      </c>
      <c r="Q1159" s="8" t="n">
        <v>1</v>
      </c>
      <c r="R1159" s="8" t="n">
        <v>0</v>
      </c>
      <c r="S1159" s="8" t="n">
        <v>0</v>
      </c>
      <c r="T1159" s="8"/>
      <c r="U1159" s="11" t="n">
        <f aca="false">O1159*4 + P1159*2 + MAX(0,N1159-O1159-P1159)*1 + Q1159*0.2 + R1159*2 + S1159*1 + IF(T1159="",0,IF(T1159&lt;=10,8,IF(T1159&lt;=50,6,IF(T1159&lt;=100,4,2))))</f>
        <v>0.2</v>
      </c>
      <c r="V1159" s="10" t="s">
        <v>5013</v>
      </c>
      <c r="W1159" s="7"/>
      <c r="X1159" s="8" t="n">
        <v>73</v>
      </c>
      <c r="Y1159" s="8" t="s">
        <v>5014</v>
      </c>
    </row>
    <row r="1160" customFormat="false" ht="15.75" hidden="false" customHeight="true" outlineLevel="0" collapsed="false">
      <c r="A1160" s="7" t="s">
        <v>5015</v>
      </c>
      <c r="B1160" s="8" t="n">
        <v>2004</v>
      </c>
      <c r="C1160" s="8" t="s">
        <v>35</v>
      </c>
      <c r="D1160" s="8" t="n">
        <v>127</v>
      </c>
      <c r="E1160" s="7" t="s">
        <v>1061</v>
      </c>
      <c r="F1160" s="8" t="n">
        <v>7.5</v>
      </c>
      <c r="G1160" s="8"/>
      <c r="H1160" s="9" t="n">
        <v>218142</v>
      </c>
      <c r="I1160" s="7" t="s">
        <v>46</v>
      </c>
      <c r="J1160" s="7" t="s">
        <v>29</v>
      </c>
      <c r="K1160" s="7" t="s">
        <v>30</v>
      </c>
      <c r="L1160" s="10" t="s">
        <v>177</v>
      </c>
      <c r="M1160" s="7" t="s">
        <v>5016</v>
      </c>
      <c r="N1160" s="8" t="n">
        <v>1</v>
      </c>
      <c r="O1160" s="8" t="n">
        <v>0</v>
      </c>
      <c r="P1160" s="8" t="n">
        <v>0</v>
      </c>
      <c r="Q1160" s="8" t="n">
        <v>5</v>
      </c>
      <c r="R1160" s="8" t="n">
        <v>0</v>
      </c>
      <c r="S1160" s="8" t="n">
        <v>1</v>
      </c>
      <c r="T1160" s="8"/>
      <c r="U1160" s="11" t="n">
        <f aca="false">O1160*4 + P1160*2 + MAX(0,N1160-O1160-P1160)*1 + Q1160*0.2 + R1160*2 + S1160*1 + IF(T1160="",0,IF(T1160&lt;=10,8,IF(T1160&lt;=50,6,IF(T1160&lt;=100,4,2))))</f>
        <v>3</v>
      </c>
      <c r="V1160" s="10" t="s">
        <v>5017</v>
      </c>
      <c r="W1160" s="7"/>
      <c r="X1160" s="8" t="n">
        <v>74</v>
      </c>
      <c r="Y1160" s="8" t="s">
        <v>5018</v>
      </c>
    </row>
    <row r="1161" customFormat="false" ht="15.75" hidden="false" customHeight="true" outlineLevel="0" collapsed="false">
      <c r="A1161" s="7" t="s">
        <v>5019</v>
      </c>
      <c r="B1161" s="8" t="n">
        <v>2015</v>
      </c>
      <c r="C1161" s="8" t="s">
        <v>176</v>
      </c>
      <c r="D1161" s="8" t="n">
        <v>121</v>
      </c>
      <c r="E1161" s="7" t="s">
        <v>4545</v>
      </c>
      <c r="F1161" s="8" t="n">
        <v>7.1</v>
      </c>
      <c r="G1161" s="8"/>
      <c r="H1161" s="9" t="n">
        <v>5555</v>
      </c>
      <c r="I1161" s="7" t="s">
        <v>430</v>
      </c>
      <c r="J1161" s="7" t="s">
        <v>29</v>
      </c>
      <c r="K1161" s="7" t="s">
        <v>47</v>
      </c>
      <c r="L1161" s="10"/>
      <c r="M1161" s="7" t="s">
        <v>5020</v>
      </c>
      <c r="N1161" s="8" t="n">
        <v>0</v>
      </c>
      <c r="O1161" s="8" t="n">
        <v>0</v>
      </c>
      <c r="P1161" s="8" t="n">
        <v>0</v>
      </c>
      <c r="Q1161" s="8" t="n">
        <v>0</v>
      </c>
      <c r="R1161" s="8" t="n">
        <v>0</v>
      </c>
      <c r="S1161" s="13" t="n">
        <v>0</v>
      </c>
      <c r="T1161" s="8"/>
      <c r="U1161" s="11" t="n">
        <f aca="false">O1161*4 + P1161*2 + MAX(0,N1161-O1161-P1161)*1 + Q1161*0.2 + R1161*2 + S1161*1 + IF(T1161="",0,IF(T1161&lt;=10,8,IF(T1161&lt;=50,6,IF(T1161&lt;=100,4,2))))</f>
        <v>0</v>
      </c>
      <c r="V1161" s="10" t="s">
        <v>5021</v>
      </c>
      <c r="W1161" s="7"/>
      <c r="X1161" s="8" t="n">
        <v>78</v>
      </c>
      <c r="Y1161" s="8" t="s">
        <v>5022</v>
      </c>
    </row>
    <row r="1162" customFormat="false" ht="15.75" hidden="false" customHeight="true" outlineLevel="0" collapsed="false">
      <c r="A1162" s="7" t="s">
        <v>5023</v>
      </c>
      <c r="B1162" s="8" t="n">
        <v>2014</v>
      </c>
      <c r="C1162" s="8" t="s">
        <v>176</v>
      </c>
      <c r="D1162" s="8" t="n">
        <v>100</v>
      </c>
      <c r="E1162" s="7" t="s">
        <v>5024</v>
      </c>
      <c r="F1162" s="8" t="n">
        <v>6.8</v>
      </c>
      <c r="G1162" s="8" t="n">
        <v>7</v>
      </c>
      <c r="H1162" s="9" t="n">
        <v>302794</v>
      </c>
      <c r="I1162" s="7" t="s">
        <v>46</v>
      </c>
      <c r="J1162" s="7" t="s">
        <v>147</v>
      </c>
      <c r="K1162" s="7" t="s">
        <v>125</v>
      </c>
      <c r="L1162" s="10" t="s">
        <v>5025</v>
      </c>
      <c r="M1162" s="7" t="s">
        <v>5026</v>
      </c>
      <c r="N1162" s="8" t="n">
        <v>0</v>
      </c>
      <c r="O1162" s="8" t="n">
        <v>0</v>
      </c>
      <c r="P1162" s="8" t="n">
        <v>0</v>
      </c>
      <c r="Q1162" s="8" t="n">
        <v>0</v>
      </c>
      <c r="R1162" s="8" t="n">
        <v>0</v>
      </c>
      <c r="S1162" s="13" t="n">
        <v>0</v>
      </c>
      <c r="T1162" s="8"/>
      <c r="U1162" s="11" t="n">
        <f aca="false">O1162*4 + P1162*2 + MAX(0,N1162-O1162-P1162)*1 + Q1162*0.2 + R1162*2 + S1162*1 + IF(T1162="",0,IF(T1162&lt;=10,8,IF(T1162&lt;=50,6,IF(T1162&lt;=100,4,2))))</f>
        <v>0</v>
      </c>
      <c r="V1162" s="10" t="s">
        <v>5027</v>
      </c>
      <c r="W1162" s="7"/>
      <c r="X1162" s="8" t="n">
        <v>79</v>
      </c>
      <c r="Y1162" s="8" t="s">
        <v>5028</v>
      </c>
    </row>
    <row r="1163" customFormat="false" ht="15.75" hidden="false" customHeight="true" outlineLevel="0" collapsed="false">
      <c r="A1163" s="7" t="s">
        <v>5029</v>
      </c>
      <c r="B1163" s="8" t="n">
        <v>2021</v>
      </c>
      <c r="C1163" s="8" t="s">
        <v>378</v>
      </c>
      <c r="D1163" s="8" t="n">
        <v>179</v>
      </c>
      <c r="E1163" s="7" t="s">
        <v>5030</v>
      </c>
      <c r="F1163" s="8" t="n">
        <v>7.5</v>
      </c>
      <c r="G1163" s="8"/>
      <c r="H1163" s="9" t="n">
        <v>77657</v>
      </c>
      <c r="I1163" s="7" t="s">
        <v>124</v>
      </c>
      <c r="J1163" s="7" t="s">
        <v>47</v>
      </c>
      <c r="K1163" s="7"/>
      <c r="L1163" s="10" t="s">
        <v>2965</v>
      </c>
      <c r="M1163" s="7" t="s">
        <v>5031</v>
      </c>
      <c r="N1163" s="8" t="n">
        <v>1</v>
      </c>
      <c r="O1163" s="8" t="n">
        <v>0</v>
      </c>
      <c r="P1163" s="8" t="n">
        <v>0</v>
      </c>
      <c r="Q1163" s="8" t="n">
        <v>4</v>
      </c>
      <c r="R1163" s="8" t="n">
        <v>0</v>
      </c>
      <c r="S1163" s="8" t="n">
        <v>0</v>
      </c>
      <c r="T1163" s="8"/>
      <c r="U1163" s="11" t="n">
        <f aca="false">O1163*4 + P1163*2 + MAX(0,N1163-O1163-P1163)*1 + Q1163*0.2 + R1163*2 + S1163*1 + IF(T1163="",0,IF(T1163&lt;=10,8,IF(T1163&lt;=50,6,IF(T1163&lt;=100,4,2))))</f>
        <v>1.8</v>
      </c>
      <c r="V1163" s="10" t="s">
        <v>5032</v>
      </c>
      <c r="W1163" s="7"/>
      <c r="X1163" s="8" t="n">
        <v>82</v>
      </c>
      <c r="Y1163" s="8" t="s">
        <v>5033</v>
      </c>
    </row>
    <row r="1164" customFormat="false" ht="15.75" hidden="false" customHeight="true" outlineLevel="0" collapsed="false">
      <c r="A1164" s="7" t="s">
        <v>5034</v>
      </c>
      <c r="B1164" s="8" t="n">
        <v>2015</v>
      </c>
      <c r="C1164" s="8" t="s">
        <v>176</v>
      </c>
      <c r="D1164" s="8" t="n">
        <v>132</v>
      </c>
      <c r="E1164" s="7" t="s">
        <v>5035</v>
      </c>
      <c r="F1164" s="8" t="n">
        <v>7.1</v>
      </c>
      <c r="G1164" s="8"/>
      <c r="H1164" s="9" t="n">
        <v>141753</v>
      </c>
      <c r="I1164" s="7" t="s">
        <v>46</v>
      </c>
      <c r="J1164" s="7" t="s">
        <v>268</v>
      </c>
      <c r="K1164" s="7" t="s">
        <v>147</v>
      </c>
      <c r="L1164" s="10"/>
      <c r="M1164" s="7" t="s">
        <v>5036</v>
      </c>
      <c r="N1164" s="8" t="n">
        <v>0</v>
      </c>
      <c r="O1164" s="8" t="n">
        <v>0</v>
      </c>
      <c r="P1164" s="8" t="n">
        <v>0</v>
      </c>
      <c r="Q1164" s="8" t="n">
        <v>0</v>
      </c>
      <c r="R1164" s="8" t="n">
        <v>0</v>
      </c>
      <c r="S1164" s="13" t="n">
        <v>0</v>
      </c>
      <c r="T1164" s="8"/>
      <c r="U1164" s="11" t="n">
        <f aca="false">O1164*4 + P1164*2 + MAX(0,N1164-O1164-P1164)*1 + Q1164*0.2 + R1164*2 + S1164*1 + IF(T1164="",0,IF(T1164&lt;=10,8,IF(T1164&lt;=50,6,IF(T1164&lt;=100,4,2))))</f>
        <v>0</v>
      </c>
      <c r="V1164" s="10" t="s">
        <v>5037</v>
      </c>
      <c r="W1164" s="7"/>
      <c r="X1164" s="8" t="n">
        <v>84</v>
      </c>
      <c r="Y1164" s="8" t="s">
        <v>5038</v>
      </c>
    </row>
    <row r="1165" customFormat="false" ht="15.75" hidden="false" customHeight="true" outlineLevel="0" collapsed="false">
      <c r="A1165" s="7" t="s">
        <v>5039</v>
      </c>
      <c r="B1165" s="8" t="n">
        <v>2006</v>
      </c>
      <c r="C1165" s="8" t="s">
        <v>35</v>
      </c>
      <c r="D1165" s="8" t="n">
        <v>132</v>
      </c>
      <c r="E1165" s="7" t="s">
        <v>770</v>
      </c>
      <c r="F1165" s="8" t="n">
        <v>6.1</v>
      </c>
      <c r="G1165" s="8" t="n">
        <v>6</v>
      </c>
      <c r="H1165" s="9" t="n">
        <v>132904</v>
      </c>
      <c r="I1165" s="7" t="s">
        <v>5040</v>
      </c>
      <c r="J1165" s="7" t="s">
        <v>112</v>
      </c>
      <c r="K1165" s="7" t="s">
        <v>54</v>
      </c>
      <c r="L1165" s="10" t="s">
        <v>238</v>
      </c>
      <c r="M1165" s="7" t="s">
        <v>5041</v>
      </c>
      <c r="N1165" s="8" t="n">
        <v>0</v>
      </c>
      <c r="O1165" s="8" t="n">
        <v>0</v>
      </c>
      <c r="P1165" s="8" t="n">
        <v>0</v>
      </c>
      <c r="Q1165" s="8" t="n">
        <v>0</v>
      </c>
      <c r="R1165" s="8" t="n">
        <v>0</v>
      </c>
      <c r="S1165" s="13" t="n">
        <v>0</v>
      </c>
      <c r="T1165" s="8"/>
      <c r="U1165" s="11" t="n">
        <f aca="false">O1165*4 + P1165*2 + MAX(0,N1165-O1165-P1165)*1 + Q1165*0.2 + R1165*2 + S1165*1 + IF(T1165="",0,IF(T1165&lt;=10,8,IF(T1165&lt;=50,6,IF(T1165&lt;=100,4,2))))</f>
        <v>0</v>
      </c>
      <c r="V1165" s="10" t="s">
        <v>5042</v>
      </c>
      <c r="W1165" s="7"/>
      <c r="X1165" s="8" t="n">
        <v>85</v>
      </c>
      <c r="Y1165" s="8" t="s">
        <v>5043</v>
      </c>
    </row>
    <row r="1166" customFormat="false" ht="15.75" hidden="false" customHeight="true" outlineLevel="0" collapsed="false">
      <c r="A1166" s="7" t="s">
        <v>5044</v>
      </c>
      <c r="B1166" s="8" t="n">
        <v>2024</v>
      </c>
      <c r="C1166" s="8" t="s">
        <v>378</v>
      </c>
      <c r="D1166" s="8" t="n">
        <v>131</v>
      </c>
      <c r="E1166" s="7" t="s">
        <v>1101</v>
      </c>
      <c r="F1166" s="8" t="n">
        <v>7</v>
      </c>
      <c r="G1166" s="8"/>
      <c r="H1166" s="9" t="n">
        <v>182972</v>
      </c>
      <c r="I1166" s="7" t="s">
        <v>46</v>
      </c>
      <c r="J1166" s="7" t="s">
        <v>29</v>
      </c>
      <c r="K1166" s="7" t="s">
        <v>30</v>
      </c>
      <c r="L1166" s="10" t="s">
        <v>4841</v>
      </c>
      <c r="M1166" s="7" t="s">
        <v>5045</v>
      </c>
      <c r="N1166" s="8" t="n">
        <v>0</v>
      </c>
      <c r="O1166" s="8" t="n">
        <v>0</v>
      </c>
      <c r="P1166" s="8" t="n">
        <v>0</v>
      </c>
      <c r="Q1166" s="8" t="n">
        <v>0</v>
      </c>
      <c r="R1166" s="8" t="n">
        <v>0</v>
      </c>
      <c r="S1166" s="13" t="n">
        <v>0</v>
      </c>
      <c r="T1166" s="8"/>
      <c r="U1166" s="11" t="n">
        <f aca="false">O1166*4 + P1166*2 + MAX(0,N1166-O1166-P1166)*1 + Q1166*0.2 + R1166*2 + S1166*1 + IF(T1166="",0,IF(T1166&lt;=10,8,IF(T1166&lt;=50,6,IF(T1166&lt;=100,4,2))))</f>
        <v>0</v>
      </c>
      <c r="V1166" s="10" t="s">
        <v>5046</v>
      </c>
      <c r="W1166" s="7"/>
      <c r="X1166" s="8" t="n">
        <v>86</v>
      </c>
      <c r="Y1166" s="8" t="s">
        <v>5047</v>
      </c>
    </row>
    <row r="1167" customFormat="false" ht="15.75" hidden="false" customHeight="true" outlineLevel="0" collapsed="false">
      <c r="A1167" s="7" t="s">
        <v>5048</v>
      </c>
      <c r="B1167" s="8" t="n">
        <v>2002</v>
      </c>
      <c r="C1167" s="8" t="s">
        <v>35</v>
      </c>
      <c r="D1167" s="8" t="n">
        <v>129</v>
      </c>
      <c r="E1167" s="7" t="s">
        <v>5049</v>
      </c>
      <c r="F1167" s="8" t="n">
        <v>5.9</v>
      </c>
      <c r="G1167" s="8"/>
      <c r="H1167" s="9" t="n">
        <v>7185</v>
      </c>
      <c r="I1167" s="7" t="s">
        <v>219</v>
      </c>
      <c r="J1167" s="7" t="s">
        <v>131</v>
      </c>
      <c r="K1167" s="7" t="s">
        <v>125</v>
      </c>
      <c r="L1167" s="10"/>
      <c r="M1167" s="7" t="s">
        <v>5050</v>
      </c>
      <c r="N1167" s="8" t="n">
        <v>0</v>
      </c>
      <c r="O1167" s="8" t="n">
        <v>0</v>
      </c>
      <c r="P1167" s="8" t="n">
        <v>0</v>
      </c>
      <c r="Q1167" s="8" t="n">
        <v>0</v>
      </c>
      <c r="R1167" s="8" t="n">
        <v>0</v>
      </c>
      <c r="S1167" s="13" t="n">
        <v>0</v>
      </c>
      <c r="T1167" s="8"/>
      <c r="U1167" s="11" t="n">
        <f aca="false">O1167*4 + P1167*2 + MAX(0,N1167-O1167-P1167)*1 + Q1167*0.2 + R1167*2 + S1167*1 + IF(T1167="",0,IF(T1167&lt;=10,8,IF(T1167&lt;=50,6,IF(T1167&lt;=100,4,2))))</f>
        <v>0</v>
      </c>
      <c r="V1167" s="10" t="s">
        <v>5051</v>
      </c>
      <c r="W1167" s="7"/>
      <c r="X1167" s="8" t="n">
        <v>87</v>
      </c>
      <c r="Y1167" s="8" t="s">
        <v>5052</v>
      </c>
    </row>
    <row r="1168" customFormat="false" ht="15.75" hidden="false" customHeight="true" outlineLevel="0" collapsed="false">
      <c r="A1168" s="7" t="s">
        <v>5053</v>
      </c>
      <c r="B1168" s="8" t="n">
        <v>2015</v>
      </c>
      <c r="C1168" s="8" t="s">
        <v>176</v>
      </c>
      <c r="D1168" s="8" t="n">
        <v>92</v>
      </c>
      <c r="E1168" s="7" t="s">
        <v>5054</v>
      </c>
      <c r="F1168" s="8" t="n">
        <v>7</v>
      </c>
      <c r="G1168" s="8" t="n">
        <v>6</v>
      </c>
      <c r="H1168" s="9" t="n">
        <v>357615</v>
      </c>
      <c r="I1168" s="7" t="s">
        <v>2168</v>
      </c>
      <c r="J1168" s="7" t="s">
        <v>147</v>
      </c>
      <c r="K1168" s="7" t="s">
        <v>38</v>
      </c>
      <c r="L1168" s="10" t="s">
        <v>192</v>
      </c>
      <c r="M1168" s="7" t="s">
        <v>5055</v>
      </c>
      <c r="N1168" s="8" t="n">
        <v>0</v>
      </c>
      <c r="O1168" s="8" t="n">
        <v>0</v>
      </c>
      <c r="P1168" s="8" t="n">
        <v>0</v>
      </c>
      <c r="Q1168" s="8" t="n">
        <v>0</v>
      </c>
      <c r="R1168" s="8" t="n">
        <v>0</v>
      </c>
      <c r="S1168" s="13" t="n">
        <v>0</v>
      </c>
      <c r="T1168" s="8"/>
      <c r="U1168" s="11" t="n">
        <f aca="false">O1168*4 + P1168*2 + MAX(0,N1168-O1168-P1168)*1 + Q1168*0.2 + R1168*2 + S1168*1 + IF(T1168="",0,IF(T1168&lt;=10,8,IF(T1168&lt;=50,6,IF(T1168&lt;=100,4,2))))</f>
        <v>0</v>
      </c>
      <c r="V1168" s="10" t="s">
        <v>5056</v>
      </c>
      <c r="W1168" s="7"/>
      <c r="X1168" s="8" t="n">
        <v>89</v>
      </c>
      <c r="Y1168" s="8" t="s">
        <v>5057</v>
      </c>
    </row>
    <row r="1169" customFormat="false" ht="15.75" hidden="false" customHeight="true" outlineLevel="0" collapsed="false">
      <c r="A1169" s="7" t="s">
        <v>5058</v>
      </c>
      <c r="B1169" s="8" t="n">
        <v>2011</v>
      </c>
      <c r="C1169" s="8" t="s">
        <v>176</v>
      </c>
      <c r="D1169" s="8" t="n">
        <v>98</v>
      </c>
      <c r="E1169" s="7" t="s">
        <v>5059</v>
      </c>
      <c r="F1169" s="8" t="n">
        <v>6.2</v>
      </c>
      <c r="G1169" s="8"/>
      <c r="H1169" s="9" t="n">
        <v>17573</v>
      </c>
      <c r="I1169" s="7" t="s">
        <v>359</v>
      </c>
      <c r="J1169" s="7" t="s">
        <v>29</v>
      </c>
      <c r="K1169" s="7" t="s">
        <v>47</v>
      </c>
      <c r="L1169" s="10"/>
      <c r="M1169" s="7" t="s">
        <v>5060</v>
      </c>
      <c r="N1169" s="8" t="n">
        <v>0</v>
      </c>
      <c r="O1169" s="8" t="n">
        <v>0</v>
      </c>
      <c r="P1169" s="8" t="n">
        <v>0</v>
      </c>
      <c r="Q1169" s="8" t="n">
        <v>0</v>
      </c>
      <c r="R1169" s="8" t="n">
        <v>0</v>
      </c>
      <c r="S1169" s="13" t="n">
        <v>0</v>
      </c>
      <c r="T1169" s="8"/>
      <c r="U1169" s="11" t="n">
        <f aca="false">O1169*4 + P1169*2 + MAX(0,N1169-O1169-P1169)*1 + Q1169*0.2 + R1169*2 + S1169*1 + IF(T1169="",0,IF(T1169&lt;=10,8,IF(T1169&lt;=50,6,IF(T1169&lt;=100,4,2))))</f>
        <v>0</v>
      </c>
      <c r="V1169" s="10" t="s">
        <v>5061</v>
      </c>
      <c r="W1169" s="7"/>
      <c r="X1169" s="8" t="n">
        <v>90</v>
      </c>
      <c r="Y1169" s="8" t="s">
        <v>5062</v>
      </c>
    </row>
    <row r="1170" customFormat="false" ht="15.75" hidden="false" customHeight="true" outlineLevel="0" collapsed="false">
      <c r="A1170" s="7" t="s">
        <v>5063</v>
      </c>
      <c r="B1170" s="8" t="n">
        <v>2006</v>
      </c>
      <c r="C1170" s="8" t="s">
        <v>35</v>
      </c>
      <c r="D1170" s="8" t="n">
        <v>84</v>
      </c>
      <c r="E1170" s="7" t="s">
        <v>5064</v>
      </c>
      <c r="F1170" s="8" t="n">
        <v>7.4</v>
      </c>
      <c r="G1170" s="8" t="n">
        <v>8</v>
      </c>
      <c r="H1170" s="9" t="n">
        <v>481813</v>
      </c>
      <c r="I1170" s="7" t="s">
        <v>46</v>
      </c>
      <c r="J1170" s="7" t="s">
        <v>30</v>
      </c>
      <c r="K1170" s="7"/>
      <c r="L1170" s="10" t="s">
        <v>177</v>
      </c>
      <c r="M1170" s="7" t="s">
        <v>5065</v>
      </c>
      <c r="N1170" s="8" t="n">
        <v>0</v>
      </c>
      <c r="O1170" s="8" t="n">
        <v>0</v>
      </c>
      <c r="P1170" s="8" t="n">
        <v>0</v>
      </c>
      <c r="Q1170" s="8" t="n">
        <v>1</v>
      </c>
      <c r="R1170" s="8" t="n">
        <v>0</v>
      </c>
      <c r="S1170" s="8" t="n">
        <v>0</v>
      </c>
      <c r="T1170" s="8"/>
      <c r="U1170" s="11" t="n">
        <f aca="false">O1170*4 + P1170*2 + MAX(0,N1170-O1170-P1170)*1 + Q1170*0.2 + R1170*2 + S1170*1 + IF(T1170="",0,IF(T1170&lt;=10,8,IF(T1170&lt;=50,6,IF(T1170&lt;=100,4,2))))</f>
        <v>0.2</v>
      </c>
      <c r="V1170" s="10" t="s">
        <v>5066</v>
      </c>
      <c r="W1170" s="7"/>
      <c r="X1170" s="8" t="n">
        <v>91</v>
      </c>
      <c r="Y1170" s="8" t="s">
        <v>5067</v>
      </c>
    </row>
    <row r="1171" customFormat="false" ht="15.75" hidden="false" customHeight="true" outlineLevel="0" collapsed="false">
      <c r="A1171" s="7" t="s">
        <v>5068</v>
      </c>
      <c r="B1171" s="8" t="n">
        <v>2005</v>
      </c>
      <c r="C1171" s="8" t="s">
        <v>35</v>
      </c>
      <c r="D1171" s="8" t="n">
        <v>134</v>
      </c>
      <c r="E1171" s="7" t="s">
        <v>497</v>
      </c>
      <c r="F1171" s="8" t="n">
        <v>7.7</v>
      </c>
      <c r="G1171" s="8"/>
      <c r="H1171" s="9" t="n">
        <v>420696</v>
      </c>
      <c r="I1171" s="7" t="s">
        <v>2168</v>
      </c>
      <c r="J1171" s="7" t="s">
        <v>29</v>
      </c>
      <c r="K1171" s="7" t="s">
        <v>1102</v>
      </c>
      <c r="L1171" s="10"/>
      <c r="M1171" s="7" t="s">
        <v>5069</v>
      </c>
      <c r="N1171" s="8" t="n">
        <v>3</v>
      </c>
      <c r="O1171" s="8" t="n">
        <v>0</v>
      </c>
      <c r="P1171" s="8" t="n">
        <v>1</v>
      </c>
      <c r="Q1171" s="8" t="n">
        <v>8</v>
      </c>
      <c r="R1171" s="8" t="n">
        <v>1</v>
      </c>
      <c r="S1171" s="8" t="n">
        <v>1</v>
      </c>
      <c r="T1171" s="8"/>
      <c r="U1171" s="11" t="n">
        <f aca="false">O1171*4 + P1171*2 + MAX(0,N1171-O1171-P1171)*1 + Q1171*0.2 + R1171*2 + S1171*1 + IF(T1171="",0,IF(T1171&lt;=10,8,IF(T1171&lt;=50,6,IF(T1171&lt;=100,4,2))))</f>
        <v>8.6</v>
      </c>
      <c r="V1171" s="10" t="s">
        <v>5070</v>
      </c>
      <c r="W1171" s="7"/>
      <c r="X1171" s="8" t="n">
        <v>93</v>
      </c>
      <c r="Y1171" s="8" t="s">
        <v>5071</v>
      </c>
    </row>
    <row r="1172" customFormat="false" ht="15.75" hidden="false" customHeight="true" outlineLevel="0" collapsed="false">
      <c r="A1172" s="7" t="s">
        <v>5072</v>
      </c>
      <c r="B1172" s="8" t="n">
        <v>2006</v>
      </c>
      <c r="C1172" s="8" t="s">
        <v>35</v>
      </c>
      <c r="D1172" s="8" t="n">
        <v>104</v>
      </c>
      <c r="E1172" s="7" t="s">
        <v>5073</v>
      </c>
      <c r="F1172" s="8" t="n">
        <v>6.4</v>
      </c>
      <c r="G1172" s="8"/>
      <c r="H1172" s="9" t="n">
        <v>782</v>
      </c>
      <c r="I1172" s="7" t="s">
        <v>232</v>
      </c>
      <c r="J1172" s="7" t="s">
        <v>47</v>
      </c>
      <c r="K1172" s="7"/>
      <c r="L1172" s="10" t="s">
        <v>205</v>
      </c>
      <c r="M1172" s="7" t="s">
        <v>5074</v>
      </c>
      <c r="N1172" s="8" t="n">
        <v>0</v>
      </c>
      <c r="O1172" s="8" t="n">
        <v>0</v>
      </c>
      <c r="P1172" s="8" t="n">
        <v>0</v>
      </c>
      <c r="Q1172" s="8" t="n">
        <v>0</v>
      </c>
      <c r="R1172" s="8" t="n">
        <v>0</v>
      </c>
      <c r="S1172" s="13" t="n">
        <v>0</v>
      </c>
      <c r="T1172" s="8"/>
      <c r="U1172" s="11" t="n">
        <f aca="false">O1172*4 + P1172*2 + MAX(0,N1172-O1172-P1172)*1 + Q1172*0.2 + R1172*2 + S1172*1 + IF(T1172="",0,IF(T1172&lt;=10,8,IF(T1172&lt;=50,6,IF(T1172&lt;=100,4,2))))</f>
        <v>0</v>
      </c>
      <c r="V1172" s="10" t="s">
        <v>5075</v>
      </c>
      <c r="W1172" s="7"/>
      <c r="X1172" s="8" t="n">
        <v>95</v>
      </c>
      <c r="Y1172" s="8" t="s">
        <v>5076</v>
      </c>
    </row>
    <row r="1173" customFormat="false" ht="15.75" hidden="false" customHeight="true" outlineLevel="0" collapsed="false">
      <c r="A1173" s="7" t="s">
        <v>5077</v>
      </c>
      <c r="B1173" s="8" t="n">
        <v>2021</v>
      </c>
      <c r="C1173" s="8" t="s">
        <v>378</v>
      </c>
      <c r="D1173" s="8" t="n">
        <v>142</v>
      </c>
      <c r="E1173" s="7" t="s">
        <v>3163</v>
      </c>
      <c r="F1173" s="8" t="n">
        <v>7.4</v>
      </c>
      <c r="G1173" s="8"/>
      <c r="H1173" s="9" t="n">
        <v>11123</v>
      </c>
      <c r="I1173" s="7" t="s">
        <v>219</v>
      </c>
      <c r="J1173" s="7" t="s">
        <v>47</v>
      </c>
      <c r="K1173" s="7"/>
      <c r="L1173" s="10" t="s">
        <v>205</v>
      </c>
      <c r="M1173" s="7" t="s">
        <v>5078</v>
      </c>
      <c r="N1173" s="8" t="n">
        <v>0</v>
      </c>
      <c r="O1173" s="8" t="n">
        <v>0</v>
      </c>
      <c r="P1173" s="8" t="n">
        <v>0</v>
      </c>
      <c r="Q1173" s="8" t="n">
        <v>0</v>
      </c>
      <c r="R1173" s="8" t="n">
        <v>0</v>
      </c>
      <c r="S1173" s="13" t="n">
        <v>0</v>
      </c>
      <c r="T1173" s="8"/>
      <c r="U1173" s="11" t="n">
        <f aca="false">O1173*4 + P1173*2 + MAX(0,N1173-O1173-P1173)*1 + Q1173*0.2 + R1173*2 + S1173*1 + IF(T1173="",0,IF(T1173&lt;=10,8,IF(T1173&lt;=50,6,IF(T1173&lt;=100,4,2))))</f>
        <v>0</v>
      </c>
      <c r="V1173" s="10" t="s">
        <v>5079</v>
      </c>
      <c r="W1173" s="7"/>
      <c r="X1173" s="8" t="n">
        <v>97</v>
      </c>
      <c r="Y1173" s="8" t="s">
        <v>5080</v>
      </c>
    </row>
    <row r="1174" customFormat="false" ht="15.75" hidden="false" customHeight="true" outlineLevel="0" collapsed="false">
      <c r="A1174" s="7" t="s">
        <v>5081</v>
      </c>
      <c r="B1174" s="8" t="n">
        <v>2018</v>
      </c>
      <c r="C1174" s="8" t="s">
        <v>176</v>
      </c>
      <c r="D1174" s="8" t="n">
        <v>127</v>
      </c>
      <c r="E1174" s="7" t="s">
        <v>5082</v>
      </c>
      <c r="F1174" s="8" t="n">
        <v>7.3</v>
      </c>
      <c r="G1174" s="8" t="n">
        <v>9</v>
      </c>
      <c r="H1174" s="9" t="n">
        <v>466173</v>
      </c>
      <c r="I1174" s="7" t="s">
        <v>46</v>
      </c>
      <c r="J1174" s="7" t="s">
        <v>147</v>
      </c>
      <c r="K1174" s="7" t="s">
        <v>125</v>
      </c>
      <c r="L1174" s="10" t="s">
        <v>5083</v>
      </c>
      <c r="M1174" s="7" t="s">
        <v>5084</v>
      </c>
      <c r="N1174" s="8" t="n">
        <v>0</v>
      </c>
      <c r="O1174" s="8" t="n">
        <v>0</v>
      </c>
      <c r="P1174" s="8" t="n">
        <v>0</v>
      </c>
      <c r="Q1174" s="8" t="n">
        <v>0</v>
      </c>
      <c r="R1174" s="8" t="n">
        <v>0</v>
      </c>
      <c r="S1174" s="13" t="n">
        <v>0</v>
      </c>
      <c r="T1174" s="8"/>
      <c r="U1174" s="11" t="n">
        <f aca="false">O1174*4 + P1174*2 + MAX(0,N1174-O1174-P1174)*1 + Q1174*0.2 + R1174*2 + S1174*1 + IF(T1174="",0,IF(T1174&lt;=10,8,IF(T1174&lt;=50,6,IF(T1174&lt;=100,4,2))))</f>
        <v>0</v>
      </c>
      <c r="V1174" s="10" t="s">
        <v>5085</v>
      </c>
      <c r="W1174" s="7"/>
      <c r="X1174" s="8" t="n">
        <v>98</v>
      </c>
      <c r="Y1174" s="8" t="s">
        <v>5086</v>
      </c>
    </row>
    <row r="1175" customFormat="false" ht="15.75" hidden="false" customHeight="true" outlineLevel="0" collapsed="false">
      <c r="A1175" s="7" t="s">
        <v>5087</v>
      </c>
      <c r="B1175" s="8" t="n">
        <v>2015</v>
      </c>
      <c r="C1175" s="8" t="s">
        <v>176</v>
      </c>
      <c r="D1175" s="8" t="n">
        <v>107</v>
      </c>
      <c r="E1175" s="7" t="s">
        <v>5088</v>
      </c>
      <c r="F1175" s="8" t="n">
        <v>7.4</v>
      </c>
      <c r="G1175" s="8"/>
      <c r="H1175" s="9" t="n">
        <v>54762</v>
      </c>
      <c r="I1175" s="7" t="s">
        <v>3745</v>
      </c>
      <c r="J1175" s="7" t="s">
        <v>154</v>
      </c>
      <c r="K1175" s="7" t="s">
        <v>47</v>
      </c>
      <c r="L1175" s="10" t="s">
        <v>205</v>
      </c>
      <c r="M1175" s="7" t="s">
        <v>5089</v>
      </c>
      <c r="N1175" s="8" t="n">
        <v>1</v>
      </c>
      <c r="O1175" s="8" t="n">
        <v>0</v>
      </c>
      <c r="P1175" s="8" t="n">
        <v>0</v>
      </c>
      <c r="Q1175" s="8" t="n">
        <v>1</v>
      </c>
      <c r="R1175" s="8" t="n">
        <v>0</v>
      </c>
      <c r="S1175" s="8" t="n">
        <v>0</v>
      </c>
      <c r="T1175" s="8"/>
      <c r="U1175" s="11" t="n">
        <f aca="false">O1175*4 + P1175*2 + MAX(0,N1175-O1175-P1175)*1 + Q1175*0.2 + R1175*2 + S1175*1 + IF(T1175="",0,IF(T1175&lt;=10,8,IF(T1175&lt;=50,6,IF(T1175&lt;=100,4,2))))</f>
        <v>1.2</v>
      </c>
      <c r="V1175" s="10" t="s">
        <v>5090</v>
      </c>
      <c r="W1175" s="7"/>
      <c r="X1175" s="8" t="n">
        <v>99</v>
      </c>
      <c r="Y1175" s="8" t="s">
        <v>5091</v>
      </c>
    </row>
    <row r="1176" customFormat="false" ht="15.75" hidden="false" customHeight="true" outlineLevel="0" collapsed="false">
      <c r="A1176" s="7" t="s">
        <v>5092</v>
      </c>
      <c r="B1176" s="8" t="n">
        <v>2011</v>
      </c>
      <c r="C1176" s="8" t="s">
        <v>176</v>
      </c>
      <c r="D1176" s="8" t="n">
        <v>127</v>
      </c>
      <c r="E1176" s="7" t="s">
        <v>2403</v>
      </c>
      <c r="F1176" s="8" t="n">
        <v>7</v>
      </c>
      <c r="G1176" s="8"/>
      <c r="H1176" s="9" t="n">
        <v>227568</v>
      </c>
      <c r="I1176" s="7" t="s">
        <v>5093</v>
      </c>
      <c r="J1176" s="7" t="s">
        <v>131</v>
      </c>
      <c r="K1176" s="7" t="s">
        <v>125</v>
      </c>
      <c r="L1176" s="10"/>
      <c r="M1176" s="7" t="s">
        <v>5094</v>
      </c>
      <c r="N1176" s="8" t="n">
        <v>0</v>
      </c>
      <c r="O1176" s="8" t="n">
        <v>0</v>
      </c>
      <c r="P1176" s="8" t="n">
        <v>0</v>
      </c>
      <c r="Q1176" s="8" t="n">
        <v>3</v>
      </c>
      <c r="R1176" s="8" t="n">
        <v>0</v>
      </c>
      <c r="S1176" s="8" t="n">
        <v>0</v>
      </c>
      <c r="T1176" s="8"/>
      <c r="U1176" s="11" t="n">
        <f aca="false">O1176*4 + P1176*2 + MAX(0,N1176-O1176-P1176)*1 + Q1176*0.2 + R1176*2 + S1176*1 + IF(T1176="",0,IF(T1176&lt;=10,8,IF(T1176&lt;=50,6,IF(T1176&lt;=100,4,2))))</f>
        <v>0.6</v>
      </c>
      <c r="V1176" s="10" t="s">
        <v>5095</v>
      </c>
      <c r="W1176" s="7"/>
      <c r="X1176" s="8" t="n">
        <v>102</v>
      </c>
      <c r="Y1176" s="8" t="s">
        <v>5096</v>
      </c>
    </row>
    <row r="1177" customFormat="false" ht="15.75" hidden="false" customHeight="true" outlineLevel="0" collapsed="false">
      <c r="A1177" s="7" t="s">
        <v>5097</v>
      </c>
      <c r="B1177" s="8" t="n">
        <v>2010</v>
      </c>
      <c r="C1177" s="8" t="s">
        <v>176</v>
      </c>
      <c r="D1177" s="8" t="n">
        <v>120</v>
      </c>
      <c r="E1177" s="7" t="s">
        <v>225</v>
      </c>
      <c r="F1177" s="8" t="n">
        <v>7.8</v>
      </c>
      <c r="G1177" s="8" t="n">
        <v>7</v>
      </c>
      <c r="H1177" s="9" t="n">
        <v>826164</v>
      </c>
      <c r="I1177" s="7" t="s">
        <v>46</v>
      </c>
      <c r="J1177" s="7" t="s">
        <v>47</v>
      </c>
      <c r="K1177" s="7" t="s">
        <v>48</v>
      </c>
      <c r="L1177" s="10" t="s">
        <v>210</v>
      </c>
      <c r="M1177" s="7" t="s">
        <v>5098</v>
      </c>
      <c r="N1177" s="8" t="n">
        <v>3</v>
      </c>
      <c r="O1177" s="8" t="n">
        <v>0</v>
      </c>
      <c r="P1177" s="8" t="n">
        <v>0</v>
      </c>
      <c r="Q1177" s="8" t="n">
        <v>8</v>
      </c>
      <c r="R1177" s="8" t="n">
        <v>0</v>
      </c>
      <c r="S1177" s="8" t="n">
        <v>1</v>
      </c>
      <c r="T1177" s="8"/>
      <c r="U1177" s="11" t="n">
        <f aca="false">O1177*4 + P1177*2 + MAX(0,N1177-O1177-P1177)*1 + Q1177*0.2 + R1177*2 + S1177*1 + IF(T1177="",0,IF(T1177&lt;=10,8,IF(T1177&lt;=50,6,IF(T1177&lt;=100,4,2))))</f>
        <v>5.6</v>
      </c>
      <c r="V1177" s="10" t="s">
        <v>5099</v>
      </c>
      <c r="W1177" s="7"/>
      <c r="X1177" s="8" t="n">
        <v>110</v>
      </c>
      <c r="Y1177" s="8" t="s">
        <v>5100</v>
      </c>
    </row>
    <row r="1178" customFormat="false" ht="15.75" hidden="false" customHeight="true" outlineLevel="0" collapsed="false">
      <c r="A1178" s="7" t="s">
        <v>5101</v>
      </c>
      <c r="B1178" s="8" t="n">
        <v>2005</v>
      </c>
      <c r="C1178" s="8" t="s">
        <v>35</v>
      </c>
      <c r="D1178" s="8" t="n">
        <v>134</v>
      </c>
      <c r="E1178" s="7" t="s">
        <v>368</v>
      </c>
      <c r="F1178" s="8" t="n">
        <v>7.1</v>
      </c>
      <c r="G1178" s="8"/>
      <c r="H1178" s="9" t="n">
        <v>15830</v>
      </c>
      <c r="I1178" s="7" t="s">
        <v>3875</v>
      </c>
      <c r="J1178" s="7" t="s">
        <v>131</v>
      </c>
      <c r="K1178" s="7" t="s">
        <v>132</v>
      </c>
      <c r="L1178" s="10" t="s">
        <v>447</v>
      </c>
      <c r="M1178" s="7" t="s">
        <v>5102</v>
      </c>
      <c r="N1178" s="8" t="n">
        <v>0</v>
      </c>
      <c r="O1178" s="8" t="n">
        <v>0</v>
      </c>
      <c r="P1178" s="8" t="n">
        <v>0</v>
      </c>
      <c r="Q1178" s="8" t="n">
        <v>0</v>
      </c>
      <c r="R1178" s="8" t="n">
        <v>0</v>
      </c>
      <c r="S1178" s="13" t="n">
        <v>0</v>
      </c>
      <c r="T1178" s="8"/>
      <c r="U1178" s="11" t="n">
        <f aca="false">O1178*4 + P1178*2 + MAX(0,N1178-O1178-P1178)*1 + Q1178*0.2 + R1178*2 + S1178*1 + IF(T1178="",0,IF(T1178&lt;=10,8,IF(T1178&lt;=50,6,IF(T1178&lt;=100,4,2))))</f>
        <v>0</v>
      </c>
      <c r="V1178" s="10" t="s">
        <v>5103</v>
      </c>
      <c r="W1178" s="7"/>
      <c r="X1178" s="8" t="n">
        <v>112</v>
      </c>
      <c r="Y1178" s="8" t="s">
        <v>5104</v>
      </c>
    </row>
    <row r="1179" customFormat="false" ht="15.75" hidden="false" customHeight="true" outlineLevel="0" collapsed="false">
      <c r="A1179" s="7" t="s">
        <v>5105</v>
      </c>
      <c r="B1179" s="8" t="n">
        <v>2023</v>
      </c>
      <c r="C1179" s="8" t="s">
        <v>378</v>
      </c>
      <c r="D1179" s="8" t="n">
        <v>95</v>
      </c>
      <c r="E1179" s="7" t="s">
        <v>2915</v>
      </c>
      <c r="F1179" s="8" t="n">
        <v>6.7</v>
      </c>
      <c r="G1179" s="8"/>
      <c r="H1179" s="9" t="n">
        <v>4148</v>
      </c>
      <c r="I1179" s="7" t="s">
        <v>4256</v>
      </c>
      <c r="J1179" s="7" t="s">
        <v>30</v>
      </c>
      <c r="K1179" s="7" t="s">
        <v>47</v>
      </c>
      <c r="L1179" s="10" t="s">
        <v>2965</v>
      </c>
      <c r="M1179" s="7" t="s">
        <v>5106</v>
      </c>
      <c r="N1179" s="8" t="n">
        <v>0</v>
      </c>
      <c r="O1179" s="8" t="n">
        <v>0</v>
      </c>
      <c r="P1179" s="8" t="n">
        <v>0</v>
      </c>
      <c r="Q1179" s="8" t="n">
        <v>0</v>
      </c>
      <c r="R1179" s="8" t="n">
        <v>0</v>
      </c>
      <c r="S1179" s="13" t="n">
        <v>0</v>
      </c>
      <c r="T1179" s="8"/>
      <c r="U1179" s="11" t="n">
        <f aca="false">O1179*4 + P1179*2 + MAX(0,N1179-O1179-P1179)*1 + Q1179*0.2 + R1179*2 + S1179*1 + IF(T1179="",0,IF(T1179&lt;=10,8,IF(T1179&lt;=50,6,IF(T1179&lt;=100,4,2))))</f>
        <v>0</v>
      </c>
      <c r="V1179" s="10" t="s">
        <v>5107</v>
      </c>
      <c r="W1179" s="7"/>
      <c r="X1179" s="8" t="n">
        <v>113</v>
      </c>
      <c r="Y1179" s="8" t="s">
        <v>5108</v>
      </c>
    </row>
    <row r="1180" customFormat="false" ht="15.75" hidden="false" customHeight="true" outlineLevel="0" collapsed="false">
      <c r="A1180" s="7" t="s">
        <v>5109</v>
      </c>
      <c r="B1180" s="8" t="n">
        <v>2004</v>
      </c>
      <c r="C1180" s="8" t="s">
        <v>35</v>
      </c>
      <c r="D1180" s="8" t="n">
        <v>94</v>
      </c>
      <c r="E1180" s="7" t="s">
        <v>5110</v>
      </c>
      <c r="F1180" s="8" t="n">
        <v>7.1</v>
      </c>
      <c r="G1180" s="8" t="n">
        <v>8</v>
      </c>
      <c r="H1180" s="9" t="n">
        <v>403965</v>
      </c>
      <c r="I1180" s="7" t="s">
        <v>46</v>
      </c>
      <c r="J1180" s="7" t="s">
        <v>30</v>
      </c>
      <c r="K1180" s="7"/>
      <c r="L1180" s="10" t="s">
        <v>210</v>
      </c>
      <c r="M1180" s="7" t="s">
        <v>5111</v>
      </c>
      <c r="N1180" s="8" t="n">
        <v>0</v>
      </c>
      <c r="O1180" s="8" t="n">
        <v>0</v>
      </c>
      <c r="P1180" s="8" t="n">
        <v>0</v>
      </c>
      <c r="Q1180" s="8" t="n">
        <v>0</v>
      </c>
      <c r="R1180" s="8" t="n">
        <v>0</v>
      </c>
      <c r="S1180" s="13" t="n">
        <v>0</v>
      </c>
      <c r="T1180" s="8"/>
      <c r="U1180" s="11" t="n">
        <f aca="false">O1180*4 + P1180*2 + MAX(0,N1180-O1180-P1180)*1 + Q1180*0.2 + R1180*2 + S1180*1 + IF(T1180="",0,IF(T1180&lt;=10,8,IF(T1180&lt;=50,6,IF(T1180&lt;=100,4,2))))</f>
        <v>0</v>
      </c>
      <c r="V1180" s="10" t="s">
        <v>5112</v>
      </c>
      <c r="W1180" s="7"/>
      <c r="X1180" s="8" t="n">
        <v>115</v>
      </c>
      <c r="Y1180" s="8" t="s">
        <v>5113</v>
      </c>
    </row>
    <row r="1181" customFormat="false" ht="15.75" hidden="false" customHeight="true" outlineLevel="0" collapsed="false">
      <c r="A1181" s="7" t="s">
        <v>5114</v>
      </c>
      <c r="B1181" s="8" t="n">
        <v>2016</v>
      </c>
      <c r="C1181" s="8" t="s">
        <v>176</v>
      </c>
      <c r="D1181" s="8" t="n">
        <v>141</v>
      </c>
      <c r="E1181" s="7" t="s">
        <v>4819</v>
      </c>
      <c r="F1181" s="8" t="n">
        <v>6.6</v>
      </c>
      <c r="G1181" s="8"/>
      <c r="H1181" s="9" t="n">
        <v>106730</v>
      </c>
      <c r="I1181" s="7" t="s">
        <v>359</v>
      </c>
      <c r="J1181" s="7" t="s">
        <v>39</v>
      </c>
      <c r="K1181" s="7" t="s">
        <v>48</v>
      </c>
      <c r="L1181" s="10" t="s">
        <v>260</v>
      </c>
      <c r="M1181" s="7" t="s">
        <v>5115</v>
      </c>
      <c r="N1181" s="8" t="n">
        <v>0</v>
      </c>
      <c r="O1181" s="8" t="n">
        <v>0</v>
      </c>
      <c r="P1181" s="8" t="n">
        <v>0</v>
      </c>
      <c r="Q1181" s="8" t="n">
        <v>0</v>
      </c>
      <c r="R1181" s="8" t="n">
        <v>0</v>
      </c>
      <c r="S1181" s="13" t="n">
        <v>0</v>
      </c>
      <c r="T1181" s="8"/>
      <c r="U1181" s="11" t="n">
        <f aca="false">O1181*4 + P1181*2 + MAX(0,N1181-O1181-P1181)*1 + Q1181*0.2 + R1181*2 + S1181*1 + IF(T1181="",0,IF(T1181&lt;=10,8,IF(T1181&lt;=50,6,IF(T1181&lt;=100,4,2))))</f>
        <v>0</v>
      </c>
      <c r="V1181" s="10" t="s">
        <v>5116</v>
      </c>
      <c r="W1181" s="7"/>
      <c r="X1181" s="8" t="n">
        <v>116</v>
      </c>
      <c r="Y1181" s="8" t="s">
        <v>5117</v>
      </c>
    </row>
    <row r="1182" customFormat="false" ht="15.75" hidden="false" customHeight="true" outlineLevel="0" collapsed="false">
      <c r="A1182" s="7" t="s">
        <v>5118</v>
      </c>
      <c r="B1182" s="8" t="n">
        <v>2004</v>
      </c>
      <c r="C1182" s="8" t="s">
        <v>35</v>
      </c>
      <c r="D1182" s="8" t="n">
        <v>108</v>
      </c>
      <c r="E1182" s="7" t="s">
        <v>1894</v>
      </c>
      <c r="F1182" s="8" t="n">
        <v>6.6</v>
      </c>
      <c r="G1182" s="8" t="n">
        <v>8</v>
      </c>
      <c r="H1182" s="9" t="n">
        <v>298443</v>
      </c>
      <c r="I1182" s="7"/>
      <c r="J1182" s="7" t="s">
        <v>131</v>
      </c>
      <c r="K1182" s="12" t="s">
        <v>125</v>
      </c>
      <c r="L1182" s="10" t="s">
        <v>177</v>
      </c>
      <c r="M1182" s="7" t="s">
        <v>5119</v>
      </c>
      <c r="N1182" s="8" t="n">
        <v>0</v>
      </c>
      <c r="O1182" s="8" t="n">
        <v>0</v>
      </c>
      <c r="P1182" s="8" t="n">
        <v>0</v>
      </c>
      <c r="Q1182" s="8" t="n">
        <v>1</v>
      </c>
      <c r="R1182" s="8" t="n">
        <v>0</v>
      </c>
      <c r="S1182" s="13" t="n">
        <v>0</v>
      </c>
      <c r="T1182" s="8"/>
      <c r="U1182" s="11" t="n">
        <f aca="false">O1182*4 + P1182*2 + MAX(0,N1182-O1182-P1182)*1 + Q1182*0.2 + R1182*2 + S1182*1 + IF(T1182="",0,IF(T1182&lt;=10,8,IF(T1182&lt;=50,6,IF(T1182&lt;=100,4,2))))</f>
        <v>0.2</v>
      </c>
      <c r="V1182" s="10" t="s">
        <v>5120</v>
      </c>
      <c r="W1182" s="7"/>
      <c r="X1182" s="8" t="n">
        <v>117</v>
      </c>
      <c r="Y1182" s="8" t="s">
        <v>5121</v>
      </c>
    </row>
    <row r="1183" customFormat="false" ht="15.75" hidden="false" customHeight="true" outlineLevel="0" collapsed="false">
      <c r="A1183" s="7" t="s">
        <v>5122</v>
      </c>
      <c r="B1183" s="8" t="n">
        <v>2013</v>
      </c>
      <c r="C1183" s="8" t="s">
        <v>176</v>
      </c>
      <c r="D1183" s="8" t="n">
        <v>177</v>
      </c>
      <c r="E1183" s="7" t="s">
        <v>5123</v>
      </c>
      <c r="F1183" s="8" t="n">
        <v>6.5</v>
      </c>
      <c r="G1183" s="8"/>
      <c r="H1183" s="9" t="n">
        <v>7080</v>
      </c>
      <c r="I1183" s="7" t="s">
        <v>3325</v>
      </c>
      <c r="J1183" s="7" t="s">
        <v>111</v>
      </c>
      <c r="K1183" s="7" t="s">
        <v>47</v>
      </c>
      <c r="L1183" s="10"/>
      <c r="M1183" s="7" t="s">
        <v>5124</v>
      </c>
      <c r="N1183" s="8" t="n">
        <v>0</v>
      </c>
      <c r="O1183" s="8" t="n">
        <v>0</v>
      </c>
      <c r="P1183" s="8" t="n">
        <v>0</v>
      </c>
      <c r="Q1183" s="8" t="n">
        <v>0</v>
      </c>
      <c r="R1183" s="8" t="n">
        <v>0</v>
      </c>
      <c r="S1183" s="13" t="n">
        <v>0</v>
      </c>
      <c r="T1183" s="8"/>
      <c r="U1183" s="11" t="n">
        <f aca="false">O1183*4 + P1183*2 + MAX(0,N1183-O1183-P1183)*1 + Q1183*0.2 + R1183*2 + S1183*1 + IF(T1183="",0,IF(T1183&lt;=10,8,IF(T1183&lt;=50,6,IF(T1183&lt;=100,4,2))))</f>
        <v>0</v>
      </c>
      <c r="V1183" s="10" t="s">
        <v>5125</v>
      </c>
      <c r="W1183" s="7"/>
      <c r="X1183" s="8" t="n">
        <v>118</v>
      </c>
      <c r="Y1183" s="8" t="s">
        <v>5126</v>
      </c>
    </row>
    <row r="1184" customFormat="false" ht="15.75" hidden="false" customHeight="true" outlineLevel="0" collapsed="false">
      <c r="A1184" s="7" t="s">
        <v>5127</v>
      </c>
      <c r="B1184" s="8" t="n">
        <v>2022</v>
      </c>
      <c r="C1184" s="8" t="s">
        <v>378</v>
      </c>
      <c r="D1184" s="8" t="n">
        <v>130</v>
      </c>
      <c r="E1184" s="7" t="s">
        <v>5128</v>
      </c>
      <c r="F1184" s="8" t="n">
        <v>6.8</v>
      </c>
      <c r="G1184" s="8" t="n">
        <v>7</v>
      </c>
      <c r="H1184" s="9" t="n">
        <v>321401</v>
      </c>
      <c r="I1184" s="7" t="s">
        <v>2763</v>
      </c>
      <c r="J1184" s="7" t="s">
        <v>147</v>
      </c>
      <c r="K1184" s="7" t="s">
        <v>125</v>
      </c>
      <c r="L1184" s="10"/>
      <c r="M1184" s="7" t="s">
        <v>5129</v>
      </c>
      <c r="N1184" s="8" t="n">
        <v>0</v>
      </c>
      <c r="O1184" s="8" t="n">
        <v>0</v>
      </c>
      <c r="P1184" s="8" t="n">
        <v>0</v>
      </c>
      <c r="Q1184" s="8" t="n">
        <v>0</v>
      </c>
      <c r="R1184" s="8" t="n">
        <v>0</v>
      </c>
      <c r="S1184" s="13" t="n">
        <v>0</v>
      </c>
      <c r="T1184" s="8"/>
      <c r="U1184" s="11" t="n">
        <f aca="false">O1184*4 + P1184*2 + MAX(0,N1184-O1184-P1184)*1 + Q1184*0.2 + R1184*2 + S1184*1 + IF(T1184="",0,IF(T1184&lt;=10,8,IF(T1184&lt;=50,6,IF(T1184&lt;=100,4,2))))</f>
        <v>0</v>
      </c>
      <c r="V1184" s="10" t="s">
        <v>5130</v>
      </c>
      <c r="W1184" s="7"/>
      <c r="X1184" s="8" t="n">
        <v>120</v>
      </c>
      <c r="Y1184" s="8" t="s">
        <v>5131</v>
      </c>
    </row>
    <row r="1185" customFormat="false" ht="15.75" hidden="false" customHeight="true" outlineLevel="0" collapsed="false">
      <c r="A1185" s="7" t="s">
        <v>5132</v>
      </c>
      <c r="B1185" s="8" t="n">
        <v>2022</v>
      </c>
      <c r="C1185" s="8" t="s">
        <v>378</v>
      </c>
      <c r="D1185" s="8" t="n">
        <v>187</v>
      </c>
      <c r="E1185" s="7" t="s">
        <v>5133</v>
      </c>
      <c r="F1185" s="8" t="n">
        <v>7.8</v>
      </c>
      <c r="G1185" s="8"/>
      <c r="H1185" s="9" t="n">
        <v>226267</v>
      </c>
      <c r="I1185" s="7" t="s">
        <v>3848</v>
      </c>
      <c r="J1185" s="7" t="s">
        <v>112</v>
      </c>
      <c r="K1185" s="7" t="s">
        <v>39</v>
      </c>
      <c r="L1185" s="10" t="s">
        <v>238</v>
      </c>
      <c r="M1185" s="7" t="s">
        <v>5134</v>
      </c>
      <c r="N1185" s="8" t="n">
        <v>1</v>
      </c>
      <c r="O1185" s="8" t="n">
        <v>0</v>
      </c>
      <c r="P1185" s="8" t="n">
        <v>0</v>
      </c>
      <c r="Q1185" s="8" t="n">
        <v>1</v>
      </c>
      <c r="R1185" s="8" t="n">
        <v>0</v>
      </c>
      <c r="S1185" s="8" t="n">
        <v>0</v>
      </c>
      <c r="T1185" s="8"/>
      <c r="U1185" s="11" t="n">
        <f aca="false">O1185*4 + P1185*2 + MAX(0,N1185-O1185-P1185)*1 + Q1185*0.2 + R1185*2 + S1185*1 + IF(T1185="",0,IF(T1185&lt;=10,8,IF(T1185&lt;=50,6,IF(T1185&lt;=100,4,2))))</f>
        <v>1.2</v>
      </c>
      <c r="V1185" s="10" t="s">
        <v>5135</v>
      </c>
      <c r="W1185" s="7"/>
      <c r="X1185" s="8" t="n">
        <v>121</v>
      </c>
      <c r="Y1185" s="8" t="s">
        <v>5136</v>
      </c>
    </row>
    <row r="1186" customFormat="false" ht="15.75" hidden="false" customHeight="true" outlineLevel="0" collapsed="false">
      <c r="A1186" s="7" t="s">
        <v>5137</v>
      </c>
      <c r="B1186" s="8" t="n">
        <v>2019</v>
      </c>
      <c r="C1186" s="8" t="s">
        <v>176</v>
      </c>
      <c r="D1186" s="8" t="n">
        <v>120</v>
      </c>
      <c r="E1186" s="7" t="s">
        <v>5138</v>
      </c>
      <c r="F1186" s="8" t="n">
        <v>6.4</v>
      </c>
      <c r="G1186" s="8"/>
      <c r="H1186" s="9" t="n">
        <v>15761</v>
      </c>
      <c r="I1186" s="7" t="s">
        <v>359</v>
      </c>
      <c r="J1186" s="7" t="s">
        <v>29</v>
      </c>
      <c r="K1186" s="7" t="s">
        <v>47</v>
      </c>
      <c r="L1186" s="10"/>
      <c r="M1186" s="7" t="s">
        <v>5139</v>
      </c>
      <c r="N1186" s="8" t="n">
        <v>0</v>
      </c>
      <c r="O1186" s="8" t="n">
        <v>0</v>
      </c>
      <c r="P1186" s="8" t="n">
        <v>0</v>
      </c>
      <c r="Q1186" s="8" t="n">
        <v>0</v>
      </c>
      <c r="R1186" s="8" t="n">
        <v>0</v>
      </c>
      <c r="S1186" s="13" t="n">
        <v>0</v>
      </c>
      <c r="T1186" s="8"/>
      <c r="U1186" s="11" t="n">
        <f aca="false">O1186*4 + P1186*2 + MAX(0,N1186-O1186-P1186)*1 + Q1186*0.2 + R1186*2 + S1186*1 + IF(T1186="",0,IF(T1186&lt;=10,8,IF(T1186&lt;=50,6,IF(T1186&lt;=100,4,2))))</f>
        <v>0</v>
      </c>
      <c r="V1186" s="10" t="s">
        <v>5140</v>
      </c>
      <c r="W1186" s="7"/>
      <c r="X1186" s="8" t="n">
        <v>122</v>
      </c>
      <c r="Y1186" s="8" t="s">
        <v>5141</v>
      </c>
    </row>
    <row r="1187" customFormat="false" ht="15.75" hidden="false" customHeight="true" outlineLevel="0" collapsed="false">
      <c r="A1187" s="7" t="s">
        <v>5142</v>
      </c>
      <c r="B1187" s="8" t="n">
        <v>2010</v>
      </c>
      <c r="C1187" s="8" t="s">
        <v>176</v>
      </c>
      <c r="D1187" s="8" t="n">
        <v>111</v>
      </c>
      <c r="E1187" s="7" t="s">
        <v>5143</v>
      </c>
      <c r="F1187" s="8" t="n">
        <v>6.5</v>
      </c>
      <c r="G1187" s="8"/>
      <c r="H1187" s="9" t="n">
        <v>2753</v>
      </c>
      <c r="I1187" s="7" t="s">
        <v>3350</v>
      </c>
      <c r="J1187" s="7" t="s">
        <v>30</v>
      </c>
      <c r="K1187" s="7" t="s">
        <v>47</v>
      </c>
      <c r="L1187" s="10"/>
      <c r="M1187" s="7" t="s">
        <v>5144</v>
      </c>
      <c r="N1187" s="8" t="n">
        <v>0</v>
      </c>
      <c r="O1187" s="8" t="n">
        <v>0</v>
      </c>
      <c r="P1187" s="8" t="n">
        <v>0</v>
      </c>
      <c r="Q1187" s="8" t="n">
        <v>0</v>
      </c>
      <c r="R1187" s="8" t="n">
        <v>0</v>
      </c>
      <c r="S1187" s="13" t="n">
        <v>0</v>
      </c>
      <c r="T1187" s="8"/>
      <c r="U1187" s="11" t="n">
        <f aca="false">O1187*4 + P1187*2 + MAX(0,N1187-O1187-P1187)*1 + Q1187*0.2 + R1187*2 + S1187*1 + IF(T1187="",0,IF(T1187&lt;=10,8,IF(T1187&lt;=50,6,IF(T1187&lt;=100,4,2))))</f>
        <v>0</v>
      </c>
      <c r="V1187" s="10" t="s">
        <v>5145</v>
      </c>
      <c r="W1187" s="7"/>
      <c r="X1187" s="8" t="n">
        <v>126</v>
      </c>
      <c r="Y1187" s="8" t="s">
        <v>5146</v>
      </c>
    </row>
    <row r="1188" customFormat="false" ht="15.75" hidden="false" customHeight="true" outlineLevel="0" collapsed="false">
      <c r="A1188" s="7" t="s">
        <v>5147</v>
      </c>
      <c r="B1188" s="8" t="n">
        <v>2009</v>
      </c>
      <c r="C1188" s="8" t="s">
        <v>35</v>
      </c>
      <c r="D1188" s="8" t="n">
        <v>128</v>
      </c>
      <c r="E1188" s="7" t="s">
        <v>5148</v>
      </c>
      <c r="F1188" s="8" t="n">
        <v>6.9</v>
      </c>
      <c r="G1188" s="8"/>
      <c r="H1188" s="9" t="n">
        <v>6144</v>
      </c>
      <c r="I1188" s="7" t="s">
        <v>28</v>
      </c>
      <c r="J1188" s="7" t="s">
        <v>29</v>
      </c>
      <c r="K1188" s="7" t="s">
        <v>48</v>
      </c>
      <c r="L1188" s="10" t="s">
        <v>5149</v>
      </c>
      <c r="M1188" s="7" t="s">
        <v>5150</v>
      </c>
      <c r="N1188" s="8" t="n">
        <v>0</v>
      </c>
      <c r="O1188" s="8" t="n">
        <v>0</v>
      </c>
      <c r="P1188" s="8" t="n">
        <v>0</v>
      </c>
      <c r="Q1188" s="8" t="n">
        <v>0</v>
      </c>
      <c r="R1188" s="8" t="n">
        <v>0</v>
      </c>
      <c r="S1188" s="13" t="n">
        <v>0</v>
      </c>
      <c r="T1188" s="8"/>
      <c r="U1188" s="11" t="n">
        <f aca="false">O1188*4 + P1188*2 + MAX(0,N1188-O1188-P1188)*1 + Q1188*0.2 + R1188*2 + S1188*1 + IF(T1188="",0,IF(T1188&lt;=10,8,IF(T1188&lt;=50,6,IF(T1188&lt;=100,4,2))))</f>
        <v>0</v>
      </c>
      <c r="V1188" s="10" t="s">
        <v>5151</v>
      </c>
      <c r="W1188" s="7"/>
      <c r="X1188" s="8" t="n">
        <v>127</v>
      </c>
      <c r="Y1188" s="8" t="s">
        <v>5152</v>
      </c>
    </row>
    <row r="1189" customFormat="false" ht="15.75" hidden="false" customHeight="true" outlineLevel="0" collapsed="false">
      <c r="A1189" s="7" t="s">
        <v>5153</v>
      </c>
      <c r="B1189" s="8" t="n">
        <v>2016</v>
      </c>
      <c r="C1189" s="8" t="s">
        <v>176</v>
      </c>
      <c r="D1189" s="8" t="n">
        <v>130</v>
      </c>
      <c r="E1189" s="7" t="s">
        <v>415</v>
      </c>
      <c r="F1189" s="8" t="n">
        <v>7.1</v>
      </c>
      <c r="G1189" s="8"/>
      <c r="H1189" s="9" t="n">
        <v>74875</v>
      </c>
      <c r="I1189" s="7" t="s">
        <v>5154</v>
      </c>
      <c r="J1189" s="7" t="s">
        <v>112</v>
      </c>
      <c r="K1189" s="7" t="s">
        <v>54</v>
      </c>
      <c r="L1189" s="10" t="s">
        <v>5155</v>
      </c>
      <c r="M1189" s="7" t="s">
        <v>5156</v>
      </c>
      <c r="N1189" s="8" t="n">
        <v>0</v>
      </c>
      <c r="O1189" s="8" t="n">
        <v>0</v>
      </c>
      <c r="P1189" s="8" t="n">
        <v>0</v>
      </c>
      <c r="Q1189" s="8" t="n">
        <v>1</v>
      </c>
      <c r="R1189" s="8" t="n">
        <v>0</v>
      </c>
      <c r="S1189" s="8" t="n">
        <v>0</v>
      </c>
      <c r="T1189" s="8"/>
      <c r="U1189" s="11" t="n">
        <f aca="false">O1189*4 + P1189*2 + MAX(0,N1189-O1189-P1189)*1 + Q1189*0.2 + R1189*2 + S1189*1 + IF(T1189="",0,IF(T1189&lt;=10,8,IF(T1189&lt;=50,6,IF(T1189&lt;=100,4,2))))</f>
        <v>0.2</v>
      </c>
      <c r="V1189" s="10" t="s">
        <v>5157</v>
      </c>
      <c r="W1189" s="7"/>
      <c r="X1189" s="8" t="n">
        <v>129</v>
      </c>
      <c r="Y1189" s="8" t="s">
        <v>5158</v>
      </c>
    </row>
    <row r="1190" customFormat="false" ht="15.75" hidden="false" customHeight="true" outlineLevel="0" collapsed="false">
      <c r="A1190" s="7" t="s">
        <v>5159</v>
      </c>
      <c r="B1190" s="8" t="n">
        <v>2004</v>
      </c>
      <c r="C1190" s="8" t="s">
        <v>35</v>
      </c>
      <c r="D1190" s="8" t="n">
        <v>127</v>
      </c>
      <c r="E1190" s="7" t="s">
        <v>1487</v>
      </c>
      <c r="F1190" s="8" t="n">
        <v>7.5</v>
      </c>
      <c r="G1190" s="8" t="n">
        <v>7</v>
      </c>
      <c r="H1190" s="9" t="n">
        <v>801621</v>
      </c>
      <c r="I1190" s="7" t="s">
        <v>46</v>
      </c>
      <c r="J1190" s="7" t="s">
        <v>111</v>
      </c>
      <c r="K1190" s="7" t="s">
        <v>5160</v>
      </c>
      <c r="L1190" s="10"/>
      <c r="M1190" s="7" t="s">
        <v>5161</v>
      </c>
      <c r="N1190" s="8" t="n">
        <v>1</v>
      </c>
      <c r="O1190" s="8" t="n">
        <v>0</v>
      </c>
      <c r="P1190" s="8" t="n">
        <v>0</v>
      </c>
      <c r="Q1190" s="8" t="n">
        <v>3</v>
      </c>
      <c r="R1190" s="8" t="n">
        <v>0</v>
      </c>
      <c r="S1190" s="8" t="n">
        <v>0</v>
      </c>
      <c r="T1190" s="8"/>
      <c r="U1190" s="11" t="n">
        <f aca="false">O1190*4 + P1190*2 + MAX(0,N1190-O1190-P1190)*1 + Q1190*0.2 + R1190*2 + S1190*1 + IF(T1190="",0,IF(T1190&lt;=10,8,IF(T1190&lt;=50,6,IF(T1190&lt;=100,4,2))))</f>
        <v>1.6</v>
      </c>
      <c r="V1190" s="10" t="s">
        <v>5162</v>
      </c>
      <c r="W1190" s="7"/>
      <c r="X1190" s="8" t="n">
        <v>130</v>
      </c>
      <c r="Y1190" s="8" t="s">
        <v>5163</v>
      </c>
    </row>
    <row r="1191" customFormat="false" ht="15.75" hidden="false" customHeight="true" outlineLevel="0" collapsed="false">
      <c r="A1191" s="7" t="s">
        <v>5164</v>
      </c>
      <c r="B1191" s="8" t="n">
        <v>2003</v>
      </c>
      <c r="C1191" s="8" t="s">
        <v>35</v>
      </c>
      <c r="D1191" s="8" t="n">
        <v>82</v>
      </c>
      <c r="E1191" s="7" t="s">
        <v>5165</v>
      </c>
      <c r="F1191" s="8" t="n">
        <v>7.1</v>
      </c>
      <c r="G1191" s="8"/>
      <c r="H1191" s="9" t="n">
        <v>7307</v>
      </c>
      <c r="I1191" s="7" t="s">
        <v>4209</v>
      </c>
      <c r="J1191" s="7" t="s">
        <v>30</v>
      </c>
      <c r="K1191" s="7" t="s">
        <v>47</v>
      </c>
      <c r="L1191" s="10"/>
      <c r="M1191" s="7" t="s">
        <v>5166</v>
      </c>
      <c r="N1191" s="8" t="n">
        <v>0</v>
      </c>
      <c r="O1191" s="8" t="n">
        <v>0</v>
      </c>
      <c r="P1191" s="8" t="n">
        <v>0</v>
      </c>
      <c r="Q1191" s="8" t="n">
        <v>0</v>
      </c>
      <c r="R1191" s="8" t="n">
        <v>0</v>
      </c>
      <c r="S1191" s="13" t="n">
        <v>0</v>
      </c>
      <c r="T1191" s="8" t="n">
        <v>108</v>
      </c>
      <c r="U1191" s="11" t="n">
        <f aca="false">O1191*4 + P1191*2 + MAX(0,N1191-O1191-P1191)*1 + Q1191*0.2 + R1191*2 + S1191*1 + IF(T1191="",0,IF(T1191&lt;=10,8,IF(T1191&lt;=50,6,IF(T1191&lt;=100,4,2))))</f>
        <v>2</v>
      </c>
      <c r="V1191" s="10" t="s">
        <v>5167</v>
      </c>
      <c r="W1191" s="7"/>
      <c r="X1191" s="8" t="n">
        <v>132</v>
      </c>
      <c r="Y1191" s="8" t="s">
        <v>5168</v>
      </c>
    </row>
    <row r="1192" customFormat="false" ht="15.75" hidden="false" customHeight="true" outlineLevel="0" collapsed="false">
      <c r="A1192" s="7" t="s">
        <v>5169</v>
      </c>
      <c r="B1192" s="8" t="n">
        <v>2011</v>
      </c>
      <c r="C1192" s="8" t="s">
        <v>176</v>
      </c>
      <c r="D1192" s="8" t="n">
        <v>117</v>
      </c>
      <c r="E1192" s="7" t="s">
        <v>5170</v>
      </c>
      <c r="F1192" s="8" t="n">
        <v>6.7</v>
      </c>
      <c r="G1192" s="8"/>
      <c r="H1192" s="9" t="n">
        <v>275672</v>
      </c>
      <c r="I1192" s="7" t="s">
        <v>2168</v>
      </c>
      <c r="J1192" s="7" t="s">
        <v>112</v>
      </c>
      <c r="K1192" s="7" t="s">
        <v>39</v>
      </c>
      <c r="L1192" s="10" t="s">
        <v>1078</v>
      </c>
      <c r="M1192" s="7" t="s">
        <v>5171</v>
      </c>
      <c r="N1192" s="8" t="n">
        <v>0</v>
      </c>
      <c r="O1192" s="8" t="n">
        <v>0</v>
      </c>
      <c r="P1192" s="8" t="n">
        <v>0</v>
      </c>
      <c r="Q1192" s="8" t="n">
        <v>0</v>
      </c>
      <c r="R1192" s="8" t="n">
        <v>0</v>
      </c>
      <c r="S1192" s="13" t="n">
        <v>0</v>
      </c>
      <c r="T1192" s="8"/>
      <c r="U1192" s="11" t="n">
        <f aca="false">O1192*4 + P1192*2 + MAX(0,N1192-O1192-P1192)*1 + Q1192*0.2 + R1192*2 + S1192*1 + IF(T1192="",0,IF(T1192&lt;=10,8,IF(T1192&lt;=50,6,IF(T1192&lt;=100,4,2))))</f>
        <v>0</v>
      </c>
      <c r="V1192" s="10" t="s">
        <v>5172</v>
      </c>
      <c r="W1192" s="7"/>
      <c r="X1192" s="8" t="n">
        <v>133</v>
      </c>
      <c r="Y1192" s="8" t="s">
        <v>5173</v>
      </c>
    </row>
    <row r="1193" customFormat="false" ht="15.75" hidden="false" customHeight="true" outlineLevel="0" collapsed="false">
      <c r="A1193" s="7" t="s">
        <v>5174</v>
      </c>
      <c r="B1193" s="8" t="n">
        <v>2016</v>
      </c>
      <c r="C1193" s="8" t="s">
        <v>176</v>
      </c>
      <c r="D1193" s="8" t="n">
        <v>111</v>
      </c>
      <c r="E1193" s="7" t="s">
        <v>5175</v>
      </c>
      <c r="F1193" s="8" t="n">
        <v>7.4</v>
      </c>
      <c r="G1193" s="8" t="n">
        <v>6</v>
      </c>
      <c r="H1193" s="9" t="n">
        <v>354881</v>
      </c>
      <c r="I1193" s="7" t="s">
        <v>46</v>
      </c>
      <c r="J1193" s="7" t="s">
        <v>47</v>
      </c>
      <c r="K1193" s="7" t="s">
        <v>251</v>
      </c>
      <c r="L1193" s="10"/>
      <c r="M1193" s="7" t="s">
        <v>5176</v>
      </c>
      <c r="N1193" s="8" t="n">
        <v>3</v>
      </c>
      <c r="O1193" s="8" t="n">
        <v>1</v>
      </c>
      <c r="P1193" s="8" t="n">
        <v>0</v>
      </c>
      <c r="Q1193" s="8" t="n">
        <v>8</v>
      </c>
      <c r="R1193" s="8" t="n">
        <v>0</v>
      </c>
      <c r="S1193" s="8" t="n">
        <v>1</v>
      </c>
      <c r="T1193" s="8" t="n">
        <v>60</v>
      </c>
      <c r="U1193" s="11" t="n">
        <f aca="false">O1193*4 + P1193*2 + MAX(0,N1193-O1193-P1193)*1 + Q1193*0.2 + R1193*2 + S1193*1 + IF(T1193="",0,IF(T1193&lt;=10,8,IF(T1193&lt;=50,6,IF(T1193&lt;=100,4,2))))</f>
        <v>12.6</v>
      </c>
      <c r="V1193" s="10" t="s">
        <v>5177</v>
      </c>
      <c r="W1193" s="7"/>
      <c r="X1193" s="8" t="n">
        <v>134</v>
      </c>
      <c r="Y1193" s="8" t="s">
        <v>5178</v>
      </c>
    </row>
    <row r="1194" customFormat="false" ht="15.75" hidden="false" customHeight="true" outlineLevel="0" collapsed="false">
      <c r="A1194" s="7" t="s">
        <v>5179</v>
      </c>
      <c r="B1194" s="8" t="n">
        <v>2021</v>
      </c>
      <c r="C1194" s="8" t="s">
        <v>378</v>
      </c>
      <c r="D1194" s="8" t="n">
        <v>126</v>
      </c>
      <c r="E1194" s="7" t="s">
        <v>668</v>
      </c>
      <c r="F1194" s="8" t="n">
        <v>6.8</v>
      </c>
      <c r="G1194" s="8"/>
      <c r="H1194" s="9" t="n">
        <v>244409</v>
      </c>
      <c r="I1194" s="7" t="s">
        <v>5180</v>
      </c>
      <c r="J1194" s="7" t="s">
        <v>268</v>
      </c>
      <c r="K1194" s="7" t="s">
        <v>47</v>
      </c>
      <c r="L1194" s="10" t="s">
        <v>238</v>
      </c>
      <c r="M1194" s="7" t="s">
        <v>5181</v>
      </c>
      <c r="N1194" s="8" t="n">
        <v>1</v>
      </c>
      <c r="O1194" s="8" t="n">
        <v>0</v>
      </c>
      <c r="P1194" s="8" t="n">
        <v>1</v>
      </c>
      <c r="Q1194" s="8" t="n">
        <v>12</v>
      </c>
      <c r="R1194" s="8" t="n">
        <v>0</v>
      </c>
      <c r="S1194" s="8" t="n">
        <v>0</v>
      </c>
      <c r="T1194" s="8"/>
      <c r="U1194" s="11" t="n">
        <f aca="false">O1194*4 + P1194*2 + MAX(0,N1194-O1194-P1194)*1 + Q1194*0.2 + R1194*2 + S1194*1 + IF(T1194="",0,IF(T1194&lt;=10,8,IF(T1194&lt;=50,6,IF(T1194&lt;=100,4,2))))</f>
        <v>4.4</v>
      </c>
      <c r="V1194" s="10" t="s">
        <v>5182</v>
      </c>
      <c r="W1194" s="7"/>
      <c r="X1194" s="8" t="n">
        <v>136</v>
      </c>
      <c r="Y1194" s="8" t="s">
        <v>5183</v>
      </c>
    </row>
    <row r="1195" customFormat="false" ht="15.75" hidden="false" customHeight="true" outlineLevel="0" collapsed="false">
      <c r="A1195" s="7" t="s">
        <v>5184</v>
      </c>
      <c r="B1195" s="8" t="n">
        <v>2017</v>
      </c>
      <c r="C1195" s="8" t="s">
        <v>176</v>
      </c>
      <c r="D1195" s="8" t="n">
        <v>97</v>
      </c>
      <c r="E1195" s="7" t="s">
        <v>3673</v>
      </c>
      <c r="F1195" s="8" t="n">
        <v>7.1</v>
      </c>
      <c r="G1195" s="8"/>
      <c r="H1195" s="9" t="n">
        <v>9274</v>
      </c>
      <c r="I1195" s="7" t="s">
        <v>232</v>
      </c>
      <c r="J1195" s="7" t="s">
        <v>47</v>
      </c>
      <c r="K1195" s="7" t="s">
        <v>259</v>
      </c>
      <c r="L1195" s="10" t="s">
        <v>5185</v>
      </c>
      <c r="M1195" s="7" t="s">
        <v>5186</v>
      </c>
      <c r="N1195" s="8" t="n">
        <v>0</v>
      </c>
      <c r="O1195" s="8" t="n">
        <v>0</v>
      </c>
      <c r="P1195" s="8" t="n">
        <v>0</v>
      </c>
      <c r="Q1195" s="8" t="n">
        <v>0</v>
      </c>
      <c r="R1195" s="8" t="n">
        <v>0</v>
      </c>
      <c r="S1195" s="13" t="n">
        <v>0</v>
      </c>
      <c r="T1195" s="8"/>
      <c r="U1195" s="11" t="n">
        <f aca="false">O1195*4 + P1195*2 + MAX(0,N1195-O1195-P1195)*1 + Q1195*0.2 + R1195*2 + S1195*1 + IF(T1195="",0,IF(T1195&lt;=10,8,IF(T1195&lt;=50,6,IF(T1195&lt;=100,4,2))))</f>
        <v>0</v>
      </c>
      <c r="V1195" s="10" t="s">
        <v>5187</v>
      </c>
      <c r="W1195" s="7"/>
      <c r="X1195" s="8" t="n">
        <v>138</v>
      </c>
      <c r="Y1195" s="8" t="s">
        <v>5188</v>
      </c>
    </row>
    <row r="1196" customFormat="false" ht="15.75" hidden="false" customHeight="true" outlineLevel="0" collapsed="false">
      <c r="A1196" s="7" t="s">
        <v>5189</v>
      </c>
      <c r="B1196" s="8" t="n">
        <v>2001</v>
      </c>
      <c r="C1196" s="8" t="s">
        <v>35</v>
      </c>
      <c r="D1196" s="8" t="n">
        <v>129</v>
      </c>
      <c r="E1196" s="7" t="s">
        <v>5190</v>
      </c>
      <c r="F1196" s="8" t="n">
        <v>6.9</v>
      </c>
      <c r="G1196" s="8"/>
      <c r="H1196" s="9" t="n">
        <v>64372</v>
      </c>
      <c r="I1196" s="7" t="s">
        <v>124</v>
      </c>
      <c r="J1196" s="7" t="s">
        <v>47</v>
      </c>
      <c r="K1196" s="7" t="s">
        <v>1005</v>
      </c>
      <c r="L1196" s="10"/>
      <c r="M1196" s="7" t="s">
        <v>5191</v>
      </c>
      <c r="N1196" s="8" t="n">
        <v>0</v>
      </c>
      <c r="O1196" s="8" t="n">
        <v>0</v>
      </c>
      <c r="P1196" s="8" t="n">
        <v>0</v>
      </c>
      <c r="Q1196" s="8" t="n">
        <v>0</v>
      </c>
      <c r="R1196" s="8" t="n">
        <v>0</v>
      </c>
      <c r="S1196" s="13" t="n">
        <v>0</v>
      </c>
      <c r="T1196" s="8"/>
      <c r="U1196" s="11" t="n">
        <f aca="false">O1196*4 + P1196*2 + MAX(0,N1196-O1196-P1196)*1 + Q1196*0.2 + R1196*2 + S1196*1 + IF(T1196="",0,IF(T1196&lt;=10,8,IF(T1196&lt;=50,6,IF(T1196&lt;=100,4,2))))</f>
        <v>0</v>
      </c>
      <c r="V1196" s="10" t="s">
        <v>5192</v>
      </c>
      <c r="W1196" s="7"/>
      <c r="X1196" s="8" t="n">
        <v>139</v>
      </c>
      <c r="Y1196" s="8" t="s">
        <v>5193</v>
      </c>
    </row>
    <row r="1197" customFormat="false" ht="15.75" hidden="false" customHeight="true" outlineLevel="0" collapsed="false">
      <c r="A1197" s="7" t="s">
        <v>5194</v>
      </c>
      <c r="B1197" s="8" t="n">
        <v>2016</v>
      </c>
      <c r="C1197" s="8" t="s">
        <v>176</v>
      </c>
      <c r="D1197" s="8" t="n">
        <v>133</v>
      </c>
      <c r="E1197" s="7" t="s">
        <v>5195</v>
      </c>
      <c r="F1197" s="8" t="n">
        <v>7.8</v>
      </c>
      <c r="G1197" s="8" t="n">
        <v>9</v>
      </c>
      <c r="H1197" s="9" t="n">
        <v>763245</v>
      </c>
      <c r="I1197" s="7" t="s">
        <v>46</v>
      </c>
      <c r="J1197" s="7" t="s">
        <v>111</v>
      </c>
      <c r="K1197" s="7" t="s">
        <v>112</v>
      </c>
      <c r="L1197" s="10" t="s">
        <v>177</v>
      </c>
      <c r="M1197" s="7" t="s">
        <v>5196</v>
      </c>
      <c r="N1197" s="8" t="n">
        <v>0</v>
      </c>
      <c r="O1197" s="8" t="n">
        <v>0</v>
      </c>
      <c r="P1197" s="8" t="n">
        <v>0</v>
      </c>
      <c r="Q1197" s="8" t="n">
        <v>2</v>
      </c>
      <c r="R1197" s="8" t="n">
        <v>0</v>
      </c>
      <c r="S1197" s="8" t="n">
        <v>0</v>
      </c>
      <c r="T1197" s="8"/>
      <c r="U1197" s="11" t="n">
        <f aca="false">O1197*4 + P1197*2 + MAX(0,N1197-O1197-P1197)*1 + Q1197*0.2 + R1197*2 + S1197*1 + IF(T1197="",0,IF(T1197&lt;=10,8,IF(T1197&lt;=50,6,IF(T1197&lt;=100,4,2))))</f>
        <v>0.4</v>
      </c>
      <c r="V1197" s="10" t="s">
        <v>5197</v>
      </c>
      <c r="W1197" s="7"/>
      <c r="X1197" s="8" t="n">
        <v>140</v>
      </c>
      <c r="Y1197" s="8" t="s">
        <v>5198</v>
      </c>
    </row>
    <row r="1198" customFormat="false" ht="15.75" hidden="false" customHeight="true" outlineLevel="0" collapsed="false">
      <c r="A1198" s="7" t="s">
        <v>5199</v>
      </c>
      <c r="B1198" s="8" t="n">
        <v>2009</v>
      </c>
      <c r="C1198" s="8" t="s">
        <v>35</v>
      </c>
      <c r="D1198" s="8" t="n">
        <v>116</v>
      </c>
      <c r="E1198" s="7" t="s">
        <v>2313</v>
      </c>
      <c r="F1198" s="8" t="n">
        <v>5.6</v>
      </c>
      <c r="G1198" s="8"/>
      <c r="H1198" s="9" t="n">
        <v>680</v>
      </c>
      <c r="I1198" s="7" t="s">
        <v>46</v>
      </c>
      <c r="J1198" s="7" t="s">
        <v>47</v>
      </c>
      <c r="K1198" s="7"/>
      <c r="L1198" s="10" t="s">
        <v>1583</v>
      </c>
      <c r="M1198" s="10" t="s">
        <v>5200</v>
      </c>
      <c r="N1198" s="8" t="n">
        <v>0</v>
      </c>
      <c r="O1198" s="8" t="n">
        <v>0</v>
      </c>
      <c r="P1198" s="8" t="n">
        <v>0</v>
      </c>
      <c r="Q1198" s="8" t="n">
        <v>0</v>
      </c>
      <c r="R1198" s="13" t="n">
        <v>0</v>
      </c>
      <c r="S1198" s="13" t="n">
        <v>0</v>
      </c>
      <c r="T1198" s="13"/>
      <c r="U1198" s="11" t="n">
        <f aca="false">O1198*4 + P1198*2 + MAX(0,N1198-O1198-P1198)*1 + Q1198*0.2 + R1198*2 + S1198*1 + IF(T1198="",0,IF(T1198&lt;=10,8,IF(T1198&lt;=50,6,IF(T1198&lt;=100,4,2))))</f>
        <v>0</v>
      </c>
      <c r="V1198" s="10" t="s">
        <v>5201</v>
      </c>
      <c r="W1198" s="7"/>
      <c r="X1198" s="8" t="n">
        <v>141</v>
      </c>
      <c r="Y1198" s="8" t="s">
        <v>5202</v>
      </c>
    </row>
    <row r="1199" customFormat="false" ht="15.75" hidden="false" customHeight="true" outlineLevel="0" collapsed="false">
      <c r="A1199" s="7" t="s">
        <v>5203</v>
      </c>
      <c r="B1199" s="8" t="n">
        <v>2001</v>
      </c>
      <c r="C1199" s="8" t="s">
        <v>35</v>
      </c>
      <c r="D1199" s="8" t="n">
        <v>96</v>
      </c>
      <c r="E1199" s="7" t="s">
        <v>1615</v>
      </c>
      <c r="F1199" s="8" t="n">
        <v>7</v>
      </c>
      <c r="G1199" s="8"/>
      <c r="H1199" s="9" t="n">
        <v>3311</v>
      </c>
      <c r="I1199" s="7" t="s">
        <v>3300</v>
      </c>
      <c r="J1199" s="7" t="s">
        <v>30</v>
      </c>
      <c r="K1199" s="7" t="s">
        <v>47</v>
      </c>
      <c r="L1199" s="10" t="s">
        <v>447</v>
      </c>
      <c r="M1199" s="7" t="s">
        <v>5204</v>
      </c>
      <c r="N1199" s="8" t="n">
        <v>0</v>
      </c>
      <c r="O1199" s="8" t="n">
        <v>0</v>
      </c>
      <c r="P1199" s="8" t="n">
        <v>0</v>
      </c>
      <c r="Q1199" s="8" t="n">
        <v>0</v>
      </c>
      <c r="R1199" s="8" t="n">
        <v>0</v>
      </c>
      <c r="S1199" s="13" t="n">
        <v>0</v>
      </c>
      <c r="T1199" s="8"/>
      <c r="U1199" s="11" t="n">
        <f aca="false">O1199*4 + P1199*2 + MAX(0,N1199-O1199-P1199)*1 + Q1199*0.2 + R1199*2 + S1199*1 + IF(T1199="",0,IF(T1199&lt;=10,8,IF(T1199&lt;=50,6,IF(T1199&lt;=100,4,2))))</f>
        <v>0</v>
      </c>
      <c r="V1199" s="10" t="s">
        <v>5205</v>
      </c>
      <c r="W1199" s="7"/>
      <c r="X1199" s="8" t="n">
        <v>142</v>
      </c>
      <c r="Y1199" s="8" t="s">
        <v>5206</v>
      </c>
    </row>
    <row r="1200" customFormat="false" ht="15.75" hidden="false" customHeight="true" outlineLevel="0" collapsed="false">
      <c r="A1200" s="7" t="s">
        <v>5207</v>
      </c>
      <c r="B1200" s="8" t="n">
        <v>2001</v>
      </c>
      <c r="C1200" s="8" t="s">
        <v>35</v>
      </c>
      <c r="D1200" s="8" t="n">
        <v>95</v>
      </c>
      <c r="E1200" s="7" t="s">
        <v>4763</v>
      </c>
      <c r="F1200" s="8" t="n">
        <v>7.4</v>
      </c>
      <c r="G1200" s="8"/>
      <c r="H1200" s="9" t="n">
        <v>666</v>
      </c>
      <c r="I1200" s="7"/>
      <c r="J1200" s="7"/>
      <c r="K1200" s="12"/>
      <c r="L1200" s="10" t="s">
        <v>98</v>
      </c>
      <c r="M1200" s="7" t="s">
        <v>5208</v>
      </c>
      <c r="N1200" s="8" t="n">
        <v>0</v>
      </c>
      <c r="O1200" s="8" t="n">
        <v>0</v>
      </c>
      <c r="P1200" s="8" t="n">
        <v>0</v>
      </c>
      <c r="Q1200" s="8" t="n">
        <v>0</v>
      </c>
      <c r="R1200" s="8" t="n">
        <v>0</v>
      </c>
      <c r="S1200" s="13" t="n">
        <v>0</v>
      </c>
      <c r="T1200" s="8"/>
      <c r="U1200" s="11" t="n">
        <f aca="false">O1200*4 + P1200*2 + MAX(0,N1200-O1200-P1200)*1 + Q1200*0.2 + R1200*2 + S1200*1 + IF(T1200="",0,IF(T1200&lt;=10,8,IF(T1200&lt;=50,6,IF(T1200&lt;=100,4,2))))</f>
        <v>0</v>
      </c>
      <c r="V1200" s="10" t="s">
        <v>5209</v>
      </c>
      <c r="W1200" s="7"/>
      <c r="X1200" s="8" t="n">
        <v>144</v>
      </c>
      <c r="Y1200" s="8" t="s">
        <v>5210</v>
      </c>
    </row>
    <row r="1201" customFormat="false" ht="15.75" hidden="false" customHeight="true" outlineLevel="0" collapsed="false">
      <c r="A1201" s="7" t="s">
        <v>5211</v>
      </c>
      <c r="B1201" s="8" t="n">
        <v>2017</v>
      </c>
      <c r="C1201" s="8" t="s">
        <v>176</v>
      </c>
      <c r="D1201" s="8" t="n">
        <v>89</v>
      </c>
      <c r="E1201" s="7" t="s">
        <v>2796</v>
      </c>
      <c r="F1201" s="8" t="n">
        <v>6.7</v>
      </c>
      <c r="G1201" s="8"/>
      <c r="H1201" s="9" t="n">
        <v>136207</v>
      </c>
      <c r="I1201" s="7" t="s">
        <v>5212</v>
      </c>
      <c r="J1201" s="7" t="s">
        <v>131</v>
      </c>
      <c r="K1201" s="7" t="s">
        <v>54</v>
      </c>
      <c r="L1201" s="10" t="s">
        <v>416</v>
      </c>
      <c r="M1201" s="7" t="s">
        <v>5213</v>
      </c>
      <c r="N1201" s="8" t="n">
        <v>0</v>
      </c>
      <c r="O1201" s="8" t="n">
        <v>0</v>
      </c>
      <c r="P1201" s="8" t="n">
        <v>0</v>
      </c>
      <c r="Q1201" s="8" t="n">
        <v>0</v>
      </c>
      <c r="R1201" s="8" t="n">
        <v>0</v>
      </c>
      <c r="S1201" s="13" t="n">
        <v>0</v>
      </c>
      <c r="T1201" s="8"/>
      <c r="U1201" s="11" t="n">
        <f aca="false">O1201*4 + P1201*2 + MAX(0,N1201-O1201-P1201)*1 + Q1201*0.2 + R1201*2 + S1201*1 + IF(T1201="",0,IF(T1201&lt;=10,8,IF(T1201&lt;=50,6,IF(T1201&lt;=100,4,2))))</f>
        <v>0</v>
      </c>
      <c r="V1201" s="10" t="s">
        <v>5214</v>
      </c>
      <c r="W1201" s="7"/>
      <c r="X1201" s="8" t="n">
        <v>145</v>
      </c>
      <c r="Y1201" s="8" t="s">
        <v>5215</v>
      </c>
    </row>
    <row r="1202" customFormat="false" ht="15.75" hidden="false" customHeight="true" outlineLevel="0" collapsed="false">
      <c r="A1202" s="7" t="s">
        <v>5216</v>
      </c>
      <c r="B1202" s="8" t="n">
        <v>2012</v>
      </c>
      <c r="C1202" s="8" t="s">
        <v>176</v>
      </c>
      <c r="D1202" s="8" t="n">
        <v>130</v>
      </c>
      <c r="E1202" s="7" t="s">
        <v>5217</v>
      </c>
      <c r="F1202" s="8" t="n">
        <v>7.3</v>
      </c>
      <c r="G1202" s="8"/>
      <c r="H1202" s="9" t="n">
        <v>200951</v>
      </c>
      <c r="I1202" s="7" t="s">
        <v>46</v>
      </c>
      <c r="J1202" s="7" t="s">
        <v>39</v>
      </c>
      <c r="K1202" s="7" t="s">
        <v>47</v>
      </c>
      <c r="L1202" s="10" t="s">
        <v>416</v>
      </c>
      <c r="M1202" s="7" t="s">
        <v>5218</v>
      </c>
      <c r="N1202" s="8" t="n">
        <v>0</v>
      </c>
      <c r="O1202" s="8" t="n">
        <v>0</v>
      </c>
      <c r="P1202" s="8" t="n">
        <v>0</v>
      </c>
      <c r="Q1202" s="8" t="n">
        <v>0</v>
      </c>
      <c r="R1202" s="8" t="n">
        <v>0</v>
      </c>
      <c r="S1202" s="13" t="n">
        <v>0</v>
      </c>
      <c r="T1202" s="8"/>
      <c r="U1202" s="11" t="n">
        <f aca="false">O1202*4 + P1202*2 + MAX(0,N1202-O1202-P1202)*1 + Q1202*0.2 + R1202*2 + S1202*1 + IF(T1202="",0,IF(T1202&lt;=10,8,IF(T1202&lt;=50,6,IF(T1202&lt;=100,4,2))))</f>
        <v>0</v>
      </c>
      <c r="V1202" s="10" t="s">
        <v>5219</v>
      </c>
      <c r="W1202" s="7"/>
      <c r="X1202" s="8" t="n">
        <v>146</v>
      </c>
      <c r="Y1202" s="8" t="s">
        <v>5220</v>
      </c>
    </row>
    <row r="1203" customFormat="false" ht="15.75" hidden="false" customHeight="true" outlineLevel="0" collapsed="false">
      <c r="A1203" s="7" t="s">
        <v>5221</v>
      </c>
      <c r="B1203" s="8" t="n">
        <v>2003</v>
      </c>
      <c r="C1203" s="8" t="s">
        <v>35</v>
      </c>
      <c r="D1203" s="8" t="n">
        <v>107</v>
      </c>
      <c r="E1203" s="7" t="s">
        <v>1437</v>
      </c>
      <c r="F1203" s="8" t="n">
        <v>7.5</v>
      </c>
      <c r="G1203" s="8"/>
      <c r="H1203" s="9" t="n">
        <v>9148</v>
      </c>
      <c r="I1203" s="7" t="s">
        <v>1438</v>
      </c>
      <c r="J1203" s="7" t="s">
        <v>90</v>
      </c>
      <c r="K1203" s="7" t="s">
        <v>47</v>
      </c>
      <c r="L1203" s="10"/>
      <c r="M1203" s="7" t="s">
        <v>5222</v>
      </c>
      <c r="N1203" s="8" t="n">
        <v>0</v>
      </c>
      <c r="O1203" s="8" t="n">
        <v>0</v>
      </c>
      <c r="P1203" s="8" t="n">
        <v>0</v>
      </c>
      <c r="Q1203" s="8" t="n">
        <v>0</v>
      </c>
      <c r="R1203" s="8" t="n">
        <v>0</v>
      </c>
      <c r="S1203" s="13" t="n">
        <v>0</v>
      </c>
      <c r="T1203" s="8"/>
      <c r="U1203" s="11" t="n">
        <f aca="false">O1203*4 + P1203*2 + MAX(0,N1203-O1203-P1203)*1 + Q1203*0.2 + R1203*2 + S1203*1 + IF(T1203="",0,IF(T1203&lt;=10,8,IF(T1203&lt;=50,6,IF(T1203&lt;=100,4,2))))</f>
        <v>0</v>
      </c>
      <c r="V1203" s="10" t="s">
        <v>5223</v>
      </c>
      <c r="W1203" s="7"/>
      <c r="X1203" s="8" t="n">
        <v>147</v>
      </c>
      <c r="Y1203" s="8" t="s">
        <v>5224</v>
      </c>
    </row>
    <row r="1204" customFormat="false" ht="15.75" hidden="false" customHeight="true" outlineLevel="0" collapsed="false">
      <c r="A1204" s="7" t="s">
        <v>5225</v>
      </c>
      <c r="B1204" s="8" t="n">
        <v>2009</v>
      </c>
      <c r="C1204" s="8" t="s">
        <v>35</v>
      </c>
      <c r="D1204" s="8" t="n">
        <v>122</v>
      </c>
      <c r="E1204" s="7" t="s">
        <v>4968</v>
      </c>
      <c r="F1204" s="8" t="n">
        <v>6.6</v>
      </c>
      <c r="G1204" s="8"/>
      <c r="H1204" s="9" t="n">
        <v>85098</v>
      </c>
      <c r="I1204" s="7"/>
      <c r="J1204" s="7"/>
      <c r="K1204" s="12"/>
      <c r="L1204" s="10" t="s">
        <v>5226</v>
      </c>
      <c r="M1204" s="7" t="s">
        <v>5227</v>
      </c>
      <c r="N1204" s="8" t="n">
        <v>0</v>
      </c>
      <c r="O1204" s="8" t="n">
        <v>0</v>
      </c>
      <c r="P1204" s="8" t="n">
        <v>0</v>
      </c>
      <c r="Q1204" s="8" t="n">
        <v>0</v>
      </c>
      <c r="R1204" s="8" t="n">
        <v>0</v>
      </c>
      <c r="S1204" s="13" t="n">
        <v>0</v>
      </c>
      <c r="T1204" s="8"/>
      <c r="U1204" s="11" t="n">
        <f aca="false">O1204*4 + P1204*2 + MAX(0,N1204-O1204-P1204)*1 + Q1204*0.2 + R1204*2 + S1204*1 + IF(T1204="",0,IF(T1204&lt;=10,8,IF(T1204&lt;=50,6,IF(T1204&lt;=100,4,2))))</f>
        <v>0</v>
      </c>
      <c r="V1204" s="10" t="s">
        <v>5228</v>
      </c>
      <c r="W1204" s="7"/>
      <c r="X1204" s="8" t="n">
        <v>149</v>
      </c>
      <c r="Y1204" s="8" t="s">
        <v>5229</v>
      </c>
    </row>
    <row r="1205" customFormat="false" ht="15.75" hidden="false" customHeight="true" outlineLevel="0" collapsed="false">
      <c r="A1205" s="7" t="s">
        <v>5230</v>
      </c>
      <c r="B1205" s="8" t="n">
        <v>2009</v>
      </c>
      <c r="C1205" s="8" t="s">
        <v>35</v>
      </c>
      <c r="D1205" s="8" t="n">
        <v>162</v>
      </c>
      <c r="E1205" s="7" t="s">
        <v>2044</v>
      </c>
      <c r="F1205" s="8" t="n">
        <v>7.6</v>
      </c>
      <c r="G1205" s="8" t="n">
        <v>7</v>
      </c>
      <c r="H1205" s="9" t="n">
        <v>614760</v>
      </c>
      <c r="I1205" s="7" t="s">
        <v>46</v>
      </c>
      <c r="J1205" s="7" t="s">
        <v>112</v>
      </c>
      <c r="K1205" s="7" t="s">
        <v>125</v>
      </c>
      <c r="L1205" s="10"/>
      <c r="M1205" s="7" t="s">
        <v>5231</v>
      </c>
      <c r="N1205" s="8" t="n">
        <v>0</v>
      </c>
      <c r="O1205" s="8" t="n">
        <v>0</v>
      </c>
      <c r="P1205" s="8" t="n">
        <v>0</v>
      </c>
      <c r="Q1205" s="8" t="n">
        <v>0</v>
      </c>
      <c r="R1205" s="8" t="n">
        <v>0</v>
      </c>
      <c r="S1205" s="13" t="n">
        <v>0</v>
      </c>
      <c r="T1205" s="8"/>
      <c r="U1205" s="11" t="n">
        <f aca="false">O1205*4 + P1205*2 + MAX(0,N1205-O1205-P1205)*1 + Q1205*0.2 + R1205*2 + S1205*1 + IF(T1205="",0,IF(T1205&lt;=10,8,IF(T1205&lt;=50,6,IF(T1205&lt;=100,4,2))))</f>
        <v>0</v>
      </c>
      <c r="V1205" s="10" t="s">
        <v>5232</v>
      </c>
      <c r="W1205" s="7"/>
      <c r="X1205" s="8" t="n">
        <v>150</v>
      </c>
      <c r="Y1205" s="8" t="s">
        <v>5233</v>
      </c>
    </row>
    <row r="1206" customFormat="false" ht="15.75" hidden="false" customHeight="true" outlineLevel="0" collapsed="false">
      <c r="A1206" s="7" t="s">
        <v>5234</v>
      </c>
      <c r="B1206" s="8" t="n">
        <v>2025</v>
      </c>
      <c r="C1206" s="8" t="s">
        <v>378</v>
      </c>
      <c r="D1206" s="8" t="n">
        <v>131</v>
      </c>
      <c r="E1206" s="7" t="s">
        <v>5235</v>
      </c>
      <c r="F1206" s="8" t="n">
        <v>6.7</v>
      </c>
      <c r="G1206" s="8" t="n">
        <v>7</v>
      </c>
      <c r="H1206" s="9" t="n">
        <v>199547</v>
      </c>
      <c r="I1206" s="7" t="s">
        <v>46</v>
      </c>
      <c r="J1206" s="7" t="s">
        <v>131</v>
      </c>
      <c r="K1206" s="7" t="s">
        <v>125</v>
      </c>
      <c r="L1206" s="10" t="s">
        <v>113</v>
      </c>
      <c r="M1206" s="10" t="s">
        <v>5236</v>
      </c>
      <c r="N1206" s="8" t="n">
        <v>0</v>
      </c>
      <c r="O1206" s="8" t="n">
        <v>0</v>
      </c>
      <c r="P1206" s="8" t="n">
        <v>0</v>
      </c>
      <c r="Q1206" s="8" t="n">
        <v>0</v>
      </c>
      <c r="R1206" s="13" t="n">
        <v>0</v>
      </c>
      <c r="S1206" s="13" t="n">
        <v>0</v>
      </c>
      <c r="T1206" s="13"/>
      <c r="U1206" s="11" t="n">
        <f aca="false">O1206*4 + P1206*2 + MAX(0,N1206-O1206-P1206)*1 + Q1206*0.2 + R1206*2 + S1206*1 + IF(T1206="",0,IF(T1206&lt;=10,8,IF(T1206&lt;=50,6,IF(T1206&lt;=100,4,2))))</f>
        <v>0</v>
      </c>
      <c r="V1206" s="7"/>
      <c r="W1206" s="7"/>
      <c r="X1206" s="13"/>
      <c r="Y1206" s="13" t="s">
        <v>5237</v>
      </c>
    </row>
    <row r="1207" customFormat="false" ht="15.75" hidden="false" customHeight="true" outlineLevel="0" collapsed="false">
      <c r="A1207" s="7" t="s">
        <v>5238</v>
      </c>
      <c r="B1207" s="8" t="n">
        <v>2026</v>
      </c>
      <c r="C1207" s="8" t="s">
        <v>378</v>
      </c>
      <c r="D1207" s="8" t="n">
        <v>156</v>
      </c>
      <c r="E1207" s="7" t="s">
        <v>5239</v>
      </c>
      <c r="F1207" s="8" t="n">
        <v>8.2</v>
      </c>
      <c r="G1207" s="8" t="n">
        <v>7</v>
      </c>
      <c r="H1207" s="9" t="n">
        <v>554184</v>
      </c>
      <c r="I1207" s="7" t="s">
        <v>46</v>
      </c>
      <c r="J1207" s="7" t="s">
        <v>39</v>
      </c>
      <c r="K1207" s="7" t="s">
        <v>30</v>
      </c>
      <c r="L1207" s="10" t="s">
        <v>5240</v>
      </c>
      <c r="M1207" s="10" t="s">
        <v>5241</v>
      </c>
      <c r="N1207" s="8" t="n">
        <v>0</v>
      </c>
      <c r="O1207" s="8" t="n">
        <v>0</v>
      </c>
      <c r="P1207" s="8" t="n">
        <v>0</v>
      </c>
      <c r="Q1207" s="8" t="n">
        <v>0</v>
      </c>
      <c r="R1207" s="13" t="n">
        <v>0</v>
      </c>
      <c r="S1207" s="13" t="n">
        <v>0</v>
      </c>
      <c r="T1207" s="13"/>
      <c r="U1207" s="11" t="n">
        <f aca="false">O1207*4 + P1207*2 + MAX(0,N1207-O1207-P1207)*1 + Q1207*0.2 + R1207*2 + S1207*1 + IF(T1207="",0,IF(T1207&lt;=10,8,IF(T1207&lt;=50,6,IF(T1207&lt;=100,4,2))))</f>
        <v>0</v>
      </c>
      <c r="V1207" s="7"/>
      <c r="W1207" s="7"/>
      <c r="X1207" s="13"/>
      <c r="Y1207" s="13" t="s">
        <v>5242</v>
      </c>
    </row>
    <row r="1208" customFormat="false" ht="15.75" hidden="false" customHeight="true" outlineLevel="0" collapsed="false">
      <c r="A1208" s="7" t="s">
        <v>5243</v>
      </c>
      <c r="B1208" s="8" t="n">
        <v>2016</v>
      </c>
      <c r="C1208" s="8" t="s">
        <v>176</v>
      </c>
      <c r="D1208" s="8" t="n">
        <v>107</v>
      </c>
      <c r="E1208" s="7" t="s">
        <v>5244</v>
      </c>
      <c r="F1208" s="8" t="n">
        <v>7.6</v>
      </c>
      <c r="G1208" s="8" t="n">
        <v>7</v>
      </c>
      <c r="H1208" s="9" t="n">
        <v>448271</v>
      </c>
      <c r="I1208" s="7" t="s">
        <v>46</v>
      </c>
      <c r="J1208" s="7" t="s">
        <v>579</v>
      </c>
      <c r="K1208" s="7" t="s">
        <v>39</v>
      </c>
      <c r="L1208" s="10" t="s">
        <v>177</v>
      </c>
      <c r="M1208" s="7" t="s">
        <v>5245</v>
      </c>
      <c r="N1208" s="8" t="n">
        <v>0</v>
      </c>
      <c r="O1208" s="8" t="n">
        <v>0</v>
      </c>
      <c r="P1208" s="8" t="n">
        <v>0</v>
      </c>
      <c r="Q1208" s="8" t="n">
        <v>2</v>
      </c>
      <c r="R1208" s="8" t="n">
        <v>0</v>
      </c>
      <c r="S1208" s="8" t="n">
        <v>0</v>
      </c>
      <c r="T1208" s="13"/>
      <c r="U1208" s="11" t="n">
        <f aca="false">O1208*4 + P1208*2 + MAX(0,N1208-O1208-P1208)*1 + Q1208*0.2 + R1208*2 + S1208*1 + IF(T1208="",0,IF(T1208&lt;=10,8,IF(T1208&lt;=50,6,IF(T1208&lt;=100,4,2))))</f>
        <v>0.4</v>
      </c>
      <c r="V1208" s="7"/>
      <c r="W1208" s="7"/>
      <c r="X1208" s="13"/>
      <c r="Y1208" s="13" t="s">
        <v>5246</v>
      </c>
    </row>
    <row r="1209" customFormat="false" ht="15.75" hidden="false" customHeight="true" outlineLevel="0" collapsed="false">
      <c r="A1209" s="7" t="s">
        <v>5247</v>
      </c>
      <c r="B1209" s="8" t="n">
        <v>1992</v>
      </c>
      <c r="C1209" s="8" t="s">
        <v>26</v>
      </c>
      <c r="D1209" s="8" t="n">
        <v>120</v>
      </c>
      <c r="E1209" s="7" t="s">
        <v>5248</v>
      </c>
      <c r="F1209" s="8" t="n">
        <v>6.9</v>
      </c>
      <c r="G1209" s="8" t="n">
        <v>6</v>
      </c>
      <c r="H1209" s="9" t="n">
        <v>460235</v>
      </c>
      <c r="I1209" s="7" t="s">
        <v>46</v>
      </c>
      <c r="J1209" s="7" t="s">
        <v>39</v>
      </c>
      <c r="K1209" s="7" t="s">
        <v>54</v>
      </c>
      <c r="L1209" s="10" t="s">
        <v>177</v>
      </c>
      <c r="M1209" s="7" t="s">
        <v>5249</v>
      </c>
      <c r="N1209" s="8" t="n">
        <v>0</v>
      </c>
      <c r="O1209" s="8" t="n">
        <v>0</v>
      </c>
      <c r="P1209" s="8" t="n">
        <v>0</v>
      </c>
      <c r="Q1209" s="8" t="n">
        <v>0</v>
      </c>
      <c r="R1209" s="13" t="n">
        <v>0</v>
      </c>
      <c r="S1209" s="13" t="n">
        <v>0</v>
      </c>
      <c r="T1209" s="13"/>
      <c r="U1209" s="11" t="n">
        <f aca="false">O1209*4 + P1209*2 + MAX(0,N1209-O1209-P1209)*1 + Q1209*0.2 + R1209*2 + S1209*1 + IF(T1209="",0,IF(T1209&lt;=10,8,IF(T1209&lt;=50,6,IF(T1209&lt;=100,4,2))))</f>
        <v>0</v>
      </c>
      <c r="V1209" s="7"/>
      <c r="W1209" s="7"/>
      <c r="X1209" s="13"/>
      <c r="Y1209" s="13" t="s">
        <v>5250</v>
      </c>
    </row>
    <row r="1210" customFormat="false" ht="15.75" hidden="false" customHeight="true" outlineLevel="0" collapsed="false">
      <c r="A1210" s="7" t="s">
        <v>5251</v>
      </c>
      <c r="B1210" s="8" t="n">
        <v>2006</v>
      </c>
      <c r="C1210" s="8" t="s">
        <v>35</v>
      </c>
      <c r="D1210" s="8" t="n">
        <v>116</v>
      </c>
      <c r="E1210" s="7" t="s">
        <v>5252</v>
      </c>
      <c r="F1210" s="8" t="n">
        <v>7.3</v>
      </c>
      <c r="G1210" s="8" t="n">
        <v>7</v>
      </c>
      <c r="H1210" s="9" t="n">
        <v>545335</v>
      </c>
      <c r="I1210" s="7" t="s">
        <v>46</v>
      </c>
      <c r="J1210" s="7" t="s">
        <v>579</v>
      </c>
      <c r="K1210" s="7" t="s">
        <v>1062</v>
      </c>
      <c r="L1210" s="10" t="s">
        <v>177</v>
      </c>
      <c r="M1210" s="7" t="s">
        <v>5253</v>
      </c>
      <c r="N1210" s="8" t="n">
        <v>0</v>
      </c>
      <c r="O1210" s="8" t="n">
        <v>0</v>
      </c>
      <c r="P1210" s="8" t="n">
        <v>0</v>
      </c>
      <c r="Q1210" s="8" t="n">
        <v>2</v>
      </c>
      <c r="R1210" s="8" t="n">
        <v>0</v>
      </c>
      <c r="S1210" s="8" t="n">
        <v>0</v>
      </c>
      <c r="T1210" s="13"/>
      <c r="U1210" s="11" t="n">
        <f aca="false">O1210*4 + P1210*2 + MAX(0,N1210-O1210-P1210)*1 + Q1210*0.2 + R1210*2 + S1210*1 + IF(T1210="",0,IF(T1210&lt;=10,8,IF(T1210&lt;=50,6,IF(T1210&lt;=100,4,2))))</f>
        <v>0.4</v>
      </c>
      <c r="V1210" s="7"/>
      <c r="W1210" s="7"/>
      <c r="X1210" s="13"/>
      <c r="Y1210" s="13" t="s">
        <v>5254</v>
      </c>
    </row>
    <row r="1211" customFormat="false" ht="15.75" hidden="false" customHeight="true" outlineLevel="0" collapsed="false">
      <c r="A1211" s="7" t="s">
        <v>5255</v>
      </c>
      <c r="B1211" s="8" t="n">
        <v>2011</v>
      </c>
      <c r="C1211" s="8" t="s">
        <v>176</v>
      </c>
      <c r="D1211" s="8" t="n">
        <v>102</v>
      </c>
      <c r="E1211" s="7" t="s">
        <v>2294</v>
      </c>
      <c r="F1211" s="8" t="n">
        <v>6.5</v>
      </c>
      <c r="G1211" s="8" t="n">
        <v>6</v>
      </c>
      <c r="H1211" s="9" t="n">
        <v>583594</v>
      </c>
      <c r="I1211" s="7" t="s">
        <v>46</v>
      </c>
      <c r="J1211" s="7" t="s">
        <v>30</v>
      </c>
      <c r="K1211" s="7"/>
      <c r="L1211" s="10" t="s">
        <v>2295</v>
      </c>
      <c r="M1211" s="7" t="s">
        <v>5256</v>
      </c>
      <c r="N1211" s="8" t="n">
        <v>0</v>
      </c>
      <c r="O1211" s="8" t="n">
        <v>0</v>
      </c>
      <c r="P1211" s="8" t="n">
        <v>0</v>
      </c>
      <c r="Q1211" s="8" t="n">
        <v>0</v>
      </c>
      <c r="R1211" s="13" t="n">
        <v>0</v>
      </c>
      <c r="S1211" s="13" t="n">
        <v>0</v>
      </c>
      <c r="T1211" s="13"/>
      <c r="U1211" s="11" t="n">
        <f aca="false">O1211*4 + P1211*2 + MAX(0,N1211-O1211-P1211)*1 + Q1211*0.2 + R1211*2 + S1211*1 + IF(T1211="",0,IF(T1211&lt;=10,8,IF(T1211&lt;=50,6,IF(T1211&lt;=100,4,2))))</f>
        <v>0</v>
      </c>
      <c r="V1211" s="7"/>
      <c r="W1211" s="7"/>
      <c r="X1211" s="13"/>
      <c r="Y1211" s="13" t="s">
        <v>5257</v>
      </c>
    </row>
    <row r="1212" customFormat="false" ht="15.75" hidden="false" customHeight="true" outlineLevel="0" collapsed="false">
      <c r="A1212" s="7" t="s">
        <v>5258</v>
      </c>
      <c r="B1212" s="8" t="n">
        <v>1989</v>
      </c>
      <c r="C1212" s="8" t="s">
        <v>109</v>
      </c>
      <c r="D1212" s="8" t="n">
        <v>108</v>
      </c>
      <c r="E1212" s="7" t="s">
        <v>327</v>
      </c>
      <c r="F1212" s="8" t="n">
        <v>7.8</v>
      </c>
      <c r="G1212" s="8" t="n">
        <v>7</v>
      </c>
      <c r="H1212" s="9" t="n">
        <v>627136</v>
      </c>
      <c r="I1212" s="7" t="s">
        <v>46</v>
      </c>
      <c r="J1212" s="7" t="s">
        <v>111</v>
      </c>
      <c r="K1212" s="7" t="s">
        <v>39</v>
      </c>
      <c r="L1212" s="10" t="s">
        <v>5259</v>
      </c>
      <c r="M1212" s="7" t="s">
        <v>5260</v>
      </c>
      <c r="N1212" s="8" t="n">
        <v>0</v>
      </c>
      <c r="O1212" s="8" t="n">
        <v>0</v>
      </c>
      <c r="P1212" s="8" t="n">
        <v>0</v>
      </c>
      <c r="Q1212" s="8" t="n">
        <v>1</v>
      </c>
      <c r="R1212" s="8" t="n">
        <v>0</v>
      </c>
      <c r="S1212" s="8" t="n">
        <v>0</v>
      </c>
      <c r="T1212" s="13"/>
      <c r="U1212" s="11" t="n">
        <f aca="false">O1212*4 + P1212*2 + MAX(0,N1212-O1212-P1212)*1 + Q1212*0.2 + R1212*2 + S1212*1 + IF(T1212="",0,IF(T1212&lt;=10,8,IF(T1212&lt;=50,6,IF(T1212&lt;=100,4,2))))</f>
        <v>0.2</v>
      </c>
      <c r="V1212" s="7"/>
      <c r="W1212" s="7"/>
      <c r="X1212" s="13"/>
      <c r="Y1212" s="13" t="s">
        <v>5261</v>
      </c>
    </row>
    <row r="1213" customFormat="false" ht="15.75" hidden="false" customHeight="true" outlineLevel="0" collapsed="false">
      <c r="A1213" s="7" t="s">
        <v>5262</v>
      </c>
      <c r="B1213" s="8" t="n">
        <v>2007</v>
      </c>
      <c r="C1213" s="8" t="s">
        <v>35</v>
      </c>
      <c r="D1213" s="8" t="n">
        <v>113</v>
      </c>
      <c r="E1213" s="7" t="s">
        <v>4830</v>
      </c>
      <c r="F1213" s="8" t="n">
        <v>7.6</v>
      </c>
      <c r="G1213" s="8" t="n">
        <v>8</v>
      </c>
      <c r="H1213" s="9" t="n">
        <v>701148</v>
      </c>
      <c r="I1213" s="7" t="s">
        <v>46</v>
      </c>
      <c r="J1213" s="7" t="s">
        <v>30</v>
      </c>
      <c r="K1213" s="7"/>
      <c r="L1213" s="10"/>
      <c r="M1213" s="7" t="s">
        <v>5263</v>
      </c>
      <c r="N1213" s="8" t="n">
        <v>0</v>
      </c>
      <c r="O1213" s="8" t="n">
        <v>0</v>
      </c>
      <c r="P1213" s="8" t="n">
        <v>0</v>
      </c>
      <c r="Q1213" s="8" t="n">
        <v>0</v>
      </c>
      <c r="R1213" s="13" t="n">
        <v>0</v>
      </c>
      <c r="S1213" s="13" t="n">
        <v>0</v>
      </c>
      <c r="T1213" s="13"/>
      <c r="U1213" s="11" t="n">
        <f aca="false">O1213*4 + P1213*2 + MAX(0,N1213-O1213-P1213)*1 + Q1213*0.2 + R1213*2 + S1213*1 + IF(T1213="",0,IF(T1213&lt;=10,8,IF(T1213&lt;=50,6,IF(T1213&lt;=100,4,2))))</f>
        <v>0</v>
      </c>
      <c r="V1213" s="7"/>
      <c r="W1213" s="7"/>
      <c r="X1213" s="13"/>
      <c r="Y1213" s="13" t="s">
        <v>5264</v>
      </c>
    </row>
    <row r="1214" customFormat="false" ht="15.75" hidden="false" customHeight="true" outlineLevel="0" collapsed="false">
      <c r="A1214" s="7" t="s">
        <v>5265</v>
      </c>
      <c r="B1214" s="8" t="n">
        <v>1990</v>
      </c>
      <c r="C1214" s="8" t="s">
        <v>26</v>
      </c>
      <c r="D1214" s="8" t="n">
        <v>103</v>
      </c>
      <c r="E1214" s="7" t="s">
        <v>5248</v>
      </c>
      <c r="F1214" s="8" t="n">
        <v>7.8</v>
      </c>
      <c r="G1214" s="8" t="n">
        <v>8</v>
      </c>
      <c r="H1214" s="9" t="n">
        <v>751983</v>
      </c>
      <c r="I1214" s="7" t="s">
        <v>46</v>
      </c>
      <c r="J1214" s="7" t="s">
        <v>30</v>
      </c>
      <c r="K1214" s="7" t="s">
        <v>259</v>
      </c>
      <c r="L1214" s="10" t="s">
        <v>177</v>
      </c>
      <c r="M1214" s="7" t="s">
        <v>5266</v>
      </c>
      <c r="N1214" s="8" t="n">
        <v>0</v>
      </c>
      <c r="O1214" s="8" t="n">
        <v>0</v>
      </c>
      <c r="P1214" s="8" t="n">
        <v>0</v>
      </c>
      <c r="Q1214" s="8" t="n">
        <v>2</v>
      </c>
      <c r="R1214" s="8" t="n">
        <v>0</v>
      </c>
      <c r="S1214" s="8" t="n">
        <v>0</v>
      </c>
      <c r="T1214" s="13"/>
      <c r="U1214" s="11" t="n">
        <f aca="false">O1214*4 + P1214*2 + MAX(0,N1214-O1214-P1214)*1 + Q1214*0.2 + R1214*2 + S1214*1 + IF(T1214="",0,IF(T1214&lt;=10,8,IF(T1214&lt;=50,6,IF(T1214&lt;=100,4,2))))</f>
        <v>0.4</v>
      </c>
      <c r="V1214" s="7"/>
      <c r="W1214" s="7"/>
      <c r="X1214" s="13"/>
      <c r="Y1214" s="13" t="s">
        <v>5267</v>
      </c>
    </row>
    <row r="1215" customFormat="false" ht="15.75" hidden="false" customHeight="true" outlineLevel="0" collapsed="false">
      <c r="A1215" s="7" t="s">
        <v>5268</v>
      </c>
      <c r="B1215" s="8" t="n">
        <v>2026</v>
      </c>
      <c r="C1215" s="8" t="s">
        <v>378</v>
      </c>
      <c r="D1215" s="8" t="n">
        <v>127</v>
      </c>
      <c r="E1215" s="7" t="s">
        <v>2372</v>
      </c>
      <c r="F1215" s="8" t="n">
        <v>7.4</v>
      </c>
      <c r="G1215" s="8" t="n">
        <v>7</v>
      </c>
      <c r="H1215" s="9" t="n">
        <v>171386</v>
      </c>
      <c r="I1215" s="7" t="s">
        <v>46</v>
      </c>
      <c r="J1215" s="7" t="s">
        <v>47</v>
      </c>
      <c r="K1215" s="7" t="s">
        <v>48</v>
      </c>
      <c r="L1215" s="10"/>
      <c r="M1215" s="10" t="s">
        <v>5269</v>
      </c>
      <c r="N1215" s="8" t="n">
        <v>0</v>
      </c>
      <c r="O1215" s="8" t="n">
        <v>0</v>
      </c>
      <c r="P1215" s="8" t="n">
        <v>0</v>
      </c>
      <c r="Q1215" s="8" t="n">
        <v>0</v>
      </c>
      <c r="R1215" s="13" t="n">
        <v>0</v>
      </c>
      <c r="S1215" s="13" t="n">
        <v>0</v>
      </c>
      <c r="T1215" s="13"/>
      <c r="U1215" s="11" t="n">
        <f aca="false">O1215*4 + P1215*2 + MAX(0,N1215-O1215-P1215)*1 + Q1215*0.2 + R1215*2 + S1215*1 + IF(T1215="",0,IF(T1215&lt;=10,8,IF(T1215&lt;=50,6,IF(T1215&lt;=100,4,2))))</f>
        <v>0</v>
      </c>
      <c r="V1215" s="7"/>
      <c r="W1215" s="7"/>
      <c r="X1215" s="13"/>
      <c r="Y1215" s="13" t="s">
        <v>5270</v>
      </c>
    </row>
    <row r="1216" customFormat="false" ht="15.75" hidden="false" customHeight="true" outlineLevel="0" collapsed="false">
      <c r="A1216" s="7" t="s">
        <v>5271</v>
      </c>
      <c r="B1216" s="8" t="n">
        <v>2026</v>
      </c>
      <c r="C1216" s="8" t="s">
        <v>378</v>
      </c>
      <c r="D1216" s="8" t="n">
        <v>99</v>
      </c>
      <c r="E1216" s="7" t="s">
        <v>5272</v>
      </c>
      <c r="F1216" s="8" t="n">
        <v>6.2</v>
      </c>
      <c r="G1216" s="8" t="n">
        <v>4</v>
      </c>
      <c r="H1216" s="9" t="n">
        <v>78826</v>
      </c>
      <c r="I1216" s="7" t="s">
        <v>292</v>
      </c>
      <c r="J1216" s="7" t="s">
        <v>112</v>
      </c>
      <c r="K1216" s="7" t="s">
        <v>54</v>
      </c>
      <c r="L1216" s="10" t="s">
        <v>5240</v>
      </c>
      <c r="M1216" s="10" t="s">
        <v>5273</v>
      </c>
      <c r="N1216" s="8" t="n">
        <v>0</v>
      </c>
      <c r="O1216" s="8" t="n">
        <v>0</v>
      </c>
      <c r="P1216" s="8" t="n">
        <v>0</v>
      </c>
      <c r="Q1216" s="8" t="n">
        <v>0</v>
      </c>
      <c r="R1216" s="13" t="n">
        <v>0</v>
      </c>
      <c r="S1216" s="13" t="n">
        <v>0</v>
      </c>
      <c r="T1216" s="13"/>
      <c r="U1216" s="11" t="n">
        <f aca="false">O1216*4 + P1216*2 + MAX(0,N1216-O1216-P1216)*1 + Q1216*0.2 + R1216*2 + S1216*1 + IF(T1216="",0,IF(T1216&lt;=10,8,IF(T1216&lt;=50,6,IF(T1216&lt;=100,4,2))))</f>
        <v>0</v>
      </c>
      <c r="V1216" s="7"/>
      <c r="W1216" s="7"/>
      <c r="X1216" s="13"/>
      <c r="Y1216" s="13" t="s">
        <v>5274</v>
      </c>
    </row>
    <row r="1217" customFormat="false" ht="15.75" hidden="false" customHeight="true" outlineLevel="0" collapsed="false">
      <c r="A1217" s="7" t="s">
        <v>5275</v>
      </c>
      <c r="B1217" s="8" t="n">
        <v>2025</v>
      </c>
      <c r="C1217" s="8" t="s">
        <v>378</v>
      </c>
      <c r="D1217" s="8" t="n">
        <v>125</v>
      </c>
      <c r="E1217" s="7" t="s">
        <v>5276</v>
      </c>
      <c r="F1217" s="8" t="n">
        <v>7.8</v>
      </c>
      <c r="G1217" s="8" t="n">
        <v>7</v>
      </c>
      <c r="H1217" s="9" t="n">
        <v>129487</v>
      </c>
      <c r="I1217" s="7" t="s">
        <v>46</v>
      </c>
      <c r="J1217" s="7" t="s">
        <v>47</v>
      </c>
      <c r="K1217" s="7" t="s">
        <v>48</v>
      </c>
      <c r="L1217" s="10" t="s">
        <v>192</v>
      </c>
      <c r="M1217" s="10" t="s">
        <v>5277</v>
      </c>
      <c r="N1217" s="8" t="n">
        <v>1</v>
      </c>
      <c r="O1217" s="8" t="n">
        <v>0</v>
      </c>
      <c r="P1217" s="8" t="n">
        <v>0</v>
      </c>
      <c r="Q1217" s="8" t="n">
        <v>8</v>
      </c>
      <c r="R1217" s="8" t="n">
        <v>0</v>
      </c>
      <c r="S1217" s="8" t="n">
        <v>0</v>
      </c>
      <c r="T1217" s="13"/>
      <c r="U1217" s="11" t="n">
        <f aca="false">O1217*4 + P1217*2 + MAX(0,N1217-O1217-P1217)*1 + Q1217*0.2 + R1217*2 + S1217*1 + IF(T1217="",0,IF(T1217&lt;=10,8,IF(T1217&lt;=50,6,IF(T1217&lt;=100,4,2))))</f>
        <v>2.6</v>
      </c>
      <c r="V1217" s="7"/>
      <c r="W1217" s="7"/>
      <c r="X1217" s="13"/>
      <c r="Y1217" s="13" t="s">
        <v>5278</v>
      </c>
    </row>
    <row r="1218" customFormat="false" ht="15.75" hidden="false" customHeight="true" outlineLevel="0" collapsed="false">
      <c r="A1218" s="7" t="s">
        <v>5279</v>
      </c>
      <c r="B1218" s="8" t="n">
        <v>2004</v>
      </c>
      <c r="C1218" s="8" t="s">
        <v>35</v>
      </c>
      <c r="D1218" s="8" t="n">
        <v>96</v>
      </c>
      <c r="E1218" s="7" t="s">
        <v>5280</v>
      </c>
      <c r="F1218" s="8" t="n">
        <v>6.5</v>
      </c>
      <c r="G1218" s="8" t="n">
        <v>7</v>
      </c>
      <c r="H1218" s="9" t="n">
        <v>223025</v>
      </c>
      <c r="I1218" s="7" t="s">
        <v>46</v>
      </c>
      <c r="J1218" s="7" t="s">
        <v>131</v>
      </c>
      <c r="K1218" s="7" t="s">
        <v>125</v>
      </c>
      <c r="L1218" s="10"/>
      <c r="M1218" s="10" t="s">
        <v>5281</v>
      </c>
      <c r="N1218" s="8" t="n">
        <v>0</v>
      </c>
      <c r="O1218" s="8" t="n">
        <v>0</v>
      </c>
      <c r="P1218" s="8" t="n">
        <v>0</v>
      </c>
      <c r="Q1218" s="8" t="n">
        <v>0</v>
      </c>
      <c r="R1218" s="13" t="n">
        <v>0</v>
      </c>
      <c r="S1218" s="13" t="n">
        <v>0</v>
      </c>
      <c r="T1218" s="13"/>
      <c r="U1218" s="11" t="n">
        <f aca="false">O1218*4 + P1218*2 + MAX(0,N1218-O1218-P1218)*1 + Q1218*0.2 + R1218*2 + S1218*1 + IF(T1218="",0,IF(T1218&lt;=10,8,IF(T1218&lt;=50,6,IF(T1218&lt;=100,4,2))))</f>
        <v>0</v>
      </c>
      <c r="V1218" s="7"/>
      <c r="W1218" s="7"/>
      <c r="X1218" s="13"/>
      <c r="Y1218" s="13" t="s">
        <v>5282</v>
      </c>
    </row>
    <row r="1219" customFormat="false" ht="15.75" hidden="false" customHeight="true" outlineLevel="0" collapsed="false">
      <c r="A1219" s="7" t="s">
        <v>5283</v>
      </c>
      <c r="B1219" s="8" t="n">
        <v>2008</v>
      </c>
      <c r="C1219" s="8" t="s">
        <v>35</v>
      </c>
      <c r="D1219" s="8" t="n">
        <v>105</v>
      </c>
      <c r="E1219" s="7" t="s">
        <v>5284</v>
      </c>
      <c r="F1219" s="8" t="n">
        <v>6.4</v>
      </c>
      <c r="G1219" s="8" t="n">
        <v>5</v>
      </c>
      <c r="H1219" s="9" t="n">
        <v>229437</v>
      </c>
      <c r="I1219" s="7" t="s">
        <v>838</v>
      </c>
      <c r="J1219" s="7" t="s">
        <v>111</v>
      </c>
      <c r="K1219" s="7" t="s">
        <v>131</v>
      </c>
      <c r="L1219" s="10"/>
      <c r="M1219" s="10" t="s">
        <v>5285</v>
      </c>
      <c r="N1219" s="8" t="n">
        <v>0</v>
      </c>
      <c r="O1219" s="8" t="n">
        <v>0</v>
      </c>
      <c r="P1219" s="8" t="n">
        <v>0</v>
      </c>
      <c r="Q1219" s="8" t="n">
        <v>0</v>
      </c>
      <c r="R1219" s="13" t="n">
        <v>0</v>
      </c>
      <c r="S1219" s="13" t="n">
        <v>0</v>
      </c>
      <c r="T1219" s="13"/>
      <c r="U1219" s="11" t="n">
        <f aca="false">O1219*4 + P1219*2 + MAX(0,N1219-O1219-P1219)*1 + Q1219*0.2 + R1219*2 + S1219*1 + IF(T1219="",0,IF(T1219&lt;=10,8,IF(T1219&lt;=50,6,IF(T1219&lt;=100,4,2))))</f>
        <v>0</v>
      </c>
      <c r="V1219" s="7"/>
      <c r="W1219" s="7"/>
      <c r="X1219" s="13"/>
      <c r="Y1219" s="13" t="s">
        <v>5286</v>
      </c>
    </row>
    <row r="1220" customFormat="false" ht="15.75" hidden="false" customHeight="true" outlineLevel="0" collapsed="false">
      <c r="A1220" s="7" t="s">
        <v>5287</v>
      </c>
      <c r="B1220" s="8" t="n">
        <v>2018</v>
      </c>
      <c r="C1220" s="8" t="s">
        <v>176</v>
      </c>
      <c r="D1220" s="8" t="n">
        <v>113</v>
      </c>
      <c r="E1220" s="7" t="s">
        <v>5288</v>
      </c>
      <c r="F1220" s="8" t="n">
        <v>5.7</v>
      </c>
      <c r="G1220" s="8" t="n">
        <v>5</v>
      </c>
      <c r="H1220" s="9" t="n">
        <v>231054</v>
      </c>
      <c r="I1220" s="7" t="s">
        <v>46</v>
      </c>
      <c r="J1220" s="7" t="s">
        <v>147</v>
      </c>
      <c r="K1220" s="7" t="s">
        <v>112</v>
      </c>
      <c r="L1220" s="10" t="s">
        <v>972</v>
      </c>
      <c r="M1220" s="10" t="s">
        <v>5289</v>
      </c>
      <c r="N1220" s="8" t="n">
        <v>0</v>
      </c>
      <c r="O1220" s="8" t="n">
        <v>0</v>
      </c>
      <c r="P1220" s="8" t="n">
        <v>0</v>
      </c>
      <c r="Q1220" s="8" t="n">
        <v>0</v>
      </c>
      <c r="R1220" s="13" t="n">
        <v>0</v>
      </c>
      <c r="S1220" s="13" t="n">
        <v>0</v>
      </c>
      <c r="T1220" s="13"/>
      <c r="U1220" s="11" t="n">
        <f aca="false">O1220*4 + P1220*2 + MAX(0,N1220-O1220-P1220)*1 + Q1220*0.2 + R1220*2 + S1220*1 + IF(T1220="",0,IF(T1220&lt;=10,8,IF(T1220&lt;=50,6,IF(T1220&lt;=100,4,2))))</f>
        <v>0</v>
      </c>
      <c r="V1220" s="7"/>
      <c r="W1220" s="7"/>
      <c r="X1220" s="13"/>
      <c r="Y1220" s="13" t="s">
        <v>5290</v>
      </c>
    </row>
    <row r="1221" customFormat="false" ht="15.75" hidden="false" customHeight="true" outlineLevel="0" collapsed="false">
      <c r="A1221" s="7" t="s">
        <v>5291</v>
      </c>
      <c r="B1221" s="8" t="n">
        <v>2001</v>
      </c>
      <c r="C1221" s="8" t="s">
        <v>35</v>
      </c>
      <c r="D1221" s="8" t="n">
        <v>100</v>
      </c>
      <c r="E1221" s="7" t="s">
        <v>5292</v>
      </c>
      <c r="F1221" s="8" t="n">
        <v>5.8</v>
      </c>
      <c r="G1221" s="8" t="n">
        <v>6</v>
      </c>
      <c r="H1221" s="9" t="n">
        <v>231377</v>
      </c>
      <c r="I1221" s="7" t="s">
        <v>46</v>
      </c>
      <c r="J1221" s="7" t="s">
        <v>38</v>
      </c>
      <c r="K1221" s="7" t="s">
        <v>112</v>
      </c>
      <c r="L1221" s="10" t="s">
        <v>5293</v>
      </c>
      <c r="M1221" s="10" t="s">
        <v>5294</v>
      </c>
      <c r="N1221" s="8" t="n">
        <v>0</v>
      </c>
      <c r="O1221" s="8" t="n">
        <v>0</v>
      </c>
      <c r="P1221" s="8" t="n">
        <v>0</v>
      </c>
      <c r="Q1221" s="8" t="n">
        <v>0</v>
      </c>
      <c r="R1221" s="13" t="n">
        <v>0</v>
      </c>
      <c r="S1221" s="13" t="n">
        <v>0</v>
      </c>
      <c r="T1221" s="13"/>
      <c r="U1221" s="11" t="n">
        <f aca="false">O1221*4 + P1221*2 + MAX(0,N1221-O1221-P1221)*1 + Q1221*0.2 + R1221*2 + S1221*1 + IF(T1221="",0,IF(T1221&lt;=10,8,IF(T1221&lt;=50,6,IF(T1221&lt;=100,4,2))))</f>
        <v>0</v>
      </c>
      <c r="V1221" s="7"/>
      <c r="W1221" s="7"/>
      <c r="X1221" s="13"/>
      <c r="Y1221" s="13" t="s">
        <v>5295</v>
      </c>
    </row>
    <row r="1222" customFormat="false" ht="15.75" hidden="false" customHeight="true" outlineLevel="0" collapsed="false">
      <c r="A1222" s="7" t="s">
        <v>5296</v>
      </c>
      <c r="B1222" s="8" t="n">
        <v>2004</v>
      </c>
      <c r="C1222" s="8" t="s">
        <v>35</v>
      </c>
      <c r="D1222" s="8" t="n">
        <v>101</v>
      </c>
      <c r="E1222" s="7" t="s">
        <v>5284</v>
      </c>
      <c r="F1222" s="8" t="n">
        <v>5.7</v>
      </c>
      <c r="G1222" s="8" t="n">
        <v>6</v>
      </c>
      <c r="H1222" s="9" t="n">
        <v>234489</v>
      </c>
      <c r="I1222" s="7" t="s">
        <v>5297</v>
      </c>
      <c r="J1222" s="7" t="s">
        <v>147</v>
      </c>
      <c r="K1222" s="7" t="s">
        <v>112</v>
      </c>
      <c r="L1222" s="10" t="s">
        <v>177</v>
      </c>
      <c r="M1222" s="10" t="s">
        <v>5298</v>
      </c>
      <c r="N1222" s="8" t="n">
        <v>0</v>
      </c>
      <c r="O1222" s="8" t="n">
        <v>0</v>
      </c>
      <c r="P1222" s="8" t="n">
        <v>0</v>
      </c>
      <c r="Q1222" s="8" t="n">
        <v>0</v>
      </c>
      <c r="R1222" s="13" t="n">
        <v>0</v>
      </c>
      <c r="S1222" s="13" t="n">
        <v>0</v>
      </c>
      <c r="T1222" s="13"/>
      <c r="U1222" s="11" t="n">
        <f aca="false">O1222*4 + P1222*2 + MAX(0,N1222-O1222-P1222)*1 + Q1222*0.2 + R1222*2 + S1222*1 + IF(T1222="",0,IF(T1222&lt;=10,8,IF(T1222&lt;=50,6,IF(T1222&lt;=100,4,2))))</f>
        <v>0</v>
      </c>
      <c r="V1222" s="7"/>
      <c r="W1222" s="7"/>
      <c r="X1222" s="13"/>
      <c r="Y1222" s="13" t="s">
        <v>5299</v>
      </c>
    </row>
    <row r="1223" customFormat="false" ht="15.75" hidden="false" customHeight="true" outlineLevel="0" collapsed="false">
      <c r="A1223" s="7" t="s">
        <v>5300</v>
      </c>
      <c r="B1223" s="8" t="n">
        <v>2019</v>
      </c>
      <c r="C1223" s="8" t="s">
        <v>176</v>
      </c>
      <c r="D1223" s="8" t="n">
        <v>137</v>
      </c>
      <c r="E1223" s="7" t="s">
        <v>5301</v>
      </c>
      <c r="F1223" s="8" t="n">
        <v>6.4</v>
      </c>
      <c r="G1223" s="8" t="n">
        <v>6</v>
      </c>
      <c r="H1223" s="9" t="n">
        <v>259923</v>
      </c>
      <c r="I1223" s="7" t="s">
        <v>46</v>
      </c>
      <c r="J1223" s="7" t="s">
        <v>131</v>
      </c>
      <c r="K1223" s="7" t="s">
        <v>112</v>
      </c>
      <c r="L1223" s="10" t="s">
        <v>5302</v>
      </c>
      <c r="M1223" s="7" t="s">
        <v>5303</v>
      </c>
      <c r="N1223" s="8" t="n">
        <v>0</v>
      </c>
      <c r="O1223" s="8" t="n">
        <v>0</v>
      </c>
      <c r="P1223" s="8" t="n">
        <v>0</v>
      </c>
      <c r="Q1223" s="8" t="n">
        <v>0</v>
      </c>
      <c r="R1223" s="13" t="n">
        <v>0</v>
      </c>
      <c r="S1223" s="13" t="n">
        <v>0</v>
      </c>
      <c r="T1223" s="13"/>
      <c r="U1223" s="11" t="n">
        <f aca="false">O1223*4 + P1223*2 + MAX(0,N1223-O1223-P1223)*1 + Q1223*0.2 + R1223*2 + S1223*1 + IF(T1223="",0,IF(T1223&lt;=10,8,IF(T1223&lt;=50,6,IF(T1223&lt;=100,4,2))))</f>
        <v>0</v>
      </c>
      <c r="V1223" s="7"/>
      <c r="W1223" s="7"/>
      <c r="X1223" s="13"/>
      <c r="Y1223" s="13" t="s">
        <v>5304</v>
      </c>
    </row>
    <row r="1224" customFormat="false" ht="15.75" hidden="false" customHeight="true" outlineLevel="0" collapsed="false">
      <c r="A1224" s="7" t="s">
        <v>5305</v>
      </c>
      <c r="B1224" s="8" t="n">
        <v>2021</v>
      </c>
      <c r="C1224" s="8" t="s">
        <v>378</v>
      </c>
      <c r="D1224" s="8" t="n">
        <v>103</v>
      </c>
      <c r="E1224" s="7" t="s">
        <v>5306</v>
      </c>
      <c r="F1224" s="8" t="n">
        <v>6.9</v>
      </c>
      <c r="G1224" s="8" t="n">
        <v>6</v>
      </c>
      <c r="H1224" s="9" t="n">
        <v>269903</v>
      </c>
      <c r="I1224" s="7" t="s">
        <v>46</v>
      </c>
      <c r="J1224" s="7" t="s">
        <v>147</v>
      </c>
      <c r="K1224" s="7" t="s">
        <v>125</v>
      </c>
      <c r="L1224" s="10" t="s">
        <v>210</v>
      </c>
      <c r="M1224" s="7" t="s">
        <v>5307</v>
      </c>
      <c r="N1224" s="8" t="n">
        <v>0</v>
      </c>
      <c r="O1224" s="8" t="n">
        <v>0</v>
      </c>
      <c r="P1224" s="8" t="n">
        <v>0</v>
      </c>
      <c r="Q1224" s="8" t="n">
        <v>0</v>
      </c>
      <c r="R1224" s="13" t="n">
        <v>0</v>
      </c>
      <c r="S1224" s="13" t="n">
        <v>0</v>
      </c>
      <c r="T1224" s="13"/>
      <c r="U1224" s="11" t="n">
        <f aca="false">O1224*4 + P1224*2 + MAX(0,N1224-O1224-P1224)*1 + Q1224*0.2 + R1224*2 + S1224*1 + IF(T1224="",0,IF(T1224&lt;=10,8,IF(T1224&lt;=50,6,IF(T1224&lt;=100,4,2))))</f>
        <v>0</v>
      </c>
      <c r="V1224" s="7"/>
      <c r="W1224" s="7"/>
      <c r="X1224" s="13"/>
      <c r="Y1224" s="13" t="s">
        <v>5308</v>
      </c>
    </row>
    <row r="1225" customFormat="false" ht="15.75" hidden="false" customHeight="true" outlineLevel="0" collapsed="false">
      <c r="A1225" s="7" t="s">
        <v>5309</v>
      </c>
      <c r="B1225" s="8" t="n">
        <v>2021</v>
      </c>
      <c r="C1225" s="8" t="s">
        <v>378</v>
      </c>
      <c r="D1225" s="8" t="n">
        <v>113</v>
      </c>
      <c r="E1225" s="7" t="s">
        <v>5310</v>
      </c>
      <c r="F1225" s="8" t="n">
        <v>6.3</v>
      </c>
      <c r="G1225" s="8" t="n">
        <v>6</v>
      </c>
      <c r="H1225" s="9" t="n">
        <v>269925</v>
      </c>
      <c r="I1225" s="7" t="s">
        <v>46</v>
      </c>
      <c r="J1225" s="7" t="s">
        <v>111</v>
      </c>
      <c r="K1225" s="7" t="s">
        <v>131</v>
      </c>
      <c r="L1225" s="10" t="s">
        <v>69</v>
      </c>
      <c r="M1225" s="7" t="s">
        <v>5311</v>
      </c>
      <c r="N1225" s="8" t="n">
        <v>0</v>
      </c>
      <c r="O1225" s="8" t="n">
        <v>0</v>
      </c>
      <c r="P1225" s="8" t="n">
        <v>0</v>
      </c>
      <c r="Q1225" s="8" t="n">
        <v>0</v>
      </c>
      <c r="R1225" s="13" t="n">
        <v>0</v>
      </c>
      <c r="S1225" s="13" t="n">
        <v>0</v>
      </c>
      <c r="T1225" s="13"/>
      <c r="U1225" s="11" t="n">
        <f aca="false">O1225*4 + P1225*2 + MAX(0,N1225-O1225-P1225)*1 + Q1225*0.2 + R1225*2 + S1225*1 + IF(T1225="",0,IF(T1225&lt;=10,8,IF(T1225&lt;=50,6,IF(T1225&lt;=100,4,2))))</f>
        <v>0</v>
      </c>
      <c r="V1225" s="7"/>
      <c r="W1225" s="7"/>
      <c r="X1225" s="13"/>
      <c r="Y1225" s="13" t="s">
        <v>5312</v>
      </c>
    </row>
    <row r="1226" customFormat="false" ht="15.75" hidden="false" customHeight="true" outlineLevel="0" collapsed="false">
      <c r="A1226" s="7" t="s">
        <v>5313</v>
      </c>
      <c r="B1226" s="8" t="n">
        <v>2012</v>
      </c>
      <c r="C1226" s="8" t="s">
        <v>176</v>
      </c>
      <c r="D1226" s="8" t="n">
        <v>131</v>
      </c>
      <c r="E1226" s="7" t="s">
        <v>5314</v>
      </c>
      <c r="F1226" s="8" t="n">
        <v>5.8</v>
      </c>
      <c r="G1226" s="8" t="n">
        <v>5</v>
      </c>
      <c r="H1226" s="9" t="n">
        <v>271190</v>
      </c>
      <c r="I1226" s="7" t="s">
        <v>46</v>
      </c>
      <c r="J1226" s="7" t="s">
        <v>111</v>
      </c>
      <c r="K1226" s="7" t="s">
        <v>75</v>
      </c>
      <c r="L1226" s="10"/>
      <c r="M1226" s="7" t="s">
        <v>5315</v>
      </c>
      <c r="N1226" s="8" t="n">
        <v>0</v>
      </c>
      <c r="O1226" s="8" t="n">
        <v>0</v>
      </c>
      <c r="P1226" s="8" t="n">
        <v>0</v>
      </c>
      <c r="Q1226" s="8" t="n">
        <v>0</v>
      </c>
      <c r="R1226" s="13" t="n">
        <v>0</v>
      </c>
      <c r="S1226" s="13" t="n">
        <v>0</v>
      </c>
      <c r="T1226" s="13"/>
      <c r="U1226" s="11" t="n">
        <f aca="false">O1226*4 + P1226*2 + MAX(0,N1226-O1226-P1226)*1 + Q1226*0.2 + R1226*2 + S1226*1 + IF(T1226="",0,IF(T1226&lt;=10,8,IF(T1226&lt;=50,6,IF(T1226&lt;=100,4,2))))</f>
        <v>0</v>
      </c>
      <c r="V1226" s="7"/>
      <c r="W1226" s="7"/>
      <c r="X1226" s="13"/>
      <c r="Y1226" s="13" t="s">
        <v>5316</v>
      </c>
    </row>
    <row r="1227" customFormat="false" ht="15.75" hidden="false" customHeight="true" outlineLevel="0" collapsed="false">
      <c r="A1227" s="7" t="s">
        <v>5317</v>
      </c>
      <c r="B1227" s="8" t="n">
        <v>2007</v>
      </c>
      <c r="C1227" s="8" t="s">
        <v>35</v>
      </c>
      <c r="D1227" s="8" t="n">
        <v>110</v>
      </c>
      <c r="E1227" s="7" t="s">
        <v>5318</v>
      </c>
      <c r="F1227" s="8" t="n">
        <v>5.3</v>
      </c>
      <c r="G1227" s="8" t="n">
        <v>4</v>
      </c>
      <c r="H1227" s="9" t="n">
        <v>272597</v>
      </c>
      <c r="I1227" s="7" t="s">
        <v>5319</v>
      </c>
      <c r="J1227" s="7" t="s">
        <v>38</v>
      </c>
      <c r="K1227" s="7" t="s">
        <v>131</v>
      </c>
      <c r="L1227" s="10" t="s">
        <v>587</v>
      </c>
      <c r="M1227" s="7" t="s">
        <v>5320</v>
      </c>
      <c r="N1227" s="8" t="n">
        <v>0</v>
      </c>
      <c r="O1227" s="8" t="n">
        <v>0</v>
      </c>
      <c r="P1227" s="8" t="n">
        <v>0</v>
      </c>
      <c r="Q1227" s="8" t="n">
        <v>0</v>
      </c>
      <c r="R1227" s="13" t="n">
        <v>0</v>
      </c>
      <c r="S1227" s="13" t="n">
        <v>0</v>
      </c>
      <c r="T1227" s="13"/>
      <c r="U1227" s="11" t="n">
        <f aca="false">O1227*4 + P1227*2 + MAX(0,N1227-O1227-P1227)*1 + Q1227*0.2 + R1227*2 + S1227*1 + IF(T1227="",0,IF(T1227&lt;=10,8,IF(T1227&lt;=50,6,IF(T1227&lt;=100,4,2))))</f>
        <v>0</v>
      </c>
      <c r="V1227" s="7"/>
      <c r="W1227" s="7"/>
      <c r="X1227" s="13"/>
      <c r="Y1227" s="13" t="s">
        <v>5321</v>
      </c>
    </row>
    <row r="1228" customFormat="false" ht="15.75" hidden="false" customHeight="true" outlineLevel="0" collapsed="false">
      <c r="A1228" s="7" t="s">
        <v>5322</v>
      </c>
      <c r="B1228" s="8" t="n">
        <v>1998</v>
      </c>
      <c r="C1228" s="8" t="s">
        <v>26</v>
      </c>
      <c r="D1228" s="8" t="n">
        <v>132</v>
      </c>
      <c r="E1228" s="7" t="s">
        <v>911</v>
      </c>
      <c r="F1228" s="8" t="n">
        <v>7.3</v>
      </c>
      <c r="G1228" s="8" t="n">
        <v>7</v>
      </c>
      <c r="H1228" s="9" t="n">
        <v>276355</v>
      </c>
      <c r="I1228" s="7" t="s">
        <v>46</v>
      </c>
      <c r="J1228" s="7" t="s">
        <v>131</v>
      </c>
      <c r="K1228" s="7" t="s">
        <v>112</v>
      </c>
      <c r="L1228" s="10" t="s">
        <v>552</v>
      </c>
      <c r="M1228" s="7" t="s">
        <v>5323</v>
      </c>
      <c r="N1228" s="8" t="n">
        <v>0</v>
      </c>
      <c r="O1228" s="8" t="n">
        <v>0</v>
      </c>
      <c r="P1228" s="8" t="n">
        <v>0</v>
      </c>
      <c r="Q1228" s="8" t="n">
        <v>0</v>
      </c>
      <c r="R1228" s="13" t="n">
        <v>0</v>
      </c>
      <c r="S1228" s="13" t="n">
        <v>0</v>
      </c>
      <c r="T1228" s="13"/>
      <c r="U1228" s="11" t="n">
        <f aca="false">O1228*4 + P1228*2 + MAX(0,N1228-O1228-P1228)*1 + Q1228*0.2 + R1228*2 + S1228*1 + IF(T1228="",0,IF(T1228&lt;=10,8,IF(T1228&lt;=50,6,IF(T1228&lt;=100,4,2))))</f>
        <v>0</v>
      </c>
      <c r="V1228" s="7"/>
      <c r="W1228" s="7"/>
      <c r="X1228" s="13"/>
      <c r="Y1228" s="13" t="s">
        <v>5324</v>
      </c>
    </row>
    <row r="1229" customFormat="false" ht="15.75" hidden="false" customHeight="true" outlineLevel="0" collapsed="false">
      <c r="A1229" s="7" t="s">
        <v>5325</v>
      </c>
      <c r="B1229" s="8" t="n">
        <v>2009</v>
      </c>
      <c r="C1229" s="8" t="s">
        <v>35</v>
      </c>
      <c r="D1229" s="8" t="n">
        <v>123</v>
      </c>
      <c r="E1229" s="7" t="s">
        <v>5326</v>
      </c>
      <c r="F1229" s="8" t="n">
        <v>7</v>
      </c>
      <c r="G1229" s="8" t="n">
        <v>7</v>
      </c>
      <c r="H1229" s="9" t="n">
        <v>279844</v>
      </c>
      <c r="I1229" s="7" t="s">
        <v>5327</v>
      </c>
      <c r="J1229" s="7" t="s">
        <v>147</v>
      </c>
      <c r="K1229" s="7" t="s">
        <v>125</v>
      </c>
      <c r="L1229" s="10"/>
      <c r="M1229" s="7" t="s">
        <v>5328</v>
      </c>
      <c r="N1229" s="8" t="n">
        <v>0</v>
      </c>
      <c r="O1229" s="8" t="n">
        <v>0</v>
      </c>
      <c r="P1229" s="8" t="n">
        <v>0</v>
      </c>
      <c r="Q1229" s="8" t="n">
        <v>0</v>
      </c>
      <c r="R1229" s="13" t="n">
        <v>0</v>
      </c>
      <c r="S1229" s="13" t="n">
        <v>0</v>
      </c>
      <c r="T1229" s="13"/>
      <c r="U1229" s="11" t="n">
        <f aca="false">O1229*4 + P1229*2 + MAX(0,N1229-O1229-P1229)*1 + Q1229*0.2 + R1229*2 + S1229*1 + IF(T1229="",0,IF(T1229&lt;=10,8,IF(T1229&lt;=50,6,IF(T1229&lt;=100,4,2))))</f>
        <v>0</v>
      </c>
      <c r="V1229" s="7"/>
      <c r="W1229" s="7"/>
      <c r="X1229" s="13"/>
      <c r="Y1229" s="13" t="s">
        <v>5329</v>
      </c>
    </row>
    <row r="1230" customFormat="false" ht="15.75" hidden="false" customHeight="true" outlineLevel="0" collapsed="false">
      <c r="A1230" s="7" t="s">
        <v>5330</v>
      </c>
      <c r="B1230" s="8" t="n">
        <v>2013</v>
      </c>
      <c r="C1230" s="8" t="s">
        <v>176</v>
      </c>
      <c r="D1230" s="8" t="n">
        <v>119</v>
      </c>
      <c r="E1230" s="7" t="s">
        <v>2372</v>
      </c>
      <c r="F1230" s="8" t="n">
        <v>6.5</v>
      </c>
      <c r="G1230" s="8" t="n">
        <v>6</v>
      </c>
      <c r="H1230" s="9" t="n">
        <v>308374</v>
      </c>
      <c r="I1230" s="7" t="s">
        <v>46</v>
      </c>
      <c r="J1230" s="7" t="s">
        <v>131</v>
      </c>
      <c r="K1230" s="7" t="s">
        <v>112</v>
      </c>
      <c r="L1230" s="10" t="s">
        <v>220</v>
      </c>
      <c r="M1230" s="7" t="s">
        <v>5331</v>
      </c>
      <c r="N1230" s="8" t="n">
        <v>0</v>
      </c>
      <c r="O1230" s="8" t="n">
        <v>0</v>
      </c>
      <c r="P1230" s="8" t="n">
        <v>0</v>
      </c>
      <c r="Q1230" s="8" t="n">
        <v>0</v>
      </c>
      <c r="R1230" s="13" t="n">
        <v>0</v>
      </c>
      <c r="S1230" s="13" t="n">
        <v>0</v>
      </c>
      <c r="T1230" s="13"/>
      <c r="U1230" s="11" t="n">
        <f aca="false">O1230*4 + P1230*2 + MAX(0,N1230-O1230-P1230)*1 + Q1230*0.2 + R1230*2 + S1230*1 + IF(T1230="",0,IF(T1230&lt;=10,8,IF(T1230&lt;=50,6,IF(T1230&lt;=100,4,2))))</f>
        <v>0</v>
      </c>
      <c r="V1230" s="7"/>
      <c r="W1230" s="7"/>
      <c r="X1230" s="13"/>
      <c r="Y1230" s="13" t="s">
        <v>5332</v>
      </c>
    </row>
    <row r="1231" customFormat="false" ht="15.75" hidden="false" customHeight="true" outlineLevel="0" collapsed="false">
      <c r="A1231" s="7" t="s">
        <v>5333</v>
      </c>
      <c r="B1231" s="8" t="n">
        <v>2002</v>
      </c>
      <c r="C1231" s="8" t="s">
        <v>35</v>
      </c>
      <c r="D1231" s="8" t="n">
        <v>124</v>
      </c>
      <c r="E1231" s="7" t="s">
        <v>5334</v>
      </c>
      <c r="F1231" s="8" t="n">
        <v>7.2</v>
      </c>
      <c r="G1231" s="8" t="n">
        <v>7</v>
      </c>
      <c r="H1231" s="9" t="n">
        <v>313407</v>
      </c>
      <c r="I1231" s="7" t="s">
        <v>2011</v>
      </c>
      <c r="J1231" s="7" t="s">
        <v>131</v>
      </c>
      <c r="K1231" s="7" t="s">
        <v>54</v>
      </c>
      <c r="L1231" s="10" t="s">
        <v>2512</v>
      </c>
      <c r="M1231" s="7" t="s">
        <v>5335</v>
      </c>
      <c r="N1231" s="8" t="n">
        <v>0</v>
      </c>
      <c r="O1231" s="8" t="n">
        <v>0</v>
      </c>
      <c r="P1231" s="8" t="n">
        <v>0</v>
      </c>
      <c r="Q1231" s="8" t="n">
        <v>0</v>
      </c>
      <c r="R1231" s="13" t="n">
        <v>0</v>
      </c>
      <c r="S1231" s="13" t="n">
        <v>0</v>
      </c>
      <c r="T1231" s="13"/>
      <c r="U1231" s="11" t="n">
        <f aca="false">O1231*4 + P1231*2 + MAX(0,N1231-O1231-P1231)*1 + Q1231*0.2 + R1231*2 + S1231*1 + IF(T1231="",0,IF(T1231&lt;=10,8,IF(T1231&lt;=50,6,IF(T1231&lt;=100,4,2))))</f>
        <v>0</v>
      </c>
      <c r="V1231" s="7"/>
      <c r="W1231" s="7"/>
      <c r="X1231" s="13"/>
      <c r="Y1231" s="13" t="s">
        <v>5336</v>
      </c>
    </row>
    <row r="1232" customFormat="false" ht="15.75" hidden="false" customHeight="true" outlineLevel="0" collapsed="false">
      <c r="A1232" s="7" t="s">
        <v>5337</v>
      </c>
      <c r="B1232" s="8" t="n">
        <v>2015</v>
      </c>
      <c r="C1232" s="8" t="s">
        <v>176</v>
      </c>
      <c r="D1232" s="8" t="n">
        <v>119</v>
      </c>
      <c r="E1232" s="7" t="s">
        <v>1205</v>
      </c>
      <c r="F1232" s="8" t="n">
        <v>7.1</v>
      </c>
      <c r="G1232" s="8" t="n">
        <v>6</v>
      </c>
      <c r="H1232" s="9" t="n">
        <v>336906</v>
      </c>
      <c r="I1232" s="7" t="s">
        <v>5338</v>
      </c>
      <c r="J1232" s="7" t="s">
        <v>111</v>
      </c>
      <c r="K1232" s="7" t="s">
        <v>29</v>
      </c>
      <c r="L1232" s="10" t="s">
        <v>1280</v>
      </c>
      <c r="M1232" s="7" t="s">
        <v>5339</v>
      </c>
      <c r="N1232" s="8" t="n">
        <v>0</v>
      </c>
      <c r="O1232" s="8" t="n">
        <v>0</v>
      </c>
      <c r="P1232" s="8" t="n">
        <v>0</v>
      </c>
      <c r="Q1232" s="8" t="n">
        <v>1</v>
      </c>
      <c r="R1232" s="8" t="n">
        <v>0</v>
      </c>
      <c r="S1232" s="8" t="n">
        <v>0</v>
      </c>
      <c r="T1232" s="13"/>
      <c r="U1232" s="11" t="n">
        <f aca="false">O1232*4 + P1232*2 + MAX(0,N1232-O1232-P1232)*1 + Q1232*0.2 + R1232*2 + S1232*1 + IF(T1232="",0,IF(T1232&lt;=10,8,IF(T1232&lt;=50,6,IF(T1232&lt;=100,4,2))))</f>
        <v>0.2</v>
      </c>
      <c r="V1232" s="7"/>
      <c r="W1232" s="7"/>
      <c r="X1232" s="13"/>
      <c r="Y1232" s="13" t="s">
        <v>5340</v>
      </c>
    </row>
    <row r="1233" customFormat="false" ht="15.75" hidden="false" customHeight="true" outlineLevel="0" collapsed="false">
      <c r="A1233" s="7" t="s">
        <v>5341</v>
      </c>
      <c r="B1233" s="8" t="n">
        <v>2007</v>
      </c>
      <c r="C1233" s="8" t="s">
        <v>35</v>
      </c>
      <c r="D1233" s="8" t="n">
        <v>126</v>
      </c>
      <c r="E1233" s="7" t="s">
        <v>68</v>
      </c>
      <c r="F1233" s="8" t="n">
        <v>7.1</v>
      </c>
      <c r="G1233" s="8" t="n">
        <v>6</v>
      </c>
      <c r="H1233" s="9" t="n">
        <v>378674</v>
      </c>
      <c r="I1233" s="7" t="s">
        <v>46</v>
      </c>
      <c r="J1233" s="7" t="s">
        <v>147</v>
      </c>
      <c r="K1233" s="7" t="s">
        <v>111</v>
      </c>
      <c r="L1233" s="10" t="s">
        <v>161</v>
      </c>
      <c r="M1233" s="7" t="s">
        <v>5342</v>
      </c>
      <c r="N1233" s="8" t="n">
        <v>0</v>
      </c>
      <c r="O1233" s="8" t="n">
        <v>0</v>
      </c>
      <c r="P1233" s="8" t="n">
        <v>0</v>
      </c>
      <c r="Q1233" s="8" t="n">
        <v>0</v>
      </c>
      <c r="R1233" s="13" t="n">
        <v>0</v>
      </c>
      <c r="S1233" s="13" t="n">
        <v>0</v>
      </c>
      <c r="T1233" s="13"/>
      <c r="U1233" s="11" t="n">
        <f aca="false">O1233*4 + P1233*2 + MAX(0,N1233-O1233-P1233)*1 + Q1233*0.2 + R1233*2 + S1233*1 + IF(T1233="",0,IF(T1233&lt;=10,8,IF(T1233&lt;=50,6,IF(T1233&lt;=100,4,2))))</f>
        <v>0</v>
      </c>
      <c r="V1233" s="7"/>
      <c r="W1233" s="7"/>
      <c r="X1233" s="13"/>
      <c r="Y1233" s="13" t="s">
        <v>5343</v>
      </c>
    </row>
    <row r="1234" customFormat="false" ht="15.75" hidden="false" customHeight="true" outlineLevel="0" collapsed="false">
      <c r="A1234" s="7" t="s">
        <v>5344</v>
      </c>
      <c r="B1234" s="8" t="n">
        <v>2007</v>
      </c>
      <c r="C1234" s="8" t="s">
        <v>35</v>
      </c>
      <c r="D1234" s="8" t="n">
        <v>122</v>
      </c>
      <c r="E1234" s="7" t="s">
        <v>489</v>
      </c>
      <c r="F1234" s="8" t="n">
        <v>6.9</v>
      </c>
      <c r="G1234" s="8" t="n">
        <v>6</v>
      </c>
      <c r="H1234" s="9" t="n">
        <v>389379</v>
      </c>
      <c r="I1234" s="7" t="s">
        <v>46</v>
      </c>
      <c r="J1234" s="7" t="s">
        <v>131</v>
      </c>
      <c r="K1234" s="7" t="s">
        <v>54</v>
      </c>
      <c r="L1234" s="10" t="s">
        <v>4938</v>
      </c>
      <c r="M1234" s="7" t="s">
        <v>5345</v>
      </c>
      <c r="N1234" s="8" t="n">
        <v>0</v>
      </c>
      <c r="O1234" s="8" t="n">
        <v>0</v>
      </c>
      <c r="P1234" s="8" t="n">
        <v>0</v>
      </c>
      <c r="Q1234" s="8" t="n">
        <v>0</v>
      </c>
      <c r="R1234" s="13" t="n">
        <v>0</v>
      </c>
      <c r="S1234" s="13" t="n">
        <v>0</v>
      </c>
      <c r="T1234" s="13"/>
      <c r="U1234" s="11" t="n">
        <f aca="false">O1234*4 + P1234*2 + MAX(0,N1234-O1234-P1234)*1 + Q1234*0.2 + R1234*2 + S1234*1 + IF(T1234="",0,IF(T1234&lt;=10,8,IF(T1234&lt;=50,6,IF(T1234&lt;=100,4,2))))</f>
        <v>0</v>
      </c>
      <c r="V1234" s="7"/>
      <c r="W1234" s="7"/>
      <c r="X1234" s="13"/>
      <c r="Y1234" s="13" t="s">
        <v>5346</v>
      </c>
    </row>
    <row r="1235" customFormat="false" ht="15.75" hidden="false" customHeight="true" outlineLevel="0" collapsed="false">
      <c r="A1235" s="7" t="s">
        <v>5347</v>
      </c>
      <c r="B1235" s="8" t="n">
        <v>2021</v>
      </c>
      <c r="C1235" s="8" t="s">
        <v>378</v>
      </c>
      <c r="D1235" s="8" t="n">
        <v>95</v>
      </c>
      <c r="E1235" s="7" t="s">
        <v>5348</v>
      </c>
      <c r="F1235" s="8" t="n">
        <v>7.4</v>
      </c>
      <c r="G1235" s="8" t="n">
        <v>6</v>
      </c>
      <c r="H1235" s="9" t="n">
        <v>226691</v>
      </c>
      <c r="I1235" s="7" t="s">
        <v>46</v>
      </c>
      <c r="J1235" s="7" t="s">
        <v>579</v>
      </c>
      <c r="K1235" s="7" t="s">
        <v>39</v>
      </c>
      <c r="L1235" s="10" t="s">
        <v>177</v>
      </c>
      <c r="M1235" s="10" t="s">
        <v>5349</v>
      </c>
      <c r="N1235" s="8" t="n">
        <v>0</v>
      </c>
      <c r="O1235" s="8" t="n">
        <v>0</v>
      </c>
      <c r="P1235" s="8" t="n">
        <v>0</v>
      </c>
      <c r="Q1235" s="8" t="n">
        <v>1</v>
      </c>
      <c r="R1235" s="8" t="n">
        <v>0</v>
      </c>
      <c r="S1235" s="8" t="n">
        <v>0</v>
      </c>
      <c r="T1235" s="13"/>
      <c r="U1235" s="11" t="n">
        <f aca="false">O1235*4 + P1235*2 + MAX(0,N1235-O1235-P1235)*1 + Q1235*0.2 + R1235*2 + S1235*1 + IF(T1235="",0,IF(T1235&lt;=10,8,IF(T1235&lt;=50,6,IF(T1235&lt;=100,4,2))))</f>
        <v>0.2</v>
      </c>
      <c r="V1235" s="7"/>
      <c r="W1235" s="7"/>
      <c r="X1235" s="13"/>
      <c r="Y1235" s="13" t="s">
        <v>5350</v>
      </c>
    </row>
    <row r="1236" customFormat="false" ht="15.75" hidden="false" customHeight="true" outlineLevel="0" collapsed="false">
      <c r="A1236" s="7" t="s">
        <v>5351</v>
      </c>
      <c r="B1236" s="8" t="n">
        <v>2000</v>
      </c>
      <c r="C1236" s="8" t="s">
        <v>35</v>
      </c>
      <c r="D1236" s="8" t="n">
        <v>84</v>
      </c>
      <c r="E1236" s="7" t="s">
        <v>5352</v>
      </c>
      <c r="F1236" s="8" t="n">
        <v>7.1</v>
      </c>
      <c r="G1236" s="8" t="n">
        <v>6</v>
      </c>
      <c r="H1236" s="9" t="n">
        <v>226298</v>
      </c>
      <c r="I1236" s="7" t="s">
        <v>280</v>
      </c>
      <c r="J1236" s="7" t="s">
        <v>579</v>
      </c>
      <c r="K1236" s="7" t="s">
        <v>39</v>
      </c>
      <c r="L1236" s="10" t="s">
        <v>2616</v>
      </c>
      <c r="M1236" s="10" t="s">
        <v>5353</v>
      </c>
      <c r="N1236" s="8" t="n">
        <v>0</v>
      </c>
      <c r="O1236" s="8" t="n">
        <v>0</v>
      </c>
      <c r="P1236" s="8" t="n">
        <v>0</v>
      </c>
      <c r="Q1236" s="8" t="n">
        <v>0</v>
      </c>
      <c r="R1236" s="13" t="n">
        <v>0</v>
      </c>
      <c r="S1236" s="13" t="n">
        <v>0</v>
      </c>
      <c r="T1236" s="13"/>
      <c r="U1236" s="11" t="n">
        <f aca="false">O1236*4 + P1236*2 + MAX(0,N1236-O1236-P1236)*1 + Q1236*0.2 + R1236*2 + S1236*1 + IF(T1236="",0,IF(T1236&lt;=10,8,IF(T1236&lt;=50,6,IF(T1236&lt;=100,4,2))))</f>
        <v>0</v>
      </c>
      <c r="V1236" s="7"/>
      <c r="W1236" s="7"/>
      <c r="X1236" s="13"/>
      <c r="Y1236" s="13" t="s">
        <v>5354</v>
      </c>
    </row>
    <row r="1237" customFormat="false" ht="15.75" hidden="false" customHeight="true" outlineLevel="0" collapsed="false">
      <c r="A1237" s="7" t="s">
        <v>5355</v>
      </c>
      <c r="B1237" s="8" t="n">
        <v>2008</v>
      </c>
      <c r="C1237" s="8" t="s">
        <v>35</v>
      </c>
      <c r="D1237" s="8" t="n">
        <v>91</v>
      </c>
      <c r="E1237" s="7" t="s">
        <v>1894</v>
      </c>
      <c r="F1237" s="8" t="n">
        <v>5</v>
      </c>
      <c r="G1237" s="8" t="n">
        <v>5</v>
      </c>
      <c r="H1237" s="9" t="n">
        <v>227724</v>
      </c>
      <c r="I1237" s="7" t="s">
        <v>5356</v>
      </c>
      <c r="J1237" s="7" t="s">
        <v>111</v>
      </c>
      <c r="K1237" s="7" t="s">
        <v>39</v>
      </c>
      <c r="L1237" s="10"/>
      <c r="M1237" s="10" t="s">
        <v>5357</v>
      </c>
      <c r="N1237" s="8" t="n">
        <v>0</v>
      </c>
      <c r="O1237" s="8" t="n">
        <v>0</v>
      </c>
      <c r="P1237" s="8" t="n">
        <v>0</v>
      </c>
      <c r="Q1237" s="8" t="n">
        <v>0</v>
      </c>
      <c r="R1237" s="13" t="n">
        <v>0</v>
      </c>
      <c r="S1237" s="13" t="n">
        <v>0</v>
      </c>
      <c r="T1237" s="13"/>
      <c r="U1237" s="11" t="n">
        <f aca="false">O1237*4 + P1237*2 + MAX(0,N1237-O1237-P1237)*1 + Q1237*0.2 + R1237*2 + S1237*1 + IF(T1237="",0,IF(T1237&lt;=10,8,IF(T1237&lt;=50,6,IF(T1237&lt;=100,4,2))))</f>
        <v>0</v>
      </c>
      <c r="V1237" s="7"/>
      <c r="W1237" s="7"/>
      <c r="X1237" s="13"/>
      <c r="Y1237" s="13" t="s">
        <v>5358</v>
      </c>
    </row>
    <row r="1238" customFormat="false" ht="15.75" hidden="false" customHeight="true" outlineLevel="0" collapsed="false">
      <c r="A1238" s="7" t="s">
        <v>5359</v>
      </c>
      <c r="B1238" s="8" t="n">
        <v>2021</v>
      </c>
      <c r="C1238" s="8" t="s">
        <v>378</v>
      </c>
      <c r="D1238" s="8" t="n">
        <v>138</v>
      </c>
      <c r="E1238" s="7" t="s">
        <v>5360</v>
      </c>
      <c r="F1238" s="8" t="n">
        <v>6.6</v>
      </c>
      <c r="G1238" s="8" t="n">
        <v>6</v>
      </c>
      <c r="H1238" s="9" t="n">
        <v>256634</v>
      </c>
      <c r="I1238" s="7" t="s">
        <v>46</v>
      </c>
      <c r="J1238" s="7" t="s">
        <v>112</v>
      </c>
      <c r="K1238" s="7" t="s">
        <v>39</v>
      </c>
      <c r="L1238" s="10" t="s">
        <v>113</v>
      </c>
      <c r="M1238" s="7" t="s">
        <v>5361</v>
      </c>
      <c r="N1238" s="8" t="n">
        <v>0</v>
      </c>
      <c r="O1238" s="8" t="n">
        <v>0</v>
      </c>
      <c r="P1238" s="8" t="n">
        <v>0</v>
      </c>
      <c r="Q1238" s="8" t="n">
        <v>0</v>
      </c>
      <c r="R1238" s="13" t="n">
        <v>0</v>
      </c>
      <c r="S1238" s="13" t="n">
        <v>0</v>
      </c>
      <c r="T1238" s="13"/>
      <c r="U1238" s="11" t="n">
        <f aca="false">O1238*4 + P1238*2 + MAX(0,N1238-O1238-P1238)*1 + Q1238*0.2 + R1238*2 + S1238*1 + IF(T1238="",0,IF(T1238&lt;=10,8,IF(T1238&lt;=50,6,IF(T1238&lt;=100,4,2))))</f>
        <v>0</v>
      </c>
      <c r="V1238" s="7"/>
      <c r="W1238" s="7"/>
      <c r="X1238" s="13"/>
      <c r="Y1238" s="13" t="s">
        <v>5362</v>
      </c>
    </row>
    <row r="1239" customFormat="false" ht="15.75" hidden="false" customHeight="true" outlineLevel="0" collapsed="false">
      <c r="A1239" s="7" t="s">
        <v>5363</v>
      </c>
      <c r="B1239" s="8" t="n">
        <v>1990</v>
      </c>
      <c r="C1239" s="8" t="s">
        <v>26</v>
      </c>
      <c r="D1239" s="8" t="n">
        <v>126</v>
      </c>
      <c r="E1239" s="7" t="s">
        <v>5364</v>
      </c>
      <c r="F1239" s="8" t="n">
        <v>7.1</v>
      </c>
      <c r="G1239" s="8" t="n">
        <v>7</v>
      </c>
      <c r="H1239" s="9" t="n">
        <v>258548</v>
      </c>
      <c r="I1239" s="7" t="s">
        <v>46</v>
      </c>
      <c r="J1239" s="7" t="s">
        <v>38</v>
      </c>
      <c r="K1239" s="7" t="s">
        <v>29</v>
      </c>
      <c r="L1239" s="10"/>
      <c r="M1239" s="7" t="s">
        <v>5365</v>
      </c>
      <c r="N1239" s="8" t="n">
        <v>2</v>
      </c>
      <c r="O1239" s="8" t="n">
        <v>0</v>
      </c>
      <c r="P1239" s="8" t="n">
        <v>0</v>
      </c>
      <c r="Q1239" s="8" t="n">
        <v>5</v>
      </c>
      <c r="R1239" s="8" t="n">
        <v>0</v>
      </c>
      <c r="S1239" s="8" t="n">
        <v>0</v>
      </c>
      <c r="T1239" s="13"/>
      <c r="U1239" s="11" t="n">
        <f aca="false">O1239*4 + P1239*2 + MAX(0,N1239-O1239-P1239)*1 + Q1239*0.2 + R1239*2 + S1239*1 + IF(T1239="",0,IF(T1239&lt;=10,8,IF(T1239&lt;=50,6,IF(T1239&lt;=100,4,2))))</f>
        <v>3</v>
      </c>
      <c r="V1239" s="7"/>
      <c r="W1239" s="7"/>
      <c r="X1239" s="13"/>
      <c r="Y1239" s="13" t="s">
        <v>5366</v>
      </c>
    </row>
    <row r="1240" customFormat="false" ht="15.75" hidden="false" customHeight="true" outlineLevel="0" collapsed="false">
      <c r="A1240" s="7" t="s">
        <v>5367</v>
      </c>
      <c r="B1240" s="8" t="n">
        <v>2014</v>
      </c>
      <c r="C1240" s="8" t="s">
        <v>176</v>
      </c>
      <c r="D1240" s="8" t="n">
        <v>94</v>
      </c>
      <c r="E1240" s="7" t="s">
        <v>5368</v>
      </c>
      <c r="F1240" s="8" t="n">
        <v>6.8</v>
      </c>
      <c r="G1240" s="8" t="n">
        <v>8</v>
      </c>
      <c r="H1240" s="9" t="n">
        <v>272043</v>
      </c>
      <c r="I1240" s="7" t="s">
        <v>5369</v>
      </c>
      <c r="J1240" s="7" t="s">
        <v>147</v>
      </c>
      <c r="K1240" s="7" t="s">
        <v>125</v>
      </c>
      <c r="L1240" s="10"/>
      <c r="M1240" s="7" t="s">
        <v>5370</v>
      </c>
      <c r="N1240" s="8" t="n">
        <v>0</v>
      </c>
      <c r="O1240" s="8" t="n">
        <v>0</v>
      </c>
      <c r="P1240" s="8" t="n">
        <v>0</v>
      </c>
      <c r="Q1240" s="8" t="n">
        <v>0</v>
      </c>
      <c r="R1240" s="13" t="n">
        <v>0</v>
      </c>
      <c r="S1240" s="13" t="n">
        <v>0</v>
      </c>
      <c r="T1240" s="13"/>
      <c r="U1240" s="11" t="n">
        <f aca="false">O1240*4 + P1240*2 + MAX(0,N1240-O1240-P1240)*1 + Q1240*0.2 + R1240*2 + S1240*1 + IF(T1240="",0,IF(T1240&lt;=10,8,IF(T1240&lt;=50,6,IF(T1240&lt;=100,4,2))))</f>
        <v>0</v>
      </c>
      <c r="V1240" s="7"/>
      <c r="W1240" s="7"/>
      <c r="X1240" s="13"/>
      <c r="Y1240" s="13" t="s">
        <v>5371</v>
      </c>
    </row>
    <row r="1241" customFormat="false" ht="15.75" hidden="false" customHeight="true" outlineLevel="0" collapsed="false">
      <c r="A1241" s="7" t="s">
        <v>5372</v>
      </c>
      <c r="B1241" s="8" t="n">
        <v>2011</v>
      </c>
      <c r="C1241" s="8" t="s">
        <v>176</v>
      </c>
      <c r="D1241" s="8" t="n">
        <v>118</v>
      </c>
      <c r="E1241" s="7" t="s">
        <v>5373</v>
      </c>
      <c r="F1241" s="8" t="n">
        <v>7.3</v>
      </c>
      <c r="G1241" s="8" t="n">
        <v>6</v>
      </c>
      <c r="H1241" s="9" t="n">
        <v>272030</v>
      </c>
      <c r="I1241" s="7"/>
      <c r="J1241" s="7" t="s">
        <v>47</v>
      </c>
      <c r="K1241" s="7" t="s">
        <v>125</v>
      </c>
      <c r="L1241" s="10"/>
      <c r="M1241" s="7" t="s">
        <v>5374</v>
      </c>
      <c r="N1241" s="8" t="n">
        <v>0</v>
      </c>
      <c r="O1241" s="8" t="n">
        <v>0</v>
      </c>
      <c r="P1241" s="8" t="n">
        <v>0</v>
      </c>
      <c r="Q1241" s="8" t="n">
        <v>0</v>
      </c>
      <c r="R1241" s="13" t="n">
        <v>0</v>
      </c>
      <c r="S1241" s="13" t="n">
        <v>0</v>
      </c>
      <c r="T1241" s="13"/>
      <c r="U1241" s="11" t="n">
        <f aca="false">O1241*4 + P1241*2 + MAX(0,N1241-O1241-P1241)*1 + Q1241*0.2 + R1241*2 + S1241*1 + IF(T1241="",0,IF(T1241&lt;=10,8,IF(T1241&lt;=50,6,IF(T1241&lt;=100,4,2))))</f>
        <v>0</v>
      </c>
      <c r="V1241" s="7"/>
      <c r="W1241" s="7"/>
      <c r="X1241" s="13"/>
      <c r="Y1241" s="13" t="s">
        <v>5375</v>
      </c>
    </row>
    <row r="1242" customFormat="false" ht="15.75" hidden="false" customHeight="true" outlineLevel="0" collapsed="false">
      <c r="A1242" s="7" t="s">
        <v>5376</v>
      </c>
      <c r="B1242" s="8" t="n">
        <v>1984</v>
      </c>
      <c r="C1242" s="8" t="s">
        <v>109</v>
      </c>
      <c r="D1242" s="8" t="n">
        <v>126</v>
      </c>
      <c r="E1242" s="7" t="s">
        <v>5377</v>
      </c>
      <c r="F1242" s="8" t="n">
        <v>7.4</v>
      </c>
      <c r="G1242" s="8" t="n">
        <v>7</v>
      </c>
      <c r="H1242" s="9" t="n">
        <v>273780</v>
      </c>
      <c r="I1242" s="7" t="s">
        <v>46</v>
      </c>
      <c r="J1242" s="7" t="s">
        <v>112</v>
      </c>
      <c r="K1242" s="7" t="s">
        <v>259</v>
      </c>
      <c r="L1242" s="10" t="s">
        <v>113</v>
      </c>
      <c r="M1242" s="7" t="s">
        <v>5378</v>
      </c>
      <c r="N1242" s="8" t="n">
        <v>0</v>
      </c>
      <c r="O1242" s="8" t="n">
        <v>0</v>
      </c>
      <c r="P1242" s="8" t="n">
        <v>0</v>
      </c>
      <c r="Q1242" s="8" t="n">
        <v>1</v>
      </c>
      <c r="R1242" s="8" t="n">
        <v>0</v>
      </c>
      <c r="S1242" s="8" t="n">
        <v>0</v>
      </c>
      <c r="T1242" s="13"/>
      <c r="U1242" s="11" t="n">
        <f aca="false">O1242*4 + P1242*2 + MAX(0,N1242-O1242-P1242)*1 + Q1242*0.2 + R1242*2 + S1242*1 + IF(T1242="",0,IF(T1242&lt;=10,8,IF(T1242&lt;=50,6,IF(T1242&lt;=100,4,2))))</f>
        <v>0.2</v>
      </c>
      <c r="V1242" s="7"/>
      <c r="W1242" s="7"/>
      <c r="X1242" s="13"/>
      <c r="Y1242" s="13" t="s">
        <v>5379</v>
      </c>
    </row>
    <row r="1243" customFormat="false" ht="15.75" hidden="false" customHeight="true" outlineLevel="0" collapsed="false">
      <c r="A1243" s="7" t="s">
        <v>5380</v>
      </c>
      <c r="B1243" s="8" t="n">
        <v>2004</v>
      </c>
      <c r="C1243" s="8" t="s">
        <v>35</v>
      </c>
      <c r="D1243" s="8" t="n">
        <v>127</v>
      </c>
      <c r="E1243" s="7" t="s">
        <v>971</v>
      </c>
      <c r="F1243" s="8" t="n">
        <v>7.3</v>
      </c>
      <c r="G1243" s="8" t="n">
        <v>6</v>
      </c>
      <c r="H1243" s="9" t="n">
        <v>276242</v>
      </c>
      <c r="I1243" s="7" t="s">
        <v>46</v>
      </c>
      <c r="J1243" s="7" t="s">
        <v>47</v>
      </c>
      <c r="K1243" s="7"/>
      <c r="L1243" s="10" t="s">
        <v>847</v>
      </c>
      <c r="M1243" s="7" t="s">
        <v>5381</v>
      </c>
      <c r="N1243" s="8" t="n">
        <v>0</v>
      </c>
      <c r="O1243" s="8" t="n">
        <v>0</v>
      </c>
      <c r="P1243" s="8" t="n">
        <v>0</v>
      </c>
      <c r="Q1243" s="8" t="n">
        <v>3</v>
      </c>
      <c r="R1243" s="8" t="n">
        <v>0</v>
      </c>
      <c r="S1243" s="8" t="n">
        <v>0</v>
      </c>
      <c r="T1243" s="13"/>
      <c r="U1243" s="11" t="n">
        <f aca="false">O1243*4 + P1243*2 + MAX(0,N1243-O1243-P1243)*1 + Q1243*0.2 + R1243*2 + S1243*1 + IF(T1243="",0,IF(T1243&lt;=10,8,IF(T1243&lt;=50,6,IF(T1243&lt;=100,4,2))))</f>
        <v>0.6</v>
      </c>
      <c r="V1243" s="7"/>
      <c r="W1243" s="7"/>
      <c r="X1243" s="13"/>
      <c r="Y1243" s="13" t="s">
        <v>5382</v>
      </c>
    </row>
    <row r="1244" customFormat="false" ht="15.75" hidden="false" customHeight="true" outlineLevel="0" collapsed="false">
      <c r="A1244" s="7" t="s">
        <v>5383</v>
      </c>
      <c r="B1244" s="8" t="n">
        <v>1987</v>
      </c>
      <c r="C1244" s="8" t="s">
        <v>109</v>
      </c>
      <c r="D1244" s="8" t="n">
        <v>100</v>
      </c>
      <c r="E1244" s="7" t="s">
        <v>5384</v>
      </c>
      <c r="F1244" s="8" t="n">
        <v>7.1</v>
      </c>
      <c r="G1244" s="8" t="n">
        <v>6</v>
      </c>
      <c r="H1244" s="9" t="n">
        <v>283244</v>
      </c>
      <c r="I1244" s="7" t="s">
        <v>46</v>
      </c>
      <c r="J1244" s="7" t="s">
        <v>90</v>
      </c>
      <c r="K1244" s="7" t="s">
        <v>132</v>
      </c>
      <c r="L1244" s="10" t="s">
        <v>5385</v>
      </c>
      <c r="M1244" s="7" t="s">
        <v>5386</v>
      </c>
      <c r="N1244" s="8" t="n">
        <v>1</v>
      </c>
      <c r="O1244" s="8" t="n">
        <v>0</v>
      </c>
      <c r="P1244" s="8" t="n">
        <v>0</v>
      </c>
      <c r="Q1244" s="8" t="n">
        <v>1</v>
      </c>
      <c r="R1244" s="8" t="n">
        <v>0</v>
      </c>
      <c r="S1244" s="8" t="n">
        <v>0</v>
      </c>
      <c r="T1244" s="13"/>
      <c r="U1244" s="11" t="n">
        <f aca="false">O1244*4 + P1244*2 + MAX(0,N1244-O1244-P1244)*1 + Q1244*0.2 + R1244*2 + S1244*1 + IF(T1244="",0,IF(T1244&lt;=10,8,IF(T1244&lt;=50,6,IF(T1244&lt;=100,4,2))))</f>
        <v>1.2</v>
      </c>
      <c r="V1244" s="7"/>
      <c r="W1244" s="7"/>
      <c r="X1244" s="13"/>
      <c r="Y1244" s="13" t="s">
        <v>5387</v>
      </c>
    </row>
    <row r="1245" customFormat="false" ht="15.75" hidden="false" customHeight="true" outlineLevel="0" collapsed="false">
      <c r="A1245" s="7" t="s">
        <v>5388</v>
      </c>
      <c r="B1245" s="8" t="n">
        <v>2010</v>
      </c>
      <c r="C1245" s="8" t="s">
        <v>176</v>
      </c>
      <c r="D1245" s="8" t="n">
        <v>140</v>
      </c>
      <c r="E1245" s="7" t="s">
        <v>1074</v>
      </c>
      <c r="F1245" s="8" t="n">
        <v>6.6</v>
      </c>
      <c r="G1245" s="8" t="n">
        <v>6</v>
      </c>
      <c r="H1245" s="9" t="n">
        <v>297774</v>
      </c>
      <c r="I1245" s="7" t="s">
        <v>359</v>
      </c>
      <c r="J1245" s="7" t="s">
        <v>112</v>
      </c>
      <c r="K1245" s="7" t="s">
        <v>39</v>
      </c>
      <c r="L1245" s="10" t="s">
        <v>5389</v>
      </c>
      <c r="M1245" s="7" t="s">
        <v>5390</v>
      </c>
      <c r="N1245" s="8" t="n">
        <v>0</v>
      </c>
      <c r="O1245" s="8" t="n">
        <v>0</v>
      </c>
      <c r="P1245" s="8" t="n">
        <v>0</v>
      </c>
      <c r="Q1245" s="8" t="n">
        <v>0</v>
      </c>
      <c r="R1245" s="13" t="n">
        <v>0</v>
      </c>
      <c r="S1245" s="13" t="n">
        <v>0</v>
      </c>
      <c r="T1245" s="13"/>
      <c r="U1245" s="11" t="n">
        <f aca="false">O1245*4 + P1245*2 + MAX(0,N1245-O1245-P1245)*1 + Q1245*0.2 + R1245*2 + S1245*1 + IF(T1245="",0,IF(T1245&lt;=10,8,IF(T1245&lt;=50,6,IF(T1245&lt;=100,4,2))))</f>
        <v>0</v>
      </c>
      <c r="V1245" s="7"/>
      <c r="W1245" s="7"/>
      <c r="X1245" s="13"/>
      <c r="Y1245" s="13" t="s">
        <v>5391</v>
      </c>
    </row>
    <row r="1246" customFormat="false" ht="15.75" hidden="false" customHeight="true" outlineLevel="0" collapsed="false">
      <c r="A1246" s="7" t="s">
        <v>5392</v>
      </c>
      <c r="B1246" s="8" t="n">
        <v>2017</v>
      </c>
      <c r="C1246" s="8" t="s">
        <v>176</v>
      </c>
      <c r="D1246" s="8" t="n">
        <v>114</v>
      </c>
      <c r="E1246" s="7" t="s">
        <v>5393</v>
      </c>
      <c r="F1246" s="8" t="n">
        <v>6.5</v>
      </c>
      <c r="G1246" s="8" t="n">
        <v>6</v>
      </c>
      <c r="H1246" s="9" t="n">
        <v>323689</v>
      </c>
      <c r="I1246" s="7" t="s">
        <v>359</v>
      </c>
      <c r="J1246" s="7" t="s">
        <v>30</v>
      </c>
      <c r="K1246" s="7" t="s">
        <v>54</v>
      </c>
      <c r="L1246" s="10" t="s">
        <v>2616</v>
      </c>
      <c r="M1246" s="7" t="s">
        <v>5394</v>
      </c>
      <c r="N1246" s="8" t="n">
        <v>0</v>
      </c>
      <c r="O1246" s="8" t="n">
        <v>0</v>
      </c>
      <c r="P1246" s="8" t="n">
        <v>0</v>
      </c>
      <c r="Q1246" s="8" t="n">
        <v>0</v>
      </c>
      <c r="R1246" s="13" t="n">
        <v>0</v>
      </c>
      <c r="S1246" s="13" t="n">
        <v>0</v>
      </c>
      <c r="T1246" s="13"/>
      <c r="U1246" s="11" t="n">
        <f aca="false">O1246*4 + P1246*2 + MAX(0,N1246-O1246-P1246)*1 + Q1246*0.2 + R1246*2 + S1246*1 + IF(T1246="",0,IF(T1246&lt;=10,8,IF(T1246&lt;=50,6,IF(T1246&lt;=100,4,2))))</f>
        <v>0</v>
      </c>
      <c r="V1246" s="7"/>
      <c r="W1246" s="7"/>
      <c r="X1246" s="13"/>
      <c r="Y1246" s="13" t="s">
        <v>5395</v>
      </c>
    </row>
    <row r="1247" customFormat="false" ht="15.75" hidden="false" customHeight="true" outlineLevel="0" collapsed="false">
      <c r="A1247" s="7" t="s">
        <v>5396</v>
      </c>
      <c r="B1247" s="8" t="n">
        <v>2020</v>
      </c>
      <c r="C1247" s="8" t="s">
        <v>378</v>
      </c>
      <c r="D1247" s="8" t="n">
        <v>97</v>
      </c>
      <c r="E1247" s="7" t="s">
        <v>5397</v>
      </c>
      <c r="F1247" s="8" t="n">
        <v>7.2</v>
      </c>
      <c r="G1247" s="8" t="n">
        <v>6</v>
      </c>
      <c r="H1247" s="9" t="n">
        <v>327414</v>
      </c>
      <c r="I1247" s="7" t="s">
        <v>46</v>
      </c>
      <c r="J1247" s="7" t="s">
        <v>147</v>
      </c>
      <c r="K1247" s="7" t="s">
        <v>111</v>
      </c>
      <c r="L1247" s="10"/>
      <c r="M1247" s="7" t="s">
        <v>5398</v>
      </c>
      <c r="N1247" s="8" t="n">
        <v>0</v>
      </c>
      <c r="O1247" s="8" t="n">
        <v>0</v>
      </c>
      <c r="P1247" s="8" t="n">
        <v>0</v>
      </c>
      <c r="Q1247" s="8" t="n">
        <v>0</v>
      </c>
      <c r="R1247" s="13" t="n">
        <v>0</v>
      </c>
      <c r="S1247" s="13" t="n">
        <v>0</v>
      </c>
      <c r="T1247" s="13"/>
      <c r="U1247" s="11" t="n">
        <f aca="false">O1247*4 + P1247*2 + MAX(0,N1247-O1247-P1247)*1 + Q1247*0.2 + R1247*2 + S1247*1 + IF(T1247="",0,IF(T1247&lt;=10,8,IF(T1247&lt;=50,6,IF(T1247&lt;=100,4,2))))</f>
        <v>0</v>
      </c>
      <c r="V1247" s="7"/>
      <c r="W1247" s="7"/>
      <c r="X1247" s="13"/>
      <c r="Y1247" s="13" t="s">
        <v>5399</v>
      </c>
    </row>
    <row r="1248" customFormat="false" ht="15.75" hidden="false" customHeight="true" outlineLevel="0" collapsed="false">
      <c r="A1248" s="7" t="s">
        <v>5400</v>
      </c>
      <c r="B1248" s="8" t="n">
        <v>2025</v>
      </c>
      <c r="C1248" s="8" t="s">
        <v>378</v>
      </c>
      <c r="D1248" s="8" t="n">
        <v>149</v>
      </c>
      <c r="E1248" s="7" t="s">
        <v>1657</v>
      </c>
      <c r="F1248" s="8" t="n">
        <v>7.4</v>
      </c>
      <c r="G1248" s="8" t="n">
        <v>7</v>
      </c>
      <c r="H1248" s="9" t="n">
        <v>331971</v>
      </c>
      <c r="I1248" s="7" t="s">
        <v>373</v>
      </c>
      <c r="J1248" s="7" t="s">
        <v>147</v>
      </c>
      <c r="K1248" s="7" t="s">
        <v>38</v>
      </c>
      <c r="L1248" s="10" t="s">
        <v>238</v>
      </c>
      <c r="M1248" s="10" t="s">
        <v>5401</v>
      </c>
      <c r="N1248" s="8" t="n">
        <v>3</v>
      </c>
      <c r="O1248" s="8" t="n">
        <v>0</v>
      </c>
      <c r="P1248" s="8" t="n">
        <v>0</v>
      </c>
      <c r="Q1248" s="8" t="n">
        <v>9</v>
      </c>
      <c r="R1248" s="8" t="n">
        <v>0</v>
      </c>
      <c r="S1248" s="8" t="n">
        <v>0</v>
      </c>
      <c r="T1248" s="13"/>
      <c r="U1248" s="11" t="n">
        <f aca="false">O1248*4 + P1248*2 + MAX(0,N1248-O1248-P1248)*1 + Q1248*0.2 + R1248*2 + S1248*1 + IF(T1248="",0,IF(T1248&lt;=10,8,IF(T1248&lt;=50,6,IF(T1248&lt;=100,4,2))))</f>
        <v>4.8</v>
      </c>
      <c r="V1248" s="7"/>
      <c r="W1248" s="7"/>
      <c r="X1248" s="13"/>
      <c r="Y1248" s="13" t="s">
        <v>5402</v>
      </c>
    </row>
    <row r="1249" customFormat="false" ht="15.75" hidden="false" customHeight="true" outlineLevel="0" collapsed="false">
      <c r="A1249" s="7" t="s">
        <v>5403</v>
      </c>
      <c r="B1249" s="8" t="n">
        <v>2009</v>
      </c>
      <c r="C1249" s="8" t="s">
        <v>35</v>
      </c>
      <c r="D1249" s="8" t="n">
        <v>140</v>
      </c>
      <c r="E1249" s="7" t="s">
        <v>770</v>
      </c>
      <c r="F1249" s="8" t="n">
        <v>6.9</v>
      </c>
      <c r="G1249" s="8" t="n">
        <v>6</v>
      </c>
      <c r="H1249" s="9" t="n">
        <v>336467</v>
      </c>
      <c r="I1249" s="7" t="s">
        <v>46</v>
      </c>
      <c r="J1249" s="7" t="s">
        <v>47</v>
      </c>
      <c r="K1249" s="7" t="s">
        <v>54</v>
      </c>
      <c r="L1249" s="10" t="s">
        <v>113</v>
      </c>
      <c r="M1249" s="7" t="s">
        <v>5404</v>
      </c>
      <c r="N1249" s="8" t="n">
        <v>0</v>
      </c>
      <c r="O1249" s="8" t="n">
        <v>0</v>
      </c>
      <c r="P1249" s="8" t="n">
        <v>0</v>
      </c>
      <c r="Q1249" s="8" t="n">
        <v>0</v>
      </c>
      <c r="R1249" s="13" t="n">
        <v>0</v>
      </c>
      <c r="S1249" s="13" t="n">
        <v>0</v>
      </c>
      <c r="T1249" s="13"/>
      <c r="U1249" s="11" t="n">
        <f aca="false">O1249*4 + P1249*2 + MAX(0,N1249-O1249-P1249)*1 + Q1249*0.2 + R1249*2 + S1249*1 + IF(T1249="",0,IF(T1249&lt;=10,8,IF(T1249&lt;=50,6,IF(T1249&lt;=100,4,2))))</f>
        <v>0</v>
      </c>
      <c r="V1249" s="7"/>
      <c r="W1249" s="7"/>
      <c r="X1249" s="13"/>
      <c r="Y1249" s="13" t="s">
        <v>5405</v>
      </c>
    </row>
    <row r="1250" customFormat="false" ht="15.75" hidden="false" customHeight="true" outlineLevel="0" collapsed="false">
      <c r="A1250" s="7" t="s">
        <v>5406</v>
      </c>
      <c r="B1250" s="8" t="n">
        <v>1995</v>
      </c>
      <c r="C1250" s="8" t="s">
        <v>26</v>
      </c>
      <c r="D1250" s="8" t="n">
        <v>140</v>
      </c>
      <c r="E1250" s="7" t="s">
        <v>172</v>
      </c>
      <c r="F1250" s="8" t="n">
        <v>7.7</v>
      </c>
      <c r="G1250" s="8" t="n">
        <v>7</v>
      </c>
      <c r="H1250" s="9" t="n">
        <v>341412</v>
      </c>
      <c r="I1250" s="7" t="s">
        <v>46</v>
      </c>
      <c r="J1250" s="7" t="s">
        <v>39</v>
      </c>
      <c r="K1250" s="7" t="s">
        <v>453</v>
      </c>
      <c r="L1250" s="10" t="s">
        <v>238</v>
      </c>
      <c r="M1250" s="7" t="s">
        <v>5407</v>
      </c>
      <c r="N1250" s="8" t="n">
        <v>2</v>
      </c>
      <c r="O1250" s="8" t="n">
        <v>0</v>
      </c>
      <c r="P1250" s="8" t="n">
        <v>0</v>
      </c>
      <c r="Q1250" s="8" t="n">
        <v>9</v>
      </c>
      <c r="R1250" s="8" t="n">
        <v>0</v>
      </c>
      <c r="S1250" s="8" t="n">
        <v>0</v>
      </c>
      <c r="T1250" s="13"/>
      <c r="U1250" s="11" t="n">
        <f aca="false">O1250*4 + P1250*2 + MAX(0,N1250-O1250-P1250)*1 + Q1250*0.2 + R1250*2 + S1250*1 + IF(T1250="",0,IF(T1250&lt;=10,8,IF(T1250&lt;=50,6,IF(T1250&lt;=100,4,2))))</f>
        <v>3.8</v>
      </c>
      <c r="V1250" s="7"/>
      <c r="W1250" s="7"/>
      <c r="X1250" s="13"/>
      <c r="Y1250" s="13" t="s">
        <v>5408</v>
      </c>
    </row>
    <row r="1251" customFormat="false" ht="15.75" hidden="false" customHeight="true" outlineLevel="0" collapsed="false">
      <c r="A1251" s="7" t="s">
        <v>5409</v>
      </c>
      <c r="B1251" s="8" t="n">
        <v>2002</v>
      </c>
      <c r="C1251" s="8" t="s">
        <v>35</v>
      </c>
      <c r="D1251" s="8" t="n">
        <v>118</v>
      </c>
      <c r="E1251" s="7" t="s">
        <v>979</v>
      </c>
      <c r="F1251" s="8" t="n">
        <v>7.2</v>
      </c>
      <c r="G1251" s="8" t="n">
        <v>6</v>
      </c>
      <c r="H1251" s="9" t="n">
        <v>349683</v>
      </c>
      <c r="I1251" s="7" t="s">
        <v>28</v>
      </c>
      <c r="J1251" s="7" t="s">
        <v>131</v>
      </c>
      <c r="K1251" s="7" t="s">
        <v>125</v>
      </c>
      <c r="L1251" s="10"/>
      <c r="M1251" s="7" t="s">
        <v>5410</v>
      </c>
      <c r="N1251" s="8" t="n">
        <v>0</v>
      </c>
      <c r="O1251" s="8" t="n">
        <v>0</v>
      </c>
      <c r="P1251" s="8" t="n">
        <v>0</v>
      </c>
      <c r="Q1251" s="8" t="n">
        <v>0</v>
      </c>
      <c r="R1251" s="13" t="n">
        <v>0</v>
      </c>
      <c r="S1251" s="13" t="n">
        <v>0</v>
      </c>
      <c r="T1251" s="13"/>
      <c r="U1251" s="11" t="n">
        <f aca="false">O1251*4 + P1251*2 + MAX(0,N1251-O1251-P1251)*1 + Q1251*0.2 + R1251*2 + S1251*1 + IF(T1251="",0,IF(T1251&lt;=10,8,IF(T1251&lt;=50,6,IF(T1251&lt;=100,4,2))))</f>
        <v>0</v>
      </c>
      <c r="V1251" s="7"/>
      <c r="W1251" s="7"/>
      <c r="X1251" s="13"/>
      <c r="Y1251" s="13" t="s">
        <v>5411</v>
      </c>
    </row>
    <row r="1252" customFormat="false" ht="15.75" hidden="false" customHeight="true" outlineLevel="0" collapsed="false">
      <c r="A1252" s="7" t="s">
        <v>5412</v>
      </c>
      <c r="B1252" s="8" t="n">
        <v>2019</v>
      </c>
      <c r="C1252" s="8" t="s">
        <v>176</v>
      </c>
      <c r="D1252" s="8" t="n">
        <v>122</v>
      </c>
      <c r="E1252" s="7" t="s">
        <v>5413</v>
      </c>
      <c r="F1252" s="8" t="n">
        <v>7.3</v>
      </c>
      <c r="G1252" s="8" t="n">
        <v>7</v>
      </c>
      <c r="H1252" s="9" t="n">
        <v>350262</v>
      </c>
      <c r="I1252" s="7" t="s">
        <v>46</v>
      </c>
      <c r="J1252" s="7" t="s">
        <v>131</v>
      </c>
      <c r="K1252" s="7" t="s">
        <v>54</v>
      </c>
      <c r="L1252" s="10" t="s">
        <v>238</v>
      </c>
      <c r="M1252" s="7" t="s">
        <v>5414</v>
      </c>
      <c r="N1252" s="8" t="n">
        <v>0</v>
      </c>
      <c r="O1252" s="8" t="n">
        <v>0</v>
      </c>
      <c r="P1252" s="8" t="n">
        <v>0</v>
      </c>
      <c r="Q1252" s="8" t="n">
        <v>0</v>
      </c>
      <c r="R1252" s="13" t="n">
        <v>0</v>
      </c>
      <c r="S1252" s="13" t="n">
        <v>0</v>
      </c>
      <c r="T1252" s="13"/>
      <c r="U1252" s="11" t="n">
        <f aca="false">O1252*4 + P1252*2 + MAX(0,N1252-O1252-P1252)*1 + Q1252*0.2 + R1252*2 + S1252*1 + IF(T1252="",0,IF(T1252&lt;=10,8,IF(T1252&lt;=50,6,IF(T1252&lt;=100,4,2))))</f>
        <v>0</v>
      </c>
      <c r="V1252" s="7"/>
      <c r="W1252" s="7"/>
      <c r="X1252" s="13"/>
      <c r="Y1252" s="13" t="s">
        <v>5415</v>
      </c>
    </row>
    <row r="1253" customFormat="false" ht="15.75" hidden="false" customHeight="true" outlineLevel="0" collapsed="false">
      <c r="A1253" s="7" t="s">
        <v>5416</v>
      </c>
      <c r="B1253" s="8" t="n">
        <v>1987</v>
      </c>
      <c r="C1253" s="8" t="s">
        <v>109</v>
      </c>
      <c r="D1253" s="8" t="n">
        <v>119</v>
      </c>
      <c r="E1253" s="7" t="s">
        <v>273</v>
      </c>
      <c r="F1253" s="8" t="n">
        <v>7.8</v>
      </c>
      <c r="G1253" s="8" t="n">
        <v>7</v>
      </c>
      <c r="H1253" s="9" t="n">
        <v>355848</v>
      </c>
      <c r="I1253" s="7" t="s">
        <v>46</v>
      </c>
      <c r="J1253" s="7" t="s">
        <v>131</v>
      </c>
      <c r="K1253" s="7" t="s">
        <v>54</v>
      </c>
      <c r="L1253" s="10"/>
      <c r="M1253" s="7" t="s">
        <v>5417</v>
      </c>
      <c r="N1253" s="8" t="n">
        <v>1</v>
      </c>
      <c r="O1253" s="8" t="n">
        <v>0</v>
      </c>
      <c r="P1253" s="8" t="n">
        <v>0</v>
      </c>
      <c r="Q1253" s="8" t="n">
        <v>4</v>
      </c>
      <c r="R1253" s="8" t="n">
        <v>0</v>
      </c>
      <c r="S1253" s="8" t="n">
        <v>0</v>
      </c>
      <c r="T1253" s="13"/>
      <c r="U1253" s="11" t="n">
        <f aca="false">O1253*4 + P1253*2 + MAX(0,N1253-O1253-P1253)*1 + Q1253*0.2 + R1253*2 + S1253*1 + IF(T1253="",0,IF(T1253&lt;=10,8,IF(T1253&lt;=50,6,IF(T1253&lt;=100,4,2))))</f>
        <v>1.8</v>
      </c>
      <c r="V1253" s="7"/>
      <c r="W1253" s="7"/>
      <c r="X1253" s="13"/>
      <c r="Y1253" s="13" t="s">
        <v>5418</v>
      </c>
    </row>
    <row r="1254" customFormat="false" ht="15.75" hidden="false" customHeight="true" outlineLevel="0" collapsed="false">
      <c r="A1254" s="7" t="s">
        <v>5419</v>
      </c>
      <c r="B1254" s="8" t="n">
        <v>2010</v>
      </c>
      <c r="C1254" s="8" t="s">
        <v>176</v>
      </c>
      <c r="D1254" s="8" t="n">
        <v>95</v>
      </c>
      <c r="E1254" s="7" t="s">
        <v>2294</v>
      </c>
      <c r="F1254" s="8" t="n">
        <v>6.5</v>
      </c>
      <c r="G1254" s="8" t="n">
        <v>6</v>
      </c>
      <c r="H1254" s="9" t="n">
        <v>374213</v>
      </c>
      <c r="I1254" s="7" t="s">
        <v>46</v>
      </c>
      <c r="J1254" s="7" t="s">
        <v>30</v>
      </c>
      <c r="K1254" s="7" t="s">
        <v>47</v>
      </c>
      <c r="L1254" s="10"/>
      <c r="M1254" s="7" t="s">
        <v>5420</v>
      </c>
      <c r="N1254" s="8" t="n">
        <v>0</v>
      </c>
      <c r="O1254" s="8" t="n">
        <v>0</v>
      </c>
      <c r="P1254" s="8" t="n">
        <v>0</v>
      </c>
      <c r="Q1254" s="8" t="n">
        <v>0</v>
      </c>
      <c r="R1254" s="13" t="n">
        <v>0</v>
      </c>
      <c r="S1254" s="13" t="n">
        <v>0</v>
      </c>
      <c r="T1254" s="13"/>
      <c r="U1254" s="11" t="n">
        <f aca="false">O1254*4 + P1254*2 + MAX(0,N1254-O1254-P1254)*1 + Q1254*0.2 + R1254*2 + S1254*1 + IF(T1254="",0,IF(T1254&lt;=10,8,IF(T1254&lt;=50,6,IF(T1254&lt;=100,4,2))))</f>
        <v>0</v>
      </c>
      <c r="V1254" s="7"/>
      <c r="W1254" s="7"/>
      <c r="X1254" s="13"/>
      <c r="Y1254" s="13" t="s">
        <v>5421</v>
      </c>
    </row>
    <row r="1255" customFormat="false" ht="15.75" hidden="false" customHeight="true" outlineLevel="0" collapsed="false">
      <c r="A1255" s="7" t="s">
        <v>5422</v>
      </c>
      <c r="B1255" s="8" t="n">
        <v>2006</v>
      </c>
      <c r="C1255" s="8" t="s">
        <v>35</v>
      </c>
      <c r="D1255" s="8" t="n">
        <v>107</v>
      </c>
      <c r="E1255" s="7" t="s">
        <v>5423</v>
      </c>
      <c r="F1255" s="8" t="n">
        <v>6.5</v>
      </c>
      <c r="G1255" s="8" t="n">
        <v>6</v>
      </c>
      <c r="H1255" s="9" t="n">
        <v>391257</v>
      </c>
      <c r="I1255" s="7" t="s">
        <v>46</v>
      </c>
      <c r="J1255" s="7" t="s">
        <v>38</v>
      </c>
      <c r="K1255" s="7" t="s">
        <v>2271</v>
      </c>
      <c r="L1255" s="10"/>
      <c r="M1255" s="7" t="s">
        <v>5424</v>
      </c>
      <c r="N1255" s="8" t="n">
        <v>0</v>
      </c>
      <c r="O1255" s="8" t="n">
        <v>0</v>
      </c>
      <c r="P1255" s="8" t="n">
        <v>0</v>
      </c>
      <c r="Q1255" s="8" t="n">
        <v>1</v>
      </c>
      <c r="R1255" s="8" t="n">
        <v>0</v>
      </c>
      <c r="S1255" s="8" t="n">
        <v>0</v>
      </c>
      <c r="T1255" s="13"/>
      <c r="U1255" s="11" t="n">
        <f aca="false">O1255*4 + P1255*2 + MAX(0,N1255-O1255-P1255)*1 + Q1255*0.2 + R1255*2 + S1255*1 + IF(T1255="",0,IF(T1255&lt;=10,8,IF(T1255&lt;=50,6,IF(T1255&lt;=100,4,2))))</f>
        <v>0.2</v>
      </c>
      <c r="V1255" s="7"/>
      <c r="W1255" s="7"/>
      <c r="X1255" s="13"/>
      <c r="Y1255" s="13" t="s">
        <v>5425</v>
      </c>
    </row>
    <row r="1256" customFormat="false" ht="15.75" hidden="false" customHeight="true" outlineLevel="0" collapsed="false">
      <c r="A1256" s="7" t="s">
        <v>5426</v>
      </c>
      <c r="B1256" s="8" t="n">
        <v>2018</v>
      </c>
      <c r="C1256" s="8" t="s">
        <v>176</v>
      </c>
      <c r="D1256" s="8" t="n">
        <v>115</v>
      </c>
      <c r="E1256" s="7" t="s">
        <v>2458</v>
      </c>
      <c r="F1256" s="8" t="n">
        <v>6.8</v>
      </c>
      <c r="G1256" s="8" t="n">
        <v>6</v>
      </c>
      <c r="H1256" s="9" t="n">
        <v>397262</v>
      </c>
      <c r="I1256" s="7" t="s">
        <v>359</v>
      </c>
      <c r="J1256" s="7" t="s">
        <v>147</v>
      </c>
      <c r="K1256" s="7" t="s">
        <v>39</v>
      </c>
      <c r="L1256" s="10" t="s">
        <v>113</v>
      </c>
      <c r="M1256" s="7" t="s">
        <v>5427</v>
      </c>
      <c r="N1256" s="8" t="n">
        <v>0</v>
      </c>
      <c r="O1256" s="8" t="n">
        <v>0</v>
      </c>
      <c r="P1256" s="8" t="n">
        <v>0</v>
      </c>
      <c r="Q1256" s="8" t="n">
        <v>0</v>
      </c>
      <c r="R1256" s="13" t="n">
        <v>0</v>
      </c>
      <c r="S1256" s="13" t="n">
        <v>0</v>
      </c>
      <c r="T1256" s="13"/>
      <c r="U1256" s="11" t="n">
        <f aca="false">O1256*4 + P1256*2 + MAX(0,N1256-O1256-P1256)*1 + Q1256*0.2 + R1256*2 + S1256*1 + IF(T1256="",0,IF(T1256&lt;=10,8,IF(T1256&lt;=50,6,IF(T1256&lt;=100,4,2))))</f>
        <v>0</v>
      </c>
      <c r="V1256" s="7"/>
      <c r="W1256" s="7"/>
      <c r="X1256" s="13"/>
      <c r="Y1256" s="13" t="s">
        <v>5428</v>
      </c>
    </row>
    <row r="1257" customFormat="false" ht="15.75" hidden="false" customHeight="true" outlineLevel="0" collapsed="false">
      <c r="A1257" s="7" t="s">
        <v>5429</v>
      </c>
      <c r="B1257" s="8" t="n">
        <v>2007</v>
      </c>
      <c r="C1257" s="8" t="s">
        <v>35</v>
      </c>
      <c r="D1257" s="8" t="n">
        <v>116</v>
      </c>
      <c r="E1257" s="7" t="s">
        <v>561</v>
      </c>
      <c r="F1257" s="8" t="n">
        <v>7.3</v>
      </c>
      <c r="G1257" s="8" t="n">
        <v>6</v>
      </c>
      <c r="H1257" s="9" t="n">
        <v>408487</v>
      </c>
      <c r="I1257" s="7" t="s">
        <v>359</v>
      </c>
      <c r="J1257" s="7" t="s">
        <v>90</v>
      </c>
      <c r="K1257" s="7" t="s">
        <v>147</v>
      </c>
      <c r="L1257" s="10"/>
      <c r="M1257" s="7" t="s">
        <v>5430</v>
      </c>
      <c r="N1257" s="8" t="n">
        <v>1</v>
      </c>
      <c r="O1257" s="8" t="n">
        <v>0</v>
      </c>
      <c r="P1257" s="8" t="n">
        <v>0</v>
      </c>
      <c r="Q1257" s="8" t="n">
        <v>3</v>
      </c>
      <c r="R1257" s="8" t="n">
        <v>0</v>
      </c>
      <c r="S1257" s="8" t="n">
        <v>1</v>
      </c>
      <c r="T1257" s="13"/>
      <c r="U1257" s="11" t="n">
        <f aca="false">O1257*4 + P1257*2 + MAX(0,N1257-O1257-P1257)*1 + Q1257*0.2 + R1257*2 + S1257*1 + IF(T1257="",0,IF(T1257&lt;=10,8,IF(T1257&lt;=50,6,IF(T1257&lt;=100,4,2))))</f>
        <v>2.6</v>
      </c>
      <c r="V1257" s="7"/>
      <c r="W1257" s="7"/>
      <c r="X1257" s="13"/>
      <c r="Y1257" s="13" t="s">
        <v>5431</v>
      </c>
    </row>
    <row r="1258" customFormat="false" ht="15.75" hidden="false" customHeight="true" outlineLevel="0" collapsed="false">
      <c r="A1258" s="7" t="s">
        <v>5432</v>
      </c>
      <c r="B1258" s="8" t="n">
        <v>2002</v>
      </c>
      <c r="C1258" s="8" t="s">
        <v>35</v>
      </c>
      <c r="D1258" s="8" t="n">
        <v>106</v>
      </c>
      <c r="E1258" s="7" t="s">
        <v>1894</v>
      </c>
      <c r="F1258" s="8" t="n">
        <v>6.8</v>
      </c>
      <c r="G1258" s="8" t="n">
        <v>7</v>
      </c>
      <c r="H1258" s="9" t="n">
        <v>417294</v>
      </c>
      <c r="I1258" s="7" t="s">
        <v>46</v>
      </c>
      <c r="J1258" s="7" t="s">
        <v>111</v>
      </c>
      <c r="K1258" s="7" t="s">
        <v>125</v>
      </c>
      <c r="L1258" s="10" t="s">
        <v>2616</v>
      </c>
      <c r="M1258" s="7" t="s">
        <v>5433</v>
      </c>
      <c r="N1258" s="8" t="n">
        <v>0</v>
      </c>
      <c r="O1258" s="8" t="n">
        <v>0</v>
      </c>
      <c r="P1258" s="8" t="n">
        <v>0</v>
      </c>
      <c r="Q1258" s="8" t="n">
        <v>0</v>
      </c>
      <c r="R1258" s="13" t="n">
        <v>0</v>
      </c>
      <c r="S1258" s="13" t="n">
        <v>0</v>
      </c>
      <c r="T1258" s="13"/>
      <c r="U1258" s="11" t="n">
        <f aca="false">O1258*4 + P1258*2 + MAX(0,N1258-O1258-P1258)*1 + Q1258*0.2 + R1258*2 + S1258*1 + IF(T1258="",0,IF(T1258&lt;=10,8,IF(T1258&lt;=50,6,IF(T1258&lt;=100,4,2))))</f>
        <v>0</v>
      </c>
      <c r="V1258" s="7"/>
      <c r="W1258" s="7"/>
      <c r="X1258" s="13"/>
      <c r="Y1258" s="13" t="s">
        <v>5434</v>
      </c>
    </row>
    <row r="1259" customFormat="false" ht="15.75" hidden="false" customHeight="true" outlineLevel="0" collapsed="false">
      <c r="A1259" s="7" t="s">
        <v>5435</v>
      </c>
      <c r="B1259" s="8" t="n">
        <v>2014</v>
      </c>
      <c r="C1259" s="8" t="s">
        <v>176</v>
      </c>
      <c r="D1259" s="8" t="n">
        <v>97</v>
      </c>
      <c r="E1259" s="7" t="s">
        <v>5436</v>
      </c>
      <c r="F1259" s="8" t="n">
        <v>6.9</v>
      </c>
      <c r="G1259" s="8" t="n">
        <v>6</v>
      </c>
      <c r="H1259" s="9" t="n">
        <v>427091</v>
      </c>
      <c r="I1259" s="7" t="s">
        <v>46</v>
      </c>
      <c r="J1259" s="7" t="s">
        <v>39</v>
      </c>
      <c r="K1259" s="7" t="s">
        <v>259</v>
      </c>
      <c r="L1259" s="10" t="s">
        <v>177</v>
      </c>
      <c r="M1259" s="7" t="s">
        <v>5437</v>
      </c>
      <c r="N1259" s="8" t="n">
        <v>0</v>
      </c>
      <c r="O1259" s="8" t="n">
        <v>0</v>
      </c>
      <c r="P1259" s="8" t="n">
        <v>0</v>
      </c>
      <c r="Q1259" s="8" t="n">
        <v>1</v>
      </c>
      <c r="R1259" s="8" t="n">
        <v>0</v>
      </c>
      <c r="S1259" s="8" t="n">
        <v>0</v>
      </c>
      <c r="T1259" s="13"/>
      <c r="U1259" s="11" t="n">
        <f aca="false">O1259*4 + P1259*2 + MAX(0,N1259-O1259-P1259)*1 + Q1259*0.2 + R1259*2 + S1259*1 + IF(T1259="",0,IF(T1259&lt;=10,8,IF(T1259&lt;=50,6,IF(T1259&lt;=100,4,2))))</f>
        <v>0.2</v>
      </c>
      <c r="V1259" s="7"/>
      <c r="W1259" s="7"/>
      <c r="X1259" s="13"/>
      <c r="Y1259" s="13" t="s">
        <v>5438</v>
      </c>
    </row>
    <row r="1260" customFormat="false" ht="15.75" hidden="false" customHeight="true" outlineLevel="0" collapsed="false">
      <c r="A1260" s="7" t="s">
        <v>5439</v>
      </c>
      <c r="B1260" s="8" t="n">
        <v>1986</v>
      </c>
      <c r="C1260" s="8" t="s">
        <v>109</v>
      </c>
      <c r="D1260" s="8" t="n">
        <v>109</v>
      </c>
      <c r="E1260" s="7" t="s">
        <v>911</v>
      </c>
      <c r="F1260" s="8" t="n">
        <v>7</v>
      </c>
      <c r="G1260" s="8" t="n">
        <v>6</v>
      </c>
      <c r="H1260" s="9" t="n">
        <v>559020</v>
      </c>
      <c r="I1260" s="7" t="s">
        <v>46</v>
      </c>
      <c r="J1260" s="7" t="s">
        <v>112</v>
      </c>
      <c r="K1260" s="7" t="s">
        <v>47</v>
      </c>
      <c r="L1260" s="10" t="s">
        <v>2666</v>
      </c>
      <c r="M1260" s="7" t="s">
        <v>5440</v>
      </c>
      <c r="N1260" s="8" t="n">
        <v>1</v>
      </c>
      <c r="O1260" s="8" t="n">
        <v>0</v>
      </c>
      <c r="P1260" s="8" t="n">
        <v>0</v>
      </c>
      <c r="Q1260" s="8" t="n">
        <v>4</v>
      </c>
      <c r="R1260" s="8" t="n">
        <v>0</v>
      </c>
      <c r="S1260" s="8" t="n">
        <v>0</v>
      </c>
      <c r="T1260" s="13"/>
      <c r="U1260" s="11" t="n">
        <f aca="false">O1260*4 + P1260*2 + MAX(0,N1260-O1260-P1260)*1 + Q1260*0.2 + R1260*2 + S1260*1 + IF(T1260="",0,IF(T1260&lt;=10,8,IF(T1260&lt;=50,6,IF(T1260&lt;=100,4,2))))</f>
        <v>1.8</v>
      </c>
      <c r="V1260" s="7"/>
      <c r="W1260" s="7"/>
      <c r="X1260" s="13"/>
      <c r="Y1260" s="13" t="s">
        <v>5441</v>
      </c>
    </row>
    <row r="1261" customFormat="false" ht="15.75" hidden="false" customHeight="true" outlineLevel="0" collapsed="false">
      <c r="A1261" s="7" t="s">
        <v>5442</v>
      </c>
      <c r="B1261" s="8" t="n">
        <v>2003</v>
      </c>
      <c r="C1261" s="8" t="s">
        <v>35</v>
      </c>
      <c r="D1261" s="8" t="n">
        <v>135</v>
      </c>
      <c r="E1261" s="7" t="s">
        <v>821</v>
      </c>
      <c r="F1261" s="8" t="n">
        <v>7.5</v>
      </c>
      <c r="G1261" s="8" t="n">
        <v>7</v>
      </c>
      <c r="H1261" s="9" t="n">
        <v>583068</v>
      </c>
      <c r="I1261" s="7" t="s">
        <v>359</v>
      </c>
      <c r="J1261" s="7" t="s">
        <v>29</v>
      </c>
      <c r="K1261" s="7" t="s">
        <v>30</v>
      </c>
      <c r="L1261" s="10" t="s">
        <v>522</v>
      </c>
      <c r="M1261" s="7" t="s">
        <v>5443</v>
      </c>
      <c r="N1261" s="8" t="n">
        <v>0</v>
      </c>
      <c r="O1261" s="8" t="n">
        <v>0</v>
      </c>
      <c r="P1261" s="8" t="n">
        <v>0</v>
      </c>
      <c r="Q1261" s="8" t="n">
        <v>0</v>
      </c>
      <c r="R1261" s="13" t="n">
        <v>0</v>
      </c>
      <c r="S1261" s="13" t="n">
        <v>0</v>
      </c>
      <c r="T1261" s="13"/>
      <c r="U1261" s="11" t="n">
        <f aca="false">O1261*4 + P1261*2 + MAX(0,N1261-O1261-P1261)*1 + Q1261*0.2 + R1261*2 + S1261*1 + IF(T1261="",0,IF(T1261&lt;=10,8,IF(T1261&lt;=50,6,IF(T1261&lt;=100,4,2))))</f>
        <v>0</v>
      </c>
      <c r="V1261" s="7"/>
      <c r="W1261" s="7"/>
      <c r="X1261" s="13"/>
      <c r="Y1261" s="13" t="s">
        <v>5444</v>
      </c>
    </row>
    <row r="1262" customFormat="false" ht="15.75" hidden="false" customHeight="true" outlineLevel="0" collapsed="false">
      <c r="A1262" s="7" t="s">
        <v>5445</v>
      </c>
      <c r="B1262" s="8" t="n">
        <v>2011</v>
      </c>
      <c r="C1262" s="8" t="s">
        <v>176</v>
      </c>
      <c r="D1262" s="8" t="n">
        <v>118</v>
      </c>
      <c r="E1262" s="7" t="s">
        <v>5446</v>
      </c>
      <c r="F1262" s="8" t="n">
        <v>7.4</v>
      </c>
      <c r="G1262" s="8" t="n">
        <v>6</v>
      </c>
      <c r="H1262" s="9" t="n">
        <v>626564</v>
      </c>
      <c r="I1262" s="7" t="s">
        <v>46</v>
      </c>
      <c r="J1262" s="7" t="s">
        <v>29</v>
      </c>
      <c r="K1262" s="7" t="s">
        <v>30</v>
      </c>
      <c r="L1262" s="10" t="s">
        <v>210</v>
      </c>
      <c r="M1262" s="7" t="s">
        <v>5447</v>
      </c>
      <c r="N1262" s="8" t="n">
        <v>0</v>
      </c>
      <c r="O1262" s="8" t="n">
        <v>0</v>
      </c>
      <c r="P1262" s="8" t="n">
        <v>0</v>
      </c>
      <c r="Q1262" s="8" t="n">
        <v>0</v>
      </c>
      <c r="R1262" s="13" t="n">
        <v>0</v>
      </c>
      <c r="S1262" s="13" t="n">
        <v>0</v>
      </c>
      <c r="T1262" s="13"/>
      <c r="U1262" s="11" t="n">
        <f aca="false">O1262*4 + P1262*2 + MAX(0,N1262-O1262-P1262)*1 + Q1262*0.2 + R1262*2 + S1262*1 + IF(T1262="",0,IF(T1262&lt;=10,8,IF(T1262&lt;=50,6,IF(T1262&lt;=100,4,2))))</f>
        <v>0</v>
      </c>
      <c r="V1262" s="7"/>
      <c r="W1262" s="7"/>
      <c r="X1262" s="13"/>
      <c r="Y1262" s="13" t="s">
        <v>5448</v>
      </c>
    </row>
    <row r="1263" customFormat="false" ht="15.75" hidden="false" customHeight="true" outlineLevel="0" collapsed="false">
      <c r="A1263" s="7" t="s">
        <v>5449</v>
      </c>
      <c r="B1263" s="8" t="n">
        <v>2023</v>
      </c>
      <c r="C1263" s="8" t="s">
        <v>378</v>
      </c>
      <c r="D1263" s="8" t="n">
        <v>163</v>
      </c>
      <c r="E1263" s="7" t="s">
        <v>4883</v>
      </c>
      <c r="F1263" s="8" t="n">
        <v>7.6</v>
      </c>
      <c r="G1263" s="8" t="n">
        <v>7</v>
      </c>
      <c r="H1263" s="9" t="n">
        <v>331369</v>
      </c>
      <c r="I1263" s="7" t="s">
        <v>46</v>
      </c>
      <c r="J1263" s="7" t="s">
        <v>131</v>
      </c>
      <c r="K1263" s="7" t="s">
        <v>112</v>
      </c>
      <c r="L1263" s="10"/>
      <c r="M1263" s="7" t="s">
        <v>5450</v>
      </c>
      <c r="N1263" s="8" t="n">
        <v>0</v>
      </c>
      <c r="O1263" s="8" t="n">
        <v>0</v>
      </c>
      <c r="P1263" s="8" t="n">
        <v>0</v>
      </c>
      <c r="Q1263" s="8" t="n">
        <v>2</v>
      </c>
      <c r="R1263" s="8" t="n">
        <v>0</v>
      </c>
      <c r="S1263" s="8" t="n">
        <v>0</v>
      </c>
      <c r="T1263" s="13"/>
      <c r="U1263" s="11" t="n">
        <f aca="false">O1263*4 + P1263*2 + MAX(0,N1263-O1263-P1263)*1 + Q1263*0.2 + R1263*2 + S1263*1 + IF(T1263="",0,IF(T1263&lt;=10,8,IF(T1263&lt;=50,6,IF(T1263&lt;=100,4,2))))</f>
        <v>0.4</v>
      </c>
      <c r="V1263" s="7"/>
      <c r="W1263" s="7"/>
      <c r="X1263" s="13"/>
      <c r="Y1263" s="13" t="s">
        <v>5451</v>
      </c>
    </row>
    <row r="1264" customFormat="false" ht="15.75" hidden="false" customHeight="true" outlineLevel="0" collapsed="false">
      <c r="A1264" s="7" t="s">
        <v>5452</v>
      </c>
      <c r="B1264" s="8" t="n">
        <v>1998</v>
      </c>
      <c r="C1264" s="8" t="s">
        <v>26</v>
      </c>
      <c r="D1264" s="8" t="n">
        <v>98</v>
      </c>
      <c r="E1264" s="7" t="s">
        <v>5334</v>
      </c>
      <c r="F1264" s="8" t="n">
        <v>7.1</v>
      </c>
      <c r="G1264" s="8" t="n">
        <v>6</v>
      </c>
      <c r="H1264" s="9" t="n">
        <v>333561</v>
      </c>
      <c r="I1264" s="7" t="s">
        <v>46</v>
      </c>
      <c r="J1264" s="7" t="s">
        <v>112</v>
      </c>
      <c r="K1264" s="7" t="s">
        <v>54</v>
      </c>
      <c r="L1264" s="10"/>
      <c r="M1264" s="7" t="s">
        <v>5453</v>
      </c>
      <c r="N1264" s="8" t="n">
        <v>0</v>
      </c>
      <c r="O1264" s="8" t="n">
        <v>0</v>
      </c>
      <c r="P1264" s="8" t="n">
        <v>0</v>
      </c>
      <c r="Q1264" s="8" t="n">
        <v>0</v>
      </c>
      <c r="R1264" s="13" t="n">
        <v>0</v>
      </c>
      <c r="S1264" s="13" t="n">
        <v>0</v>
      </c>
      <c r="T1264" s="13"/>
      <c r="U1264" s="11" t="n">
        <f aca="false">O1264*4 + P1264*2 + MAX(0,N1264-O1264-P1264)*1 + Q1264*0.2 + R1264*2 + S1264*1 + IF(T1264="",0,IF(T1264&lt;=10,8,IF(T1264&lt;=50,6,IF(T1264&lt;=100,4,2))))</f>
        <v>0</v>
      </c>
      <c r="V1264" s="7"/>
      <c r="W1264" s="7"/>
      <c r="X1264" s="13"/>
      <c r="Y1264" s="13" t="s">
        <v>5454</v>
      </c>
    </row>
    <row r="1265" customFormat="false" ht="15.75" hidden="false" customHeight="true" outlineLevel="0" collapsed="false">
      <c r="A1265" s="7" t="s">
        <v>5455</v>
      </c>
      <c r="B1265" s="8" t="n">
        <v>2002</v>
      </c>
      <c r="C1265" s="8" t="s">
        <v>35</v>
      </c>
      <c r="D1265" s="8" t="n">
        <v>92</v>
      </c>
      <c r="E1265" s="7" t="s">
        <v>5456</v>
      </c>
      <c r="F1265" s="8" t="n">
        <v>6.8</v>
      </c>
      <c r="G1265" s="8" t="n">
        <v>7</v>
      </c>
      <c r="H1265" s="9" t="n">
        <v>339964</v>
      </c>
      <c r="I1265" s="7" t="s">
        <v>994</v>
      </c>
      <c r="J1265" s="7" t="s">
        <v>131</v>
      </c>
      <c r="K1265" s="7" t="s">
        <v>54</v>
      </c>
      <c r="L1265" s="10" t="s">
        <v>2462</v>
      </c>
      <c r="M1265" s="7" t="s">
        <v>5457</v>
      </c>
      <c r="N1265" s="8" t="n">
        <v>0</v>
      </c>
      <c r="O1265" s="8" t="n">
        <v>0</v>
      </c>
      <c r="P1265" s="8" t="n">
        <v>0</v>
      </c>
      <c r="Q1265" s="8" t="n">
        <v>0</v>
      </c>
      <c r="R1265" s="13" t="n">
        <v>0</v>
      </c>
      <c r="S1265" s="13" t="n">
        <v>0</v>
      </c>
      <c r="T1265" s="13"/>
      <c r="U1265" s="11" t="n">
        <f aca="false">O1265*4 + P1265*2 + MAX(0,N1265-O1265-P1265)*1 + Q1265*0.2 + R1265*2 + S1265*1 + IF(T1265="",0,IF(T1265&lt;=10,8,IF(T1265&lt;=50,6,IF(T1265&lt;=100,4,2))))</f>
        <v>0</v>
      </c>
      <c r="V1265" s="7"/>
      <c r="W1265" s="7"/>
      <c r="X1265" s="13"/>
      <c r="Y1265" s="13" t="s">
        <v>5458</v>
      </c>
    </row>
    <row r="1266" customFormat="false" ht="15.75" hidden="false" customHeight="true" outlineLevel="0" collapsed="false">
      <c r="A1266" s="7" t="s">
        <v>5459</v>
      </c>
      <c r="B1266" s="8" t="n">
        <v>2006</v>
      </c>
      <c r="C1266" s="8" t="s">
        <v>35</v>
      </c>
      <c r="D1266" s="8" t="n">
        <v>126</v>
      </c>
      <c r="E1266" s="7" t="s">
        <v>911</v>
      </c>
      <c r="F1266" s="8" t="n">
        <v>7.1</v>
      </c>
      <c r="G1266" s="8" t="n">
        <v>6</v>
      </c>
      <c r="H1266" s="9" t="n">
        <v>347478</v>
      </c>
      <c r="I1266" s="7" t="s">
        <v>46</v>
      </c>
      <c r="J1266" s="7" t="s">
        <v>111</v>
      </c>
      <c r="K1266" s="7" t="s">
        <v>54</v>
      </c>
      <c r="L1266" s="10" t="s">
        <v>1890</v>
      </c>
      <c r="M1266" s="7" t="s">
        <v>5460</v>
      </c>
      <c r="N1266" s="8" t="n">
        <v>0</v>
      </c>
      <c r="O1266" s="8" t="n">
        <v>0</v>
      </c>
      <c r="P1266" s="8" t="n">
        <v>0</v>
      </c>
      <c r="Q1266" s="8" t="n">
        <v>0</v>
      </c>
      <c r="R1266" s="13" t="n">
        <v>0</v>
      </c>
      <c r="S1266" s="13" t="n">
        <v>0</v>
      </c>
      <c r="T1266" s="13"/>
      <c r="U1266" s="11" t="n">
        <f aca="false">O1266*4 + P1266*2 + MAX(0,N1266-O1266-P1266)*1 + Q1266*0.2 + R1266*2 + S1266*1 + IF(T1266="",0,IF(T1266&lt;=10,8,IF(T1266&lt;=50,6,IF(T1266&lt;=100,4,2))))</f>
        <v>0</v>
      </c>
      <c r="V1266" s="7"/>
      <c r="W1266" s="7"/>
      <c r="X1266" s="13"/>
      <c r="Y1266" s="13" t="s">
        <v>5461</v>
      </c>
    </row>
    <row r="1267" customFormat="false" ht="15.75" hidden="false" customHeight="true" outlineLevel="0" collapsed="false">
      <c r="A1267" s="7" t="s">
        <v>5462</v>
      </c>
      <c r="B1267" s="8" t="n">
        <v>2010</v>
      </c>
      <c r="C1267" s="8" t="s">
        <v>176</v>
      </c>
      <c r="D1267" s="8" t="n">
        <v>118</v>
      </c>
      <c r="E1267" s="7" t="s">
        <v>5463</v>
      </c>
      <c r="F1267" s="8" t="n">
        <v>6.8</v>
      </c>
      <c r="G1267" s="8" t="n">
        <v>7</v>
      </c>
      <c r="H1267" s="9" t="n">
        <v>363328</v>
      </c>
      <c r="I1267" s="7" t="s">
        <v>46</v>
      </c>
      <c r="J1267" s="7" t="s">
        <v>112</v>
      </c>
      <c r="K1267" s="7" t="s">
        <v>39</v>
      </c>
      <c r="L1267" s="10"/>
      <c r="M1267" s="7" t="s">
        <v>5464</v>
      </c>
      <c r="N1267" s="8" t="n">
        <v>0</v>
      </c>
      <c r="O1267" s="8" t="n">
        <v>0</v>
      </c>
      <c r="P1267" s="8" t="n">
        <v>0</v>
      </c>
      <c r="Q1267" s="8" t="n">
        <v>0</v>
      </c>
      <c r="R1267" s="13" t="n">
        <v>0</v>
      </c>
      <c r="S1267" s="13" t="n">
        <v>0</v>
      </c>
      <c r="T1267" s="13"/>
      <c r="U1267" s="11" t="n">
        <f aca="false">O1267*4 + P1267*2 + MAX(0,N1267-O1267-P1267)*1 + Q1267*0.2 + R1267*2 + S1267*1 + IF(T1267="",0,IF(T1267&lt;=10,8,IF(T1267&lt;=50,6,IF(T1267&lt;=100,4,2))))</f>
        <v>0</v>
      </c>
      <c r="V1267" s="7"/>
      <c r="W1267" s="7"/>
      <c r="X1267" s="13"/>
      <c r="Y1267" s="13" t="s">
        <v>5465</v>
      </c>
    </row>
    <row r="1268" customFormat="false" ht="15.75" hidden="false" customHeight="true" outlineLevel="0" collapsed="false">
      <c r="A1268" s="7" t="s">
        <v>5466</v>
      </c>
      <c r="B1268" s="8" t="n">
        <v>1996</v>
      </c>
      <c r="C1268" s="8" t="s">
        <v>26</v>
      </c>
      <c r="D1268" s="8" t="n">
        <v>108</v>
      </c>
      <c r="E1268" s="7" t="s">
        <v>5467</v>
      </c>
      <c r="F1268" s="8" t="n">
        <v>7.2</v>
      </c>
      <c r="G1268" s="8" t="n">
        <v>7</v>
      </c>
      <c r="H1268" s="9" t="n">
        <v>373002</v>
      </c>
      <c r="I1268" s="7" t="s">
        <v>46</v>
      </c>
      <c r="J1268" s="7" t="s">
        <v>147</v>
      </c>
      <c r="K1268" s="7" t="s">
        <v>54</v>
      </c>
      <c r="L1268" s="10"/>
      <c r="M1268" s="7" t="s">
        <v>5468</v>
      </c>
      <c r="N1268" s="8" t="n">
        <v>0</v>
      </c>
      <c r="O1268" s="8" t="n">
        <v>0</v>
      </c>
      <c r="P1268" s="8" t="n">
        <v>0</v>
      </c>
      <c r="Q1268" s="8" t="n">
        <v>0</v>
      </c>
      <c r="R1268" s="13" t="n">
        <v>0</v>
      </c>
      <c r="S1268" s="13" t="n">
        <v>0</v>
      </c>
      <c r="T1268" s="13"/>
      <c r="U1268" s="11" t="n">
        <f aca="false">O1268*4 + P1268*2 + MAX(0,N1268-O1268-P1268)*1 + Q1268*0.2 + R1268*2 + S1268*1 + IF(T1268="",0,IF(T1268&lt;=10,8,IF(T1268&lt;=50,6,IF(T1268&lt;=100,4,2))))</f>
        <v>0</v>
      </c>
      <c r="V1268" s="7"/>
      <c r="W1268" s="7"/>
      <c r="X1268" s="13"/>
      <c r="Y1268" s="13" t="s">
        <v>5469</v>
      </c>
    </row>
    <row r="1269" customFormat="false" ht="15.75" hidden="false" customHeight="true" outlineLevel="0" collapsed="false">
      <c r="A1269" s="7" t="s">
        <v>5470</v>
      </c>
      <c r="B1269" s="8" t="n">
        <v>2001</v>
      </c>
      <c r="C1269" s="8" t="s">
        <v>35</v>
      </c>
      <c r="D1269" s="8" t="n">
        <v>92</v>
      </c>
      <c r="E1269" s="7" t="s">
        <v>5471</v>
      </c>
      <c r="F1269" s="8" t="n">
        <v>6</v>
      </c>
      <c r="G1269" s="8" t="n">
        <v>5</v>
      </c>
      <c r="H1269" s="9" t="n">
        <v>374559</v>
      </c>
      <c r="I1269" s="7" t="s">
        <v>46</v>
      </c>
      <c r="J1269" s="7" t="s">
        <v>111</v>
      </c>
      <c r="K1269" s="7" t="s">
        <v>112</v>
      </c>
      <c r="L1269" s="10" t="s">
        <v>5472</v>
      </c>
      <c r="M1269" s="7" t="s">
        <v>5473</v>
      </c>
      <c r="N1269" s="8" t="n">
        <v>0</v>
      </c>
      <c r="O1269" s="8" t="n">
        <v>0</v>
      </c>
      <c r="P1269" s="8" t="n">
        <v>0</v>
      </c>
      <c r="Q1269" s="8" t="n">
        <v>0</v>
      </c>
      <c r="R1269" s="13" t="n">
        <v>0</v>
      </c>
      <c r="S1269" s="13" t="n">
        <v>0</v>
      </c>
      <c r="T1269" s="13"/>
      <c r="U1269" s="11" t="n">
        <f aca="false">O1269*4 + P1269*2 + MAX(0,N1269-O1269-P1269)*1 + Q1269*0.2 + R1269*2 + S1269*1 + IF(T1269="",0,IF(T1269&lt;=10,8,IF(T1269&lt;=50,6,IF(T1269&lt;=100,4,2))))</f>
        <v>0</v>
      </c>
      <c r="V1269" s="7"/>
      <c r="W1269" s="7"/>
      <c r="X1269" s="13"/>
      <c r="Y1269" s="13" t="s">
        <v>5474</v>
      </c>
    </row>
    <row r="1270" customFormat="false" ht="15.75" hidden="false" customHeight="true" outlineLevel="0" collapsed="false">
      <c r="A1270" s="7" t="s">
        <v>5475</v>
      </c>
      <c r="B1270" s="8" t="n">
        <v>2018</v>
      </c>
      <c r="C1270" s="8" t="s">
        <v>176</v>
      </c>
      <c r="D1270" s="8" t="n">
        <v>118</v>
      </c>
      <c r="E1270" s="7" t="s">
        <v>1351</v>
      </c>
      <c r="F1270" s="8" t="n">
        <v>7.5</v>
      </c>
      <c r="G1270" s="8" t="n">
        <v>6</v>
      </c>
      <c r="H1270" s="9" t="n">
        <v>376004</v>
      </c>
      <c r="I1270" s="7" t="s">
        <v>46</v>
      </c>
      <c r="J1270" s="7" t="s">
        <v>579</v>
      </c>
      <c r="K1270" s="7" t="s">
        <v>112</v>
      </c>
      <c r="L1270" s="10" t="s">
        <v>177</v>
      </c>
      <c r="M1270" s="7" t="s">
        <v>5476</v>
      </c>
      <c r="N1270" s="8" t="n">
        <v>0</v>
      </c>
      <c r="O1270" s="8" t="n">
        <v>0</v>
      </c>
      <c r="P1270" s="8" t="n">
        <v>0</v>
      </c>
      <c r="Q1270" s="8" t="n">
        <v>1</v>
      </c>
      <c r="R1270" s="8" t="n">
        <v>0</v>
      </c>
      <c r="S1270" s="8" t="n">
        <v>0</v>
      </c>
      <c r="T1270" s="13"/>
      <c r="U1270" s="11" t="n">
        <f aca="false">O1270*4 + P1270*2 + MAX(0,N1270-O1270-P1270)*1 + Q1270*0.2 + R1270*2 + S1270*1 + IF(T1270="",0,IF(T1270&lt;=10,8,IF(T1270&lt;=50,6,IF(T1270&lt;=100,4,2))))</f>
        <v>0.2</v>
      </c>
      <c r="V1270" s="7"/>
      <c r="W1270" s="7"/>
      <c r="X1270" s="13"/>
      <c r="Y1270" s="13" t="s">
        <v>5477</v>
      </c>
    </row>
    <row r="1271" customFormat="false" ht="15.75" hidden="false" customHeight="true" outlineLevel="0" collapsed="false">
      <c r="A1271" s="7" t="s">
        <v>5478</v>
      </c>
      <c r="B1271" s="8" t="n">
        <v>2008</v>
      </c>
      <c r="C1271" s="8" t="s">
        <v>35</v>
      </c>
      <c r="D1271" s="8" t="n">
        <v>111</v>
      </c>
      <c r="E1271" s="7" t="s">
        <v>5479</v>
      </c>
      <c r="F1271" s="8" t="n">
        <v>6.9</v>
      </c>
      <c r="G1271" s="8" t="n">
        <v>7</v>
      </c>
      <c r="H1271" s="9" t="n">
        <v>374734</v>
      </c>
      <c r="I1271" s="7" t="s">
        <v>46</v>
      </c>
      <c r="J1271" s="7" t="s">
        <v>112</v>
      </c>
      <c r="K1271" s="7" t="s">
        <v>54</v>
      </c>
      <c r="L1271" s="10"/>
      <c r="M1271" s="7" t="s">
        <v>5480</v>
      </c>
      <c r="N1271" s="8" t="n">
        <v>0</v>
      </c>
      <c r="O1271" s="8" t="n">
        <v>0</v>
      </c>
      <c r="P1271" s="8" t="n">
        <v>0</v>
      </c>
      <c r="Q1271" s="8" t="n">
        <v>0</v>
      </c>
      <c r="R1271" s="13" t="n">
        <v>0</v>
      </c>
      <c r="S1271" s="13" t="n">
        <v>0</v>
      </c>
      <c r="T1271" s="13"/>
      <c r="U1271" s="11" t="n">
        <f aca="false">O1271*4 + P1271*2 + MAX(0,N1271-O1271-P1271)*1 + Q1271*0.2 + R1271*2 + S1271*1 + IF(T1271="",0,IF(T1271&lt;=10,8,IF(T1271&lt;=50,6,IF(T1271&lt;=100,4,2))))</f>
        <v>0</v>
      </c>
      <c r="V1271" s="7"/>
      <c r="W1271" s="7"/>
      <c r="X1271" s="13"/>
      <c r="Y1271" s="13" t="s">
        <v>5481</v>
      </c>
    </row>
    <row r="1272" customFormat="false" ht="15.75" hidden="false" customHeight="true" outlineLevel="0" collapsed="false">
      <c r="A1272" s="7" t="s">
        <v>5482</v>
      </c>
      <c r="B1272" s="8" t="n">
        <v>2005</v>
      </c>
      <c r="C1272" s="8" t="s">
        <v>35</v>
      </c>
      <c r="D1272" s="8" t="n">
        <v>106</v>
      </c>
      <c r="E1272" s="7" t="s">
        <v>5483</v>
      </c>
      <c r="F1272" s="8" t="n">
        <v>5.7</v>
      </c>
      <c r="G1272" s="8" t="n">
        <v>5</v>
      </c>
      <c r="H1272" s="9" t="n">
        <v>377306</v>
      </c>
      <c r="I1272" s="7" t="s">
        <v>2011</v>
      </c>
      <c r="J1272" s="7" t="s">
        <v>38</v>
      </c>
      <c r="K1272" s="7" t="s">
        <v>112</v>
      </c>
      <c r="L1272" s="10" t="s">
        <v>177</v>
      </c>
      <c r="M1272" s="7" t="s">
        <v>5484</v>
      </c>
      <c r="N1272" s="8" t="n">
        <v>0</v>
      </c>
      <c r="O1272" s="8" t="n">
        <v>0</v>
      </c>
      <c r="P1272" s="8" t="n">
        <v>0</v>
      </c>
      <c r="Q1272" s="8" t="n">
        <v>0</v>
      </c>
      <c r="R1272" s="13" t="n">
        <v>0</v>
      </c>
      <c r="S1272" s="13" t="n">
        <v>0</v>
      </c>
      <c r="T1272" s="13"/>
      <c r="U1272" s="11" t="n">
        <f aca="false">O1272*4 + P1272*2 + MAX(0,N1272-O1272-P1272)*1 + Q1272*0.2 + R1272*2 + S1272*1 + IF(T1272="",0,IF(T1272&lt;=10,8,IF(T1272&lt;=50,6,IF(T1272&lt;=100,4,2))))</f>
        <v>0</v>
      </c>
      <c r="V1272" s="7"/>
      <c r="W1272" s="7"/>
      <c r="X1272" s="13"/>
      <c r="Y1272" s="13" t="s">
        <v>5485</v>
      </c>
    </row>
    <row r="1273" customFormat="false" ht="15.75" hidden="false" customHeight="true" outlineLevel="0" collapsed="false">
      <c r="A1273" s="7" t="s">
        <v>5486</v>
      </c>
      <c r="B1273" s="8" t="n">
        <v>2014</v>
      </c>
      <c r="C1273" s="8" t="s">
        <v>176</v>
      </c>
      <c r="D1273" s="8" t="n">
        <v>112</v>
      </c>
      <c r="E1273" s="7" t="s">
        <v>5487</v>
      </c>
      <c r="F1273" s="8" t="n">
        <v>6.5</v>
      </c>
      <c r="G1273" s="8" t="n">
        <v>6</v>
      </c>
      <c r="H1273" s="9" t="n">
        <v>379005</v>
      </c>
      <c r="I1273" s="7" t="s">
        <v>46</v>
      </c>
      <c r="J1273" s="7" t="s">
        <v>112</v>
      </c>
      <c r="K1273" s="7" t="s">
        <v>245</v>
      </c>
      <c r="L1273" s="10" t="s">
        <v>210</v>
      </c>
      <c r="M1273" s="7" t="s">
        <v>5488</v>
      </c>
      <c r="N1273" s="8" t="n">
        <v>0</v>
      </c>
      <c r="O1273" s="8" t="n">
        <v>0</v>
      </c>
      <c r="P1273" s="8" t="n">
        <v>0</v>
      </c>
      <c r="Q1273" s="8" t="n">
        <v>0</v>
      </c>
      <c r="R1273" s="13" t="n">
        <v>0</v>
      </c>
      <c r="S1273" s="13" t="n">
        <v>0</v>
      </c>
      <c r="T1273" s="13"/>
      <c r="U1273" s="11" t="n">
        <f aca="false">O1273*4 + P1273*2 + MAX(0,N1273-O1273-P1273)*1 + Q1273*0.2 + R1273*2 + S1273*1 + IF(T1273="",0,IF(T1273&lt;=10,8,IF(T1273&lt;=50,6,IF(T1273&lt;=100,4,2))))</f>
        <v>0</v>
      </c>
      <c r="V1273" s="7"/>
      <c r="W1273" s="7"/>
      <c r="X1273" s="13"/>
      <c r="Y1273" s="13" t="s">
        <v>5489</v>
      </c>
    </row>
    <row r="1274" customFormat="false" ht="15.75" hidden="false" customHeight="true" outlineLevel="0" collapsed="false">
      <c r="A1274" s="7" t="s">
        <v>5490</v>
      </c>
      <c r="B1274" s="8" t="n">
        <v>2004</v>
      </c>
      <c r="C1274" s="8" t="s">
        <v>35</v>
      </c>
      <c r="D1274" s="8" t="n">
        <v>131</v>
      </c>
      <c r="E1274" s="7" t="s">
        <v>5288</v>
      </c>
      <c r="F1274" s="8" t="n">
        <v>6.9</v>
      </c>
      <c r="G1274" s="8" t="n">
        <v>6</v>
      </c>
      <c r="H1274" s="9" t="n">
        <v>380508</v>
      </c>
      <c r="I1274" s="7" t="s">
        <v>46</v>
      </c>
      <c r="J1274" s="7" t="s">
        <v>112</v>
      </c>
      <c r="K1274" s="7" t="s">
        <v>125</v>
      </c>
      <c r="L1274" s="10" t="s">
        <v>177</v>
      </c>
      <c r="M1274" s="7" t="s">
        <v>5491</v>
      </c>
      <c r="N1274" s="8" t="n">
        <v>0</v>
      </c>
      <c r="O1274" s="8" t="n">
        <v>0</v>
      </c>
      <c r="P1274" s="8" t="n">
        <v>0</v>
      </c>
      <c r="Q1274" s="8" t="n">
        <v>0</v>
      </c>
      <c r="R1274" s="8" t="n">
        <v>1</v>
      </c>
      <c r="S1274" s="13" t="n">
        <v>0</v>
      </c>
      <c r="T1274" s="13"/>
      <c r="U1274" s="11" t="n">
        <f aca="false">O1274*4 + P1274*2 + MAX(0,N1274-O1274-P1274)*1 + Q1274*0.2 + R1274*2 + S1274*1 + IF(T1274="",0,IF(T1274&lt;=10,8,IF(T1274&lt;=50,6,IF(T1274&lt;=100,4,2))))</f>
        <v>2</v>
      </c>
      <c r="V1274" s="7"/>
      <c r="W1274" s="7"/>
      <c r="X1274" s="13"/>
      <c r="Y1274" s="13" t="s">
        <v>5492</v>
      </c>
    </row>
    <row r="1275" customFormat="false" ht="15.75" hidden="false" customHeight="true" outlineLevel="0" collapsed="false">
      <c r="A1275" s="7" t="s">
        <v>5493</v>
      </c>
      <c r="B1275" s="8" t="n">
        <v>2010</v>
      </c>
      <c r="C1275" s="8" t="s">
        <v>176</v>
      </c>
      <c r="D1275" s="8" t="n">
        <v>103</v>
      </c>
      <c r="E1275" s="7" t="s">
        <v>5494</v>
      </c>
      <c r="F1275" s="8" t="n">
        <v>6.4</v>
      </c>
      <c r="G1275" s="8" t="n">
        <v>8</v>
      </c>
      <c r="H1275" s="9" t="n">
        <v>382157</v>
      </c>
      <c r="I1275" s="7" t="s">
        <v>46</v>
      </c>
      <c r="J1275" s="7" t="s">
        <v>131</v>
      </c>
      <c r="K1275" s="7" t="s">
        <v>112</v>
      </c>
      <c r="L1275" s="10" t="s">
        <v>1188</v>
      </c>
      <c r="M1275" s="7" t="s">
        <v>5495</v>
      </c>
      <c r="N1275" s="8" t="n">
        <v>0</v>
      </c>
      <c r="O1275" s="8" t="n">
        <v>0</v>
      </c>
      <c r="P1275" s="8" t="n">
        <v>0</v>
      </c>
      <c r="Q1275" s="8" t="n">
        <v>0</v>
      </c>
      <c r="R1275" s="13" t="n">
        <v>0</v>
      </c>
      <c r="S1275" s="13" t="n">
        <v>0</v>
      </c>
      <c r="T1275" s="13"/>
      <c r="U1275" s="11" t="n">
        <f aca="false">O1275*4 + P1275*2 + MAX(0,N1275-O1275-P1275)*1 + Q1275*0.2 + R1275*2 + S1275*1 + IF(T1275="",0,IF(T1275&lt;=10,8,IF(T1275&lt;=50,6,IF(T1275&lt;=100,4,2))))</f>
        <v>0</v>
      </c>
      <c r="V1275" s="7"/>
      <c r="W1275" s="7"/>
      <c r="X1275" s="13"/>
      <c r="Y1275" s="13" t="s">
        <v>5496</v>
      </c>
    </row>
    <row r="1276" customFormat="false" ht="15.75" hidden="false" customHeight="true" outlineLevel="0" collapsed="false">
      <c r="A1276" s="7" t="s">
        <v>5497</v>
      </c>
      <c r="B1276" s="8" t="n">
        <v>2011</v>
      </c>
      <c r="C1276" s="8" t="s">
        <v>176</v>
      </c>
      <c r="D1276" s="8" t="n">
        <v>127</v>
      </c>
      <c r="E1276" s="7" t="s">
        <v>5498</v>
      </c>
      <c r="F1276" s="8" t="n">
        <v>7.1</v>
      </c>
      <c r="G1276" s="8" t="n">
        <v>6</v>
      </c>
      <c r="H1276" s="9" t="n">
        <v>383417</v>
      </c>
      <c r="I1276" s="7" t="s">
        <v>3346</v>
      </c>
      <c r="J1276" s="7" t="s">
        <v>111</v>
      </c>
      <c r="K1276" s="7" t="s">
        <v>112</v>
      </c>
      <c r="L1276" s="10"/>
      <c r="M1276" s="7" t="s">
        <v>5499</v>
      </c>
      <c r="N1276" s="8" t="n">
        <v>0</v>
      </c>
      <c r="O1276" s="8" t="n">
        <v>0</v>
      </c>
      <c r="P1276" s="8" t="n">
        <v>0</v>
      </c>
      <c r="Q1276" s="8" t="n">
        <v>1</v>
      </c>
      <c r="R1276" s="8" t="n">
        <v>0</v>
      </c>
      <c r="S1276" s="8" t="n">
        <v>0</v>
      </c>
      <c r="T1276" s="13"/>
      <c r="U1276" s="11" t="n">
        <f aca="false">O1276*4 + P1276*2 + MAX(0,N1276-O1276-P1276)*1 + Q1276*0.2 + R1276*2 + S1276*1 + IF(T1276="",0,IF(T1276&lt;=10,8,IF(T1276&lt;=50,6,IF(T1276&lt;=100,4,2))))</f>
        <v>0.2</v>
      </c>
      <c r="V1276" s="7"/>
      <c r="W1276" s="7"/>
      <c r="X1276" s="13"/>
      <c r="Y1276" s="13" t="s">
        <v>5500</v>
      </c>
    </row>
    <row r="1277" customFormat="false" ht="15.75" hidden="false" customHeight="true" outlineLevel="0" collapsed="false">
      <c r="A1277" s="7" t="s">
        <v>5501</v>
      </c>
      <c r="B1277" s="8" t="n">
        <v>2009</v>
      </c>
      <c r="C1277" s="8" t="s">
        <v>35</v>
      </c>
      <c r="D1277" s="8" t="n">
        <v>115</v>
      </c>
      <c r="E1277" s="7" t="s">
        <v>5502</v>
      </c>
      <c r="F1277" s="8" t="n">
        <v>6.5</v>
      </c>
      <c r="G1277" s="8" t="n">
        <v>6</v>
      </c>
      <c r="H1277" s="9" t="n">
        <v>394640</v>
      </c>
      <c r="I1277" s="7" t="s">
        <v>5503</v>
      </c>
      <c r="J1277" s="7" t="s">
        <v>111</v>
      </c>
      <c r="K1277" s="7" t="s">
        <v>852</v>
      </c>
      <c r="L1277" s="10" t="s">
        <v>210</v>
      </c>
      <c r="M1277" s="7" t="s">
        <v>5504</v>
      </c>
      <c r="N1277" s="8" t="n">
        <v>0</v>
      </c>
      <c r="O1277" s="8" t="n">
        <v>0</v>
      </c>
      <c r="P1277" s="8" t="n">
        <v>0</v>
      </c>
      <c r="Q1277" s="8" t="n">
        <v>0</v>
      </c>
      <c r="R1277" s="13" t="n">
        <v>0</v>
      </c>
      <c r="S1277" s="13" t="n">
        <v>0</v>
      </c>
      <c r="T1277" s="13"/>
      <c r="U1277" s="11" t="n">
        <f aca="false">O1277*4 + P1277*2 + MAX(0,N1277-O1277-P1277)*1 + Q1277*0.2 + R1277*2 + S1277*1 + IF(T1277="",0,IF(T1277&lt;=10,8,IF(T1277&lt;=50,6,IF(T1277&lt;=100,4,2))))</f>
        <v>0</v>
      </c>
      <c r="V1277" s="7"/>
      <c r="W1277" s="7"/>
      <c r="X1277" s="13"/>
      <c r="Y1277" s="13" t="s">
        <v>5505</v>
      </c>
    </row>
    <row r="1278" customFormat="false" ht="15.75" hidden="false" customHeight="true" outlineLevel="0" collapsed="false">
      <c r="A1278" s="7" t="s">
        <v>5506</v>
      </c>
      <c r="B1278" s="8" t="n">
        <v>2022</v>
      </c>
      <c r="C1278" s="8" t="s">
        <v>378</v>
      </c>
      <c r="D1278" s="8" t="n">
        <v>161</v>
      </c>
      <c r="E1278" s="7" t="s">
        <v>5507</v>
      </c>
      <c r="F1278" s="8" t="n">
        <v>6.6</v>
      </c>
      <c r="G1278" s="8" t="n">
        <v>6</v>
      </c>
      <c r="H1278" s="9" t="n">
        <v>398139</v>
      </c>
      <c r="I1278" s="7" t="s">
        <v>46</v>
      </c>
      <c r="J1278" s="7" t="s">
        <v>112</v>
      </c>
      <c r="K1278" s="7" t="s">
        <v>39</v>
      </c>
      <c r="L1278" s="10" t="s">
        <v>177</v>
      </c>
      <c r="M1278" s="7" t="s">
        <v>5508</v>
      </c>
      <c r="N1278" s="8" t="n">
        <v>1</v>
      </c>
      <c r="O1278" s="8" t="n">
        <v>0</v>
      </c>
      <c r="P1278" s="8" t="n">
        <v>0</v>
      </c>
      <c r="Q1278" s="8" t="n">
        <v>5</v>
      </c>
      <c r="R1278" s="8" t="n">
        <v>0</v>
      </c>
      <c r="S1278" s="8" t="n">
        <v>0</v>
      </c>
      <c r="T1278" s="13"/>
      <c r="U1278" s="11" t="n">
        <f aca="false">O1278*4 + P1278*2 + MAX(0,N1278-O1278-P1278)*1 + Q1278*0.2 + R1278*2 + S1278*1 + IF(T1278="",0,IF(T1278&lt;=10,8,IF(T1278&lt;=50,6,IF(T1278&lt;=100,4,2))))</f>
        <v>2</v>
      </c>
      <c r="V1278" s="7"/>
      <c r="W1278" s="7"/>
      <c r="X1278" s="13"/>
      <c r="Y1278" s="13" t="s">
        <v>5509</v>
      </c>
    </row>
    <row r="1279" customFormat="false" ht="15.75" hidden="false" customHeight="true" outlineLevel="0" collapsed="false">
      <c r="A1279" s="7" t="s">
        <v>5510</v>
      </c>
      <c r="B1279" s="8" t="n">
        <v>2017</v>
      </c>
      <c r="C1279" s="8" t="s">
        <v>176</v>
      </c>
      <c r="D1279" s="8" t="n">
        <v>141</v>
      </c>
      <c r="E1279" s="7" t="s">
        <v>5511</v>
      </c>
      <c r="F1279" s="8" t="n">
        <v>6.7</v>
      </c>
      <c r="G1279" s="8" t="n">
        <v>7</v>
      </c>
      <c r="H1279" s="9" t="n">
        <v>404752</v>
      </c>
      <c r="I1279" s="7" t="s">
        <v>359</v>
      </c>
      <c r="J1279" s="7" t="s">
        <v>112</v>
      </c>
      <c r="K1279" s="7" t="s">
        <v>39</v>
      </c>
      <c r="L1279" s="10" t="s">
        <v>5512</v>
      </c>
      <c r="M1279" s="7" t="s">
        <v>5513</v>
      </c>
      <c r="N1279" s="8" t="n">
        <v>0</v>
      </c>
      <c r="O1279" s="8" t="n">
        <v>0</v>
      </c>
      <c r="P1279" s="8" t="n">
        <v>0</v>
      </c>
      <c r="Q1279" s="8" t="n">
        <v>0</v>
      </c>
      <c r="R1279" s="13" t="n">
        <v>0</v>
      </c>
      <c r="S1279" s="13" t="n">
        <v>0</v>
      </c>
      <c r="T1279" s="13"/>
      <c r="U1279" s="11" t="n">
        <f aca="false">O1279*4 + P1279*2 + MAX(0,N1279-O1279-P1279)*1 + Q1279*0.2 + R1279*2 + S1279*1 + IF(T1279="",0,IF(T1279&lt;=10,8,IF(T1279&lt;=50,6,IF(T1279&lt;=100,4,2))))</f>
        <v>0</v>
      </c>
      <c r="V1279" s="7"/>
      <c r="W1279" s="7"/>
      <c r="X1279" s="13"/>
      <c r="Y1279" s="13" t="s">
        <v>5514</v>
      </c>
    </row>
    <row r="1280" customFormat="false" ht="15.75" hidden="false" customHeight="true" outlineLevel="0" collapsed="false">
      <c r="A1280" s="7" t="s">
        <v>5515</v>
      </c>
      <c r="B1280" s="8" t="n">
        <v>2014</v>
      </c>
      <c r="C1280" s="8" t="s">
        <v>176</v>
      </c>
      <c r="D1280" s="8" t="n">
        <v>102</v>
      </c>
      <c r="E1280" s="7" t="s">
        <v>3374</v>
      </c>
      <c r="F1280" s="8" t="n">
        <v>7.8</v>
      </c>
      <c r="G1280" s="8" t="n">
        <v>7</v>
      </c>
      <c r="H1280" s="9" t="n">
        <v>405890</v>
      </c>
      <c r="I1280" s="7" t="s">
        <v>46</v>
      </c>
      <c r="J1280" s="7" t="s">
        <v>579</v>
      </c>
      <c r="K1280" s="7" t="s">
        <v>112</v>
      </c>
      <c r="L1280" s="10" t="s">
        <v>2499</v>
      </c>
      <c r="M1280" s="7" t="s">
        <v>5516</v>
      </c>
      <c r="N1280" s="8" t="n">
        <v>0</v>
      </c>
      <c r="O1280" s="8" t="n">
        <v>0</v>
      </c>
      <c r="P1280" s="8" t="n">
        <v>0</v>
      </c>
      <c r="Q1280" s="8" t="n">
        <v>1</v>
      </c>
      <c r="R1280" s="8" t="n">
        <v>0</v>
      </c>
      <c r="S1280" s="8" t="n">
        <v>0</v>
      </c>
      <c r="T1280" s="13"/>
      <c r="U1280" s="11" t="n">
        <f aca="false">O1280*4 + P1280*2 + MAX(0,N1280-O1280-P1280)*1 + Q1280*0.2 + R1280*2 + S1280*1 + IF(T1280="",0,IF(T1280&lt;=10,8,IF(T1280&lt;=50,6,IF(T1280&lt;=100,4,2))))</f>
        <v>0.2</v>
      </c>
      <c r="V1280" s="7"/>
      <c r="W1280" s="7"/>
      <c r="X1280" s="13"/>
      <c r="Y1280" s="13" t="s">
        <v>5517</v>
      </c>
    </row>
    <row r="1281" customFormat="false" ht="15.75" hidden="false" customHeight="true" outlineLevel="0" collapsed="false">
      <c r="A1281" s="7" t="s">
        <v>5518</v>
      </c>
      <c r="B1281" s="8" t="n">
        <v>2003</v>
      </c>
      <c r="C1281" s="8" t="s">
        <v>35</v>
      </c>
      <c r="D1281" s="8" t="n">
        <v>111</v>
      </c>
      <c r="E1281" s="7" t="s">
        <v>1706</v>
      </c>
      <c r="F1281" s="8" t="n">
        <v>7</v>
      </c>
      <c r="G1281" s="8" t="n">
        <v>6</v>
      </c>
      <c r="H1281" s="9" t="n">
        <v>409657</v>
      </c>
      <c r="I1281" s="7" t="s">
        <v>359</v>
      </c>
      <c r="J1281" s="7" t="s">
        <v>131</v>
      </c>
      <c r="K1281" s="7" t="s">
        <v>132</v>
      </c>
      <c r="L1281" s="10" t="s">
        <v>226</v>
      </c>
      <c r="M1281" s="7" t="s">
        <v>5519</v>
      </c>
      <c r="N1281" s="8" t="n">
        <v>0</v>
      </c>
      <c r="O1281" s="8" t="n">
        <v>0</v>
      </c>
      <c r="P1281" s="8" t="n">
        <v>0</v>
      </c>
      <c r="Q1281" s="8" t="n">
        <v>0</v>
      </c>
      <c r="R1281" s="13" t="n">
        <v>0</v>
      </c>
      <c r="S1281" s="13" t="n">
        <v>0</v>
      </c>
      <c r="T1281" s="13"/>
      <c r="U1281" s="11" t="n">
        <f aca="false">O1281*4 + P1281*2 + MAX(0,N1281-O1281-P1281)*1 + Q1281*0.2 + R1281*2 + S1281*1 + IF(T1281="",0,IF(T1281&lt;=10,8,IF(T1281&lt;=50,6,IF(T1281&lt;=100,4,2))))</f>
        <v>0</v>
      </c>
      <c r="V1281" s="7"/>
      <c r="W1281" s="7"/>
      <c r="X1281" s="13"/>
      <c r="Y1281" s="13" t="s">
        <v>5520</v>
      </c>
    </row>
    <row r="1282" customFormat="false" ht="15.75" hidden="false" customHeight="true" outlineLevel="0" collapsed="false">
      <c r="A1282" s="7" t="s">
        <v>5521</v>
      </c>
      <c r="B1282" s="8" t="n">
        <v>2005</v>
      </c>
      <c r="C1282" s="8" t="s">
        <v>35</v>
      </c>
      <c r="D1282" s="8" t="n">
        <v>121</v>
      </c>
      <c r="E1282" s="7" t="s">
        <v>5522</v>
      </c>
      <c r="F1282" s="8" t="n">
        <v>7</v>
      </c>
      <c r="G1282" s="8" t="n">
        <v>6</v>
      </c>
      <c r="H1282" s="9" t="n">
        <v>411754</v>
      </c>
      <c r="I1282" s="7" t="s">
        <v>2011</v>
      </c>
      <c r="J1282" s="7" t="s">
        <v>147</v>
      </c>
      <c r="K1282" s="7" t="s">
        <v>5160</v>
      </c>
      <c r="L1282" s="10" t="s">
        <v>507</v>
      </c>
      <c r="M1282" s="7" t="s">
        <v>5523</v>
      </c>
      <c r="N1282" s="8" t="n">
        <v>0</v>
      </c>
      <c r="O1282" s="8" t="n">
        <v>0</v>
      </c>
      <c r="P1282" s="8" t="n">
        <v>0</v>
      </c>
      <c r="Q1282" s="8" t="n">
        <v>0</v>
      </c>
      <c r="R1282" s="13" t="n">
        <v>0</v>
      </c>
      <c r="S1282" s="13" t="n">
        <v>0</v>
      </c>
      <c r="T1282" s="13"/>
      <c r="U1282" s="11" t="n">
        <f aca="false">O1282*4 + P1282*2 + MAX(0,N1282-O1282-P1282)*1 + Q1282*0.2 + R1282*2 + S1282*1 + IF(T1282="",0,IF(T1282&lt;=10,8,IF(T1282&lt;=50,6,IF(T1282&lt;=100,4,2))))</f>
        <v>0</v>
      </c>
      <c r="V1282" s="7"/>
      <c r="W1282" s="7"/>
      <c r="X1282" s="13"/>
      <c r="Y1282" s="13" t="s">
        <v>5524</v>
      </c>
    </row>
    <row r="1283" customFormat="false" ht="15.75" hidden="false" customHeight="true" outlineLevel="0" collapsed="false">
      <c r="A1283" s="7" t="s">
        <v>5525</v>
      </c>
      <c r="B1283" s="8" t="n">
        <v>2000</v>
      </c>
      <c r="C1283" s="8" t="s">
        <v>35</v>
      </c>
      <c r="D1283" s="8" t="n">
        <v>123</v>
      </c>
      <c r="E1283" s="7" t="s">
        <v>4332</v>
      </c>
      <c r="F1283" s="8" t="n">
        <v>6.1</v>
      </c>
      <c r="G1283" s="8" t="n">
        <v>6</v>
      </c>
      <c r="H1283" s="9" t="n">
        <v>417018</v>
      </c>
      <c r="I1283" s="7" t="s">
        <v>2011</v>
      </c>
      <c r="J1283" s="7" t="s">
        <v>131</v>
      </c>
      <c r="K1283" s="7" t="s">
        <v>112</v>
      </c>
      <c r="L1283" s="10" t="s">
        <v>5526</v>
      </c>
      <c r="M1283" s="7" t="s">
        <v>5527</v>
      </c>
      <c r="N1283" s="8" t="n">
        <v>0</v>
      </c>
      <c r="O1283" s="8" t="n">
        <v>0</v>
      </c>
      <c r="P1283" s="8" t="n">
        <v>0</v>
      </c>
      <c r="Q1283" s="8" t="n">
        <v>0</v>
      </c>
      <c r="R1283" s="13" t="n">
        <v>0</v>
      </c>
      <c r="S1283" s="13" t="n">
        <v>0</v>
      </c>
      <c r="T1283" s="13"/>
      <c r="U1283" s="11" t="n">
        <f aca="false">O1283*4 + P1283*2 + MAX(0,N1283-O1283-P1283)*1 + Q1283*0.2 + R1283*2 + S1283*1 + IF(T1283="",0,IF(T1283&lt;=10,8,IF(T1283&lt;=50,6,IF(T1283&lt;=100,4,2))))</f>
        <v>0</v>
      </c>
      <c r="V1283" s="7"/>
      <c r="W1283" s="7"/>
      <c r="X1283" s="13"/>
      <c r="Y1283" s="13" t="s">
        <v>5528</v>
      </c>
    </row>
    <row r="1284" customFormat="false" ht="15.75" hidden="false" customHeight="true" outlineLevel="0" collapsed="false">
      <c r="A1284" s="7" t="s">
        <v>5529</v>
      </c>
      <c r="B1284" s="8" t="n">
        <v>2015</v>
      </c>
      <c r="C1284" s="8" t="s">
        <v>176</v>
      </c>
      <c r="D1284" s="8" t="n">
        <v>137</v>
      </c>
      <c r="E1284" s="7" t="s">
        <v>5522</v>
      </c>
      <c r="F1284" s="8" t="n">
        <v>6.6</v>
      </c>
      <c r="G1284" s="8" t="n">
        <v>6</v>
      </c>
      <c r="H1284" s="9" t="n">
        <v>419443</v>
      </c>
      <c r="I1284" s="7" t="s">
        <v>2011</v>
      </c>
      <c r="J1284" s="7" t="s">
        <v>111</v>
      </c>
      <c r="K1284" s="7" t="s">
        <v>112</v>
      </c>
      <c r="L1284" s="10" t="s">
        <v>5530</v>
      </c>
      <c r="M1284" s="7" t="s">
        <v>5531</v>
      </c>
      <c r="N1284" s="8" t="n">
        <v>0</v>
      </c>
      <c r="O1284" s="8" t="n">
        <v>0</v>
      </c>
      <c r="P1284" s="8" t="n">
        <v>0</v>
      </c>
      <c r="Q1284" s="8" t="n">
        <v>0</v>
      </c>
      <c r="R1284" s="13" t="n">
        <v>0</v>
      </c>
      <c r="S1284" s="13" t="n">
        <v>0</v>
      </c>
      <c r="T1284" s="13"/>
      <c r="U1284" s="11" t="n">
        <f aca="false">O1284*4 + P1284*2 + MAX(0,N1284-O1284-P1284)*1 + Q1284*0.2 + R1284*2 + S1284*1 + IF(T1284="",0,IF(T1284&lt;=10,8,IF(T1284&lt;=50,6,IF(T1284&lt;=100,4,2))))</f>
        <v>0</v>
      </c>
      <c r="V1284" s="7"/>
      <c r="W1284" s="7"/>
      <c r="X1284" s="13"/>
      <c r="Y1284" s="13" t="s">
        <v>5532</v>
      </c>
    </row>
    <row r="1285" customFormat="false" ht="15.75" hidden="false" customHeight="true" outlineLevel="0" collapsed="false">
      <c r="A1285" s="7" t="s">
        <v>5533</v>
      </c>
      <c r="B1285" s="8" t="n">
        <v>2016</v>
      </c>
      <c r="C1285" s="8" t="s">
        <v>176</v>
      </c>
      <c r="D1285" s="8" t="n">
        <v>116</v>
      </c>
      <c r="E1285" s="7" t="s">
        <v>5534</v>
      </c>
      <c r="F1285" s="8" t="n">
        <v>7.4</v>
      </c>
      <c r="G1285" s="8" t="n">
        <v>7</v>
      </c>
      <c r="H1285" s="9" t="n">
        <v>422360</v>
      </c>
      <c r="I1285" s="7" t="s">
        <v>359</v>
      </c>
      <c r="J1285" s="7" t="s">
        <v>112</v>
      </c>
      <c r="K1285" s="7" t="s">
        <v>54</v>
      </c>
      <c r="L1285" s="10"/>
      <c r="M1285" s="7" t="s">
        <v>5535</v>
      </c>
      <c r="N1285" s="8" t="n">
        <v>0</v>
      </c>
      <c r="O1285" s="8" t="n">
        <v>0</v>
      </c>
      <c r="P1285" s="8" t="n">
        <v>0</v>
      </c>
      <c r="Q1285" s="8" t="n">
        <v>0</v>
      </c>
      <c r="R1285" s="13" t="n">
        <v>0</v>
      </c>
      <c r="S1285" s="13" t="n">
        <v>0</v>
      </c>
      <c r="T1285" s="13"/>
      <c r="U1285" s="11" t="n">
        <f aca="false">O1285*4 + P1285*2 + MAX(0,N1285-O1285-P1285)*1 + Q1285*0.2 + R1285*2 + S1285*1 + IF(T1285="",0,IF(T1285&lt;=10,8,IF(T1285&lt;=50,6,IF(T1285&lt;=100,4,2))))</f>
        <v>0</v>
      </c>
      <c r="V1285" s="7"/>
      <c r="W1285" s="7"/>
      <c r="X1285" s="13"/>
      <c r="Y1285" s="13" t="s">
        <v>5536</v>
      </c>
    </row>
    <row r="1286" customFormat="false" ht="15.75" hidden="false" customHeight="true" outlineLevel="0" collapsed="false">
      <c r="A1286" s="7" t="s">
        <v>5537</v>
      </c>
      <c r="B1286" s="8" t="n">
        <v>1994</v>
      </c>
      <c r="C1286" s="8" t="s">
        <v>26</v>
      </c>
      <c r="D1286" s="8" t="n">
        <v>116</v>
      </c>
      <c r="E1286" s="7" t="s">
        <v>5538</v>
      </c>
      <c r="F1286" s="8" t="n">
        <v>7.3</v>
      </c>
      <c r="G1286" s="8" t="n">
        <v>6</v>
      </c>
      <c r="H1286" s="9" t="n">
        <v>425788</v>
      </c>
      <c r="I1286" s="7" t="s">
        <v>46</v>
      </c>
      <c r="J1286" s="7" t="s">
        <v>131</v>
      </c>
      <c r="K1286" s="7" t="s">
        <v>112</v>
      </c>
      <c r="L1286" s="10" t="s">
        <v>552</v>
      </c>
      <c r="M1286" s="7" t="s">
        <v>5539</v>
      </c>
      <c r="N1286" s="8" t="n">
        <v>2</v>
      </c>
      <c r="O1286" s="8" t="n">
        <v>0</v>
      </c>
      <c r="P1286" s="8" t="n">
        <v>0</v>
      </c>
      <c r="Q1286" s="8" t="n">
        <v>3</v>
      </c>
      <c r="R1286" s="8" t="n">
        <v>0</v>
      </c>
      <c r="S1286" s="8" t="n">
        <v>0</v>
      </c>
      <c r="T1286" s="13"/>
      <c r="U1286" s="11" t="n">
        <f aca="false">O1286*4 + P1286*2 + MAX(0,N1286-O1286-P1286)*1 + Q1286*0.2 + R1286*2 + S1286*1 + IF(T1286="",0,IF(T1286&lt;=10,8,IF(T1286&lt;=50,6,IF(T1286&lt;=100,4,2))))</f>
        <v>2.6</v>
      </c>
      <c r="V1286" s="7"/>
      <c r="W1286" s="7"/>
      <c r="X1286" s="13"/>
      <c r="Y1286" s="13" t="s">
        <v>5540</v>
      </c>
    </row>
    <row r="1287" customFormat="false" ht="15.75" hidden="false" customHeight="true" outlineLevel="0" collapsed="false">
      <c r="A1287" s="7" t="s">
        <v>5541</v>
      </c>
      <c r="B1287" s="8" t="n">
        <v>2006</v>
      </c>
      <c r="C1287" s="8" t="s">
        <v>35</v>
      </c>
      <c r="D1287" s="8" t="n">
        <v>126</v>
      </c>
      <c r="E1287" s="7" t="s">
        <v>5542</v>
      </c>
      <c r="F1287" s="8" t="n">
        <v>6.9</v>
      </c>
      <c r="G1287" s="8" t="n">
        <v>6</v>
      </c>
      <c r="H1287" s="9" t="n">
        <v>427647</v>
      </c>
      <c r="I1287" s="7" t="s">
        <v>5543</v>
      </c>
      <c r="J1287" s="7" t="s">
        <v>131</v>
      </c>
      <c r="K1287" s="7" t="s">
        <v>112</v>
      </c>
      <c r="L1287" s="10" t="s">
        <v>192</v>
      </c>
      <c r="M1287" s="7" t="s">
        <v>5544</v>
      </c>
      <c r="N1287" s="8" t="n">
        <v>0</v>
      </c>
      <c r="O1287" s="8" t="n">
        <v>0</v>
      </c>
      <c r="P1287" s="8" t="n">
        <v>0</v>
      </c>
      <c r="Q1287" s="8" t="n">
        <v>0</v>
      </c>
      <c r="R1287" s="13" t="n">
        <v>0</v>
      </c>
      <c r="S1287" s="13" t="n">
        <v>0</v>
      </c>
      <c r="T1287" s="13"/>
      <c r="U1287" s="11" t="n">
        <f aca="false">O1287*4 + P1287*2 + MAX(0,N1287-O1287-P1287)*1 + Q1287*0.2 + R1287*2 + S1287*1 + IF(T1287="",0,IF(T1287&lt;=10,8,IF(T1287&lt;=50,6,IF(T1287&lt;=100,4,2))))</f>
        <v>0</v>
      </c>
      <c r="V1287" s="7"/>
      <c r="W1287" s="7"/>
      <c r="X1287" s="13"/>
      <c r="Y1287" s="13" t="s">
        <v>5545</v>
      </c>
    </row>
    <row r="1288" customFormat="false" ht="15.75" hidden="false" customHeight="true" outlineLevel="0" collapsed="false">
      <c r="A1288" s="7" t="s">
        <v>5546</v>
      </c>
      <c r="B1288" s="8" t="n">
        <v>2008</v>
      </c>
      <c r="C1288" s="8" t="s">
        <v>35</v>
      </c>
      <c r="D1288" s="8" t="n">
        <v>110</v>
      </c>
      <c r="E1288" s="7" t="s">
        <v>5272</v>
      </c>
      <c r="F1288" s="8" t="n">
        <v>6.7</v>
      </c>
      <c r="G1288" s="8" t="n">
        <v>6</v>
      </c>
      <c r="H1288" s="9" t="n">
        <v>430476</v>
      </c>
      <c r="I1288" s="7" t="s">
        <v>2011</v>
      </c>
      <c r="J1288" s="7" t="s">
        <v>131</v>
      </c>
      <c r="K1288" s="7" t="s">
        <v>54</v>
      </c>
      <c r="L1288" s="10"/>
      <c r="M1288" s="7" t="s">
        <v>5547</v>
      </c>
      <c r="N1288" s="8" t="n">
        <v>0</v>
      </c>
      <c r="O1288" s="8" t="n">
        <v>0</v>
      </c>
      <c r="P1288" s="8" t="n">
        <v>0</v>
      </c>
      <c r="Q1288" s="8" t="n">
        <v>2</v>
      </c>
      <c r="R1288" s="8" t="n">
        <v>0</v>
      </c>
      <c r="S1288" s="8" t="n">
        <v>0</v>
      </c>
      <c r="T1288" s="13"/>
      <c r="U1288" s="11" t="n">
        <f aca="false">O1288*4 + P1288*2 + MAX(0,N1288-O1288-P1288)*1 + Q1288*0.2 + R1288*2 + S1288*1 + IF(T1288="",0,IF(T1288&lt;=10,8,IF(T1288&lt;=50,6,IF(T1288&lt;=100,4,2))))</f>
        <v>0.4</v>
      </c>
      <c r="V1288" s="7"/>
      <c r="W1288" s="7"/>
      <c r="X1288" s="13"/>
      <c r="Y1288" s="13" t="s">
        <v>5548</v>
      </c>
    </row>
    <row r="1289" customFormat="false" ht="15.75" hidden="false" customHeight="true" outlineLevel="0" collapsed="false">
      <c r="A1289" s="7" t="s">
        <v>5549</v>
      </c>
      <c r="B1289" s="8" t="n">
        <v>2003</v>
      </c>
      <c r="C1289" s="8" t="s">
        <v>35</v>
      </c>
      <c r="D1289" s="8" t="n">
        <v>109</v>
      </c>
      <c r="E1289" s="7" t="s">
        <v>5550</v>
      </c>
      <c r="F1289" s="8" t="n">
        <v>6.3</v>
      </c>
      <c r="G1289" s="8" t="n">
        <v>6</v>
      </c>
      <c r="H1289" s="9" t="n">
        <v>439522</v>
      </c>
      <c r="I1289" s="7" t="s">
        <v>2083</v>
      </c>
      <c r="J1289" s="7" t="s">
        <v>111</v>
      </c>
      <c r="K1289" s="7" t="s">
        <v>112</v>
      </c>
      <c r="L1289" s="10" t="s">
        <v>113</v>
      </c>
      <c r="M1289" s="7" t="s">
        <v>5551</v>
      </c>
      <c r="N1289" s="8" t="n">
        <v>0</v>
      </c>
      <c r="O1289" s="8" t="n">
        <v>0</v>
      </c>
      <c r="P1289" s="8" t="n">
        <v>0</v>
      </c>
      <c r="Q1289" s="8" t="n">
        <v>0</v>
      </c>
      <c r="R1289" s="13" t="n">
        <v>0</v>
      </c>
      <c r="S1289" s="13" t="n">
        <v>0</v>
      </c>
      <c r="T1289" s="13"/>
      <c r="U1289" s="11" t="n">
        <f aca="false">O1289*4 + P1289*2 + MAX(0,N1289-O1289-P1289)*1 + Q1289*0.2 + R1289*2 + S1289*1 + IF(T1289="",0,IF(T1289&lt;=10,8,IF(T1289&lt;=50,6,IF(T1289&lt;=100,4,2))))</f>
        <v>0</v>
      </c>
      <c r="V1289" s="7"/>
      <c r="W1289" s="7"/>
      <c r="X1289" s="13"/>
      <c r="Y1289" s="13" t="s">
        <v>5552</v>
      </c>
    </row>
    <row r="1290" customFormat="false" ht="15.75" hidden="false" customHeight="true" outlineLevel="0" collapsed="false">
      <c r="A1290" s="7" t="s">
        <v>5553</v>
      </c>
      <c r="B1290" s="8" t="n">
        <v>2008</v>
      </c>
      <c r="C1290" s="8" t="s">
        <v>35</v>
      </c>
      <c r="D1290" s="8" t="n">
        <v>85</v>
      </c>
      <c r="E1290" s="7" t="s">
        <v>5554</v>
      </c>
      <c r="F1290" s="8" t="n">
        <v>7</v>
      </c>
      <c r="G1290" s="8" t="n">
        <v>6</v>
      </c>
      <c r="H1290" s="9" t="n">
        <v>446708</v>
      </c>
      <c r="I1290" s="7" t="s">
        <v>46</v>
      </c>
      <c r="J1290" s="7" t="s">
        <v>147</v>
      </c>
      <c r="K1290" s="7" t="s">
        <v>111</v>
      </c>
      <c r="L1290" s="10"/>
      <c r="M1290" s="7" t="s">
        <v>5555</v>
      </c>
      <c r="N1290" s="8" t="n">
        <v>0</v>
      </c>
      <c r="O1290" s="8" t="n">
        <v>0</v>
      </c>
      <c r="P1290" s="8" t="n">
        <v>0</v>
      </c>
      <c r="Q1290" s="8" t="n">
        <v>0</v>
      </c>
      <c r="R1290" s="13" t="n">
        <v>0</v>
      </c>
      <c r="S1290" s="13" t="n">
        <v>0</v>
      </c>
      <c r="T1290" s="13"/>
      <c r="U1290" s="11" t="n">
        <f aca="false">O1290*4 + P1290*2 + MAX(0,N1290-O1290-P1290)*1 + Q1290*0.2 + R1290*2 + S1290*1 + IF(T1290="",0,IF(T1290&lt;=10,8,IF(T1290&lt;=50,6,IF(T1290&lt;=100,4,2))))</f>
        <v>0</v>
      </c>
      <c r="V1290" s="7"/>
      <c r="W1290" s="7"/>
      <c r="X1290" s="13"/>
      <c r="Y1290" s="13" t="s">
        <v>5556</v>
      </c>
    </row>
    <row r="1291" customFormat="false" ht="15.75" hidden="false" customHeight="true" outlineLevel="0" collapsed="false">
      <c r="A1291" s="7" t="s">
        <v>5557</v>
      </c>
      <c r="B1291" s="8" t="n">
        <v>2001</v>
      </c>
      <c r="C1291" s="8" t="s">
        <v>35</v>
      </c>
      <c r="D1291" s="8" t="n">
        <v>144</v>
      </c>
      <c r="E1291" s="7" t="s">
        <v>1074</v>
      </c>
      <c r="F1291" s="8" t="n">
        <v>7.7</v>
      </c>
      <c r="G1291" s="8" t="n">
        <v>7</v>
      </c>
      <c r="H1291" s="9" t="n">
        <v>458068</v>
      </c>
      <c r="I1291" s="7" t="s">
        <v>359</v>
      </c>
      <c r="J1291" s="7" t="s">
        <v>112</v>
      </c>
      <c r="K1291" s="7" t="s">
        <v>453</v>
      </c>
      <c r="L1291" s="10"/>
      <c r="M1291" s="7" t="s">
        <v>5558</v>
      </c>
      <c r="N1291" s="8" t="n">
        <v>2</v>
      </c>
      <c r="O1291" s="8" t="n">
        <v>0</v>
      </c>
      <c r="P1291" s="8" t="n">
        <v>0</v>
      </c>
      <c r="Q1291" s="8" t="n">
        <v>4</v>
      </c>
      <c r="R1291" s="8" t="n">
        <v>0</v>
      </c>
      <c r="S1291" s="8" t="n">
        <v>0</v>
      </c>
      <c r="T1291" s="13"/>
      <c r="U1291" s="11" t="n">
        <f aca="false">O1291*4 + P1291*2 + MAX(0,N1291-O1291-P1291)*1 + Q1291*0.2 + R1291*2 + S1291*1 + IF(T1291="",0,IF(T1291&lt;=10,8,IF(T1291&lt;=50,6,IF(T1291&lt;=100,4,2))))</f>
        <v>2.8</v>
      </c>
      <c r="V1291" s="7"/>
      <c r="W1291" s="7"/>
      <c r="X1291" s="13"/>
      <c r="Y1291" s="13" t="s">
        <v>5559</v>
      </c>
    </row>
    <row r="1292" customFormat="false" ht="15.75" hidden="false" customHeight="true" outlineLevel="0" collapsed="false">
      <c r="A1292" s="7" t="s">
        <v>5560</v>
      </c>
      <c r="B1292" s="8" t="n">
        <v>2001</v>
      </c>
      <c r="C1292" s="8" t="s">
        <v>35</v>
      </c>
      <c r="D1292" s="8" t="n">
        <v>106</v>
      </c>
      <c r="E1292" s="7" t="s">
        <v>5561</v>
      </c>
      <c r="F1292" s="8" t="n">
        <v>6.8</v>
      </c>
      <c r="G1292" s="8" t="n">
        <v>8</v>
      </c>
      <c r="H1292" s="9" t="n">
        <v>463376</v>
      </c>
      <c r="I1292" s="7" t="s">
        <v>2011</v>
      </c>
      <c r="J1292" s="7" t="s">
        <v>131</v>
      </c>
      <c r="K1292" s="7" t="s">
        <v>245</v>
      </c>
      <c r="L1292" s="10" t="s">
        <v>5302</v>
      </c>
      <c r="M1292" s="7" t="s">
        <v>5562</v>
      </c>
      <c r="N1292" s="8" t="n">
        <v>0</v>
      </c>
      <c r="O1292" s="8" t="n">
        <v>0</v>
      </c>
      <c r="P1292" s="8" t="n">
        <v>0</v>
      </c>
      <c r="Q1292" s="8" t="n">
        <v>0</v>
      </c>
      <c r="R1292" s="13" t="n">
        <v>0</v>
      </c>
      <c r="S1292" s="13" t="n">
        <v>0</v>
      </c>
      <c r="T1292" s="13"/>
      <c r="U1292" s="11" t="n">
        <f aca="false">O1292*4 + P1292*2 + MAX(0,N1292-O1292-P1292)*1 + Q1292*0.2 + R1292*2 + S1292*1 + IF(T1292="",0,IF(T1292&lt;=10,8,IF(T1292&lt;=50,6,IF(T1292&lt;=100,4,2))))</f>
        <v>0</v>
      </c>
      <c r="V1292" s="7"/>
      <c r="W1292" s="7"/>
      <c r="X1292" s="13"/>
      <c r="Y1292" s="13" t="s">
        <v>5563</v>
      </c>
    </row>
    <row r="1293" customFormat="false" ht="15.75" hidden="false" customHeight="true" outlineLevel="0" collapsed="false">
      <c r="A1293" s="7" t="s">
        <v>5564</v>
      </c>
      <c r="B1293" s="8" t="n">
        <v>2021</v>
      </c>
      <c r="C1293" s="8" t="s">
        <v>378</v>
      </c>
      <c r="D1293" s="8" t="n">
        <v>132</v>
      </c>
      <c r="E1293" s="7" t="s">
        <v>2735</v>
      </c>
      <c r="F1293" s="8" t="n">
        <v>7.2</v>
      </c>
      <c r="G1293" s="8" t="n">
        <v>6</v>
      </c>
      <c r="H1293" s="9" t="n">
        <v>463429</v>
      </c>
      <c r="I1293" s="7" t="s">
        <v>46</v>
      </c>
      <c r="J1293" s="7" t="s">
        <v>112</v>
      </c>
      <c r="K1293" s="7" t="s">
        <v>39</v>
      </c>
      <c r="L1293" s="10" t="s">
        <v>2027</v>
      </c>
      <c r="M1293" s="7" t="s">
        <v>5565</v>
      </c>
      <c r="N1293" s="8" t="n">
        <v>0</v>
      </c>
      <c r="O1293" s="8" t="n">
        <v>0</v>
      </c>
      <c r="P1293" s="8" t="n">
        <v>0</v>
      </c>
      <c r="Q1293" s="8" t="n">
        <v>0</v>
      </c>
      <c r="R1293" s="13" t="n">
        <v>0</v>
      </c>
      <c r="S1293" s="13" t="n">
        <v>0</v>
      </c>
      <c r="T1293" s="13"/>
      <c r="U1293" s="11" t="n">
        <f aca="false">O1293*4 + P1293*2 + MAX(0,N1293-O1293-P1293)*1 + Q1293*0.2 + R1293*2 + S1293*1 + IF(T1293="",0,IF(T1293&lt;=10,8,IF(T1293&lt;=50,6,IF(T1293&lt;=100,4,2))))</f>
        <v>0</v>
      </c>
      <c r="V1293" s="7"/>
      <c r="W1293" s="7"/>
      <c r="X1293" s="13"/>
      <c r="Y1293" s="13" t="s">
        <v>5566</v>
      </c>
    </row>
    <row r="1294" customFormat="false" ht="15.75" hidden="false" customHeight="true" outlineLevel="0" collapsed="false">
      <c r="A1294" s="7" t="s">
        <v>5567</v>
      </c>
      <c r="B1294" s="8" t="n">
        <v>2022</v>
      </c>
      <c r="C1294" s="8" t="s">
        <v>378</v>
      </c>
      <c r="D1294" s="8" t="n">
        <v>118</v>
      </c>
      <c r="E1294" s="7" t="s">
        <v>2604</v>
      </c>
      <c r="F1294" s="8" t="n">
        <v>6.1</v>
      </c>
      <c r="G1294" s="8" t="n">
        <v>6</v>
      </c>
      <c r="H1294" s="9" t="n">
        <v>470192</v>
      </c>
      <c r="I1294" s="7" t="s">
        <v>46</v>
      </c>
      <c r="J1294" s="7" t="s">
        <v>112</v>
      </c>
      <c r="K1294" s="7" t="s">
        <v>39</v>
      </c>
      <c r="L1294" s="10" t="s">
        <v>177</v>
      </c>
      <c r="M1294" s="7" t="s">
        <v>5568</v>
      </c>
      <c r="N1294" s="8" t="n">
        <v>0</v>
      </c>
      <c r="O1294" s="8" t="n">
        <v>0</v>
      </c>
      <c r="P1294" s="8" t="n">
        <v>0</v>
      </c>
      <c r="Q1294" s="8" t="n">
        <v>0</v>
      </c>
      <c r="R1294" s="13" t="n">
        <v>0</v>
      </c>
      <c r="S1294" s="13" t="n">
        <v>0</v>
      </c>
      <c r="T1294" s="13"/>
      <c r="U1294" s="11" t="n">
        <f aca="false">O1294*4 + P1294*2 + MAX(0,N1294-O1294-P1294)*1 + Q1294*0.2 + R1294*2 + S1294*1 + IF(T1294="",0,IF(T1294&lt;=10,8,IF(T1294&lt;=50,6,IF(T1294&lt;=100,4,2))))</f>
        <v>0</v>
      </c>
      <c r="V1294" s="7"/>
      <c r="W1294" s="7"/>
      <c r="X1294" s="13"/>
      <c r="Y1294" s="13" t="s">
        <v>5569</v>
      </c>
    </row>
    <row r="1295" customFormat="false" ht="15.75" hidden="false" customHeight="true" outlineLevel="0" collapsed="false">
      <c r="A1295" s="7" t="s">
        <v>5570</v>
      </c>
      <c r="B1295" s="8" t="n">
        <v>2014</v>
      </c>
      <c r="C1295" s="8" t="s">
        <v>176</v>
      </c>
      <c r="D1295" s="8" t="n">
        <v>123</v>
      </c>
      <c r="E1295" s="7" t="s">
        <v>5195</v>
      </c>
      <c r="F1295" s="8" t="n">
        <v>6.4</v>
      </c>
      <c r="G1295" s="8" t="n">
        <v>6</v>
      </c>
      <c r="H1295" s="9" t="n">
        <v>467299</v>
      </c>
      <c r="I1295" s="7" t="s">
        <v>2186</v>
      </c>
      <c r="J1295" s="7" t="s">
        <v>111</v>
      </c>
      <c r="K1295" s="7" t="s">
        <v>112</v>
      </c>
      <c r="L1295" s="10" t="s">
        <v>2609</v>
      </c>
      <c r="M1295" s="7" t="s">
        <v>5571</v>
      </c>
      <c r="N1295" s="8" t="n">
        <v>0</v>
      </c>
      <c r="O1295" s="8" t="n">
        <v>0</v>
      </c>
      <c r="P1295" s="8" t="n">
        <v>0</v>
      </c>
      <c r="Q1295" s="8" t="n">
        <v>0</v>
      </c>
      <c r="R1295" s="13" t="n">
        <v>0</v>
      </c>
      <c r="S1295" s="13" t="n">
        <v>0</v>
      </c>
      <c r="T1295" s="13"/>
      <c r="U1295" s="11" t="n">
        <f aca="false">O1295*4 + P1295*2 + MAX(0,N1295-O1295-P1295)*1 + Q1295*0.2 + R1295*2 + S1295*1 + IF(T1295="",0,IF(T1295&lt;=10,8,IF(T1295&lt;=50,6,IF(T1295&lt;=100,4,2))))</f>
        <v>0</v>
      </c>
      <c r="V1295" s="7"/>
      <c r="W1295" s="7"/>
      <c r="X1295" s="13"/>
      <c r="Y1295" s="13" t="s">
        <v>5572</v>
      </c>
    </row>
    <row r="1296" customFormat="false" ht="15.75" hidden="false" customHeight="true" outlineLevel="0" collapsed="false">
      <c r="A1296" s="7" t="s">
        <v>5573</v>
      </c>
      <c r="B1296" s="8" t="n">
        <v>2005</v>
      </c>
      <c r="C1296" s="8" t="s">
        <v>35</v>
      </c>
      <c r="D1296" s="8" t="n">
        <v>187</v>
      </c>
      <c r="E1296" s="7" t="s">
        <v>36</v>
      </c>
      <c r="F1296" s="8" t="n">
        <v>7.2</v>
      </c>
      <c r="G1296" s="8" t="n">
        <v>7</v>
      </c>
      <c r="H1296" s="9" t="n">
        <v>473263</v>
      </c>
      <c r="I1296" s="7" t="s">
        <v>5574</v>
      </c>
      <c r="J1296" s="7" t="s">
        <v>112</v>
      </c>
      <c r="K1296" s="7" t="s">
        <v>39</v>
      </c>
      <c r="L1296" s="10" t="s">
        <v>177</v>
      </c>
      <c r="M1296" s="7" t="s">
        <v>5575</v>
      </c>
      <c r="N1296" s="8" t="n">
        <v>3</v>
      </c>
      <c r="O1296" s="8" t="n">
        <v>0</v>
      </c>
      <c r="P1296" s="8" t="n">
        <v>0</v>
      </c>
      <c r="Q1296" s="8" t="n">
        <v>4</v>
      </c>
      <c r="R1296" s="8" t="n">
        <v>0</v>
      </c>
      <c r="S1296" s="8" t="n">
        <v>0</v>
      </c>
      <c r="T1296" s="13"/>
      <c r="U1296" s="11" t="n">
        <f aca="false">O1296*4 + P1296*2 + MAX(0,N1296-O1296-P1296)*1 + Q1296*0.2 + R1296*2 + S1296*1 + IF(T1296="",0,IF(T1296&lt;=10,8,IF(T1296&lt;=50,6,IF(T1296&lt;=100,4,2))))</f>
        <v>3.8</v>
      </c>
      <c r="V1296" s="7"/>
      <c r="W1296" s="7"/>
      <c r="X1296" s="13"/>
      <c r="Y1296" s="13" t="s">
        <v>5576</v>
      </c>
    </row>
    <row r="1297" customFormat="false" ht="15.75" hidden="false" customHeight="true" outlineLevel="0" collapsed="false">
      <c r="A1297" s="7" t="s">
        <v>5577</v>
      </c>
      <c r="B1297" s="8" t="n">
        <v>1998</v>
      </c>
      <c r="C1297" s="8" t="s">
        <v>26</v>
      </c>
      <c r="D1297" s="8" t="n">
        <v>151</v>
      </c>
      <c r="E1297" s="7" t="s">
        <v>5578</v>
      </c>
      <c r="F1297" s="8" t="n">
        <v>6.7</v>
      </c>
      <c r="G1297" s="8" t="n">
        <v>6</v>
      </c>
      <c r="H1297" s="9" t="n">
        <v>482556</v>
      </c>
      <c r="I1297" s="7" t="s">
        <v>46</v>
      </c>
      <c r="J1297" s="7" t="s">
        <v>111</v>
      </c>
      <c r="K1297" s="7" t="s">
        <v>3973</v>
      </c>
      <c r="L1297" s="10" t="s">
        <v>552</v>
      </c>
      <c r="M1297" s="7" t="s">
        <v>5579</v>
      </c>
      <c r="N1297" s="8" t="n">
        <v>0</v>
      </c>
      <c r="O1297" s="8" t="n">
        <v>0</v>
      </c>
      <c r="P1297" s="8" t="n">
        <v>0</v>
      </c>
      <c r="Q1297" s="8" t="n">
        <v>4</v>
      </c>
      <c r="R1297" s="8" t="n">
        <v>0</v>
      </c>
      <c r="S1297" s="8" t="n">
        <v>0</v>
      </c>
      <c r="T1297" s="13"/>
      <c r="U1297" s="11" t="n">
        <f aca="false">O1297*4 + P1297*2 + MAX(0,N1297-O1297-P1297)*1 + Q1297*0.2 + R1297*2 + S1297*1 + IF(T1297="",0,IF(T1297&lt;=10,8,IF(T1297&lt;=50,6,IF(T1297&lt;=100,4,2))))</f>
        <v>0.8</v>
      </c>
      <c r="V1297" s="7"/>
      <c r="W1297" s="7"/>
      <c r="X1297" s="13"/>
      <c r="Y1297" s="13" t="s">
        <v>5580</v>
      </c>
    </row>
    <row r="1298" customFormat="false" ht="15.75" hidden="false" customHeight="true" outlineLevel="0" collapsed="false">
      <c r="A1298" s="7" t="s">
        <v>5581</v>
      </c>
      <c r="B1298" s="8" t="n">
        <v>2021</v>
      </c>
      <c r="C1298" s="8" t="s">
        <v>378</v>
      </c>
      <c r="D1298" s="8" t="n">
        <v>163</v>
      </c>
      <c r="E1298" s="7" t="s">
        <v>1526</v>
      </c>
      <c r="F1298" s="8" t="n">
        <v>7.3</v>
      </c>
      <c r="G1298" s="8" t="n">
        <v>7</v>
      </c>
      <c r="H1298" s="9" t="n">
        <v>492547</v>
      </c>
      <c r="I1298" s="7" t="s">
        <v>359</v>
      </c>
      <c r="J1298" s="7" t="s">
        <v>131</v>
      </c>
      <c r="K1298" s="7" t="s">
        <v>112</v>
      </c>
      <c r="L1298" s="10" t="s">
        <v>113</v>
      </c>
      <c r="M1298" s="7" t="s">
        <v>5582</v>
      </c>
      <c r="N1298" s="8" t="n">
        <v>1</v>
      </c>
      <c r="O1298" s="8" t="n">
        <v>0</v>
      </c>
      <c r="P1298" s="8" t="n">
        <v>0</v>
      </c>
      <c r="Q1298" s="8" t="n">
        <v>3</v>
      </c>
      <c r="R1298" s="8" t="n">
        <v>0</v>
      </c>
      <c r="S1298" s="8" t="n">
        <v>0</v>
      </c>
      <c r="T1298" s="13"/>
      <c r="U1298" s="11" t="n">
        <f aca="false">O1298*4 + P1298*2 + MAX(0,N1298-O1298-P1298)*1 + Q1298*0.2 + R1298*2 + S1298*1 + IF(T1298="",0,IF(T1298&lt;=10,8,IF(T1298&lt;=50,6,IF(T1298&lt;=100,4,2))))</f>
        <v>1.6</v>
      </c>
      <c r="V1298" s="7"/>
      <c r="W1298" s="7"/>
      <c r="X1298" s="13"/>
      <c r="Y1298" s="13" t="s">
        <v>5583</v>
      </c>
    </row>
    <row r="1299" customFormat="false" ht="15.75" hidden="false" customHeight="true" outlineLevel="0" collapsed="false">
      <c r="A1299" s="7" t="s">
        <v>5584</v>
      </c>
      <c r="B1299" s="8" t="n">
        <v>2021</v>
      </c>
      <c r="C1299" s="8" t="s">
        <v>378</v>
      </c>
      <c r="D1299" s="8" t="n">
        <v>115</v>
      </c>
      <c r="E1299" s="7" t="s">
        <v>5498</v>
      </c>
      <c r="F1299" s="8" t="n">
        <v>7.1</v>
      </c>
      <c r="G1299" s="8" t="n">
        <v>7</v>
      </c>
      <c r="H1299" s="9" t="n">
        <v>495041</v>
      </c>
      <c r="I1299" s="7" t="s">
        <v>46</v>
      </c>
      <c r="J1299" s="7" t="s">
        <v>112</v>
      </c>
      <c r="K1299" s="7" t="s">
        <v>39</v>
      </c>
      <c r="L1299" s="10" t="s">
        <v>177</v>
      </c>
      <c r="M1299" s="7" t="s">
        <v>5585</v>
      </c>
      <c r="N1299" s="8" t="n">
        <v>0</v>
      </c>
      <c r="O1299" s="8" t="n">
        <v>0</v>
      </c>
      <c r="P1299" s="8" t="n">
        <v>0</v>
      </c>
      <c r="Q1299" s="8" t="n">
        <v>1</v>
      </c>
      <c r="R1299" s="8" t="n">
        <v>0</v>
      </c>
      <c r="S1299" s="8" t="n">
        <v>0</v>
      </c>
      <c r="T1299" s="13"/>
      <c r="U1299" s="11" t="n">
        <f aca="false">O1299*4 + P1299*2 + MAX(0,N1299-O1299-P1299)*1 + Q1299*0.2 + R1299*2 + S1299*1 + IF(T1299="",0,IF(T1299&lt;=10,8,IF(T1299&lt;=50,6,IF(T1299&lt;=100,4,2))))</f>
        <v>0.2</v>
      </c>
      <c r="V1299" s="7"/>
      <c r="W1299" s="7"/>
      <c r="X1299" s="13"/>
      <c r="Y1299" s="13" t="s">
        <v>5586</v>
      </c>
    </row>
    <row r="1300" customFormat="false" ht="15.75" hidden="false" customHeight="true" outlineLevel="0" collapsed="false">
      <c r="A1300" s="7" t="s">
        <v>5587</v>
      </c>
      <c r="B1300" s="8" t="n">
        <v>2008</v>
      </c>
      <c r="C1300" s="8" t="s">
        <v>35</v>
      </c>
      <c r="D1300" s="8" t="n">
        <v>107</v>
      </c>
      <c r="E1300" s="7" t="s">
        <v>5588</v>
      </c>
      <c r="F1300" s="8" t="n">
        <v>7.1</v>
      </c>
      <c r="G1300" s="8" t="n">
        <v>6</v>
      </c>
      <c r="H1300" s="9" t="n">
        <v>495527</v>
      </c>
      <c r="I1300" s="7" t="s">
        <v>5589</v>
      </c>
      <c r="J1300" s="7" t="s">
        <v>154</v>
      </c>
      <c r="K1300" s="7" t="s">
        <v>112</v>
      </c>
      <c r="L1300" s="10" t="s">
        <v>220</v>
      </c>
      <c r="M1300" s="7" t="s">
        <v>5590</v>
      </c>
      <c r="N1300" s="8" t="n">
        <v>0</v>
      </c>
      <c r="O1300" s="8" t="n">
        <v>0</v>
      </c>
      <c r="P1300" s="8" t="n">
        <v>0</v>
      </c>
      <c r="Q1300" s="8" t="n">
        <v>1</v>
      </c>
      <c r="R1300" s="8" t="n">
        <v>0</v>
      </c>
      <c r="S1300" s="8" t="n">
        <v>0</v>
      </c>
      <c r="T1300" s="13"/>
      <c r="U1300" s="11" t="n">
        <f aca="false">O1300*4 + P1300*2 + MAX(0,N1300-O1300-P1300)*1 + Q1300*0.2 + R1300*2 + S1300*1 + IF(T1300="",0,IF(T1300&lt;=10,8,IF(T1300&lt;=50,6,IF(T1300&lt;=100,4,2))))</f>
        <v>0.2</v>
      </c>
      <c r="V1300" s="7"/>
      <c r="W1300" s="7"/>
      <c r="X1300" s="13"/>
      <c r="Y1300" s="13" t="s">
        <v>5591</v>
      </c>
    </row>
    <row r="1301" customFormat="false" ht="15.75" hidden="false" customHeight="true" outlineLevel="0" collapsed="false">
      <c r="A1301" s="7" t="s">
        <v>5592</v>
      </c>
      <c r="B1301" s="8" t="n">
        <v>2015</v>
      </c>
      <c r="C1301" s="8" t="s">
        <v>176</v>
      </c>
      <c r="D1301" s="8" t="n">
        <v>148</v>
      </c>
      <c r="E1301" s="7" t="s">
        <v>2244</v>
      </c>
      <c r="F1301" s="8" t="n">
        <v>6.8</v>
      </c>
      <c r="G1301" s="8" t="n">
        <v>7</v>
      </c>
      <c r="H1301" s="9" t="n">
        <v>500234</v>
      </c>
      <c r="I1301" s="7" t="s">
        <v>359</v>
      </c>
      <c r="J1301" s="7" t="s">
        <v>131</v>
      </c>
      <c r="K1301" s="7" t="s">
        <v>245</v>
      </c>
      <c r="L1301" s="10" t="s">
        <v>113</v>
      </c>
      <c r="M1301" s="7" t="s">
        <v>5593</v>
      </c>
      <c r="N1301" s="8" t="n">
        <v>1</v>
      </c>
      <c r="O1301" s="8" t="n">
        <v>0</v>
      </c>
      <c r="P1301" s="8" t="n">
        <v>0</v>
      </c>
      <c r="Q1301" s="8" t="n">
        <v>1</v>
      </c>
      <c r="R1301" s="8" t="n">
        <v>0</v>
      </c>
      <c r="S1301" s="8" t="n">
        <v>0</v>
      </c>
      <c r="T1301" s="13"/>
      <c r="U1301" s="11" t="n">
        <f aca="false">O1301*4 + P1301*2 + MAX(0,N1301-O1301-P1301)*1 + Q1301*0.2 + R1301*2 + S1301*1 + IF(T1301="",0,IF(T1301&lt;=10,8,IF(T1301&lt;=50,6,IF(T1301&lt;=100,4,2))))</f>
        <v>1.2</v>
      </c>
      <c r="V1301" s="7"/>
      <c r="W1301" s="7"/>
      <c r="X1301" s="13"/>
      <c r="Y1301" s="13" t="s">
        <v>5594</v>
      </c>
    </row>
    <row r="1302" customFormat="false" ht="15.75" hidden="false" customHeight="true" outlineLevel="0" collapsed="false">
      <c r="A1302" s="7" t="s">
        <v>5595</v>
      </c>
      <c r="B1302" s="8" t="n">
        <v>2018</v>
      </c>
      <c r="C1302" s="8" t="s">
        <v>176</v>
      </c>
      <c r="D1302" s="8" t="n">
        <v>118</v>
      </c>
      <c r="E1302" s="7" t="s">
        <v>5596</v>
      </c>
      <c r="F1302" s="8" t="n">
        <v>7</v>
      </c>
      <c r="G1302" s="8" t="n">
        <v>6</v>
      </c>
      <c r="H1302" s="9" t="n">
        <v>502878</v>
      </c>
      <c r="I1302" s="7" t="s">
        <v>46</v>
      </c>
      <c r="J1302" s="7" t="s">
        <v>112</v>
      </c>
      <c r="K1302" s="7" t="s">
        <v>39</v>
      </c>
      <c r="L1302" s="10" t="s">
        <v>177</v>
      </c>
      <c r="M1302" s="7" t="s">
        <v>5597</v>
      </c>
      <c r="N1302" s="8" t="n">
        <v>0</v>
      </c>
      <c r="O1302" s="8" t="n">
        <v>0</v>
      </c>
      <c r="P1302" s="8" t="n">
        <v>0</v>
      </c>
      <c r="Q1302" s="8" t="n">
        <v>0</v>
      </c>
      <c r="R1302" s="13" t="n">
        <v>0</v>
      </c>
      <c r="S1302" s="13" t="n">
        <v>0</v>
      </c>
      <c r="T1302" s="13"/>
      <c r="U1302" s="11" t="n">
        <f aca="false">O1302*4 + P1302*2 + MAX(0,N1302-O1302-P1302)*1 + Q1302*0.2 + R1302*2 + S1302*1 + IF(T1302="",0,IF(T1302&lt;=10,8,IF(T1302&lt;=50,6,IF(T1302&lt;=100,4,2))))</f>
        <v>0</v>
      </c>
      <c r="V1302" s="7"/>
      <c r="W1302" s="7"/>
      <c r="X1302" s="13"/>
      <c r="Y1302" s="13" t="s">
        <v>5598</v>
      </c>
    </row>
    <row r="1303" customFormat="false" ht="15.75" hidden="false" customHeight="true" outlineLevel="0" collapsed="false">
      <c r="A1303" s="7" t="s">
        <v>5599</v>
      </c>
      <c r="B1303" s="8" t="n">
        <v>2008</v>
      </c>
      <c r="C1303" s="8" t="s">
        <v>35</v>
      </c>
      <c r="D1303" s="8" t="n">
        <v>106</v>
      </c>
      <c r="E1303" s="7" t="s">
        <v>661</v>
      </c>
      <c r="F1303" s="8" t="n">
        <v>6.5</v>
      </c>
      <c r="G1303" s="8" t="n">
        <v>6</v>
      </c>
      <c r="H1303" s="9" t="n">
        <v>501606</v>
      </c>
      <c r="I1303" s="7" t="s">
        <v>359</v>
      </c>
      <c r="J1303" s="7" t="s">
        <v>112</v>
      </c>
      <c r="K1303" s="7" t="s">
        <v>245</v>
      </c>
      <c r="L1303" s="10" t="s">
        <v>113</v>
      </c>
      <c r="M1303" s="7" t="s">
        <v>5600</v>
      </c>
      <c r="N1303" s="8" t="n">
        <v>0</v>
      </c>
      <c r="O1303" s="8" t="n">
        <v>0</v>
      </c>
      <c r="P1303" s="8" t="n">
        <v>0</v>
      </c>
      <c r="Q1303" s="8" t="n">
        <v>0</v>
      </c>
      <c r="R1303" s="13" t="n">
        <v>0</v>
      </c>
      <c r="S1303" s="13" t="n">
        <v>0</v>
      </c>
      <c r="T1303" s="13"/>
      <c r="U1303" s="11" t="n">
        <f aca="false">O1303*4 + P1303*2 + MAX(0,N1303-O1303-P1303)*1 + Q1303*0.2 + R1303*2 + S1303*1 + IF(T1303="",0,IF(T1303&lt;=10,8,IF(T1303&lt;=50,6,IF(T1303&lt;=100,4,2))))</f>
        <v>0</v>
      </c>
      <c r="V1303" s="7"/>
      <c r="W1303" s="7"/>
      <c r="X1303" s="13"/>
      <c r="Y1303" s="13" t="s">
        <v>5601</v>
      </c>
    </row>
    <row r="1304" customFormat="false" ht="15.75" hidden="false" customHeight="true" outlineLevel="0" collapsed="false">
      <c r="A1304" s="7" t="s">
        <v>5602</v>
      </c>
      <c r="B1304" s="8" t="n">
        <v>2017</v>
      </c>
      <c r="C1304" s="8" t="s">
        <v>176</v>
      </c>
      <c r="D1304" s="8" t="n">
        <v>119</v>
      </c>
      <c r="E1304" s="7" t="s">
        <v>5603</v>
      </c>
      <c r="F1304" s="8" t="n">
        <v>6.9</v>
      </c>
      <c r="G1304" s="8" t="n">
        <v>6</v>
      </c>
      <c r="H1304" s="9" t="n">
        <v>509443</v>
      </c>
      <c r="I1304" s="7" t="s">
        <v>46</v>
      </c>
      <c r="J1304" s="7" t="s">
        <v>112</v>
      </c>
      <c r="K1304" s="7" t="s">
        <v>39</v>
      </c>
      <c r="L1304" s="10" t="s">
        <v>507</v>
      </c>
      <c r="M1304" s="7" t="s">
        <v>5604</v>
      </c>
      <c r="N1304" s="8" t="n">
        <v>0</v>
      </c>
      <c r="O1304" s="8" t="n">
        <v>0</v>
      </c>
      <c r="P1304" s="8" t="n">
        <v>0</v>
      </c>
      <c r="Q1304" s="8" t="n">
        <v>0</v>
      </c>
      <c r="R1304" s="13" t="n">
        <v>0</v>
      </c>
      <c r="S1304" s="13" t="n">
        <v>0</v>
      </c>
      <c r="T1304" s="13"/>
      <c r="U1304" s="11" t="n">
        <f aca="false">O1304*4 + P1304*2 + MAX(0,N1304-O1304-P1304)*1 + Q1304*0.2 + R1304*2 + S1304*1 + IF(T1304="",0,IF(T1304&lt;=10,8,IF(T1304&lt;=50,6,IF(T1304&lt;=100,4,2))))</f>
        <v>0</v>
      </c>
      <c r="V1304" s="7"/>
      <c r="W1304" s="7"/>
      <c r="X1304" s="13"/>
      <c r="Y1304" s="13" t="s">
        <v>5605</v>
      </c>
    </row>
    <row r="1305" customFormat="false" ht="15.75" hidden="false" customHeight="true" outlineLevel="0" collapsed="false">
      <c r="A1305" s="7" t="s">
        <v>5606</v>
      </c>
      <c r="B1305" s="8" t="n">
        <v>1996</v>
      </c>
      <c r="C1305" s="8" t="s">
        <v>26</v>
      </c>
      <c r="D1305" s="8" t="n">
        <v>110</v>
      </c>
      <c r="E1305" s="7" t="s">
        <v>273</v>
      </c>
      <c r="F1305" s="8" t="n">
        <v>7.2</v>
      </c>
      <c r="G1305" s="8" t="n">
        <v>8</v>
      </c>
      <c r="H1305" s="9" t="n">
        <v>521677</v>
      </c>
      <c r="I1305" s="7" t="s">
        <v>46</v>
      </c>
      <c r="J1305" s="7" t="s">
        <v>131</v>
      </c>
      <c r="K1305" s="7" t="s">
        <v>245</v>
      </c>
      <c r="L1305" s="10" t="s">
        <v>192</v>
      </c>
      <c r="M1305" s="7" t="s">
        <v>5607</v>
      </c>
      <c r="N1305" s="8" t="n">
        <v>0</v>
      </c>
      <c r="O1305" s="8" t="n">
        <v>0</v>
      </c>
      <c r="P1305" s="8" t="n">
        <v>0</v>
      </c>
      <c r="Q1305" s="8" t="n">
        <v>0</v>
      </c>
      <c r="R1305" s="13" t="n">
        <v>0</v>
      </c>
      <c r="S1305" s="13" t="n">
        <v>0</v>
      </c>
      <c r="T1305" s="13"/>
      <c r="U1305" s="11" t="n">
        <f aca="false">O1305*4 + P1305*2 + MAX(0,N1305-O1305-P1305)*1 + Q1305*0.2 + R1305*2 + S1305*1 + IF(T1305="",0,IF(T1305&lt;=10,8,IF(T1305&lt;=50,6,IF(T1305&lt;=100,4,2))))</f>
        <v>0</v>
      </c>
      <c r="V1305" s="7"/>
      <c r="W1305" s="7"/>
      <c r="X1305" s="13"/>
      <c r="Y1305" s="13" t="s">
        <v>5608</v>
      </c>
    </row>
    <row r="1306" customFormat="false" ht="15.75" hidden="false" customHeight="true" outlineLevel="0" collapsed="false">
      <c r="A1306" s="7" t="s">
        <v>5609</v>
      </c>
      <c r="B1306" s="8" t="n">
        <v>2022</v>
      </c>
      <c r="C1306" s="8" t="s">
        <v>378</v>
      </c>
      <c r="D1306" s="8" t="n">
        <v>127</v>
      </c>
      <c r="E1306" s="7" t="s">
        <v>5301</v>
      </c>
      <c r="F1306" s="8" t="n">
        <v>7.3</v>
      </c>
      <c r="G1306" s="8" t="n">
        <v>7</v>
      </c>
      <c r="H1306" s="9" t="n">
        <v>544490</v>
      </c>
      <c r="I1306" s="7" t="s">
        <v>46</v>
      </c>
      <c r="J1306" s="7" t="s">
        <v>131</v>
      </c>
      <c r="K1306" s="7" t="s">
        <v>112</v>
      </c>
      <c r="L1306" s="10" t="s">
        <v>238</v>
      </c>
      <c r="M1306" s="7" t="s">
        <v>5610</v>
      </c>
      <c r="N1306" s="8" t="n">
        <v>0</v>
      </c>
      <c r="O1306" s="8" t="n">
        <v>0</v>
      </c>
      <c r="P1306" s="8" t="n">
        <v>0</v>
      </c>
      <c r="Q1306" s="8" t="n">
        <v>0</v>
      </c>
      <c r="R1306" s="13" t="n">
        <v>0</v>
      </c>
      <c r="S1306" s="13" t="n">
        <v>0</v>
      </c>
      <c r="T1306" s="13"/>
      <c r="U1306" s="11" t="n">
        <f aca="false">O1306*4 + P1306*2 + MAX(0,N1306-O1306-P1306)*1 + Q1306*0.2 + R1306*2 + S1306*1 + IF(T1306="",0,IF(T1306&lt;=10,8,IF(T1306&lt;=50,6,IF(T1306&lt;=100,4,2))))</f>
        <v>0</v>
      </c>
      <c r="V1306" s="7"/>
      <c r="W1306" s="7"/>
      <c r="X1306" s="13"/>
      <c r="Y1306" s="13" t="s">
        <v>5611</v>
      </c>
    </row>
    <row r="1307" customFormat="false" ht="15.75" hidden="false" customHeight="true" outlineLevel="0" collapsed="false">
      <c r="A1307" s="7" t="s">
        <v>5612</v>
      </c>
      <c r="B1307" s="8" t="n">
        <v>2015</v>
      </c>
      <c r="C1307" s="8" t="s">
        <v>176</v>
      </c>
      <c r="D1307" s="8" t="n">
        <v>121</v>
      </c>
      <c r="E1307" s="7" t="s">
        <v>1110</v>
      </c>
      <c r="F1307" s="8" t="n">
        <v>7.7</v>
      </c>
      <c r="G1307" s="8" t="n">
        <v>8</v>
      </c>
      <c r="H1307" s="9" t="n">
        <v>546302</v>
      </c>
      <c r="I1307" s="7" t="s">
        <v>46</v>
      </c>
      <c r="J1307" s="7" t="s">
        <v>112</v>
      </c>
      <c r="K1307" s="7" t="s">
        <v>245</v>
      </c>
      <c r="L1307" s="10" t="s">
        <v>161</v>
      </c>
      <c r="M1307" s="7" t="s">
        <v>5613</v>
      </c>
      <c r="N1307" s="8" t="n">
        <v>0</v>
      </c>
      <c r="O1307" s="8" t="n">
        <v>0</v>
      </c>
      <c r="P1307" s="8" t="n">
        <v>0</v>
      </c>
      <c r="Q1307" s="8" t="n">
        <v>3</v>
      </c>
      <c r="R1307" s="8" t="n">
        <v>0</v>
      </c>
      <c r="S1307" s="8" t="n">
        <v>0</v>
      </c>
      <c r="T1307" s="13"/>
      <c r="U1307" s="11" t="n">
        <f aca="false">O1307*4 + P1307*2 + MAX(0,N1307-O1307-P1307)*1 + Q1307*0.2 + R1307*2 + S1307*1 + IF(T1307="",0,IF(T1307&lt;=10,8,IF(T1307&lt;=50,6,IF(T1307&lt;=100,4,2))))</f>
        <v>0.6</v>
      </c>
      <c r="V1307" s="7"/>
      <c r="W1307" s="7"/>
      <c r="X1307" s="13"/>
      <c r="Y1307" s="13" t="s">
        <v>5614</v>
      </c>
    </row>
    <row r="1308" customFormat="false" ht="15.75" hidden="false" customHeight="true" outlineLevel="0" collapsed="false">
      <c r="A1308" s="7" t="s">
        <v>5615</v>
      </c>
      <c r="B1308" s="8" t="n">
        <v>2014</v>
      </c>
      <c r="C1308" s="8" t="s">
        <v>176</v>
      </c>
      <c r="D1308" s="8" t="n">
        <v>123</v>
      </c>
      <c r="E1308" s="7" t="s">
        <v>5522</v>
      </c>
      <c r="F1308" s="8" t="n">
        <v>6.6</v>
      </c>
      <c r="G1308" s="8" t="n">
        <v>6</v>
      </c>
      <c r="H1308" s="9" t="n">
        <v>551671</v>
      </c>
      <c r="I1308" s="7" t="s">
        <v>46</v>
      </c>
      <c r="J1308" s="7" t="s">
        <v>111</v>
      </c>
      <c r="K1308" s="7" t="s">
        <v>112</v>
      </c>
      <c r="L1308" s="10" t="s">
        <v>5530</v>
      </c>
      <c r="M1308" s="7" t="s">
        <v>5616</v>
      </c>
      <c r="N1308" s="8" t="n">
        <v>0</v>
      </c>
      <c r="O1308" s="8" t="n">
        <v>0</v>
      </c>
      <c r="P1308" s="8" t="n">
        <v>0</v>
      </c>
      <c r="Q1308" s="8" t="n">
        <v>0</v>
      </c>
      <c r="R1308" s="13" t="n">
        <v>0</v>
      </c>
      <c r="S1308" s="13" t="n">
        <v>0</v>
      </c>
      <c r="T1308" s="13"/>
      <c r="U1308" s="11" t="n">
        <f aca="false">O1308*4 + P1308*2 + MAX(0,N1308-O1308-P1308)*1 + Q1308*0.2 + R1308*2 + S1308*1 + IF(T1308="",0,IF(T1308&lt;=10,8,IF(T1308&lt;=50,6,IF(T1308&lt;=100,4,2))))</f>
        <v>0</v>
      </c>
      <c r="V1308" s="7"/>
      <c r="W1308" s="7"/>
      <c r="X1308" s="13"/>
      <c r="Y1308" s="13" t="s">
        <v>5617</v>
      </c>
    </row>
    <row r="1309" customFormat="false" ht="15.75" hidden="false" customHeight="true" outlineLevel="0" collapsed="false">
      <c r="A1309" s="7" t="s">
        <v>5618</v>
      </c>
      <c r="B1309" s="8" t="n">
        <v>2018</v>
      </c>
      <c r="C1309" s="8" t="s">
        <v>176</v>
      </c>
      <c r="D1309" s="8" t="n">
        <v>143</v>
      </c>
      <c r="E1309" s="7" t="s">
        <v>2158</v>
      </c>
      <c r="F1309" s="8" t="n">
        <v>6.8</v>
      </c>
      <c r="G1309" s="8" t="n">
        <v>6</v>
      </c>
      <c r="H1309" s="9" t="n">
        <v>558098</v>
      </c>
      <c r="I1309" s="7" t="s">
        <v>46</v>
      </c>
      <c r="J1309" s="7" t="s">
        <v>38</v>
      </c>
      <c r="K1309" s="7" t="s">
        <v>112</v>
      </c>
      <c r="L1309" s="10" t="s">
        <v>2433</v>
      </c>
      <c r="M1309" s="7" t="s">
        <v>5619</v>
      </c>
      <c r="N1309" s="8" t="n">
        <v>0</v>
      </c>
      <c r="O1309" s="8" t="n">
        <v>0</v>
      </c>
      <c r="P1309" s="8" t="n">
        <v>0</v>
      </c>
      <c r="Q1309" s="8" t="n">
        <v>0</v>
      </c>
      <c r="R1309" s="13" t="n">
        <v>0</v>
      </c>
      <c r="S1309" s="13" t="n">
        <v>0</v>
      </c>
      <c r="T1309" s="13"/>
      <c r="U1309" s="11" t="n">
        <f aca="false">O1309*4 + P1309*2 + MAX(0,N1309-O1309-P1309)*1 + Q1309*0.2 + R1309*2 + S1309*1 + IF(T1309="",0,IF(T1309&lt;=10,8,IF(T1309&lt;=50,6,IF(T1309&lt;=100,4,2))))</f>
        <v>0</v>
      </c>
      <c r="V1309" s="7"/>
      <c r="W1309" s="7"/>
      <c r="X1309" s="13"/>
      <c r="Y1309" s="13" t="s">
        <v>5620</v>
      </c>
    </row>
    <row r="1310" customFormat="false" ht="15.75" hidden="false" customHeight="true" outlineLevel="0" collapsed="false">
      <c r="A1310" s="7" t="s">
        <v>5621</v>
      </c>
      <c r="B1310" s="8" t="n">
        <v>2014</v>
      </c>
      <c r="C1310" s="8" t="s">
        <v>176</v>
      </c>
      <c r="D1310" s="8" t="n">
        <v>113</v>
      </c>
      <c r="E1310" s="7" t="s">
        <v>5622</v>
      </c>
      <c r="F1310" s="8" t="n">
        <v>6.8</v>
      </c>
      <c r="G1310" s="8" t="n">
        <v>6</v>
      </c>
      <c r="H1310" s="9" t="n">
        <v>569623</v>
      </c>
      <c r="I1310" s="7" t="s">
        <v>46</v>
      </c>
      <c r="J1310" s="7" t="s">
        <v>111</v>
      </c>
      <c r="K1310" s="7" t="s">
        <v>125</v>
      </c>
      <c r="L1310" s="10" t="s">
        <v>177</v>
      </c>
      <c r="M1310" s="7" t="s">
        <v>5623</v>
      </c>
      <c r="N1310" s="8" t="n">
        <v>0</v>
      </c>
      <c r="O1310" s="8" t="n">
        <v>0</v>
      </c>
      <c r="P1310" s="8" t="n">
        <v>0</v>
      </c>
      <c r="Q1310" s="8" t="n">
        <v>0</v>
      </c>
      <c r="R1310" s="13" t="n">
        <v>0</v>
      </c>
      <c r="S1310" s="13" t="n">
        <v>0</v>
      </c>
      <c r="T1310" s="13"/>
      <c r="U1310" s="11" t="n">
        <f aca="false">O1310*4 + P1310*2 + MAX(0,N1310-O1310-P1310)*1 + Q1310*0.2 + R1310*2 + S1310*1 + IF(T1310="",0,IF(T1310&lt;=10,8,IF(T1310&lt;=50,6,IF(T1310&lt;=100,4,2))))</f>
        <v>0</v>
      </c>
      <c r="V1310" s="7"/>
      <c r="W1310" s="7"/>
      <c r="X1310" s="13"/>
      <c r="Y1310" s="13" t="s">
        <v>5624</v>
      </c>
    </row>
    <row r="1311" customFormat="false" ht="15.75" hidden="false" customHeight="true" outlineLevel="0" collapsed="false">
      <c r="A1311" s="7" t="s">
        <v>5625</v>
      </c>
      <c r="B1311" s="8" t="n">
        <v>2008</v>
      </c>
      <c r="C1311" s="8" t="s">
        <v>35</v>
      </c>
      <c r="D1311" s="8" t="n">
        <v>112</v>
      </c>
      <c r="E1311" s="7" t="s">
        <v>5626</v>
      </c>
      <c r="F1311" s="8" t="n">
        <v>6.6</v>
      </c>
      <c r="G1311" s="8" t="n">
        <v>6</v>
      </c>
      <c r="H1311" s="9" t="n">
        <v>573167</v>
      </c>
      <c r="I1311" s="7" t="s">
        <v>46</v>
      </c>
      <c r="J1311" s="7" t="s">
        <v>111</v>
      </c>
      <c r="K1311" s="7" t="s">
        <v>112</v>
      </c>
      <c r="L1311" s="10" t="s">
        <v>113</v>
      </c>
      <c r="M1311" s="7" t="s">
        <v>5627</v>
      </c>
      <c r="N1311" s="8" t="n">
        <v>0</v>
      </c>
      <c r="O1311" s="8" t="n">
        <v>0</v>
      </c>
      <c r="P1311" s="8" t="n">
        <v>0</v>
      </c>
      <c r="Q1311" s="8" t="n">
        <v>0</v>
      </c>
      <c r="R1311" s="13" t="n">
        <v>0</v>
      </c>
      <c r="S1311" s="13" t="n">
        <v>0</v>
      </c>
      <c r="T1311" s="13"/>
      <c r="U1311" s="11" t="n">
        <f aca="false">O1311*4 + P1311*2 + MAX(0,N1311-O1311-P1311)*1 + Q1311*0.2 + R1311*2 + S1311*1 + IF(T1311="",0,IF(T1311&lt;=10,8,IF(T1311&lt;=50,6,IF(T1311&lt;=100,4,2))))</f>
        <v>0</v>
      </c>
      <c r="V1311" s="7"/>
      <c r="W1311" s="7"/>
      <c r="X1311" s="13"/>
      <c r="Y1311" s="13" t="s">
        <v>5628</v>
      </c>
    </row>
    <row r="1312" customFormat="false" ht="15.75" hidden="false" customHeight="true" outlineLevel="0" collapsed="false">
      <c r="A1312" s="7" t="s">
        <v>5629</v>
      </c>
      <c r="B1312" s="8" t="n">
        <v>2014</v>
      </c>
      <c r="C1312" s="8" t="s">
        <v>176</v>
      </c>
      <c r="D1312" s="8" t="n">
        <v>142</v>
      </c>
      <c r="E1312" s="7" t="s">
        <v>5630</v>
      </c>
      <c r="F1312" s="8" t="n">
        <v>6.6</v>
      </c>
      <c r="G1312" s="8" t="n">
        <v>6</v>
      </c>
      <c r="H1312" s="9" t="n">
        <v>603297</v>
      </c>
      <c r="I1312" s="7" t="s">
        <v>46</v>
      </c>
      <c r="J1312" s="7" t="s">
        <v>111</v>
      </c>
      <c r="K1312" s="7" t="s">
        <v>112</v>
      </c>
      <c r="L1312" s="10" t="s">
        <v>1895</v>
      </c>
      <c r="M1312" s="7" t="s">
        <v>5631</v>
      </c>
      <c r="N1312" s="8" t="n">
        <v>0</v>
      </c>
      <c r="O1312" s="8" t="n">
        <v>0</v>
      </c>
      <c r="P1312" s="8" t="n">
        <v>0</v>
      </c>
      <c r="Q1312" s="8" t="n">
        <v>0</v>
      </c>
      <c r="R1312" s="13" t="n">
        <v>0</v>
      </c>
      <c r="S1312" s="13" t="n">
        <v>0</v>
      </c>
      <c r="T1312" s="13"/>
      <c r="U1312" s="11" t="n">
        <f aca="false">O1312*4 + P1312*2 + MAX(0,N1312-O1312-P1312)*1 + Q1312*0.2 + R1312*2 + S1312*1 + IF(T1312="",0,IF(T1312&lt;=10,8,IF(T1312&lt;=50,6,IF(T1312&lt;=100,4,2))))</f>
        <v>0</v>
      </c>
      <c r="V1312" s="7"/>
      <c r="W1312" s="7"/>
      <c r="X1312" s="13"/>
      <c r="Y1312" s="13" t="s">
        <v>5632</v>
      </c>
    </row>
    <row r="1313" customFormat="false" ht="15.75" hidden="false" customHeight="true" outlineLevel="0" collapsed="false">
      <c r="A1313" s="7" t="s">
        <v>5633</v>
      </c>
      <c r="B1313" s="8" t="n">
        <v>2005</v>
      </c>
      <c r="C1313" s="8" t="s">
        <v>35</v>
      </c>
      <c r="D1313" s="8" t="n">
        <v>120</v>
      </c>
      <c r="E1313" s="7" t="s">
        <v>2153</v>
      </c>
      <c r="F1313" s="8" t="n">
        <v>6.5</v>
      </c>
      <c r="G1313" s="8" t="n">
        <v>6</v>
      </c>
      <c r="H1313" s="9" t="n">
        <v>599983</v>
      </c>
      <c r="I1313" s="7" t="s">
        <v>46</v>
      </c>
      <c r="J1313" s="7" t="s">
        <v>112</v>
      </c>
      <c r="K1313" s="7" t="s">
        <v>54</v>
      </c>
      <c r="L1313" s="10" t="s">
        <v>1895</v>
      </c>
      <c r="M1313" s="7" t="s">
        <v>5634</v>
      </c>
      <c r="N1313" s="8" t="n">
        <v>0</v>
      </c>
      <c r="O1313" s="8" t="n">
        <v>0</v>
      </c>
      <c r="P1313" s="8" t="n">
        <v>0</v>
      </c>
      <c r="Q1313" s="8" t="n">
        <v>0</v>
      </c>
      <c r="R1313" s="13" t="n">
        <v>0</v>
      </c>
      <c r="S1313" s="13" t="n">
        <v>0</v>
      </c>
      <c r="T1313" s="13"/>
      <c r="U1313" s="11" t="n">
        <f aca="false">O1313*4 + P1313*2 + MAX(0,N1313-O1313-P1313)*1 + Q1313*0.2 + R1313*2 + S1313*1 + IF(T1313="",0,IF(T1313&lt;=10,8,IF(T1313&lt;=50,6,IF(T1313&lt;=100,4,2))))</f>
        <v>0</v>
      </c>
      <c r="V1313" s="7"/>
      <c r="W1313" s="7"/>
      <c r="X1313" s="13"/>
      <c r="Y1313" s="13" t="s">
        <v>5635</v>
      </c>
    </row>
    <row r="1314" customFormat="false" ht="15.75" hidden="false" customHeight="true" outlineLevel="0" collapsed="false">
      <c r="A1314" s="7" t="s">
        <v>5636</v>
      </c>
      <c r="B1314" s="8" t="n">
        <v>2009</v>
      </c>
      <c r="C1314" s="8" t="s">
        <v>35</v>
      </c>
      <c r="D1314" s="8" t="n">
        <v>127</v>
      </c>
      <c r="E1314" s="7" t="s">
        <v>5542</v>
      </c>
      <c r="F1314" s="8" t="n">
        <v>7.9</v>
      </c>
      <c r="G1314" s="8" t="n">
        <v>6</v>
      </c>
      <c r="H1314" s="9" t="n">
        <v>640354</v>
      </c>
      <c r="I1314" s="7" t="s">
        <v>2011</v>
      </c>
      <c r="J1314" s="7" t="s">
        <v>111</v>
      </c>
      <c r="K1314" s="7" t="s">
        <v>2271</v>
      </c>
      <c r="L1314" s="10" t="s">
        <v>192</v>
      </c>
      <c r="M1314" s="7" t="s">
        <v>5637</v>
      </c>
      <c r="N1314" s="8" t="n">
        <v>1</v>
      </c>
      <c r="O1314" s="8" t="n">
        <v>0</v>
      </c>
      <c r="P1314" s="8" t="n">
        <v>0</v>
      </c>
      <c r="Q1314" s="8" t="n">
        <v>4</v>
      </c>
      <c r="R1314" s="8" t="n">
        <v>0</v>
      </c>
      <c r="S1314" s="8" t="n">
        <v>0</v>
      </c>
      <c r="T1314" s="13"/>
      <c r="U1314" s="11" t="n">
        <f aca="false">O1314*4 + P1314*2 + MAX(0,N1314-O1314-P1314)*1 + Q1314*0.2 + R1314*2 + S1314*1 + IF(T1314="",0,IF(T1314&lt;=10,8,IF(T1314&lt;=50,6,IF(T1314&lt;=100,4,2))))</f>
        <v>1.8</v>
      </c>
      <c r="V1314" s="7"/>
      <c r="W1314" s="7"/>
      <c r="X1314" s="13"/>
      <c r="Y1314" s="13" t="s">
        <v>5638</v>
      </c>
    </row>
    <row r="1315" customFormat="false" ht="15.75" hidden="false" customHeight="true" outlineLevel="0" collapsed="false">
      <c r="A1315" s="7" t="s">
        <v>5639</v>
      </c>
      <c r="B1315" s="8" t="n">
        <v>1996</v>
      </c>
      <c r="C1315" s="8" t="s">
        <v>26</v>
      </c>
      <c r="D1315" s="8" t="n">
        <v>145</v>
      </c>
      <c r="E1315" s="7" t="s">
        <v>5640</v>
      </c>
      <c r="F1315" s="8" t="n">
        <v>7</v>
      </c>
      <c r="G1315" s="8" t="n">
        <v>6</v>
      </c>
      <c r="H1315" s="9" t="n">
        <v>653258</v>
      </c>
      <c r="I1315" s="7" t="s">
        <v>46</v>
      </c>
      <c r="J1315" s="7" t="s">
        <v>111</v>
      </c>
      <c r="K1315" s="7" t="s">
        <v>2004</v>
      </c>
      <c r="L1315" s="10" t="s">
        <v>552</v>
      </c>
      <c r="M1315" s="7" t="s">
        <v>5641</v>
      </c>
      <c r="N1315" s="8" t="n">
        <v>1</v>
      </c>
      <c r="O1315" s="8" t="n">
        <v>0</v>
      </c>
      <c r="P1315" s="8" t="n">
        <v>0</v>
      </c>
      <c r="Q1315" s="8" t="n">
        <v>2</v>
      </c>
      <c r="R1315" s="8" t="n">
        <v>0</v>
      </c>
      <c r="S1315" s="8" t="n">
        <v>0</v>
      </c>
      <c r="T1315" s="13"/>
      <c r="U1315" s="11" t="n">
        <f aca="false">O1315*4 + P1315*2 + MAX(0,N1315-O1315-P1315)*1 + Q1315*0.2 + R1315*2 + S1315*1 + IF(T1315="",0,IF(T1315&lt;=10,8,IF(T1315&lt;=50,6,IF(T1315&lt;=100,4,2))))</f>
        <v>1.4</v>
      </c>
      <c r="V1315" s="7"/>
      <c r="W1315" s="7"/>
      <c r="X1315" s="13"/>
      <c r="Y1315" s="13" t="s">
        <v>5642</v>
      </c>
    </row>
    <row r="1316" customFormat="false" ht="15.75" hidden="false" customHeight="true" outlineLevel="0" collapsed="false">
      <c r="A1316" s="7" t="s">
        <v>5643</v>
      </c>
      <c r="B1316" s="8" t="n">
        <v>2019</v>
      </c>
      <c r="C1316" s="8" t="s">
        <v>176</v>
      </c>
      <c r="D1316" s="8" t="n">
        <v>123</v>
      </c>
      <c r="E1316" s="7" t="s">
        <v>5644</v>
      </c>
      <c r="F1316" s="8" t="n">
        <v>6.7</v>
      </c>
      <c r="G1316" s="8" t="n">
        <v>6</v>
      </c>
      <c r="H1316" s="9" t="n">
        <v>668455</v>
      </c>
      <c r="I1316" s="7" t="s">
        <v>46</v>
      </c>
      <c r="J1316" s="7" t="s">
        <v>111</v>
      </c>
      <c r="K1316" s="7" t="s">
        <v>112</v>
      </c>
      <c r="L1316" s="10" t="s">
        <v>177</v>
      </c>
      <c r="M1316" s="7" t="s">
        <v>5645</v>
      </c>
      <c r="N1316" s="8" t="n">
        <v>0</v>
      </c>
      <c r="O1316" s="8" t="n">
        <v>0</v>
      </c>
      <c r="P1316" s="8" t="n">
        <v>0</v>
      </c>
      <c r="Q1316" s="8" t="n">
        <v>0</v>
      </c>
      <c r="R1316" s="13" t="n">
        <v>0</v>
      </c>
      <c r="S1316" s="13" t="n">
        <v>0</v>
      </c>
      <c r="T1316" s="13"/>
      <c r="U1316" s="11" t="n">
        <f aca="false">O1316*4 + P1316*2 + MAX(0,N1316-O1316-P1316)*1 + Q1316*0.2 + R1316*2 + S1316*1 + IF(T1316="",0,IF(T1316&lt;=10,8,IF(T1316&lt;=50,6,IF(T1316&lt;=100,4,2))))</f>
        <v>0</v>
      </c>
      <c r="V1316" s="7"/>
      <c r="W1316" s="7"/>
      <c r="X1316" s="13"/>
      <c r="Y1316" s="13" t="s">
        <v>5646</v>
      </c>
    </row>
    <row r="1317" customFormat="false" ht="15.75" hidden="false" customHeight="true" outlineLevel="0" collapsed="false">
      <c r="A1317" s="7" t="s">
        <v>5647</v>
      </c>
      <c r="B1317" s="8" t="n">
        <v>2017</v>
      </c>
      <c r="C1317" s="8" t="s">
        <v>176</v>
      </c>
      <c r="D1317" s="8" t="n">
        <v>141</v>
      </c>
      <c r="E1317" s="7" t="s">
        <v>5648</v>
      </c>
      <c r="F1317" s="8" t="n">
        <v>7.3</v>
      </c>
      <c r="G1317" s="8" t="n">
        <v>6</v>
      </c>
      <c r="H1317" s="9" t="n">
        <v>739569</v>
      </c>
      <c r="I1317" s="7" t="s">
        <v>46</v>
      </c>
      <c r="J1317" s="7" t="s">
        <v>38</v>
      </c>
      <c r="K1317" s="7" t="s">
        <v>5160</v>
      </c>
      <c r="L1317" s="10" t="s">
        <v>5649</v>
      </c>
      <c r="M1317" s="7" t="s">
        <v>5650</v>
      </c>
      <c r="N1317" s="8" t="n">
        <v>0</v>
      </c>
      <c r="O1317" s="8" t="n">
        <v>0</v>
      </c>
      <c r="P1317" s="8" t="n">
        <v>0</v>
      </c>
      <c r="Q1317" s="8" t="n">
        <v>0</v>
      </c>
      <c r="R1317" s="13" t="n">
        <v>0</v>
      </c>
      <c r="S1317" s="13" t="n">
        <v>0</v>
      </c>
      <c r="T1317" s="13"/>
      <c r="U1317" s="11" t="n">
        <f aca="false">O1317*4 + P1317*2 + MAX(0,N1317-O1317-P1317)*1 + Q1317*0.2 + R1317*2 + S1317*1 + IF(T1317="",0,IF(T1317&lt;=10,8,IF(T1317&lt;=50,6,IF(T1317&lt;=100,4,2))))</f>
        <v>0</v>
      </c>
      <c r="V1317" s="7"/>
      <c r="W1317" s="7"/>
      <c r="X1317" s="13"/>
      <c r="Y1317" s="13" t="s">
        <v>5651</v>
      </c>
    </row>
    <row r="1318" customFormat="false" ht="15.75" hidden="false" customHeight="true" outlineLevel="0" collapsed="false">
      <c r="A1318" s="7" t="s">
        <v>5652</v>
      </c>
      <c r="B1318" s="8" t="n">
        <v>2012</v>
      </c>
      <c r="C1318" s="8" t="s">
        <v>176</v>
      </c>
      <c r="D1318" s="8" t="n">
        <v>143</v>
      </c>
      <c r="E1318" s="7" t="s">
        <v>2244</v>
      </c>
      <c r="F1318" s="8" t="n">
        <v>7.8</v>
      </c>
      <c r="G1318" s="8" t="n">
        <v>7</v>
      </c>
      <c r="H1318" s="9" t="n">
        <v>778277</v>
      </c>
      <c r="I1318" s="7" t="s">
        <v>359</v>
      </c>
      <c r="J1318" s="7" t="s">
        <v>131</v>
      </c>
      <c r="K1318" s="7" t="s">
        <v>245</v>
      </c>
      <c r="L1318" s="10" t="s">
        <v>113</v>
      </c>
      <c r="M1318" s="7" t="s">
        <v>5653</v>
      </c>
      <c r="N1318" s="8" t="n">
        <v>2</v>
      </c>
      <c r="O1318" s="8" t="n">
        <v>0</v>
      </c>
      <c r="P1318" s="8" t="n">
        <v>0</v>
      </c>
      <c r="Q1318" s="8" t="n">
        <v>5</v>
      </c>
      <c r="R1318" s="8" t="n">
        <v>0</v>
      </c>
      <c r="S1318" s="8" t="n">
        <v>0</v>
      </c>
      <c r="T1318" s="13"/>
      <c r="U1318" s="11" t="n">
        <f aca="false">O1318*4 + P1318*2 + MAX(0,N1318-O1318-P1318)*1 + Q1318*0.2 + R1318*2 + S1318*1 + IF(T1318="",0,IF(T1318&lt;=10,8,IF(T1318&lt;=50,6,IF(T1318&lt;=100,4,2))))</f>
        <v>3</v>
      </c>
      <c r="V1318" s="7"/>
      <c r="W1318" s="7"/>
      <c r="X1318" s="13"/>
      <c r="Y1318" s="13" t="s">
        <v>5654</v>
      </c>
    </row>
    <row r="1319" customFormat="false" ht="15.75" hidden="false" customHeight="true" outlineLevel="0" collapsed="false">
      <c r="A1319" s="7" t="s">
        <v>5655</v>
      </c>
      <c r="B1319" s="8" t="n">
        <v>2017</v>
      </c>
      <c r="C1319" s="8" t="s">
        <v>176</v>
      </c>
      <c r="D1319" s="8" t="n">
        <v>133</v>
      </c>
      <c r="E1319" s="7" t="s">
        <v>2644</v>
      </c>
      <c r="F1319" s="8" t="n">
        <v>7.4</v>
      </c>
      <c r="G1319" s="8" t="n">
        <v>7</v>
      </c>
      <c r="H1319" s="9" t="n">
        <v>825704</v>
      </c>
      <c r="I1319" s="7" t="s">
        <v>46</v>
      </c>
      <c r="J1319" s="7" t="s">
        <v>111</v>
      </c>
      <c r="K1319" s="7" t="s">
        <v>112</v>
      </c>
      <c r="L1319" s="10" t="s">
        <v>40</v>
      </c>
      <c r="M1319" s="7" t="s">
        <v>5656</v>
      </c>
      <c r="N1319" s="8" t="n">
        <v>0</v>
      </c>
      <c r="O1319" s="8" t="n">
        <v>0</v>
      </c>
      <c r="P1319" s="8" t="n">
        <v>0</v>
      </c>
      <c r="Q1319" s="8" t="n">
        <v>0</v>
      </c>
      <c r="R1319" s="13" t="n">
        <v>0</v>
      </c>
      <c r="S1319" s="13" t="n">
        <v>0</v>
      </c>
      <c r="T1319" s="13"/>
      <c r="U1319" s="11" t="n">
        <f aca="false">O1319*4 + P1319*2 + MAX(0,N1319-O1319-P1319)*1 + Q1319*0.2 + R1319*2 + S1319*1 + IF(T1319="",0,IF(T1319&lt;=10,8,IF(T1319&lt;=50,6,IF(T1319&lt;=100,4,2))))</f>
        <v>0</v>
      </c>
      <c r="V1319" s="7"/>
      <c r="W1319" s="7"/>
      <c r="X1319" s="13"/>
      <c r="Y1319" s="13" t="s">
        <v>5657</v>
      </c>
    </row>
    <row r="1320" customFormat="false" ht="15.75" hidden="false" customHeight="true" outlineLevel="0" collapsed="false">
      <c r="A1320" s="7" t="s">
        <v>5658</v>
      </c>
      <c r="B1320" s="8" t="n">
        <v>2017</v>
      </c>
      <c r="C1320" s="8" t="s">
        <v>176</v>
      </c>
      <c r="D1320" s="8" t="n">
        <v>136</v>
      </c>
      <c r="E1320" s="7" t="s">
        <v>2735</v>
      </c>
      <c r="F1320" s="8" t="n">
        <v>7.6</v>
      </c>
      <c r="G1320" s="8" t="n">
        <v>8</v>
      </c>
      <c r="H1320" s="9" t="n">
        <v>840590</v>
      </c>
      <c r="I1320" s="7" t="s">
        <v>46</v>
      </c>
      <c r="J1320" s="7" t="s">
        <v>112</v>
      </c>
      <c r="K1320" s="7" t="s">
        <v>39</v>
      </c>
      <c r="L1320" s="10" t="s">
        <v>177</v>
      </c>
      <c r="M1320" s="7" t="s">
        <v>5659</v>
      </c>
      <c r="N1320" s="8" t="n">
        <v>0</v>
      </c>
      <c r="O1320" s="8" t="n">
        <v>0</v>
      </c>
      <c r="P1320" s="8" t="n">
        <v>0</v>
      </c>
      <c r="Q1320" s="8" t="n">
        <v>1</v>
      </c>
      <c r="R1320" s="8" t="n">
        <v>0</v>
      </c>
      <c r="S1320" s="8" t="n">
        <v>0</v>
      </c>
      <c r="T1320" s="13"/>
      <c r="U1320" s="11" t="n">
        <f aca="false">O1320*4 + P1320*2 + MAX(0,N1320-O1320-P1320)*1 + Q1320*0.2 + R1320*2 + S1320*1 + IF(T1320="",0,IF(T1320&lt;=10,8,IF(T1320&lt;=50,6,IF(T1320&lt;=100,4,2))))</f>
        <v>0.2</v>
      </c>
      <c r="V1320" s="7"/>
      <c r="W1320" s="7"/>
      <c r="X1320" s="13"/>
      <c r="Y1320" s="13" t="s">
        <v>5660</v>
      </c>
    </row>
    <row r="1321" customFormat="false" ht="15.75" hidden="false" customHeight="true" outlineLevel="0" collapsed="false">
      <c r="A1321" s="7" t="s">
        <v>5661</v>
      </c>
      <c r="B1321" s="8" t="n">
        <v>2016</v>
      </c>
      <c r="C1321" s="8" t="s">
        <v>176</v>
      </c>
      <c r="D1321" s="8" t="n">
        <v>115</v>
      </c>
      <c r="E1321" s="7" t="s">
        <v>5306</v>
      </c>
      <c r="F1321" s="8" t="n">
        <v>7.5</v>
      </c>
      <c r="G1321" s="8" t="n">
        <v>8</v>
      </c>
      <c r="H1321" s="9" t="n">
        <v>891854</v>
      </c>
      <c r="I1321" s="7" t="s">
        <v>46</v>
      </c>
      <c r="J1321" s="7" t="s">
        <v>38</v>
      </c>
      <c r="K1321" s="7" t="s">
        <v>112</v>
      </c>
      <c r="L1321" s="10" t="s">
        <v>177</v>
      </c>
      <c r="M1321" s="7" t="s">
        <v>5662</v>
      </c>
      <c r="N1321" s="8" t="n">
        <v>0</v>
      </c>
      <c r="O1321" s="8" t="n">
        <v>0</v>
      </c>
      <c r="P1321" s="8" t="n">
        <v>0</v>
      </c>
      <c r="Q1321" s="8" t="n">
        <v>1</v>
      </c>
      <c r="R1321" s="8" t="n">
        <v>0</v>
      </c>
      <c r="S1321" s="8" t="n">
        <v>0</v>
      </c>
      <c r="T1321" s="8"/>
      <c r="U1321" s="11" t="n">
        <f aca="false">O1321*4 + P1321*2 + MAX(0,N1321-O1321-P1321)*1 + Q1321*0.2 + R1321*2 + S1321*1 + IF(T1321="",0,IF(T1321&lt;=10,8,IF(T1321&lt;=50,6,IF(T1321&lt;=100,4,2))))</f>
        <v>0.2</v>
      </c>
      <c r="V1321" s="7"/>
      <c r="W1321" s="7"/>
      <c r="X1321" s="13"/>
      <c r="Y1321" s="13" t="s">
        <v>5663</v>
      </c>
    </row>
    <row r="1322" customFormat="false" ht="15.75" hidden="false" customHeight="true" outlineLevel="0" collapsed="false">
      <c r="A1322" s="7" t="s">
        <v>5664</v>
      </c>
      <c r="B1322" s="8" t="n">
        <v>2011</v>
      </c>
      <c r="C1322" s="8" t="s">
        <v>176</v>
      </c>
      <c r="D1322" s="8" t="n">
        <v>124</v>
      </c>
      <c r="E1322" s="7" t="s">
        <v>5471</v>
      </c>
      <c r="F1322" s="8" t="n">
        <v>6.9</v>
      </c>
      <c r="G1322" s="8" t="n">
        <v>6</v>
      </c>
      <c r="H1322" s="9" t="n">
        <v>980740</v>
      </c>
      <c r="I1322" s="7" t="s">
        <v>46</v>
      </c>
      <c r="J1322" s="7" t="s">
        <v>111</v>
      </c>
      <c r="K1322" s="7" t="s">
        <v>112</v>
      </c>
      <c r="L1322" s="10" t="s">
        <v>177</v>
      </c>
      <c r="M1322" s="7" t="s">
        <v>5665</v>
      </c>
      <c r="N1322" s="8" t="n">
        <v>0</v>
      </c>
      <c r="O1322" s="8" t="n">
        <v>0</v>
      </c>
      <c r="P1322" s="8" t="n">
        <v>0</v>
      </c>
      <c r="Q1322" s="8" t="n">
        <v>0</v>
      </c>
      <c r="R1322" s="8" t="n">
        <v>0</v>
      </c>
      <c r="S1322" s="13" t="n">
        <v>0</v>
      </c>
      <c r="T1322" s="8"/>
      <c r="U1322" s="11" t="n">
        <f aca="false">O1322*4 + P1322*2 + MAX(0,N1322-O1322-P1322)*1 + Q1322*0.2 + R1322*2 + S1322*1 + IF(T1322="",0,IF(T1322&lt;=10,8,IF(T1322&lt;=50,6,IF(T1322&lt;=100,4,2))))</f>
        <v>0</v>
      </c>
      <c r="V1322" s="7"/>
      <c r="W1322" s="7"/>
      <c r="X1322" s="13"/>
      <c r="Y1322" s="13" t="s">
        <v>5666</v>
      </c>
    </row>
    <row r="1323" customFormat="false" ht="15.75" hidden="false" customHeight="true" outlineLevel="0" collapsed="false">
      <c r="A1323" s="7" t="s">
        <v>5667</v>
      </c>
      <c r="B1323" s="8" t="n">
        <v>2014</v>
      </c>
      <c r="C1323" s="8" t="s">
        <v>176</v>
      </c>
      <c r="D1323" s="8" t="n">
        <v>136</v>
      </c>
      <c r="E1323" s="7" t="s">
        <v>5668</v>
      </c>
      <c r="F1323" s="8" t="n">
        <v>7.7</v>
      </c>
      <c r="G1323" s="8" t="n">
        <v>6</v>
      </c>
      <c r="H1323" s="9" t="n">
        <v>983590</v>
      </c>
      <c r="I1323" s="7" t="s">
        <v>46</v>
      </c>
      <c r="J1323" s="7" t="s">
        <v>111</v>
      </c>
      <c r="K1323" s="7" t="s">
        <v>112</v>
      </c>
      <c r="L1323" s="10" t="s">
        <v>177</v>
      </c>
      <c r="M1323" s="7" t="s">
        <v>5669</v>
      </c>
      <c r="N1323" s="8" t="n">
        <v>0</v>
      </c>
      <c r="O1323" s="8" t="n">
        <v>0</v>
      </c>
      <c r="P1323" s="8" t="n">
        <v>0</v>
      </c>
      <c r="Q1323" s="8" t="n">
        <v>1</v>
      </c>
      <c r="R1323" s="8" t="n">
        <v>0</v>
      </c>
      <c r="S1323" s="8" t="n">
        <v>0</v>
      </c>
      <c r="T1323" s="8"/>
      <c r="U1323" s="11" t="n">
        <f aca="false">O1323*4 + P1323*2 + MAX(0,N1323-O1323-P1323)*1 + Q1323*0.2 + R1323*2 + S1323*1 + IF(T1323="",0,IF(T1323&lt;=10,8,IF(T1323&lt;=50,6,IF(T1323&lt;=100,4,2))))</f>
        <v>0.2</v>
      </c>
      <c r="V1323" s="7"/>
      <c r="W1323" s="7"/>
      <c r="X1323" s="13"/>
      <c r="Y1323" s="13" t="s">
        <v>5670</v>
      </c>
    </row>
    <row r="1324" customFormat="false" ht="15.75" hidden="false" customHeight="true" outlineLevel="0" collapsed="false">
      <c r="A1324" s="7" t="s">
        <v>5671</v>
      </c>
      <c r="B1324" s="8" t="n">
        <v>2015</v>
      </c>
      <c r="C1324" s="8" t="s">
        <v>176</v>
      </c>
      <c r="D1324" s="8" t="n">
        <v>141</v>
      </c>
      <c r="E1324" s="7" t="s">
        <v>5672</v>
      </c>
      <c r="F1324" s="8" t="n">
        <v>7.3</v>
      </c>
      <c r="G1324" s="8" t="n">
        <v>8</v>
      </c>
      <c r="H1324" s="9" t="n">
        <v>1014933</v>
      </c>
      <c r="I1324" s="7" t="s">
        <v>46</v>
      </c>
      <c r="J1324" s="7" t="s">
        <v>111</v>
      </c>
      <c r="K1324" s="7" t="s">
        <v>112</v>
      </c>
      <c r="L1324" s="10" t="s">
        <v>177</v>
      </c>
      <c r="M1324" s="7" t="s">
        <v>5673</v>
      </c>
      <c r="N1324" s="8" t="n">
        <v>0</v>
      </c>
      <c r="O1324" s="8" t="n">
        <v>0</v>
      </c>
      <c r="P1324" s="8" t="n">
        <v>0</v>
      </c>
      <c r="Q1324" s="8" t="n">
        <v>1</v>
      </c>
      <c r="R1324" s="8" t="n">
        <v>0</v>
      </c>
      <c r="S1324" s="13" t="n">
        <v>0</v>
      </c>
      <c r="T1324" s="8"/>
      <c r="U1324" s="11" t="n">
        <f aca="false">O1324*4 + P1324*2 + MAX(0,N1324-O1324-P1324)*1 + Q1324*0.2 + R1324*2 + S1324*1 + IF(T1324="",0,IF(T1324&lt;=10,8,IF(T1324&lt;=50,6,IF(T1324&lt;=100,4,2))))</f>
        <v>0.2</v>
      </c>
      <c r="V1324" s="7"/>
      <c r="W1324" s="7"/>
      <c r="X1324" s="13"/>
      <c r="Y1324" s="13" t="s">
        <v>5674</v>
      </c>
    </row>
    <row r="1325" customFormat="false" ht="15.75" hidden="false" customHeight="true" outlineLevel="0" collapsed="false">
      <c r="A1325" s="7" t="s">
        <v>5675</v>
      </c>
      <c r="B1325" s="8" t="n">
        <v>2008</v>
      </c>
      <c r="C1325" s="8" t="s">
        <v>35</v>
      </c>
      <c r="D1325" s="8" t="n">
        <v>126</v>
      </c>
      <c r="E1325" s="7" t="s">
        <v>5676</v>
      </c>
      <c r="F1325" s="8" t="n">
        <v>7.9</v>
      </c>
      <c r="G1325" s="8" t="n">
        <v>8</v>
      </c>
      <c r="H1325" s="9" t="n">
        <v>1241909</v>
      </c>
      <c r="I1325" s="7" t="s">
        <v>46</v>
      </c>
      <c r="J1325" s="7" t="s">
        <v>111</v>
      </c>
      <c r="K1325" s="7" t="s">
        <v>5160</v>
      </c>
      <c r="L1325" s="10" t="s">
        <v>238</v>
      </c>
      <c r="M1325" s="7" t="s">
        <v>5677</v>
      </c>
      <c r="N1325" s="8" t="n">
        <v>0</v>
      </c>
      <c r="O1325" s="8" t="n">
        <v>0</v>
      </c>
      <c r="P1325" s="8" t="n">
        <v>0</v>
      </c>
      <c r="Q1325" s="8" t="n">
        <v>2</v>
      </c>
      <c r="R1325" s="8" t="n">
        <v>0</v>
      </c>
      <c r="S1325" s="8" t="n">
        <v>0</v>
      </c>
      <c r="T1325" s="8"/>
      <c r="U1325" s="11" t="n">
        <f aca="false">O1325*4 + P1325*2 + MAX(0,N1325-O1325-P1325)*1 + Q1325*0.2 + R1325*2 + S1325*1 + IF(T1325="",0,IF(T1325&lt;=10,8,IF(T1325&lt;=50,6,IF(T1325&lt;=100,4,2))))</f>
        <v>0.4</v>
      </c>
      <c r="V1325" s="7"/>
      <c r="W1325" s="7"/>
      <c r="X1325" s="13"/>
      <c r="Y1325" s="13" t="s">
        <v>5678</v>
      </c>
    </row>
    <row r="1326" customFormat="false" ht="15.75" hidden="false" customHeight="true" outlineLevel="0" collapsed="false">
      <c r="A1326" s="7" t="s">
        <v>5679</v>
      </c>
      <c r="B1326" s="8" t="n">
        <v>2014</v>
      </c>
      <c r="C1326" s="8" t="s">
        <v>176</v>
      </c>
      <c r="D1326" s="8" t="n">
        <v>121</v>
      </c>
      <c r="E1326" s="7" t="s">
        <v>2735</v>
      </c>
      <c r="F1326" s="8" t="n">
        <v>8</v>
      </c>
      <c r="G1326" s="8" t="n">
        <v>8</v>
      </c>
      <c r="H1326" s="9" t="n">
        <v>1377434</v>
      </c>
      <c r="I1326" s="7" t="s">
        <v>359</v>
      </c>
      <c r="J1326" s="7" t="s">
        <v>112</v>
      </c>
      <c r="K1326" s="7" t="s">
        <v>39</v>
      </c>
      <c r="L1326" s="10" t="s">
        <v>177</v>
      </c>
      <c r="M1326" s="7" t="s">
        <v>5680</v>
      </c>
      <c r="N1326" s="8" t="n">
        <v>0</v>
      </c>
      <c r="O1326" s="8" t="n">
        <v>0</v>
      </c>
      <c r="P1326" s="8" t="n">
        <v>0</v>
      </c>
      <c r="Q1326" s="8" t="n">
        <v>2</v>
      </c>
      <c r="R1326" s="8" t="n">
        <v>0</v>
      </c>
      <c r="S1326" s="8" t="n">
        <v>0</v>
      </c>
      <c r="T1326" s="8"/>
      <c r="U1326" s="11" t="n">
        <f aca="false">O1326*4 + P1326*2 + MAX(0,N1326-O1326-P1326)*1 + Q1326*0.2 + R1326*2 + S1326*1 + IF(T1326="",0,IF(T1326&lt;=10,8,IF(T1326&lt;=50,6,IF(T1326&lt;=100,4,2))))</f>
        <v>0.4</v>
      </c>
      <c r="V1326" s="7"/>
      <c r="W1326" s="7"/>
      <c r="X1326" s="13"/>
      <c r="Y1326" s="13" t="s">
        <v>5681</v>
      </c>
    </row>
    <row r="1327" customFormat="false" ht="15.75" hidden="false" customHeight="true" outlineLevel="0" collapsed="false">
      <c r="A1327" s="7" t="s">
        <v>5682</v>
      </c>
      <c r="B1327" s="8" t="n">
        <v>1991</v>
      </c>
      <c r="C1327" s="8" t="s">
        <v>26</v>
      </c>
      <c r="D1327" s="8" t="n">
        <v>137</v>
      </c>
      <c r="E1327" s="7" t="s">
        <v>110</v>
      </c>
      <c r="F1327" s="8" t="n">
        <v>8.6</v>
      </c>
      <c r="G1327" s="8" t="n">
        <v>7</v>
      </c>
      <c r="H1327" s="9" t="n">
        <v>1295044</v>
      </c>
      <c r="I1327" s="7" t="s">
        <v>2810</v>
      </c>
      <c r="J1327" s="7" t="s">
        <v>111</v>
      </c>
      <c r="K1327" s="7" t="s">
        <v>112</v>
      </c>
      <c r="L1327" s="10" t="s">
        <v>1936</v>
      </c>
      <c r="M1327" s="7" t="s">
        <v>5683</v>
      </c>
      <c r="N1327" s="8" t="n">
        <v>4</v>
      </c>
      <c r="O1327" s="8" t="n">
        <v>0</v>
      </c>
      <c r="P1327" s="8" t="n">
        <v>0</v>
      </c>
      <c r="Q1327" s="8" t="n">
        <v>6</v>
      </c>
      <c r="R1327" s="8" t="n">
        <v>0</v>
      </c>
      <c r="S1327" s="8" t="n">
        <v>0</v>
      </c>
      <c r="T1327" s="8"/>
      <c r="U1327" s="11" t="n">
        <f aca="false">O1327*4 + P1327*2 + MAX(0,N1327-O1327-P1327)*1 + Q1327*0.2 + R1327*2 + S1327*1 + IF(T1327="",0,IF(T1327&lt;=10,8,IF(T1327&lt;=50,6,IF(T1327&lt;=100,4,2))))</f>
        <v>5.2</v>
      </c>
      <c r="V1327" s="7"/>
      <c r="W1327" s="7"/>
      <c r="X1327" s="13"/>
      <c r="Y1327" s="13" t="s">
        <v>1971</v>
      </c>
    </row>
    <row r="1328" customFormat="false" ht="15.75" hidden="false" customHeight="true" outlineLevel="0" collapsed="false">
      <c r="A1328" s="7" t="s">
        <v>5684</v>
      </c>
      <c r="B1328" s="8" t="n">
        <v>2022</v>
      </c>
      <c r="C1328" s="8" t="s">
        <v>378</v>
      </c>
      <c r="D1328" s="8" t="n">
        <v>139</v>
      </c>
      <c r="E1328" s="7" t="s">
        <v>5685</v>
      </c>
      <c r="F1328" s="8" t="n">
        <v>7.7</v>
      </c>
      <c r="G1328" s="8" t="n">
        <v>7</v>
      </c>
      <c r="H1328" s="9" t="n">
        <v>658232</v>
      </c>
      <c r="I1328" s="7" t="s">
        <v>46</v>
      </c>
      <c r="J1328" s="7" t="s">
        <v>112</v>
      </c>
      <c r="K1328" s="7" t="s">
        <v>39</v>
      </c>
      <c r="L1328" s="10" t="s">
        <v>431</v>
      </c>
      <c r="M1328" s="7" t="s">
        <v>5686</v>
      </c>
      <c r="N1328" s="8" t="n">
        <v>7</v>
      </c>
      <c r="O1328" s="8" t="n">
        <v>1</v>
      </c>
      <c r="P1328" s="8" t="n">
        <v>1</v>
      </c>
      <c r="Q1328" s="8" t="n">
        <v>11</v>
      </c>
      <c r="R1328" s="8" t="n">
        <v>0</v>
      </c>
      <c r="S1328" s="8" t="n">
        <v>0</v>
      </c>
      <c r="T1328" s="13"/>
      <c r="U1328" s="11" t="n">
        <f aca="false">O1328*4 + P1328*2 + MAX(0,N1328-O1328-P1328)*1 + Q1328*0.2 + R1328*2 + S1328*1 + IF(T1328="",0,IF(T1328&lt;=10,8,IF(T1328&lt;=50,6,IF(T1328&lt;=100,4,2))))</f>
        <v>13.2</v>
      </c>
      <c r="V1328" s="7"/>
      <c r="W1328" s="7"/>
      <c r="X1328" s="13"/>
      <c r="Y1328" s="13" t="s">
        <v>5687</v>
      </c>
    </row>
    <row r="1329" customFormat="false" ht="15.75" hidden="false" customHeight="true" outlineLevel="0" collapsed="false">
      <c r="A1329" s="7" t="s">
        <v>5688</v>
      </c>
      <c r="B1329" s="8" t="n">
        <v>2009</v>
      </c>
      <c r="C1329" s="8" t="s">
        <v>35</v>
      </c>
      <c r="D1329" s="8" t="n">
        <v>138</v>
      </c>
      <c r="E1329" s="7" t="s">
        <v>172</v>
      </c>
      <c r="F1329" s="8" t="n">
        <v>6.7</v>
      </c>
      <c r="G1329" s="8" t="n">
        <v>6</v>
      </c>
      <c r="H1329" s="9" t="n">
        <v>327688</v>
      </c>
      <c r="I1329" s="7" t="s">
        <v>551</v>
      </c>
      <c r="J1329" s="7" t="s">
        <v>131</v>
      </c>
      <c r="K1329" s="7" t="s">
        <v>125</v>
      </c>
      <c r="L1329" s="10" t="s">
        <v>210</v>
      </c>
      <c r="M1329" s="7" t="s">
        <v>5689</v>
      </c>
      <c r="N1329" s="8" t="n">
        <v>0</v>
      </c>
      <c r="O1329" s="8" t="n">
        <v>0</v>
      </c>
      <c r="P1329" s="8" t="n">
        <v>0</v>
      </c>
      <c r="Q1329" s="8" t="n">
        <v>0</v>
      </c>
      <c r="R1329" s="13" t="n">
        <v>0</v>
      </c>
      <c r="S1329" s="13" t="n">
        <v>0</v>
      </c>
      <c r="T1329" s="13"/>
      <c r="U1329" s="11" t="n">
        <f aca="false">O1329*4 + P1329*2 + MAX(0,N1329-O1329-P1329)*1 + Q1329*0.2 + R1329*2 + S1329*1 + IF(T1329="",0,IF(T1329&lt;=10,8,IF(T1329&lt;=50,6,IF(T1329&lt;=100,4,2))))</f>
        <v>0</v>
      </c>
      <c r="V1329" s="7"/>
      <c r="W1329" s="7"/>
      <c r="X1329" s="13"/>
      <c r="Y1329" s="13" t="s">
        <v>5690</v>
      </c>
    </row>
    <row r="1330" customFormat="false" ht="15.75" hidden="false" customHeight="true" outlineLevel="0" collapsed="false">
      <c r="A1330" s="7" t="s">
        <v>5691</v>
      </c>
      <c r="B1330" s="8" t="n">
        <v>2004</v>
      </c>
      <c r="C1330" s="8" t="s">
        <v>35</v>
      </c>
      <c r="D1330" s="8" t="n">
        <v>80</v>
      </c>
      <c r="E1330" s="7" t="s">
        <v>5692</v>
      </c>
      <c r="F1330" s="8" t="n">
        <v>5.1</v>
      </c>
      <c r="G1330" s="8" t="n">
        <v>5</v>
      </c>
      <c r="H1330" s="9" t="n">
        <v>101604</v>
      </c>
      <c r="I1330" s="7" t="s">
        <v>46</v>
      </c>
      <c r="J1330" s="7" t="s">
        <v>39</v>
      </c>
      <c r="K1330" s="7" t="s">
        <v>259</v>
      </c>
      <c r="L1330" s="10" t="s">
        <v>2616</v>
      </c>
      <c r="M1330" s="10" t="s">
        <v>5693</v>
      </c>
      <c r="N1330" s="8" t="n">
        <v>0</v>
      </c>
      <c r="O1330" s="8" t="n">
        <v>0</v>
      </c>
      <c r="P1330" s="8" t="n">
        <v>0</v>
      </c>
      <c r="Q1330" s="8" t="n">
        <v>0</v>
      </c>
      <c r="R1330" s="13" t="n">
        <v>0</v>
      </c>
      <c r="S1330" s="13" t="n">
        <v>0</v>
      </c>
      <c r="T1330" s="13"/>
      <c r="U1330" s="11" t="n">
        <f aca="false">O1330*4 + P1330*2 + MAX(0,N1330-O1330-P1330)*1 + Q1330*0.2 + R1330*2 + S1330*1 + IF(T1330="",0,IF(T1330&lt;=10,8,IF(T1330&lt;=50,6,IF(T1330&lt;=100,4,2))))</f>
        <v>0</v>
      </c>
      <c r="V1330" s="7"/>
      <c r="W1330" s="7"/>
      <c r="X1330" s="13"/>
      <c r="Y1330" s="13" t="s">
        <v>5694</v>
      </c>
    </row>
    <row r="1331" customFormat="false" ht="15.75" hidden="false" customHeight="true" outlineLevel="0" collapsed="false">
      <c r="A1331" s="7" t="s">
        <v>5695</v>
      </c>
      <c r="B1331" s="8" t="n">
        <v>2004</v>
      </c>
      <c r="C1331" s="8" t="s">
        <v>35</v>
      </c>
      <c r="D1331" s="8" t="n">
        <v>92</v>
      </c>
      <c r="E1331" s="7" t="s">
        <v>5696</v>
      </c>
      <c r="F1331" s="8" t="n">
        <v>6.6</v>
      </c>
      <c r="G1331" s="8" t="n">
        <v>7</v>
      </c>
      <c r="H1331" s="9" t="n">
        <v>246597</v>
      </c>
      <c r="I1331" s="7" t="s">
        <v>46</v>
      </c>
      <c r="J1331" s="7" t="s">
        <v>30</v>
      </c>
      <c r="K1331" s="7" t="s">
        <v>5697</v>
      </c>
      <c r="L1331" s="10"/>
      <c r="M1331" s="10" t="s">
        <v>5698</v>
      </c>
      <c r="N1331" s="8" t="n">
        <v>0</v>
      </c>
      <c r="O1331" s="8" t="n">
        <v>0</v>
      </c>
      <c r="P1331" s="8" t="n">
        <v>0</v>
      </c>
      <c r="Q1331" s="8" t="n">
        <v>0</v>
      </c>
      <c r="R1331" s="13" t="n">
        <v>0</v>
      </c>
      <c r="S1331" s="13" t="n">
        <v>0</v>
      </c>
      <c r="T1331" s="13"/>
      <c r="U1331" s="11" t="n">
        <f aca="false">O1331*4 + P1331*2 + MAX(0,N1331-O1331-P1331)*1 + Q1331*0.2 + R1331*2 + S1331*1 + IF(T1331="",0,IF(T1331&lt;=10,8,IF(T1331&lt;=50,6,IF(T1331&lt;=100,4,2))))</f>
        <v>0</v>
      </c>
      <c r="V1331" s="7"/>
      <c r="W1331" s="7"/>
      <c r="X1331" s="13"/>
      <c r="Y1331" s="13" t="s">
        <v>5699</v>
      </c>
    </row>
    <row r="1332" customFormat="false" ht="15.75" hidden="false" customHeight="true" outlineLevel="0" collapsed="false">
      <c r="A1332" s="7" t="s">
        <v>5700</v>
      </c>
      <c r="B1332" s="8" t="n">
        <v>2011</v>
      </c>
      <c r="C1332" s="8" t="s">
        <v>176</v>
      </c>
      <c r="D1332" s="8" t="n">
        <v>98</v>
      </c>
      <c r="E1332" s="7" t="s">
        <v>5701</v>
      </c>
      <c r="F1332" s="8" t="n">
        <v>6.6</v>
      </c>
      <c r="G1332" s="8" t="n">
        <v>7</v>
      </c>
      <c r="H1332" s="9" t="n">
        <v>5415</v>
      </c>
      <c r="I1332" s="7" t="s">
        <v>232</v>
      </c>
      <c r="J1332" s="7" t="s">
        <v>29</v>
      </c>
      <c r="K1332" s="7" t="s">
        <v>259</v>
      </c>
      <c r="L1332" s="10"/>
      <c r="M1332" s="10" t="s">
        <v>5702</v>
      </c>
      <c r="N1332" s="8" t="n">
        <v>0</v>
      </c>
      <c r="O1332" s="8" t="n">
        <v>0</v>
      </c>
      <c r="P1332" s="8" t="n">
        <v>0</v>
      </c>
      <c r="Q1332" s="8" t="n">
        <v>0</v>
      </c>
      <c r="R1332" s="13" t="n">
        <v>0</v>
      </c>
      <c r="S1332" s="13" t="n">
        <v>0</v>
      </c>
      <c r="T1332" s="13"/>
      <c r="U1332" s="11" t="n">
        <f aca="false">O1332*4 + P1332*2 + MAX(0,N1332-O1332-P1332)*1 + Q1332*0.2 + R1332*2 + S1332*1 + IF(T1332="",0,IF(T1332&lt;=10,8,IF(T1332&lt;=50,6,IF(T1332&lt;=100,4,2))))</f>
        <v>0</v>
      </c>
      <c r="V1332" s="7"/>
      <c r="W1332" s="7"/>
      <c r="X1332" s="13"/>
      <c r="Y1332" s="13" t="s">
        <v>5703</v>
      </c>
    </row>
    <row r="1333" customFormat="false" ht="15.75" hidden="false" customHeight="true" outlineLevel="0" collapsed="false">
      <c r="A1333" s="7" t="s">
        <v>5704</v>
      </c>
      <c r="B1333" s="8" t="n">
        <v>2003</v>
      </c>
      <c r="C1333" s="8" t="s">
        <v>35</v>
      </c>
      <c r="D1333" s="8" t="n">
        <v>106</v>
      </c>
      <c r="E1333" s="7" t="s">
        <v>5502</v>
      </c>
      <c r="F1333" s="8" t="n">
        <v>5</v>
      </c>
      <c r="G1333" s="8" t="n">
        <v>2</v>
      </c>
      <c r="H1333" s="9" t="n">
        <v>138412</v>
      </c>
      <c r="I1333" s="7" t="s">
        <v>46</v>
      </c>
      <c r="J1333" s="7" t="s">
        <v>112</v>
      </c>
      <c r="K1333" s="7" t="s">
        <v>39</v>
      </c>
      <c r="L1333" s="10"/>
      <c r="M1333" s="10" t="s">
        <v>5705</v>
      </c>
      <c r="N1333" s="8" t="n">
        <v>0</v>
      </c>
      <c r="O1333" s="8" t="n">
        <v>0</v>
      </c>
      <c r="P1333" s="8" t="n">
        <v>0</v>
      </c>
      <c r="Q1333" s="8" t="n">
        <v>0</v>
      </c>
      <c r="R1333" s="13" t="n">
        <v>0</v>
      </c>
      <c r="S1333" s="13" t="n">
        <v>0</v>
      </c>
      <c r="T1333" s="13"/>
      <c r="U1333" s="11" t="n">
        <f aca="false">O1333*4 + P1333*2 + MAX(0,N1333-O1333-P1333)*1 + Q1333*0.2 + R1333*2 + S1333*1 + IF(T1333="",0,IF(T1333&lt;=10,8,IF(T1333&lt;=50,6,IF(T1333&lt;=100,4,2))))</f>
        <v>0</v>
      </c>
      <c r="V1333" s="7"/>
      <c r="W1333" s="7"/>
      <c r="X1333" s="13"/>
      <c r="Y1333" s="13" t="s">
        <v>5706</v>
      </c>
    </row>
    <row r="1334" customFormat="false" ht="15.75" hidden="false" customHeight="true" outlineLevel="0" collapsed="false">
      <c r="A1334" s="7" t="s">
        <v>5707</v>
      </c>
      <c r="B1334" s="8" t="n">
        <v>2010</v>
      </c>
      <c r="C1334" s="8" t="s">
        <v>176</v>
      </c>
      <c r="D1334" s="8" t="n">
        <v>125</v>
      </c>
      <c r="E1334" s="7" t="s">
        <v>2280</v>
      </c>
      <c r="F1334" s="8" t="n">
        <v>7.5</v>
      </c>
      <c r="G1334" s="8" t="n">
        <v>8</v>
      </c>
      <c r="H1334" s="9" t="n">
        <v>451893</v>
      </c>
      <c r="I1334" s="7" t="s">
        <v>46</v>
      </c>
      <c r="J1334" s="7" t="s">
        <v>131</v>
      </c>
      <c r="K1334" s="7" t="s">
        <v>54</v>
      </c>
      <c r="L1334" s="10" t="s">
        <v>5708</v>
      </c>
      <c r="M1334" s="7" t="s">
        <v>5709</v>
      </c>
      <c r="N1334" s="8" t="n">
        <v>0</v>
      </c>
      <c r="O1334" s="8" t="n">
        <v>0</v>
      </c>
      <c r="P1334" s="8" t="n">
        <v>0</v>
      </c>
      <c r="Q1334" s="8" t="n">
        <v>1</v>
      </c>
      <c r="R1334" s="8" t="n">
        <v>0</v>
      </c>
      <c r="S1334" s="8" t="n">
        <v>0</v>
      </c>
      <c r="T1334" s="13"/>
      <c r="U1334" s="11" t="n">
        <f aca="false">O1334*4 + P1334*2 + MAX(0,N1334-O1334-P1334)*1 + Q1334*0.2 + R1334*2 + S1334*1 + IF(T1334="",0,IF(T1334&lt;=10,8,IF(T1334&lt;=50,6,IF(T1334&lt;=100,4,2))))</f>
        <v>0.2</v>
      </c>
      <c r="V1334" s="7"/>
      <c r="W1334" s="7"/>
      <c r="X1334" s="13"/>
      <c r="Y1334" s="13" t="s">
        <v>5710</v>
      </c>
    </row>
    <row r="1335" customFormat="false" ht="15.75" hidden="false" customHeight="true" outlineLevel="0" collapsed="false">
      <c r="A1335" s="7" t="s">
        <v>5711</v>
      </c>
      <c r="B1335" s="8" t="n">
        <v>2009</v>
      </c>
      <c r="C1335" s="8" t="s">
        <v>35</v>
      </c>
      <c r="D1335" s="8" t="n">
        <v>100</v>
      </c>
      <c r="E1335" s="7" t="s">
        <v>2294</v>
      </c>
      <c r="F1335" s="8" t="n">
        <v>7.7</v>
      </c>
      <c r="G1335" s="8" t="n">
        <v>9</v>
      </c>
      <c r="H1335" s="9" t="n">
        <v>940480</v>
      </c>
      <c r="I1335" s="7" t="s">
        <v>2011</v>
      </c>
      <c r="J1335" s="7" t="s">
        <v>30</v>
      </c>
      <c r="K1335" s="7"/>
      <c r="L1335" s="10" t="s">
        <v>2433</v>
      </c>
      <c r="M1335" s="7" t="s">
        <v>5712</v>
      </c>
      <c r="N1335" s="8" t="n">
        <v>0</v>
      </c>
      <c r="O1335" s="8" t="n">
        <v>0</v>
      </c>
      <c r="P1335" s="8" t="n">
        <v>0</v>
      </c>
      <c r="Q1335" s="8" t="n">
        <v>0</v>
      </c>
      <c r="R1335" s="8" t="n">
        <v>0</v>
      </c>
      <c r="S1335" s="13" t="n">
        <v>0</v>
      </c>
      <c r="T1335" s="8"/>
      <c r="U1335" s="11" t="n">
        <f aca="false">O1335*4 + P1335*2 + MAX(0,N1335-O1335-P1335)*1 + Q1335*0.2 + R1335*2 + S1335*1 + IF(T1335="",0,IF(T1335&lt;=10,8,IF(T1335&lt;=50,6,IF(T1335&lt;=100,4,2))))</f>
        <v>0</v>
      </c>
      <c r="V1335" s="7"/>
      <c r="W1335" s="7"/>
      <c r="X1335" s="13"/>
      <c r="Y1335" s="13" t="s">
        <v>5713</v>
      </c>
    </row>
    <row r="1336" customFormat="false" ht="15.75" hidden="false" customHeight="true" outlineLevel="0" collapsed="false">
      <c r="A1336" s="7" t="s">
        <v>5714</v>
      </c>
      <c r="B1336" s="8" t="n">
        <v>2009</v>
      </c>
      <c r="C1336" s="8" t="s">
        <v>35</v>
      </c>
      <c r="D1336" s="8" t="n">
        <v>88</v>
      </c>
      <c r="E1336" s="7" t="s">
        <v>5715</v>
      </c>
      <c r="F1336" s="8" t="n">
        <v>7.5</v>
      </c>
      <c r="G1336" s="8" t="n">
        <v>8</v>
      </c>
      <c r="H1336" s="9" t="n">
        <v>672394</v>
      </c>
      <c r="I1336" s="7" t="s">
        <v>46</v>
      </c>
      <c r="J1336" s="7" t="s">
        <v>147</v>
      </c>
      <c r="K1336" s="7" t="s">
        <v>112</v>
      </c>
      <c r="L1336" s="10" t="s">
        <v>5716</v>
      </c>
      <c r="M1336" s="7" t="s">
        <v>5717</v>
      </c>
      <c r="N1336" s="8" t="n">
        <v>0</v>
      </c>
      <c r="O1336" s="8" t="n">
        <v>0</v>
      </c>
      <c r="P1336" s="8" t="n">
        <v>0</v>
      </c>
      <c r="Q1336" s="8" t="n">
        <v>0</v>
      </c>
      <c r="R1336" s="13" t="n">
        <v>0</v>
      </c>
      <c r="S1336" s="13" t="n">
        <v>0</v>
      </c>
      <c r="T1336" s="13"/>
      <c r="U1336" s="11" t="n">
        <f aca="false">O1336*4 + P1336*2 + MAX(0,N1336-O1336-P1336)*1 + Q1336*0.2 + R1336*2 + S1336*1 + IF(T1336="",0,IF(T1336&lt;=10,8,IF(T1336&lt;=50,6,IF(T1336&lt;=100,4,2))))</f>
        <v>0</v>
      </c>
      <c r="V1336" s="7"/>
      <c r="W1336" s="7"/>
      <c r="X1336" s="13"/>
      <c r="Y1336" s="13" t="s">
        <v>5718</v>
      </c>
    </row>
    <row r="1337" customFormat="false" ht="15.75" hidden="false" customHeight="true" outlineLevel="0" collapsed="false">
      <c r="A1337" s="7" t="s">
        <v>5719</v>
      </c>
      <c r="B1337" s="8" t="n">
        <v>2010</v>
      </c>
      <c r="C1337" s="8" t="s">
        <v>176</v>
      </c>
      <c r="D1337" s="8" t="n">
        <v>103</v>
      </c>
      <c r="E1337" s="7" t="s">
        <v>2158</v>
      </c>
      <c r="F1337" s="8" t="n">
        <v>6.8</v>
      </c>
      <c r="G1337" s="8" t="n">
        <v>9</v>
      </c>
      <c r="H1337" s="9" t="n">
        <v>370493</v>
      </c>
      <c r="I1337" s="7" t="s">
        <v>5720</v>
      </c>
      <c r="J1337" s="7" t="s">
        <v>147</v>
      </c>
      <c r="K1337" s="7" t="s">
        <v>125</v>
      </c>
      <c r="L1337" s="10" t="s">
        <v>260</v>
      </c>
      <c r="M1337" s="7" t="s">
        <v>5721</v>
      </c>
      <c r="N1337" s="8" t="n">
        <v>0</v>
      </c>
      <c r="O1337" s="8" t="n">
        <v>0</v>
      </c>
      <c r="P1337" s="8" t="n">
        <v>0</v>
      </c>
      <c r="Q1337" s="8" t="n">
        <v>0</v>
      </c>
      <c r="R1337" s="13" t="n">
        <v>0</v>
      </c>
      <c r="S1337" s="13" t="n">
        <v>0</v>
      </c>
      <c r="T1337" s="13"/>
      <c r="U1337" s="11" t="n">
        <f aca="false">O1337*4 + P1337*2 + MAX(0,N1337-O1337-P1337)*1 + Q1337*0.2 + R1337*2 + S1337*1 + IF(T1337="",0,IF(T1337&lt;=10,8,IF(T1337&lt;=50,6,IF(T1337&lt;=100,4,2))))</f>
        <v>0</v>
      </c>
      <c r="V1337" s="7"/>
      <c r="W1337" s="7"/>
      <c r="X1337" s="13"/>
      <c r="Y1337" s="13" t="s">
        <v>5722</v>
      </c>
    </row>
    <row r="1338" customFormat="false" ht="15.75" hidden="false" customHeight="true" outlineLevel="0" collapsed="false">
      <c r="A1338" s="7" t="s">
        <v>5723</v>
      </c>
      <c r="B1338" s="8" t="n">
        <v>2001</v>
      </c>
      <c r="C1338" s="8" t="s">
        <v>35</v>
      </c>
      <c r="D1338" s="8" t="n">
        <v>127</v>
      </c>
      <c r="E1338" s="7" t="s">
        <v>5724</v>
      </c>
      <c r="F1338" s="8" t="n">
        <v>7.5</v>
      </c>
      <c r="G1338" s="8" t="n">
        <v>7</v>
      </c>
      <c r="H1338" s="9" t="n">
        <v>316197</v>
      </c>
      <c r="I1338" s="7" t="s">
        <v>2330</v>
      </c>
      <c r="J1338" s="7" t="s">
        <v>90</v>
      </c>
      <c r="K1338" s="7" t="s">
        <v>29</v>
      </c>
      <c r="L1338" s="10" t="s">
        <v>5725</v>
      </c>
      <c r="M1338" s="7" t="s">
        <v>5726</v>
      </c>
      <c r="N1338" s="8" t="n">
        <v>2</v>
      </c>
      <c r="O1338" s="8" t="n">
        <v>0</v>
      </c>
      <c r="P1338" s="8" t="n">
        <v>0</v>
      </c>
      <c r="Q1338" s="8" t="n">
        <v>8</v>
      </c>
      <c r="R1338" s="8" t="n">
        <v>0</v>
      </c>
      <c r="S1338" s="8" t="n">
        <v>1</v>
      </c>
      <c r="T1338" s="13"/>
      <c r="U1338" s="11" t="n">
        <f aca="false">O1338*4 + P1338*2 + MAX(0,N1338-O1338-P1338)*1 + Q1338*0.2 + R1338*2 + S1338*1 + IF(T1338="",0,IF(T1338&lt;=10,8,IF(T1338&lt;=50,6,IF(T1338&lt;=100,4,2))))</f>
        <v>4.6</v>
      </c>
      <c r="V1338" s="7"/>
      <c r="W1338" s="7"/>
      <c r="X1338" s="13"/>
      <c r="Y1338" s="13" t="s">
        <v>5727</v>
      </c>
    </row>
    <row r="1339" customFormat="false" ht="15.75" hidden="false" customHeight="true" outlineLevel="0" collapsed="false">
      <c r="A1339" s="7" t="s">
        <v>5728</v>
      </c>
      <c r="B1339" s="8" t="n">
        <v>2004</v>
      </c>
      <c r="C1339" s="8" t="s">
        <v>35</v>
      </c>
      <c r="D1339" s="8" t="n">
        <v>170</v>
      </c>
      <c r="E1339" s="7" t="s">
        <v>165</v>
      </c>
      <c r="F1339" s="8" t="n">
        <v>7.5</v>
      </c>
      <c r="G1339" s="8" t="n">
        <v>7</v>
      </c>
      <c r="H1339" s="9" t="n">
        <v>411687</v>
      </c>
      <c r="I1339" s="7" t="s">
        <v>46</v>
      </c>
      <c r="J1339" s="7" t="s">
        <v>47</v>
      </c>
      <c r="K1339" s="7" t="s">
        <v>48</v>
      </c>
      <c r="L1339" s="10" t="s">
        <v>847</v>
      </c>
      <c r="M1339" s="7" t="s">
        <v>5729</v>
      </c>
      <c r="N1339" s="8" t="n">
        <v>5</v>
      </c>
      <c r="O1339" s="8" t="n">
        <v>0</v>
      </c>
      <c r="P1339" s="8" t="n">
        <v>0</v>
      </c>
      <c r="Q1339" s="8" t="n">
        <v>11</v>
      </c>
      <c r="R1339" s="8" t="n">
        <v>0</v>
      </c>
      <c r="S1339" s="8" t="n">
        <v>1</v>
      </c>
      <c r="T1339" s="13"/>
      <c r="U1339" s="11" t="n">
        <f aca="false">O1339*4 + P1339*2 + MAX(0,N1339-O1339-P1339)*1 + Q1339*0.2 + R1339*2 + S1339*1 + IF(T1339="",0,IF(T1339&lt;=10,8,IF(T1339&lt;=50,6,IF(T1339&lt;=100,4,2))))</f>
        <v>8.2</v>
      </c>
      <c r="V1339" s="7"/>
      <c r="W1339" s="7"/>
      <c r="X1339" s="13"/>
      <c r="Y1339" s="13" t="s">
        <v>5730</v>
      </c>
    </row>
    <row r="1340" customFormat="false" ht="15.75" hidden="false" customHeight="true" outlineLevel="0" collapsed="false">
      <c r="A1340" s="7" t="s">
        <v>5731</v>
      </c>
      <c r="B1340" s="8" t="n">
        <v>2002</v>
      </c>
      <c r="C1340" s="8" t="s">
        <v>35</v>
      </c>
      <c r="D1340" s="8" t="n">
        <v>167</v>
      </c>
      <c r="E1340" s="7" t="s">
        <v>165</v>
      </c>
      <c r="F1340" s="8" t="n">
        <v>7.5</v>
      </c>
      <c r="G1340" s="8" t="n">
        <v>8</v>
      </c>
      <c r="H1340" s="9" t="n">
        <v>509117</v>
      </c>
      <c r="I1340" s="7" t="s">
        <v>5732</v>
      </c>
      <c r="J1340" s="7" t="s">
        <v>47</v>
      </c>
      <c r="K1340" s="7" t="s">
        <v>54</v>
      </c>
      <c r="L1340" s="10" t="s">
        <v>5733</v>
      </c>
      <c r="M1340" s="7" t="s">
        <v>5734</v>
      </c>
      <c r="N1340" s="8" t="n">
        <v>0</v>
      </c>
      <c r="O1340" s="8" t="n">
        <v>0</v>
      </c>
      <c r="P1340" s="8" t="n">
        <v>0</v>
      </c>
      <c r="Q1340" s="8" t="n">
        <v>10</v>
      </c>
      <c r="R1340" s="8" t="n">
        <v>0</v>
      </c>
      <c r="S1340" s="8" t="n">
        <v>0</v>
      </c>
      <c r="T1340" s="13"/>
      <c r="U1340" s="11" t="n">
        <f aca="false">O1340*4 + P1340*2 + MAX(0,N1340-O1340-P1340)*1 + Q1340*0.2 + R1340*2 + S1340*1 + IF(T1340="",0,IF(T1340&lt;=10,8,IF(T1340&lt;=50,6,IF(T1340&lt;=100,4,2))))</f>
        <v>2</v>
      </c>
      <c r="V1340" s="7"/>
      <c r="W1340" s="7"/>
      <c r="X1340" s="13"/>
      <c r="Y1340" s="13" t="s">
        <v>5735</v>
      </c>
    </row>
    <row r="1341" customFormat="false" ht="15.75" hidden="false" customHeight="true" outlineLevel="0" collapsed="false">
      <c r="A1341" s="7" t="s">
        <v>5736</v>
      </c>
      <c r="B1341" s="8" t="n">
        <v>1999</v>
      </c>
      <c r="C1341" s="8" t="s">
        <v>26</v>
      </c>
      <c r="D1341" s="8" t="n">
        <v>96</v>
      </c>
      <c r="E1341" s="7" t="s">
        <v>1680</v>
      </c>
      <c r="F1341" s="8" t="n">
        <v>7.6</v>
      </c>
      <c r="G1341" s="8" t="n">
        <v>7</v>
      </c>
      <c r="H1341" s="9" t="n">
        <v>10713</v>
      </c>
      <c r="I1341" s="7" t="s">
        <v>232</v>
      </c>
      <c r="J1341" s="7" t="s">
        <v>154</v>
      </c>
      <c r="K1341" s="7" t="s">
        <v>251</v>
      </c>
      <c r="L1341" s="10" t="s">
        <v>447</v>
      </c>
      <c r="M1341" s="10" t="s">
        <v>5737</v>
      </c>
      <c r="N1341" s="8" t="n">
        <v>0</v>
      </c>
      <c r="O1341" s="8" t="n">
        <v>0</v>
      </c>
      <c r="P1341" s="8" t="n">
        <v>0</v>
      </c>
      <c r="Q1341" s="8" t="n">
        <v>0</v>
      </c>
      <c r="R1341" s="13" t="n">
        <v>0</v>
      </c>
      <c r="S1341" s="13" t="n">
        <v>0</v>
      </c>
      <c r="T1341" s="13"/>
      <c r="U1341" s="11" t="n">
        <f aca="false">O1341*4 + P1341*2 + MAX(0,N1341-O1341-P1341)*1 + Q1341*0.2 + R1341*2 + S1341*1 + IF(T1341="",0,IF(T1341&lt;=10,8,IF(T1341&lt;=50,6,IF(T1341&lt;=100,4,2))))</f>
        <v>0</v>
      </c>
      <c r="V1341" s="7"/>
      <c r="W1341" s="7"/>
      <c r="X1341" s="13"/>
      <c r="Y1341" s="13" t="s">
        <v>5738</v>
      </c>
    </row>
    <row r="1342" customFormat="false" ht="15.75" hidden="false" customHeight="true" outlineLevel="0" collapsed="false">
      <c r="A1342" s="7" t="s">
        <v>5739</v>
      </c>
      <c r="B1342" s="8" t="n">
        <v>1998</v>
      </c>
      <c r="C1342" s="8" t="s">
        <v>26</v>
      </c>
      <c r="D1342" s="8" t="n">
        <v>103</v>
      </c>
      <c r="E1342" s="7" t="s">
        <v>503</v>
      </c>
      <c r="F1342" s="8" t="n">
        <v>8.2</v>
      </c>
      <c r="G1342" s="8" t="n">
        <v>8</v>
      </c>
      <c r="H1342" s="9" t="n">
        <v>1396989</v>
      </c>
      <c r="I1342" s="7" t="s">
        <v>46</v>
      </c>
      <c r="J1342" s="7" t="s">
        <v>30</v>
      </c>
      <c r="K1342" s="7" t="s">
        <v>47</v>
      </c>
      <c r="L1342" s="10"/>
      <c r="M1342" s="7" t="s">
        <v>5740</v>
      </c>
      <c r="N1342" s="8" t="n">
        <v>0</v>
      </c>
      <c r="O1342" s="8" t="n">
        <v>0</v>
      </c>
      <c r="P1342" s="8" t="n">
        <v>0</v>
      </c>
      <c r="Q1342" s="8" t="n">
        <v>3</v>
      </c>
      <c r="R1342" s="8" t="n">
        <v>0</v>
      </c>
      <c r="S1342" s="8" t="n">
        <v>0</v>
      </c>
      <c r="T1342" s="8"/>
      <c r="U1342" s="11" t="n">
        <f aca="false">O1342*4 + P1342*2 + MAX(0,N1342-O1342-P1342)*1 + Q1342*0.2 + R1342*2 + S1342*1 + IF(T1342="",0,IF(T1342&lt;=10,8,IF(T1342&lt;=50,6,IF(T1342&lt;=100,4,2))))</f>
        <v>0.6</v>
      </c>
      <c r="V1342" s="7"/>
      <c r="W1342" s="7"/>
      <c r="X1342" s="13"/>
      <c r="Y1342" s="13" t="s">
        <v>5741</v>
      </c>
    </row>
    <row r="1343" customFormat="false" ht="15.75" hidden="false" customHeight="true" outlineLevel="0" collapsed="false">
      <c r="A1343" s="7" t="s">
        <v>5742</v>
      </c>
      <c r="B1343" s="8" t="n">
        <v>1997</v>
      </c>
      <c r="C1343" s="8" t="s">
        <v>26</v>
      </c>
      <c r="D1343" s="8" t="n">
        <v>126</v>
      </c>
      <c r="E1343" s="7" t="s">
        <v>1052</v>
      </c>
      <c r="F1343" s="8" t="n">
        <v>8.4</v>
      </c>
      <c r="G1343" s="8" t="n">
        <v>8</v>
      </c>
      <c r="H1343" s="9" t="n">
        <v>1235100</v>
      </c>
      <c r="I1343" s="7" t="s">
        <v>2168</v>
      </c>
      <c r="J1343" s="7" t="s">
        <v>29</v>
      </c>
      <c r="K1343" s="7" t="s">
        <v>47</v>
      </c>
      <c r="L1343" s="10" t="s">
        <v>238</v>
      </c>
      <c r="M1343" s="7" t="s">
        <v>5743</v>
      </c>
      <c r="N1343" s="8" t="n">
        <v>2</v>
      </c>
      <c r="O1343" s="8" t="n">
        <v>0</v>
      </c>
      <c r="P1343" s="8" t="n">
        <v>0</v>
      </c>
      <c r="Q1343" s="8" t="n">
        <v>9</v>
      </c>
      <c r="R1343" s="8" t="n">
        <v>0</v>
      </c>
      <c r="S1343" s="8" t="n">
        <v>0</v>
      </c>
      <c r="T1343" s="8"/>
      <c r="U1343" s="11" t="n">
        <f aca="false">O1343*4 + P1343*2 + MAX(0,N1343-O1343-P1343)*1 + Q1343*0.2 + R1343*2 + S1343*1 + IF(T1343="",0,IF(T1343&lt;=10,8,IF(T1343&lt;=50,6,IF(T1343&lt;=100,4,2))))</f>
        <v>3.8</v>
      </c>
      <c r="V1343" s="7"/>
      <c r="W1343" s="7"/>
      <c r="X1343" s="13"/>
      <c r="Y1343" s="13" t="s">
        <v>5744</v>
      </c>
    </row>
    <row r="1344" customFormat="false" ht="15.75" hidden="false" customHeight="true" outlineLevel="0" collapsed="false">
      <c r="A1344" s="7" t="s">
        <v>5745</v>
      </c>
      <c r="B1344" s="8" t="n">
        <v>1997</v>
      </c>
      <c r="C1344" s="8" t="s">
        <v>26</v>
      </c>
      <c r="D1344" s="8" t="n">
        <v>129</v>
      </c>
      <c r="E1344" s="7" t="s">
        <v>225</v>
      </c>
      <c r="F1344" s="8" t="n">
        <v>7.7</v>
      </c>
      <c r="G1344" s="8" t="n">
        <v>7</v>
      </c>
      <c r="H1344" s="9" t="n">
        <v>475611</v>
      </c>
      <c r="I1344" s="7" t="s">
        <v>46</v>
      </c>
      <c r="J1344" s="7" t="s">
        <v>131</v>
      </c>
      <c r="K1344" s="7" t="s">
        <v>125</v>
      </c>
      <c r="L1344" s="10" t="s">
        <v>210</v>
      </c>
      <c r="M1344" s="7" t="s">
        <v>5746</v>
      </c>
      <c r="N1344" s="8" t="n">
        <v>0</v>
      </c>
      <c r="O1344" s="8" t="n">
        <v>0</v>
      </c>
      <c r="P1344" s="8" t="n">
        <v>0</v>
      </c>
      <c r="Q1344" s="8" t="n">
        <v>0</v>
      </c>
      <c r="R1344" s="13" t="n">
        <v>0</v>
      </c>
      <c r="S1344" s="13" t="n">
        <v>0</v>
      </c>
      <c r="T1344" s="13"/>
      <c r="U1344" s="11" t="n">
        <f aca="false">O1344*4 + P1344*2 + MAX(0,N1344-O1344-P1344)*1 + Q1344*0.2 + R1344*2 + S1344*1 + IF(T1344="",0,IF(T1344&lt;=10,8,IF(T1344&lt;=50,6,IF(T1344&lt;=100,4,2))))</f>
        <v>0</v>
      </c>
      <c r="V1344" s="7"/>
      <c r="W1344" s="7"/>
      <c r="X1344" s="13"/>
      <c r="Y1344" s="13" t="s">
        <v>5747</v>
      </c>
    </row>
    <row r="1345" customFormat="false" ht="15.75" hidden="false" customHeight="true" outlineLevel="0" collapsed="false">
      <c r="A1345" s="7" t="s">
        <v>5748</v>
      </c>
      <c r="B1345" s="8" t="n">
        <v>2001</v>
      </c>
      <c r="C1345" s="8" t="s">
        <v>35</v>
      </c>
      <c r="D1345" s="8" t="n">
        <v>106</v>
      </c>
      <c r="E1345" s="7" t="s">
        <v>5749</v>
      </c>
      <c r="F1345" s="8" t="n">
        <v>6.4</v>
      </c>
      <c r="G1345" s="8" t="n">
        <v>7</v>
      </c>
      <c r="H1345" s="9" t="n">
        <v>36395</v>
      </c>
      <c r="I1345" s="7" t="s">
        <v>2011</v>
      </c>
      <c r="J1345" s="7" t="s">
        <v>30</v>
      </c>
      <c r="K1345" s="7" t="s">
        <v>75</v>
      </c>
      <c r="L1345" s="10" t="s">
        <v>954</v>
      </c>
      <c r="M1345" s="10" t="s">
        <v>5750</v>
      </c>
      <c r="N1345" s="8" t="n">
        <v>0</v>
      </c>
      <c r="O1345" s="8" t="n">
        <v>0</v>
      </c>
      <c r="P1345" s="8" t="n">
        <v>0</v>
      </c>
      <c r="Q1345" s="8" t="n">
        <v>0</v>
      </c>
      <c r="R1345" s="13" t="n">
        <v>0</v>
      </c>
      <c r="S1345" s="13" t="n">
        <v>0</v>
      </c>
      <c r="T1345" s="13"/>
      <c r="U1345" s="11" t="n">
        <f aca="false">O1345*4 + P1345*2 + MAX(0,N1345-O1345-P1345)*1 + Q1345*0.2 + R1345*2 + S1345*1 + IF(T1345="",0,IF(T1345&lt;=10,8,IF(T1345&lt;=50,6,IF(T1345&lt;=100,4,2))))</f>
        <v>0</v>
      </c>
      <c r="V1345" s="7"/>
      <c r="W1345" s="7"/>
      <c r="X1345" s="13"/>
      <c r="Y1345" s="13" t="s">
        <v>5751</v>
      </c>
    </row>
    <row r="1346" customFormat="false" ht="15.75" hidden="false" customHeight="true" outlineLevel="0" collapsed="false">
      <c r="A1346" s="7" t="s">
        <v>5752</v>
      </c>
      <c r="B1346" s="8" t="n">
        <v>2007</v>
      </c>
      <c r="C1346" s="8" t="s">
        <v>35</v>
      </c>
      <c r="D1346" s="8" t="n">
        <v>139</v>
      </c>
      <c r="E1346" s="7" t="s">
        <v>1487</v>
      </c>
      <c r="F1346" s="8" t="n">
        <v>6.3</v>
      </c>
      <c r="G1346" s="8" t="n">
        <v>6</v>
      </c>
      <c r="H1346" s="9" t="n">
        <v>713926</v>
      </c>
      <c r="I1346" s="7" t="s">
        <v>46</v>
      </c>
      <c r="J1346" s="7" t="s">
        <v>111</v>
      </c>
      <c r="K1346" s="7" t="s">
        <v>5160</v>
      </c>
      <c r="L1346" s="10"/>
      <c r="M1346" s="7" t="s">
        <v>5753</v>
      </c>
      <c r="N1346" s="8" t="n">
        <v>0</v>
      </c>
      <c r="O1346" s="8" t="n">
        <v>0</v>
      </c>
      <c r="P1346" s="8" t="n">
        <v>0</v>
      </c>
      <c r="Q1346" s="8" t="n">
        <v>0</v>
      </c>
      <c r="R1346" s="13" t="n">
        <v>0</v>
      </c>
      <c r="S1346" s="13" t="n">
        <v>0</v>
      </c>
      <c r="T1346" s="13"/>
      <c r="U1346" s="11" t="n">
        <f aca="false">O1346*4 + P1346*2 + MAX(0,N1346-O1346-P1346)*1 + Q1346*0.2 + R1346*2 + S1346*1 + IF(T1346="",0,IF(T1346&lt;=10,8,IF(T1346&lt;=50,6,IF(T1346&lt;=100,4,2))))</f>
        <v>0</v>
      </c>
      <c r="V1346" s="7"/>
      <c r="W1346" s="7"/>
      <c r="X1346" s="13"/>
      <c r="Y1346" s="13" t="s">
        <v>5754</v>
      </c>
    </row>
    <row r="1347" customFormat="false" ht="15.75" hidden="false" customHeight="true" outlineLevel="0" collapsed="false">
      <c r="A1347" s="7" t="s">
        <v>5755</v>
      </c>
      <c r="B1347" s="8" t="n">
        <v>2008</v>
      </c>
      <c r="C1347" s="8" t="s">
        <v>35</v>
      </c>
      <c r="D1347" s="8" t="n">
        <v>123</v>
      </c>
      <c r="E1347" s="7" t="s">
        <v>5756</v>
      </c>
      <c r="F1347" s="8" t="n">
        <v>6.8</v>
      </c>
      <c r="G1347" s="8" t="n">
        <v>7</v>
      </c>
      <c r="H1347" s="9" t="n">
        <v>282455</v>
      </c>
      <c r="I1347" s="7" t="s">
        <v>46</v>
      </c>
      <c r="J1347" s="7" t="s">
        <v>131</v>
      </c>
      <c r="K1347" s="7" t="s">
        <v>54</v>
      </c>
      <c r="L1347" s="10"/>
      <c r="M1347" s="7" t="s">
        <v>5757</v>
      </c>
      <c r="N1347" s="8" t="n">
        <v>0</v>
      </c>
      <c r="O1347" s="8" t="n">
        <v>0</v>
      </c>
      <c r="P1347" s="8" t="n">
        <v>0</v>
      </c>
      <c r="Q1347" s="8" t="n">
        <v>0</v>
      </c>
      <c r="R1347" s="13" t="n">
        <v>0</v>
      </c>
      <c r="S1347" s="13" t="n">
        <v>0</v>
      </c>
      <c r="T1347" s="13"/>
      <c r="U1347" s="11" t="n">
        <f aca="false">O1347*4 + P1347*2 + MAX(0,N1347-O1347-P1347)*1 + Q1347*0.2 + R1347*2 + S1347*1 + IF(T1347="",0,IF(T1347&lt;=10,8,IF(T1347&lt;=50,6,IF(T1347&lt;=100,4,2))))</f>
        <v>0</v>
      </c>
      <c r="V1347" s="7"/>
      <c r="W1347" s="7"/>
      <c r="X1347" s="13"/>
      <c r="Y1347" s="13" t="s">
        <v>5758</v>
      </c>
    </row>
    <row r="1348" customFormat="false" ht="15.75" hidden="false" customHeight="true" outlineLevel="0" collapsed="false">
      <c r="A1348" s="7" t="s">
        <v>5759</v>
      </c>
      <c r="B1348" s="8" t="n">
        <v>2005</v>
      </c>
      <c r="C1348" s="8" t="s">
        <v>35</v>
      </c>
      <c r="D1348" s="8" t="n">
        <v>117</v>
      </c>
      <c r="E1348" s="7" t="s">
        <v>45</v>
      </c>
      <c r="F1348" s="8" t="n">
        <v>6.6</v>
      </c>
      <c r="G1348" s="8" t="n">
        <v>7</v>
      </c>
      <c r="H1348" s="9" t="n">
        <v>511694</v>
      </c>
      <c r="I1348" s="7" t="s">
        <v>46</v>
      </c>
      <c r="J1348" s="7" t="s">
        <v>111</v>
      </c>
      <c r="K1348" s="7" t="s">
        <v>112</v>
      </c>
      <c r="L1348" s="10" t="s">
        <v>5760</v>
      </c>
      <c r="M1348" s="7" t="s">
        <v>5761</v>
      </c>
      <c r="N1348" s="8" t="n">
        <v>0</v>
      </c>
      <c r="O1348" s="8" t="n">
        <v>0</v>
      </c>
      <c r="P1348" s="8" t="n">
        <v>0</v>
      </c>
      <c r="Q1348" s="8" t="n">
        <v>3</v>
      </c>
      <c r="R1348" s="8" t="n">
        <v>0</v>
      </c>
      <c r="S1348" s="8" t="n">
        <v>0</v>
      </c>
      <c r="T1348" s="13"/>
      <c r="U1348" s="11" t="n">
        <f aca="false">O1348*4 + P1348*2 + MAX(0,N1348-O1348-P1348)*1 + Q1348*0.2 + R1348*2 + S1348*1 + IF(T1348="",0,IF(T1348&lt;=10,8,IF(T1348&lt;=50,6,IF(T1348&lt;=100,4,2))))</f>
        <v>0.6</v>
      </c>
      <c r="V1348" s="7"/>
      <c r="W1348" s="7"/>
      <c r="X1348" s="13"/>
      <c r="Y1348" s="13" t="s">
        <v>5762</v>
      </c>
    </row>
    <row r="1349" customFormat="false" ht="15.75" hidden="false" customHeight="true" outlineLevel="0" collapsed="false">
      <c r="A1349" s="7" t="s">
        <v>5763</v>
      </c>
      <c r="B1349" s="8" t="n">
        <v>1974</v>
      </c>
      <c r="C1349" s="8" t="s">
        <v>61</v>
      </c>
      <c r="D1349" s="8" t="n">
        <v>83</v>
      </c>
      <c r="E1349" s="7" t="s">
        <v>1018</v>
      </c>
      <c r="F1349" s="8" t="n">
        <v>7.4</v>
      </c>
      <c r="G1349" s="8" t="n">
        <v>8</v>
      </c>
      <c r="H1349" s="9" t="n">
        <v>214760</v>
      </c>
      <c r="I1349" s="7" t="s">
        <v>46</v>
      </c>
      <c r="J1349" s="7" t="s">
        <v>147</v>
      </c>
      <c r="K1349" s="7"/>
      <c r="L1349" s="10" t="s">
        <v>5764</v>
      </c>
      <c r="M1349" s="7" t="s">
        <v>5765</v>
      </c>
      <c r="N1349" s="8" t="n">
        <v>0</v>
      </c>
      <c r="O1349" s="8" t="n">
        <v>0</v>
      </c>
      <c r="P1349" s="8" t="n">
        <v>0</v>
      </c>
      <c r="Q1349" s="8" t="n">
        <v>0</v>
      </c>
      <c r="R1349" s="8" t="n">
        <v>0</v>
      </c>
      <c r="S1349" s="13" t="n">
        <v>0</v>
      </c>
      <c r="T1349" s="8" t="n">
        <v>118</v>
      </c>
      <c r="U1349" s="11" t="n">
        <f aca="false">O1349*4 + P1349*2 + MAX(0,N1349-O1349-P1349)*1 + Q1349*0.2 + R1349*2 + S1349*1 + IF(T1349="",0,IF(T1349&lt;=10,8,IF(T1349&lt;=50,6,IF(T1349&lt;=100,4,2))))</f>
        <v>2</v>
      </c>
      <c r="V1349" s="10" t="s">
        <v>5766</v>
      </c>
      <c r="W1349" s="7"/>
      <c r="X1349" s="13"/>
      <c r="Y1349" s="13" t="s">
        <v>5767</v>
      </c>
    </row>
    <row r="1350" customFormat="false" ht="15.75" hidden="false" customHeight="true" outlineLevel="0" collapsed="false">
      <c r="A1350" s="7" t="s">
        <v>5768</v>
      </c>
      <c r="B1350" s="8" t="n">
        <v>2002</v>
      </c>
      <c r="C1350" s="8" t="s">
        <v>35</v>
      </c>
      <c r="D1350" s="8" t="n">
        <v>121</v>
      </c>
      <c r="E1350" s="7" t="s">
        <v>1487</v>
      </c>
      <c r="F1350" s="8" t="n">
        <v>7.4</v>
      </c>
      <c r="G1350" s="8" t="n">
        <v>8</v>
      </c>
      <c r="H1350" s="9" t="n">
        <v>988173</v>
      </c>
      <c r="I1350" s="7" t="s">
        <v>46</v>
      </c>
      <c r="J1350" s="7" t="s">
        <v>111</v>
      </c>
      <c r="K1350" s="7" t="s">
        <v>5160</v>
      </c>
      <c r="L1350" s="10" t="s">
        <v>220</v>
      </c>
      <c r="M1350" s="7" t="s">
        <v>5769</v>
      </c>
      <c r="N1350" s="8" t="n">
        <v>0</v>
      </c>
      <c r="O1350" s="8" t="n">
        <v>0</v>
      </c>
      <c r="P1350" s="8" t="n">
        <v>0</v>
      </c>
      <c r="Q1350" s="8" t="n">
        <v>2</v>
      </c>
      <c r="R1350" s="8" t="n">
        <v>0</v>
      </c>
      <c r="S1350" s="8" t="n">
        <v>0</v>
      </c>
      <c r="T1350" s="8"/>
      <c r="U1350" s="11" t="n">
        <f aca="false">O1350*4 + P1350*2 + MAX(0,N1350-O1350-P1350)*1 + Q1350*0.2 + R1350*2 + S1350*1 + IF(T1350="",0,IF(T1350&lt;=10,8,IF(T1350&lt;=50,6,IF(T1350&lt;=100,4,2))))</f>
        <v>0.4</v>
      </c>
      <c r="V1350" s="7"/>
      <c r="W1350" s="7"/>
      <c r="X1350" s="13"/>
      <c r="Y1350" s="13" t="s">
        <v>5770</v>
      </c>
    </row>
    <row r="1351" customFormat="false" ht="15.75" hidden="false" customHeight="true" outlineLevel="0" collapsed="false">
      <c r="A1351" s="7" t="s">
        <v>5771</v>
      </c>
      <c r="B1351" s="8" t="n">
        <v>2002</v>
      </c>
      <c r="C1351" s="8" t="s">
        <v>35</v>
      </c>
      <c r="D1351" s="8" t="n">
        <v>87</v>
      </c>
      <c r="E1351" s="7" t="s">
        <v>5772</v>
      </c>
      <c r="F1351" s="8" t="n">
        <v>6.2</v>
      </c>
      <c r="G1351" s="8" t="n">
        <v>9</v>
      </c>
      <c r="H1351" s="9" t="n">
        <v>100191</v>
      </c>
      <c r="I1351" s="7" t="s">
        <v>5093</v>
      </c>
      <c r="J1351" s="7" t="s">
        <v>30</v>
      </c>
      <c r="K1351" s="7"/>
      <c r="L1351" s="10" t="s">
        <v>210</v>
      </c>
      <c r="M1351" s="10" t="s">
        <v>5773</v>
      </c>
      <c r="N1351" s="8" t="n">
        <v>0</v>
      </c>
      <c r="O1351" s="8" t="n">
        <v>0</v>
      </c>
      <c r="P1351" s="8" t="n">
        <v>0</v>
      </c>
      <c r="Q1351" s="8" t="n">
        <v>0</v>
      </c>
      <c r="R1351" s="13" t="n">
        <v>0</v>
      </c>
      <c r="S1351" s="13" t="n">
        <v>0</v>
      </c>
      <c r="T1351" s="13"/>
      <c r="U1351" s="11" t="n">
        <f aca="false">O1351*4 + P1351*2 + MAX(0,N1351-O1351-P1351)*1 + Q1351*0.2 + R1351*2 + S1351*1 + IF(T1351="",0,IF(T1351&lt;=10,8,IF(T1351&lt;=50,6,IF(T1351&lt;=100,4,2))))</f>
        <v>0</v>
      </c>
      <c r="V1351" s="7"/>
      <c r="W1351" s="7"/>
      <c r="X1351" s="13"/>
      <c r="Y1351" s="13" t="s">
        <v>5774</v>
      </c>
    </row>
    <row r="1352" customFormat="false" ht="15.75" hidden="false" customHeight="true" outlineLevel="0" collapsed="false">
      <c r="A1352" s="7" t="s">
        <v>5775</v>
      </c>
      <c r="B1352" s="8" t="n">
        <v>2009</v>
      </c>
      <c r="C1352" s="8" t="s">
        <v>35</v>
      </c>
      <c r="D1352" s="8" t="n">
        <v>112</v>
      </c>
      <c r="E1352" s="7" t="s">
        <v>5776</v>
      </c>
      <c r="F1352" s="8" t="n">
        <v>7.9</v>
      </c>
      <c r="G1352" s="8" t="n">
        <v>7</v>
      </c>
      <c r="H1352" s="9" t="n">
        <v>756166</v>
      </c>
      <c r="I1352" s="7" t="s">
        <v>5777</v>
      </c>
      <c r="J1352" s="7" t="s">
        <v>111</v>
      </c>
      <c r="K1352" s="7" t="s">
        <v>131</v>
      </c>
      <c r="L1352" s="10" t="s">
        <v>205</v>
      </c>
      <c r="M1352" s="7" t="s">
        <v>5778</v>
      </c>
      <c r="N1352" s="8" t="n">
        <v>0</v>
      </c>
      <c r="O1352" s="8" t="n">
        <v>0</v>
      </c>
      <c r="P1352" s="8" t="n">
        <v>0</v>
      </c>
      <c r="Q1352" s="8" t="n">
        <v>4</v>
      </c>
      <c r="R1352" s="8" t="n">
        <v>0</v>
      </c>
      <c r="S1352" s="8" t="n">
        <v>0</v>
      </c>
      <c r="T1352" s="13"/>
      <c r="U1352" s="11" t="n">
        <f aca="false">O1352*4 + P1352*2 + MAX(0,N1352-O1352-P1352)*1 + Q1352*0.2 + R1352*2 + S1352*1 + IF(T1352="",0,IF(T1352&lt;=10,8,IF(T1352&lt;=50,6,IF(T1352&lt;=100,4,2))))</f>
        <v>0.8</v>
      </c>
      <c r="V1352" s="7"/>
      <c r="W1352" s="7"/>
      <c r="X1352" s="13"/>
      <c r="Y1352" s="13" t="s">
        <v>5779</v>
      </c>
    </row>
    <row r="1353" customFormat="false" ht="15.75" hidden="false" customHeight="true" outlineLevel="0" collapsed="false">
      <c r="A1353" s="7" t="s">
        <v>5780</v>
      </c>
      <c r="B1353" s="8" t="n">
        <v>2008</v>
      </c>
      <c r="C1353" s="8" t="s">
        <v>35</v>
      </c>
      <c r="D1353" s="8" t="n">
        <v>134</v>
      </c>
      <c r="E1353" s="7" t="s">
        <v>489</v>
      </c>
      <c r="F1353" s="8" t="n">
        <v>7.1</v>
      </c>
      <c r="G1353" s="8" t="n">
        <v>4</v>
      </c>
      <c r="H1353" s="9" t="n">
        <v>49976</v>
      </c>
      <c r="I1353" s="7" t="s">
        <v>5781</v>
      </c>
      <c r="J1353" s="7" t="s">
        <v>47</v>
      </c>
      <c r="K1353" s="7" t="s">
        <v>48</v>
      </c>
      <c r="L1353" s="10"/>
      <c r="M1353" s="10" t="s">
        <v>5782</v>
      </c>
      <c r="N1353" s="8" t="n">
        <v>0</v>
      </c>
      <c r="O1353" s="8" t="n">
        <v>0</v>
      </c>
      <c r="P1353" s="8" t="n">
        <v>0</v>
      </c>
      <c r="Q1353" s="8" t="n">
        <v>0</v>
      </c>
      <c r="R1353" s="13" t="n">
        <v>0</v>
      </c>
      <c r="S1353" s="13" t="n">
        <v>0</v>
      </c>
      <c r="T1353" s="13"/>
      <c r="U1353" s="11" t="n">
        <f aca="false">O1353*4 + P1353*2 + MAX(0,N1353-O1353-P1353)*1 + Q1353*0.2 + R1353*2 + S1353*1 + IF(T1353="",0,IF(T1353&lt;=10,8,IF(T1353&lt;=50,6,IF(T1353&lt;=100,4,2))))</f>
        <v>0</v>
      </c>
      <c r="V1353" s="7"/>
      <c r="W1353" s="7"/>
      <c r="X1353" s="13"/>
      <c r="Y1353" s="13" t="s">
        <v>5783</v>
      </c>
    </row>
    <row r="1354" customFormat="false" ht="15.75" hidden="false" customHeight="true" outlineLevel="0" collapsed="false">
      <c r="A1354" s="7" t="s">
        <v>5784</v>
      </c>
      <c r="B1354" s="8" t="n">
        <v>2007</v>
      </c>
      <c r="C1354" s="8" t="s">
        <v>35</v>
      </c>
      <c r="D1354" s="8" t="n">
        <v>144</v>
      </c>
      <c r="E1354" s="7" t="s">
        <v>5578</v>
      </c>
      <c r="F1354" s="8" t="n">
        <v>7.1</v>
      </c>
      <c r="G1354" s="8" t="n">
        <v>6</v>
      </c>
      <c r="H1354" s="9" t="n">
        <v>724168</v>
      </c>
      <c r="I1354" s="7" t="s">
        <v>46</v>
      </c>
      <c r="J1354" s="7" t="s">
        <v>111</v>
      </c>
      <c r="K1354" s="7" t="s">
        <v>852</v>
      </c>
      <c r="L1354" s="10" t="s">
        <v>220</v>
      </c>
      <c r="M1354" s="7" t="s">
        <v>5785</v>
      </c>
      <c r="N1354" s="8" t="n">
        <v>0</v>
      </c>
      <c r="O1354" s="8" t="n">
        <v>0</v>
      </c>
      <c r="P1354" s="8" t="n">
        <v>0</v>
      </c>
      <c r="Q1354" s="8" t="n">
        <v>3</v>
      </c>
      <c r="R1354" s="8" t="n">
        <v>0</v>
      </c>
      <c r="S1354" s="8" t="n">
        <v>0</v>
      </c>
      <c r="T1354" s="13"/>
      <c r="U1354" s="11" t="n">
        <f aca="false">O1354*4 + P1354*2 + MAX(0,N1354-O1354-P1354)*1 + Q1354*0.2 + R1354*2 + S1354*1 + IF(T1354="",0,IF(T1354&lt;=10,8,IF(T1354&lt;=50,6,IF(T1354&lt;=100,4,2))))</f>
        <v>0.6</v>
      </c>
      <c r="V1354" s="7"/>
      <c r="W1354" s="7"/>
      <c r="X1354" s="13"/>
      <c r="Y1354" s="13" t="s">
        <v>5786</v>
      </c>
    </row>
    <row r="1355" customFormat="false" ht="15.75" hidden="false" customHeight="true" outlineLevel="0" collapsed="false">
      <c r="A1355" s="7" t="s">
        <v>5787</v>
      </c>
      <c r="B1355" s="8" t="n">
        <v>2006</v>
      </c>
      <c r="C1355" s="8" t="s">
        <v>35</v>
      </c>
      <c r="D1355" s="8" t="n">
        <v>105</v>
      </c>
      <c r="E1355" s="7" t="s">
        <v>5788</v>
      </c>
      <c r="F1355" s="8" t="n">
        <v>5.5</v>
      </c>
      <c r="G1355" s="8" t="n">
        <v>3</v>
      </c>
      <c r="H1355" s="9" t="n">
        <v>150301</v>
      </c>
      <c r="I1355" s="7" t="s">
        <v>46</v>
      </c>
      <c r="J1355" s="7" t="s">
        <v>112</v>
      </c>
      <c r="K1355" s="7" t="s">
        <v>54</v>
      </c>
      <c r="L1355" s="10" t="s">
        <v>113</v>
      </c>
      <c r="M1355" s="10" t="s">
        <v>5789</v>
      </c>
      <c r="N1355" s="8" t="n">
        <v>0</v>
      </c>
      <c r="O1355" s="8" t="n">
        <v>0</v>
      </c>
      <c r="P1355" s="8" t="n">
        <v>0</v>
      </c>
      <c r="Q1355" s="8" t="n">
        <v>0</v>
      </c>
      <c r="R1355" s="13" t="n">
        <v>0</v>
      </c>
      <c r="S1355" s="13" t="n">
        <v>0</v>
      </c>
      <c r="T1355" s="13"/>
      <c r="U1355" s="11" t="n">
        <f aca="false">O1355*4 + P1355*2 + MAX(0,N1355-O1355-P1355)*1 + Q1355*0.2 + R1355*2 + S1355*1 + IF(T1355="",0,IF(T1355&lt;=10,8,IF(T1355&lt;=50,6,IF(T1355&lt;=100,4,2))))</f>
        <v>0</v>
      </c>
      <c r="V1355" s="7"/>
      <c r="W1355" s="7"/>
      <c r="X1355" s="13"/>
      <c r="Y1355" s="13" t="s">
        <v>5790</v>
      </c>
    </row>
    <row r="1356" customFormat="false" ht="15.75" hidden="false" customHeight="true" outlineLevel="0" collapsed="false">
      <c r="A1356" s="7" t="s">
        <v>5791</v>
      </c>
      <c r="B1356" s="8" t="n">
        <v>2006</v>
      </c>
      <c r="C1356" s="8" t="s">
        <v>35</v>
      </c>
      <c r="D1356" s="8" t="n">
        <v>88</v>
      </c>
      <c r="E1356" s="7" t="s">
        <v>5792</v>
      </c>
      <c r="F1356" s="8" t="n">
        <v>6.9</v>
      </c>
      <c r="G1356" s="8" t="n">
        <v>7</v>
      </c>
      <c r="H1356" s="9" t="n">
        <v>279044</v>
      </c>
      <c r="I1356" s="7" t="s">
        <v>46</v>
      </c>
      <c r="J1356" s="7" t="s">
        <v>131</v>
      </c>
      <c r="K1356" s="7" t="s">
        <v>54</v>
      </c>
      <c r="L1356" s="10" t="s">
        <v>5793</v>
      </c>
      <c r="M1356" s="7" t="s">
        <v>5794</v>
      </c>
      <c r="N1356" s="8" t="n">
        <v>0</v>
      </c>
      <c r="O1356" s="8" t="n">
        <v>0</v>
      </c>
      <c r="P1356" s="8" t="n">
        <v>0</v>
      </c>
      <c r="Q1356" s="8" t="n">
        <v>0</v>
      </c>
      <c r="R1356" s="13" t="n">
        <v>0</v>
      </c>
      <c r="S1356" s="13" t="n">
        <v>0</v>
      </c>
      <c r="T1356" s="13"/>
      <c r="U1356" s="11" t="n">
        <f aca="false">O1356*4 + P1356*2 + MAX(0,N1356-O1356-P1356)*1 + Q1356*0.2 + R1356*2 + S1356*1 + IF(T1356="",0,IF(T1356&lt;=10,8,IF(T1356&lt;=50,6,IF(T1356&lt;=100,4,2))))</f>
        <v>0</v>
      </c>
      <c r="V1356" s="7"/>
      <c r="W1356" s="7"/>
      <c r="X1356" s="13"/>
      <c r="Y1356" s="13" t="s">
        <v>5795</v>
      </c>
    </row>
    <row r="1357" customFormat="false" ht="15.75" hidden="false" customHeight="true" outlineLevel="0" collapsed="false">
      <c r="A1357" s="7" t="s">
        <v>5796</v>
      </c>
      <c r="B1357" s="8" t="n">
        <v>2005</v>
      </c>
      <c r="C1357" s="8" t="s">
        <v>35</v>
      </c>
      <c r="D1357" s="8" t="n">
        <v>109</v>
      </c>
      <c r="E1357" s="7" t="s">
        <v>5797</v>
      </c>
      <c r="F1357" s="8" t="n">
        <v>7.4</v>
      </c>
      <c r="G1357" s="8" t="n">
        <v>7</v>
      </c>
      <c r="H1357" s="9" t="n">
        <v>172431</v>
      </c>
      <c r="I1357" s="7" t="s">
        <v>359</v>
      </c>
      <c r="J1357" s="7" t="s">
        <v>47</v>
      </c>
      <c r="K1357" s="7" t="s">
        <v>54</v>
      </c>
      <c r="L1357" s="10"/>
      <c r="M1357" s="10" t="s">
        <v>5798</v>
      </c>
      <c r="N1357" s="8" t="n">
        <v>0</v>
      </c>
      <c r="O1357" s="8" t="n">
        <v>0</v>
      </c>
      <c r="P1357" s="8" t="n">
        <v>0</v>
      </c>
      <c r="Q1357" s="8" t="n">
        <v>0</v>
      </c>
      <c r="R1357" s="13" t="n">
        <v>0</v>
      </c>
      <c r="S1357" s="13" t="n">
        <v>0</v>
      </c>
      <c r="T1357" s="13"/>
      <c r="U1357" s="11" t="n">
        <f aca="false">O1357*4 + P1357*2 + MAX(0,N1357-O1357-P1357)*1 + Q1357*0.2 + R1357*2 + S1357*1 + IF(T1357="",0,IF(T1357&lt;=10,8,IF(T1357&lt;=50,6,IF(T1357&lt;=100,4,2))))</f>
        <v>0</v>
      </c>
      <c r="V1357" s="7"/>
      <c r="W1357" s="7"/>
      <c r="X1357" s="13"/>
      <c r="Y1357" s="13" t="s">
        <v>5799</v>
      </c>
    </row>
    <row r="1358" customFormat="false" ht="15.75" hidden="false" customHeight="true" outlineLevel="0" collapsed="false">
      <c r="A1358" s="7" t="s">
        <v>5800</v>
      </c>
      <c r="B1358" s="8" t="n">
        <v>2005</v>
      </c>
      <c r="C1358" s="8" t="s">
        <v>35</v>
      </c>
      <c r="D1358" s="8" t="n">
        <v>101</v>
      </c>
      <c r="E1358" s="7" t="s">
        <v>1400</v>
      </c>
      <c r="F1358" s="8" t="n">
        <v>6</v>
      </c>
      <c r="G1358" s="8" t="n">
        <v>7</v>
      </c>
      <c r="H1358" s="9" t="n">
        <v>18487</v>
      </c>
      <c r="I1358" s="7" t="s">
        <v>2997</v>
      </c>
      <c r="J1358" s="7" t="s">
        <v>147</v>
      </c>
      <c r="K1358" s="7" t="s">
        <v>125</v>
      </c>
      <c r="L1358" s="10" t="s">
        <v>5801</v>
      </c>
      <c r="M1358" s="10" t="s">
        <v>5802</v>
      </c>
      <c r="N1358" s="8" t="n">
        <v>0</v>
      </c>
      <c r="O1358" s="8" t="n">
        <v>0</v>
      </c>
      <c r="P1358" s="8" t="n">
        <v>0</v>
      </c>
      <c r="Q1358" s="8" t="n">
        <v>0</v>
      </c>
      <c r="R1358" s="13" t="n">
        <v>0</v>
      </c>
      <c r="S1358" s="13" t="n">
        <v>0</v>
      </c>
      <c r="T1358" s="13"/>
      <c r="U1358" s="11" t="n">
        <f aca="false">O1358*4 + P1358*2 + MAX(0,N1358-O1358-P1358)*1 + Q1358*0.2 + R1358*2 + S1358*1 + IF(T1358="",0,IF(T1358&lt;=10,8,IF(T1358&lt;=50,6,IF(T1358&lt;=100,4,2))))</f>
        <v>0</v>
      </c>
      <c r="V1358" s="7"/>
      <c r="W1358" s="7"/>
      <c r="X1358" s="13"/>
      <c r="Y1358" s="13" t="s">
        <v>5803</v>
      </c>
    </row>
    <row r="1359" customFormat="false" ht="15.75" hidden="false" customHeight="true" outlineLevel="0" collapsed="false">
      <c r="A1359" s="7" t="s">
        <v>5804</v>
      </c>
      <c r="B1359" s="8" t="n">
        <v>2004</v>
      </c>
      <c r="C1359" s="8" t="s">
        <v>35</v>
      </c>
      <c r="D1359" s="8" t="n">
        <v>115</v>
      </c>
      <c r="E1359" s="7" t="s">
        <v>1156</v>
      </c>
      <c r="F1359" s="8" t="n">
        <v>7.1</v>
      </c>
      <c r="G1359" s="8" t="n">
        <v>8</v>
      </c>
      <c r="H1359" s="9" t="n">
        <v>619207</v>
      </c>
      <c r="I1359" s="7" t="s">
        <v>895</v>
      </c>
      <c r="J1359" s="7" t="s">
        <v>111</v>
      </c>
      <c r="K1359" s="7" t="s">
        <v>125</v>
      </c>
      <c r="L1359" s="10" t="s">
        <v>177</v>
      </c>
      <c r="M1359" s="7" t="s">
        <v>5805</v>
      </c>
      <c r="N1359" s="8" t="n">
        <v>0</v>
      </c>
      <c r="O1359" s="8" t="n">
        <v>0</v>
      </c>
      <c r="P1359" s="8" t="n">
        <v>0</v>
      </c>
      <c r="Q1359" s="8" t="n">
        <v>1</v>
      </c>
      <c r="R1359" s="8" t="n">
        <v>0</v>
      </c>
      <c r="S1359" s="8" t="n">
        <v>0</v>
      </c>
      <c r="T1359" s="13"/>
      <c r="U1359" s="11" t="n">
        <f aca="false">O1359*4 + P1359*2 + MAX(0,N1359-O1359-P1359)*1 + Q1359*0.2 + R1359*2 + S1359*1 + IF(T1359="",0,IF(T1359&lt;=10,8,IF(T1359&lt;=50,6,IF(T1359&lt;=100,4,2))))</f>
        <v>0.2</v>
      </c>
      <c r="V1359" s="7"/>
      <c r="W1359" s="7"/>
      <c r="X1359" s="13"/>
      <c r="Y1359" s="13" t="s">
        <v>5806</v>
      </c>
    </row>
    <row r="1360" customFormat="false" ht="15.75" hidden="false" customHeight="true" outlineLevel="0" collapsed="false">
      <c r="A1360" s="7" t="s">
        <v>5807</v>
      </c>
      <c r="B1360" s="8" t="n">
        <v>2004</v>
      </c>
      <c r="C1360" s="8" t="s">
        <v>35</v>
      </c>
      <c r="D1360" s="8" t="n">
        <v>101</v>
      </c>
      <c r="E1360" s="7" t="s">
        <v>2044</v>
      </c>
      <c r="F1360" s="8" t="n">
        <v>7.2</v>
      </c>
      <c r="G1360" s="8" t="n">
        <v>7</v>
      </c>
      <c r="H1360" s="9" t="n">
        <v>290043</v>
      </c>
      <c r="I1360" s="7" t="s">
        <v>46</v>
      </c>
      <c r="J1360" s="7" t="s">
        <v>147</v>
      </c>
      <c r="K1360" s="7" t="s">
        <v>112</v>
      </c>
      <c r="L1360" s="10"/>
      <c r="M1360" s="7" t="s">
        <v>5808</v>
      </c>
      <c r="N1360" s="8" t="n">
        <v>0</v>
      </c>
      <c r="O1360" s="8" t="n">
        <v>0</v>
      </c>
      <c r="P1360" s="8" t="n">
        <v>0</v>
      </c>
      <c r="Q1360" s="8" t="n">
        <v>0</v>
      </c>
      <c r="R1360" s="13" t="n">
        <v>0</v>
      </c>
      <c r="S1360" s="13" t="n">
        <v>0</v>
      </c>
      <c r="T1360" s="13"/>
      <c r="U1360" s="11" t="n">
        <f aca="false">O1360*4 + P1360*2 + MAX(0,N1360-O1360-P1360)*1 + Q1360*0.2 + R1360*2 + S1360*1 + IF(T1360="",0,IF(T1360&lt;=10,8,IF(T1360&lt;=50,6,IF(T1360&lt;=100,4,2))))</f>
        <v>0</v>
      </c>
      <c r="V1360" s="7"/>
      <c r="W1360" s="7"/>
      <c r="X1360" s="13"/>
      <c r="Y1360" s="13" t="s">
        <v>5809</v>
      </c>
    </row>
    <row r="1361" customFormat="false" ht="15.75" hidden="false" customHeight="true" outlineLevel="0" collapsed="false">
      <c r="A1361" s="7" t="s">
        <v>5810</v>
      </c>
      <c r="B1361" s="8" t="n">
        <v>2004</v>
      </c>
      <c r="C1361" s="8" t="s">
        <v>35</v>
      </c>
      <c r="D1361" s="8" t="n">
        <v>128</v>
      </c>
      <c r="E1361" s="7" t="s">
        <v>45</v>
      </c>
      <c r="F1361" s="8" t="n">
        <v>7.4</v>
      </c>
      <c r="G1361" s="8" t="n">
        <v>7</v>
      </c>
      <c r="H1361" s="9" t="n">
        <v>540170</v>
      </c>
      <c r="I1361" s="7" t="s">
        <v>46</v>
      </c>
      <c r="J1361" s="7" t="s">
        <v>29</v>
      </c>
      <c r="K1361" s="7" t="s">
        <v>30</v>
      </c>
      <c r="L1361" s="10" t="s">
        <v>5811</v>
      </c>
      <c r="M1361" s="7" t="s">
        <v>5812</v>
      </c>
      <c r="N1361" s="8" t="n">
        <v>0</v>
      </c>
      <c r="O1361" s="8" t="n">
        <v>0</v>
      </c>
      <c r="P1361" s="8" t="n">
        <v>0</v>
      </c>
      <c r="Q1361" s="8" t="n">
        <v>0</v>
      </c>
      <c r="R1361" s="13" t="n">
        <v>0</v>
      </c>
      <c r="S1361" s="13" t="n">
        <v>0</v>
      </c>
      <c r="T1361" s="13"/>
      <c r="U1361" s="11" t="n">
        <f aca="false">O1361*4 + P1361*2 + MAX(0,N1361-O1361-P1361)*1 + Q1361*0.2 + R1361*2 + S1361*1 + IF(T1361="",0,IF(T1361&lt;=10,8,IF(T1361&lt;=50,6,IF(T1361&lt;=100,4,2))))</f>
        <v>0</v>
      </c>
      <c r="V1361" s="7"/>
      <c r="W1361" s="7"/>
      <c r="X1361" s="13"/>
      <c r="Y1361" s="13" t="s">
        <v>5813</v>
      </c>
    </row>
    <row r="1362" customFormat="false" ht="15.75" hidden="false" customHeight="true" outlineLevel="0" collapsed="false">
      <c r="A1362" s="7" t="s">
        <v>5814</v>
      </c>
      <c r="B1362" s="8" t="n">
        <v>2003</v>
      </c>
      <c r="C1362" s="8" t="s">
        <v>35</v>
      </c>
      <c r="D1362" s="8" t="n">
        <v>107</v>
      </c>
      <c r="E1362" s="7" t="s">
        <v>5815</v>
      </c>
      <c r="F1362" s="8" t="n">
        <v>6</v>
      </c>
      <c r="G1362" s="8" t="n">
        <v>8</v>
      </c>
      <c r="H1362" s="9" t="n">
        <v>328287</v>
      </c>
      <c r="I1362" s="7" t="s">
        <v>46</v>
      </c>
      <c r="J1362" s="7" t="s">
        <v>131</v>
      </c>
      <c r="K1362" s="7" t="s">
        <v>54</v>
      </c>
      <c r="L1362" s="10" t="s">
        <v>5302</v>
      </c>
      <c r="M1362" s="7" t="s">
        <v>5816</v>
      </c>
      <c r="N1362" s="8" t="n">
        <v>0</v>
      </c>
      <c r="O1362" s="8" t="n">
        <v>0</v>
      </c>
      <c r="P1362" s="8" t="n">
        <v>0</v>
      </c>
      <c r="Q1362" s="8" t="n">
        <v>0</v>
      </c>
      <c r="R1362" s="13" t="n">
        <v>0</v>
      </c>
      <c r="S1362" s="13" t="n">
        <v>0</v>
      </c>
      <c r="T1362" s="13"/>
      <c r="U1362" s="11" t="n">
        <f aca="false">O1362*4 + P1362*2 + MAX(0,N1362-O1362-P1362)*1 + Q1362*0.2 + R1362*2 + S1362*1 + IF(T1362="",0,IF(T1362&lt;=10,8,IF(T1362&lt;=50,6,IF(T1362&lt;=100,4,2))))</f>
        <v>0</v>
      </c>
      <c r="V1362" s="7"/>
      <c r="W1362" s="7"/>
      <c r="X1362" s="13"/>
      <c r="Y1362" s="13" t="s">
        <v>5817</v>
      </c>
    </row>
    <row r="1363" customFormat="false" ht="15.75" hidden="false" customHeight="true" outlineLevel="0" collapsed="false">
      <c r="A1363" s="7" t="s">
        <v>5818</v>
      </c>
      <c r="B1363" s="8" t="n">
        <v>2002</v>
      </c>
      <c r="C1363" s="8" t="s">
        <v>35</v>
      </c>
      <c r="D1363" s="8" t="n">
        <v>113</v>
      </c>
      <c r="E1363" s="7" t="s">
        <v>5819</v>
      </c>
      <c r="F1363" s="8" t="n">
        <v>7.5</v>
      </c>
      <c r="G1363" s="8" t="n">
        <v>7</v>
      </c>
      <c r="H1363" s="9" t="n">
        <v>553535</v>
      </c>
      <c r="I1363" s="7" t="s">
        <v>280</v>
      </c>
      <c r="J1363" s="7" t="s">
        <v>147</v>
      </c>
      <c r="K1363" s="7" t="s">
        <v>111</v>
      </c>
      <c r="L1363" s="10" t="s">
        <v>210</v>
      </c>
      <c r="M1363" s="7" t="s">
        <v>5820</v>
      </c>
      <c r="N1363" s="8" t="n">
        <v>0</v>
      </c>
      <c r="O1363" s="8" t="n">
        <v>0</v>
      </c>
      <c r="P1363" s="8" t="n">
        <v>0</v>
      </c>
      <c r="Q1363" s="8" t="n">
        <v>0</v>
      </c>
      <c r="R1363" s="13" t="n">
        <v>0</v>
      </c>
      <c r="S1363" s="13" t="n">
        <v>0</v>
      </c>
      <c r="T1363" s="13"/>
      <c r="U1363" s="11" t="n">
        <f aca="false">O1363*4 + P1363*2 + MAX(0,N1363-O1363-P1363)*1 + Q1363*0.2 + R1363*2 + S1363*1 + IF(T1363="",0,IF(T1363&lt;=10,8,IF(T1363&lt;=50,6,IF(T1363&lt;=100,4,2))))</f>
        <v>0</v>
      </c>
      <c r="V1363" s="7"/>
      <c r="W1363" s="7"/>
      <c r="X1363" s="13"/>
      <c r="Y1363" s="13" t="s">
        <v>5821</v>
      </c>
    </row>
    <row r="1364" customFormat="false" ht="15.75" hidden="false" customHeight="true" outlineLevel="0" collapsed="false">
      <c r="A1364" s="7" t="s">
        <v>5822</v>
      </c>
      <c r="B1364" s="8" t="n">
        <v>2002</v>
      </c>
      <c r="C1364" s="8" t="s">
        <v>35</v>
      </c>
      <c r="D1364" s="8" t="n">
        <v>115</v>
      </c>
      <c r="E1364" s="7" t="s">
        <v>2032</v>
      </c>
      <c r="F1364" s="8" t="n">
        <v>7.1</v>
      </c>
      <c r="G1364" s="8" t="n">
        <v>8</v>
      </c>
      <c r="H1364" s="9" t="n">
        <v>405390</v>
      </c>
      <c r="I1364" s="7" t="s">
        <v>2186</v>
      </c>
      <c r="J1364" s="7" t="s">
        <v>147</v>
      </c>
      <c r="K1364" s="7" t="s">
        <v>125</v>
      </c>
      <c r="L1364" s="10" t="s">
        <v>2512</v>
      </c>
      <c r="M1364" s="7" t="s">
        <v>5823</v>
      </c>
      <c r="N1364" s="8" t="n">
        <v>0</v>
      </c>
      <c r="O1364" s="8" t="n">
        <v>0</v>
      </c>
      <c r="P1364" s="8" t="n">
        <v>0</v>
      </c>
      <c r="Q1364" s="8" t="n">
        <v>0</v>
      </c>
      <c r="R1364" s="13" t="n">
        <v>0</v>
      </c>
      <c r="S1364" s="13" t="n">
        <v>0</v>
      </c>
      <c r="T1364" s="13"/>
      <c r="U1364" s="11" t="n">
        <f aca="false">O1364*4 + P1364*2 + MAX(0,N1364-O1364-P1364)*1 + Q1364*0.2 + R1364*2 + S1364*1 + IF(T1364="",0,IF(T1364&lt;=10,8,IF(T1364&lt;=50,6,IF(T1364&lt;=100,4,2))))</f>
        <v>0</v>
      </c>
      <c r="V1364" s="7"/>
      <c r="W1364" s="7"/>
      <c r="X1364" s="13"/>
      <c r="Y1364" s="13" t="s">
        <v>5824</v>
      </c>
    </row>
    <row r="1365" customFormat="false" ht="15.75" hidden="false" customHeight="true" outlineLevel="0" collapsed="false">
      <c r="A1365" s="7" t="s">
        <v>5825</v>
      </c>
      <c r="B1365" s="8" t="n">
        <v>2002</v>
      </c>
      <c r="C1365" s="8" t="s">
        <v>35</v>
      </c>
      <c r="D1365" s="8" t="n">
        <v>96</v>
      </c>
      <c r="E1365" s="7" t="s">
        <v>5826</v>
      </c>
      <c r="F1365" s="8" t="n">
        <v>5.8</v>
      </c>
      <c r="G1365" s="8" t="n">
        <v>5</v>
      </c>
      <c r="H1365" s="9" t="n">
        <v>165047</v>
      </c>
      <c r="I1365" s="7" t="s">
        <v>46</v>
      </c>
      <c r="J1365" s="7" t="s">
        <v>29</v>
      </c>
      <c r="K1365" s="7" t="s">
        <v>30</v>
      </c>
      <c r="L1365" s="10" t="s">
        <v>210</v>
      </c>
      <c r="M1365" s="10" t="s">
        <v>5827</v>
      </c>
      <c r="N1365" s="8" t="n">
        <v>0</v>
      </c>
      <c r="O1365" s="8" t="n">
        <v>0</v>
      </c>
      <c r="P1365" s="8" t="n">
        <v>0</v>
      </c>
      <c r="Q1365" s="8" t="n">
        <v>0</v>
      </c>
      <c r="R1365" s="13" t="n">
        <v>0</v>
      </c>
      <c r="S1365" s="13" t="n">
        <v>0</v>
      </c>
      <c r="T1365" s="13"/>
      <c r="U1365" s="11" t="n">
        <f aca="false">O1365*4 + P1365*2 + MAX(0,N1365-O1365-P1365)*1 + Q1365*0.2 + R1365*2 + S1365*1 + IF(T1365="",0,IF(T1365&lt;=10,8,IF(T1365&lt;=50,6,IF(T1365&lt;=100,4,2))))</f>
        <v>0</v>
      </c>
      <c r="V1365" s="7"/>
      <c r="W1365" s="7"/>
      <c r="X1365" s="13"/>
      <c r="Y1365" s="13" t="s">
        <v>5828</v>
      </c>
    </row>
    <row r="1366" customFormat="false" ht="15.75" hidden="false" customHeight="true" outlineLevel="0" collapsed="false">
      <c r="A1366" s="7" t="s">
        <v>5829</v>
      </c>
      <c r="B1366" s="8" t="n">
        <v>2002</v>
      </c>
      <c r="C1366" s="8" t="s">
        <v>35</v>
      </c>
      <c r="D1366" s="8" t="n">
        <v>112</v>
      </c>
      <c r="E1366" s="7" t="s">
        <v>225</v>
      </c>
      <c r="F1366" s="8" t="n">
        <v>6.8</v>
      </c>
      <c r="G1366" s="8" t="n">
        <v>5</v>
      </c>
      <c r="H1366" s="9" t="n">
        <v>316285</v>
      </c>
      <c r="I1366" s="7" t="s">
        <v>46</v>
      </c>
      <c r="J1366" s="7" t="s">
        <v>131</v>
      </c>
      <c r="K1366" s="7" t="s">
        <v>54</v>
      </c>
      <c r="L1366" s="10" t="s">
        <v>210</v>
      </c>
      <c r="M1366" s="7" t="s">
        <v>5830</v>
      </c>
      <c r="N1366" s="8" t="n">
        <v>0</v>
      </c>
      <c r="O1366" s="8" t="n">
        <v>0</v>
      </c>
      <c r="P1366" s="8" t="n">
        <v>0</v>
      </c>
      <c r="Q1366" s="8" t="n">
        <v>0</v>
      </c>
      <c r="R1366" s="13" t="n">
        <v>0</v>
      </c>
      <c r="S1366" s="13" t="n">
        <v>0</v>
      </c>
      <c r="T1366" s="13"/>
      <c r="U1366" s="11" t="n">
        <f aca="false">O1366*4 + P1366*2 + MAX(0,N1366-O1366-P1366)*1 + Q1366*0.2 + R1366*2 + S1366*1 + IF(T1366="",0,IF(T1366&lt;=10,8,IF(T1366&lt;=50,6,IF(T1366&lt;=100,4,2))))</f>
        <v>0</v>
      </c>
      <c r="V1366" s="7"/>
      <c r="W1366" s="7"/>
      <c r="X1366" s="13"/>
      <c r="Y1366" s="13" t="s">
        <v>5831</v>
      </c>
    </row>
    <row r="1367" customFormat="false" ht="15.75" hidden="false" customHeight="true" outlineLevel="0" collapsed="false">
      <c r="A1367" s="7" t="s">
        <v>5832</v>
      </c>
      <c r="B1367" s="8" t="n">
        <v>2003</v>
      </c>
      <c r="C1367" s="8" t="s">
        <v>35</v>
      </c>
      <c r="D1367" s="8" t="n">
        <v>147</v>
      </c>
      <c r="E1367" s="7" t="s">
        <v>5578</v>
      </c>
      <c r="F1367" s="8" t="n">
        <v>6.6</v>
      </c>
      <c r="G1367" s="8" t="n">
        <v>8</v>
      </c>
      <c r="H1367" s="9" t="n">
        <v>290156</v>
      </c>
      <c r="I1367" s="7" t="s">
        <v>46</v>
      </c>
      <c r="J1367" s="7" t="s">
        <v>112</v>
      </c>
      <c r="K1367" s="7" t="s">
        <v>54</v>
      </c>
      <c r="L1367" s="10" t="s">
        <v>238</v>
      </c>
      <c r="M1367" s="7" t="s">
        <v>5833</v>
      </c>
      <c r="N1367" s="8" t="n">
        <v>0</v>
      </c>
      <c r="O1367" s="8" t="n">
        <v>0</v>
      </c>
      <c r="P1367" s="8" t="n">
        <v>0</v>
      </c>
      <c r="Q1367" s="8" t="n">
        <v>0</v>
      </c>
      <c r="R1367" s="13" t="n">
        <v>0</v>
      </c>
      <c r="S1367" s="13" t="n">
        <v>0</v>
      </c>
      <c r="T1367" s="13"/>
      <c r="U1367" s="11" t="n">
        <f aca="false">O1367*4 + P1367*2 + MAX(0,N1367-O1367-P1367)*1 + Q1367*0.2 + R1367*2 + S1367*1 + IF(T1367="",0,IF(T1367&lt;=10,8,IF(T1367&lt;=50,6,IF(T1367&lt;=100,4,2))))</f>
        <v>0</v>
      </c>
      <c r="V1367" s="7"/>
      <c r="W1367" s="7"/>
      <c r="X1367" s="13"/>
      <c r="Y1367" s="13" t="s">
        <v>5834</v>
      </c>
    </row>
    <row r="1368" customFormat="false" ht="15.75" hidden="false" customHeight="true" outlineLevel="0" collapsed="false">
      <c r="A1368" s="7" t="s">
        <v>5835</v>
      </c>
      <c r="B1368" s="8" t="n">
        <v>2002</v>
      </c>
      <c r="C1368" s="8" t="s">
        <v>35</v>
      </c>
      <c r="D1368" s="8" t="n">
        <v>94</v>
      </c>
      <c r="E1368" s="7" t="s">
        <v>1530</v>
      </c>
      <c r="F1368" s="8" t="n">
        <v>6.3</v>
      </c>
      <c r="G1368" s="8" t="n">
        <v>8</v>
      </c>
      <c r="H1368" s="9" t="n">
        <v>236088</v>
      </c>
      <c r="I1368" s="7" t="s">
        <v>46</v>
      </c>
      <c r="J1368" s="7" t="s">
        <v>112</v>
      </c>
      <c r="K1368" s="7" t="s">
        <v>39</v>
      </c>
      <c r="L1368" s="10" t="s">
        <v>113</v>
      </c>
      <c r="M1368" s="10" t="s">
        <v>5836</v>
      </c>
      <c r="N1368" s="8" t="n">
        <v>0</v>
      </c>
      <c r="O1368" s="8" t="n">
        <v>0</v>
      </c>
      <c r="P1368" s="8" t="n">
        <v>0</v>
      </c>
      <c r="Q1368" s="8" t="n">
        <v>0</v>
      </c>
      <c r="R1368" s="13" t="n">
        <v>0</v>
      </c>
      <c r="S1368" s="13" t="n">
        <v>0</v>
      </c>
      <c r="T1368" s="13"/>
      <c r="U1368" s="11" t="n">
        <f aca="false">O1368*4 + P1368*2 + MAX(0,N1368-O1368-P1368)*1 + Q1368*0.2 + R1368*2 + S1368*1 + IF(T1368="",0,IF(T1368&lt;=10,8,IF(T1368&lt;=50,6,IF(T1368&lt;=100,4,2))))</f>
        <v>0</v>
      </c>
      <c r="V1368" s="7"/>
      <c r="W1368" s="7"/>
      <c r="X1368" s="13"/>
      <c r="Y1368" s="13" t="s">
        <v>5837</v>
      </c>
    </row>
    <row r="1369" customFormat="false" ht="15.75" hidden="false" customHeight="true" outlineLevel="0" collapsed="false">
      <c r="A1369" s="7" t="s">
        <v>5838</v>
      </c>
      <c r="B1369" s="8" t="n">
        <v>2005</v>
      </c>
      <c r="C1369" s="8" t="s">
        <v>35</v>
      </c>
      <c r="D1369" s="8" t="n">
        <v>94</v>
      </c>
      <c r="E1369" s="7" t="s">
        <v>5839</v>
      </c>
      <c r="F1369" s="8" t="n">
        <v>5.9</v>
      </c>
      <c r="G1369" s="8" t="n">
        <v>6</v>
      </c>
      <c r="H1369" s="9" t="n">
        <v>205792</v>
      </c>
      <c r="I1369" s="7" t="s">
        <v>46</v>
      </c>
      <c r="J1369" s="7" t="s">
        <v>147</v>
      </c>
      <c r="K1369" s="7"/>
      <c r="L1369" s="10"/>
      <c r="M1369" s="10" t="s">
        <v>5840</v>
      </c>
      <c r="N1369" s="8" t="n">
        <v>0</v>
      </c>
      <c r="O1369" s="8" t="n">
        <v>0</v>
      </c>
      <c r="P1369" s="8" t="n">
        <v>0</v>
      </c>
      <c r="Q1369" s="8" t="n">
        <v>0</v>
      </c>
      <c r="R1369" s="13" t="n">
        <v>0</v>
      </c>
      <c r="S1369" s="13" t="n">
        <v>0</v>
      </c>
      <c r="T1369" s="13"/>
      <c r="U1369" s="11" t="n">
        <f aca="false">O1369*4 + P1369*2 + MAX(0,N1369-O1369-P1369)*1 + Q1369*0.2 + R1369*2 + S1369*1 + IF(T1369="",0,IF(T1369&lt;=10,8,IF(T1369&lt;=50,6,IF(T1369&lt;=100,4,2))))</f>
        <v>0</v>
      </c>
      <c r="V1369" s="7"/>
      <c r="W1369" s="7"/>
      <c r="X1369" s="13"/>
      <c r="Y1369" s="13" t="s">
        <v>5841</v>
      </c>
    </row>
    <row r="1370" customFormat="false" ht="15.75" hidden="false" customHeight="true" outlineLevel="0" collapsed="false">
      <c r="A1370" s="7" t="s">
        <v>5842</v>
      </c>
      <c r="B1370" s="8" t="n">
        <v>1991</v>
      </c>
      <c r="C1370" s="8" t="s">
        <v>26</v>
      </c>
      <c r="D1370" s="8" t="n">
        <v>128</v>
      </c>
      <c r="E1370" s="7" t="s">
        <v>165</v>
      </c>
      <c r="F1370" s="8" t="n">
        <v>7.3</v>
      </c>
      <c r="G1370" s="8" t="n">
        <v>7</v>
      </c>
      <c r="H1370" s="9" t="n">
        <v>248506</v>
      </c>
      <c r="I1370" s="7" t="s">
        <v>46</v>
      </c>
      <c r="J1370" s="7" t="s">
        <v>131</v>
      </c>
      <c r="K1370" s="7" t="s">
        <v>54</v>
      </c>
      <c r="L1370" s="10" t="s">
        <v>192</v>
      </c>
      <c r="M1370" s="10" t="s">
        <v>5843</v>
      </c>
      <c r="N1370" s="8" t="n">
        <v>0</v>
      </c>
      <c r="O1370" s="8" t="n">
        <v>0</v>
      </c>
      <c r="P1370" s="8" t="n">
        <v>0</v>
      </c>
      <c r="Q1370" s="8" t="n">
        <v>2</v>
      </c>
      <c r="R1370" s="8" t="n">
        <v>0</v>
      </c>
      <c r="S1370" s="8" t="n">
        <v>0</v>
      </c>
      <c r="T1370" s="13"/>
      <c r="U1370" s="11" t="n">
        <f aca="false">O1370*4 + P1370*2 + MAX(0,N1370-O1370-P1370)*1 + Q1370*0.2 + R1370*2 + S1370*1 + IF(T1370="",0,IF(T1370&lt;=10,8,IF(T1370&lt;=50,6,IF(T1370&lt;=100,4,2))))</f>
        <v>0.4</v>
      </c>
      <c r="V1370" s="7"/>
      <c r="W1370" s="7"/>
      <c r="X1370" s="13"/>
      <c r="Y1370" s="13" t="s">
        <v>5844</v>
      </c>
    </row>
    <row r="1371" customFormat="false" ht="15.75" hidden="false" customHeight="true" outlineLevel="0" collapsed="false">
      <c r="A1371" s="7" t="s">
        <v>5845</v>
      </c>
      <c r="B1371" s="8" t="n">
        <v>2012</v>
      </c>
      <c r="C1371" s="8" t="s">
        <v>176</v>
      </c>
      <c r="D1371" s="8" t="n">
        <v>88</v>
      </c>
      <c r="E1371" s="7" t="s">
        <v>5846</v>
      </c>
      <c r="F1371" s="8" t="n">
        <v>6.7</v>
      </c>
      <c r="G1371" s="8" t="n">
        <v>6</v>
      </c>
      <c r="H1371" s="9" t="n">
        <v>260817</v>
      </c>
      <c r="I1371" s="7" t="s">
        <v>46</v>
      </c>
      <c r="J1371" s="7" t="s">
        <v>131</v>
      </c>
      <c r="K1371" s="7" t="s">
        <v>5697</v>
      </c>
      <c r="L1371" s="10" t="s">
        <v>238</v>
      </c>
      <c r="M1371" s="7" t="s">
        <v>5847</v>
      </c>
      <c r="N1371" s="8" t="n">
        <v>0</v>
      </c>
      <c r="O1371" s="8" t="n">
        <v>0</v>
      </c>
      <c r="P1371" s="8" t="n">
        <v>0</v>
      </c>
      <c r="Q1371" s="8" t="n">
        <v>0</v>
      </c>
      <c r="R1371" s="13" t="n">
        <v>0</v>
      </c>
      <c r="S1371" s="13" t="n">
        <v>0</v>
      </c>
      <c r="T1371" s="13"/>
      <c r="U1371" s="11" t="n">
        <f aca="false">O1371*4 + P1371*2 + MAX(0,N1371-O1371-P1371)*1 + Q1371*0.2 + R1371*2 + S1371*1 + IF(T1371="",0,IF(T1371&lt;=10,8,IF(T1371&lt;=50,6,IF(T1371&lt;=100,4,2))))</f>
        <v>0</v>
      </c>
      <c r="V1371" s="7"/>
      <c r="W1371" s="7"/>
      <c r="X1371" s="13"/>
      <c r="Y1371" s="13" t="s">
        <v>5848</v>
      </c>
    </row>
    <row r="1372" customFormat="false" ht="15.75" hidden="false" customHeight="true" outlineLevel="0" collapsed="false">
      <c r="A1372" s="7" t="s">
        <v>5849</v>
      </c>
      <c r="B1372" s="8" t="n">
        <v>2007</v>
      </c>
      <c r="C1372" s="8" t="s">
        <v>35</v>
      </c>
      <c r="D1372" s="8" t="n">
        <v>105</v>
      </c>
      <c r="E1372" s="7" t="s">
        <v>5467</v>
      </c>
      <c r="F1372" s="8" t="n">
        <v>7</v>
      </c>
      <c r="G1372" s="8" t="n">
        <v>6</v>
      </c>
      <c r="H1372" s="9" t="n">
        <v>234346</v>
      </c>
      <c r="I1372" s="7" t="s">
        <v>46</v>
      </c>
      <c r="J1372" s="7" t="s">
        <v>147</v>
      </c>
      <c r="K1372" s="7" t="s">
        <v>112</v>
      </c>
      <c r="L1372" s="10" t="s">
        <v>133</v>
      </c>
      <c r="M1372" s="10" t="s">
        <v>5850</v>
      </c>
      <c r="N1372" s="8" t="n">
        <v>0</v>
      </c>
      <c r="O1372" s="8" t="n">
        <v>0</v>
      </c>
      <c r="P1372" s="8" t="n">
        <v>0</v>
      </c>
      <c r="Q1372" s="8" t="n">
        <v>0</v>
      </c>
      <c r="R1372" s="13" t="n">
        <v>0</v>
      </c>
      <c r="S1372" s="13" t="n">
        <v>0</v>
      </c>
      <c r="T1372" s="13"/>
      <c r="U1372" s="11" t="n">
        <f aca="false">O1372*4 + P1372*2 + MAX(0,N1372-O1372-P1372)*1 + Q1372*0.2 + R1372*2 + S1372*1 + IF(T1372="",0,IF(T1372&lt;=10,8,IF(T1372&lt;=50,6,IF(T1372&lt;=100,4,2))))</f>
        <v>0</v>
      </c>
      <c r="V1372" s="7"/>
      <c r="W1372" s="7"/>
      <c r="X1372" s="13"/>
      <c r="Y1372" s="13" t="s">
        <v>5851</v>
      </c>
    </row>
    <row r="1373" customFormat="false" ht="15.75" hidden="false" customHeight="true" outlineLevel="0" collapsed="false">
      <c r="A1373" s="7" t="s">
        <v>5852</v>
      </c>
      <c r="B1373" s="8" t="n">
        <v>2011</v>
      </c>
      <c r="C1373" s="8" t="s">
        <v>176</v>
      </c>
      <c r="D1373" s="8" t="n">
        <v>91</v>
      </c>
      <c r="E1373" s="7" t="s">
        <v>5853</v>
      </c>
      <c r="F1373" s="8" t="n">
        <v>3.3</v>
      </c>
      <c r="G1373" s="8" t="n">
        <v>3</v>
      </c>
      <c r="H1373" s="9" t="n">
        <v>96757</v>
      </c>
      <c r="I1373" s="7" t="s">
        <v>46</v>
      </c>
      <c r="J1373" s="7" t="s">
        <v>30</v>
      </c>
      <c r="K1373" s="7" t="s">
        <v>259</v>
      </c>
      <c r="L1373" s="10"/>
      <c r="M1373" s="10" t="s">
        <v>5854</v>
      </c>
      <c r="N1373" s="8" t="n">
        <v>0</v>
      </c>
      <c r="O1373" s="8" t="n">
        <v>0</v>
      </c>
      <c r="P1373" s="8" t="n">
        <v>0</v>
      </c>
      <c r="Q1373" s="8" t="n">
        <v>0</v>
      </c>
      <c r="R1373" s="13" t="n">
        <v>0</v>
      </c>
      <c r="S1373" s="13" t="n">
        <v>0</v>
      </c>
      <c r="T1373" s="13"/>
      <c r="U1373" s="11" t="n">
        <f aca="false">O1373*4 + P1373*2 + MAX(0,N1373-O1373-P1373)*1 + Q1373*0.2 + R1373*2 + S1373*1 + IF(T1373="",0,IF(T1373&lt;=10,8,IF(T1373&lt;=50,6,IF(T1373&lt;=100,4,2))))</f>
        <v>0</v>
      </c>
      <c r="V1373" s="7"/>
      <c r="W1373" s="7"/>
      <c r="X1373" s="13"/>
      <c r="Y1373" s="13" t="s">
        <v>5855</v>
      </c>
    </row>
    <row r="1374" customFormat="false" ht="15.75" hidden="false" customHeight="true" outlineLevel="0" collapsed="false">
      <c r="A1374" s="7" t="s">
        <v>5856</v>
      </c>
      <c r="B1374" s="8" t="n">
        <v>2012</v>
      </c>
      <c r="C1374" s="8" t="s">
        <v>176</v>
      </c>
      <c r="D1374" s="8" t="n">
        <v>96</v>
      </c>
      <c r="E1374" s="7" t="s">
        <v>2313</v>
      </c>
      <c r="F1374" s="8" t="n">
        <v>6.5</v>
      </c>
      <c r="G1374" s="8" t="n">
        <v>7</v>
      </c>
      <c r="H1374" s="9" t="n">
        <v>6675</v>
      </c>
      <c r="I1374" s="7" t="s">
        <v>232</v>
      </c>
      <c r="J1374" s="7" t="s">
        <v>112</v>
      </c>
      <c r="K1374" s="7" t="s">
        <v>54</v>
      </c>
      <c r="L1374" s="10" t="s">
        <v>210</v>
      </c>
      <c r="M1374" s="10" t="s">
        <v>5857</v>
      </c>
      <c r="N1374" s="8" t="n">
        <v>0</v>
      </c>
      <c r="O1374" s="8" t="n">
        <v>0</v>
      </c>
      <c r="P1374" s="8" t="n">
        <v>0</v>
      </c>
      <c r="Q1374" s="8" t="n">
        <v>0</v>
      </c>
      <c r="R1374" s="13" t="n">
        <v>0</v>
      </c>
      <c r="S1374" s="13" t="n">
        <v>0</v>
      </c>
      <c r="T1374" s="13"/>
      <c r="U1374" s="11" t="n">
        <f aca="false">O1374*4 + P1374*2 + MAX(0,N1374-O1374-P1374)*1 + Q1374*0.2 + R1374*2 + S1374*1 + IF(T1374="",0,IF(T1374&lt;=10,8,IF(T1374&lt;=50,6,IF(T1374&lt;=100,4,2))))</f>
        <v>0</v>
      </c>
      <c r="V1374" s="7"/>
      <c r="W1374" s="7"/>
      <c r="X1374" s="13"/>
      <c r="Y1374" s="13" t="s">
        <v>5858</v>
      </c>
    </row>
    <row r="1375" customFormat="false" ht="15.75" hidden="false" customHeight="true" outlineLevel="0" collapsed="false">
      <c r="A1375" s="7" t="s">
        <v>5859</v>
      </c>
      <c r="B1375" s="8" t="n">
        <v>2004</v>
      </c>
      <c r="C1375" s="8" t="s">
        <v>35</v>
      </c>
      <c r="D1375" s="8" t="n">
        <v>99</v>
      </c>
      <c r="E1375" s="7" t="s">
        <v>5860</v>
      </c>
      <c r="F1375" s="8" t="n">
        <v>7.7</v>
      </c>
      <c r="G1375" s="8" t="n">
        <v>6</v>
      </c>
      <c r="H1375" s="9" t="n">
        <v>165881</v>
      </c>
      <c r="I1375" s="7" t="s">
        <v>2562</v>
      </c>
      <c r="J1375" s="7" t="s">
        <v>38</v>
      </c>
      <c r="K1375" s="7" t="s">
        <v>112</v>
      </c>
      <c r="L1375" s="10"/>
      <c r="M1375" s="10" t="s">
        <v>5861</v>
      </c>
      <c r="N1375" s="8" t="n">
        <v>0</v>
      </c>
      <c r="O1375" s="8" t="n">
        <v>0</v>
      </c>
      <c r="P1375" s="8" t="n">
        <v>0</v>
      </c>
      <c r="Q1375" s="8" t="n">
        <v>0</v>
      </c>
      <c r="R1375" s="13" t="n">
        <v>0</v>
      </c>
      <c r="S1375" s="13" t="n">
        <v>0</v>
      </c>
      <c r="T1375" s="13"/>
      <c r="U1375" s="11" t="n">
        <f aca="false">O1375*4 + P1375*2 + MAX(0,N1375-O1375-P1375)*1 + Q1375*0.2 + R1375*2 + S1375*1 + IF(T1375="",0,IF(T1375&lt;=10,8,IF(T1375&lt;=50,6,IF(T1375&lt;=100,4,2))))</f>
        <v>0</v>
      </c>
      <c r="V1375" s="7"/>
      <c r="W1375" s="7"/>
      <c r="X1375" s="13"/>
      <c r="Y1375" s="13" t="s">
        <v>5862</v>
      </c>
    </row>
    <row r="1376" customFormat="false" ht="15.75" hidden="false" customHeight="true" outlineLevel="0" collapsed="false">
      <c r="A1376" s="7" t="s">
        <v>5863</v>
      </c>
      <c r="B1376" s="8" t="n">
        <v>2006</v>
      </c>
      <c r="C1376" s="8" t="s">
        <v>35</v>
      </c>
      <c r="D1376" s="8" t="n">
        <v>123</v>
      </c>
      <c r="E1376" s="7" t="s">
        <v>5864</v>
      </c>
      <c r="F1376" s="8" t="n">
        <v>6.6</v>
      </c>
      <c r="G1376" s="8" t="n">
        <v>6</v>
      </c>
      <c r="H1376" s="9" t="n">
        <v>1656</v>
      </c>
      <c r="I1376" s="7" t="s">
        <v>5865</v>
      </c>
      <c r="J1376" s="7" t="s">
        <v>154</v>
      </c>
      <c r="K1376" s="7" t="s">
        <v>47</v>
      </c>
      <c r="L1376" s="10" t="s">
        <v>205</v>
      </c>
      <c r="M1376" s="10" t="s">
        <v>5866</v>
      </c>
      <c r="N1376" s="8" t="n">
        <v>0</v>
      </c>
      <c r="O1376" s="8" t="n">
        <v>0</v>
      </c>
      <c r="P1376" s="8" t="n">
        <v>0</v>
      </c>
      <c r="Q1376" s="8" t="n">
        <v>0</v>
      </c>
      <c r="R1376" s="13" t="n">
        <v>0</v>
      </c>
      <c r="S1376" s="13" t="n">
        <v>0</v>
      </c>
      <c r="T1376" s="13"/>
      <c r="U1376" s="11" t="n">
        <f aca="false">O1376*4 + P1376*2 + MAX(0,N1376-O1376-P1376)*1 + Q1376*0.2 + R1376*2 + S1376*1 + IF(T1376="",0,IF(T1376&lt;=10,8,IF(T1376&lt;=50,6,IF(T1376&lt;=100,4,2))))</f>
        <v>0</v>
      </c>
      <c r="V1376" s="7"/>
      <c r="W1376" s="7"/>
      <c r="X1376" s="13"/>
      <c r="Y1376" s="13" t="s">
        <v>5867</v>
      </c>
    </row>
    <row r="1377" customFormat="false" ht="15.75" hidden="false" customHeight="true" outlineLevel="0" collapsed="false">
      <c r="A1377" s="7" t="s">
        <v>5868</v>
      </c>
      <c r="B1377" s="8" t="n">
        <v>2007</v>
      </c>
      <c r="C1377" s="8" t="s">
        <v>35</v>
      </c>
      <c r="D1377" s="8" t="n">
        <v>129</v>
      </c>
      <c r="E1377" s="7" t="s">
        <v>5869</v>
      </c>
      <c r="F1377" s="8" t="n">
        <v>6.9</v>
      </c>
      <c r="G1377" s="8" t="n">
        <v>5</v>
      </c>
      <c r="H1377" s="9" t="n">
        <v>401697</v>
      </c>
      <c r="I1377" s="7" t="s">
        <v>46</v>
      </c>
      <c r="J1377" s="7" t="s">
        <v>29</v>
      </c>
      <c r="K1377" s="7" t="s">
        <v>30</v>
      </c>
      <c r="L1377" s="10" t="s">
        <v>238</v>
      </c>
      <c r="M1377" s="7" t="s">
        <v>5870</v>
      </c>
      <c r="N1377" s="8" t="n">
        <v>0</v>
      </c>
      <c r="O1377" s="8" t="n">
        <v>0</v>
      </c>
      <c r="P1377" s="8" t="n">
        <v>0</v>
      </c>
      <c r="Q1377" s="8" t="n">
        <v>0</v>
      </c>
      <c r="R1377" s="13" t="n">
        <v>0</v>
      </c>
      <c r="S1377" s="13" t="n">
        <v>0</v>
      </c>
      <c r="T1377" s="13"/>
      <c r="U1377" s="11" t="n">
        <f aca="false">O1377*4 + P1377*2 + MAX(0,N1377-O1377-P1377)*1 + Q1377*0.2 + R1377*2 + S1377*1 + IF(T1377="",0,IF(T1377&lt;=10,8,IF(T1377&lt;=50,6,IF(T1377&lt;=100,4,2))))</f>
        <v>0</v>
      </c>
      <c r="V1377" s="7"/>
      <c r="W1377" s="7"/>
      <c r="X1377" s="13"/>
      <c r="Y1377" s="13" t="s">
        <v>5871</v>
      </c>
    </row>
    <row r="1378" customFormat="false" ht="15.75" hidden="false" customHeight="true" outlineLevel="0" collapsed="false">
      <c r="A1378" s="7" t="s">
        <v>5872</v>
      </c>
      <c r="B1378" s="8" t="n">
        <v>2002</v>
      </c>
      <c r="C1378" s="8" t="s">
        <v>35</v>
      </c>
      <c r="D1378" s="8" t="n">
        <v>117</v>
      </c>
      <c r="E1378" s="7" t="s">
        <v>1657</v>
      </c>
      <c r="F1378" s="8" t="n">
        <v>6.7</v>
      </c>
      <c r="G1378" s="8" t="n">
        <v>8</v>
      </c>
      <c r="H1378" s="9" t="n">
        <v>254419</v>
      </c>
      <c r="I1378" s="7" t="s">
        <v>2011</v>
      </c>
      <c r="J1378" s="7" t="s">
        <v>147</v>
      </c>
      <c r="K1378" s="7" t="s">
        <v>5160</v>
      </c>
      <c r="L1378" s="10" t="s">
        <v>238</v>
      </c>
      <c r="M1378" s="10" t="s">
        <v>5873</v>
      </c>
      <c r="N1378" s="8" t="n">
        <v>0</v>
      </c>
      <c r="O1378" s="8" t="n">
        <v>0</v>
      </c>
      <c r="P1378" s="8" t="n">
        <v>0</v>
      </c>
      <c r="Q1378" s="8" t="n">
        <v>0</v>
      </c>
      <c r="R1378" s="13" t="n">
        <v>0</v>
      </c>
      <c r="S1378" s="13" t="n">
        <v>0</v>
      </c>
      <c r="T1378" s="13"/>
      <c r="U1378" s="11" t="n">
        <f aca="false">O1378*4 + P1378*2 + MAX(0,N1378-O1378-P1378)*1 + Q1378*0.2 + R1378*2 + S1378*1 + IF(T1378="",0,IF(T1378&lt;=10,8,IF(T1378&lt;=50,6,IF(T1378&lt;=100,4,2))))</f>
        <v>0</v>
      </c>
      <c r="V1378" s="7"/>
      <c r="W1378" s="7"/>
      <c r="X1378" s="13"/>
      <c r="Y1378" s="13" t="s">
        <v>5874</v>
      </c>
    </row>
    <row r="1379" customFormat="false" ht="15.75" hidden="false" customHeight="true" outlineLevel="0" collapsed="false">
      <c r="A1379" s="7" t="s">
        <v>5875</v>
      </c>
      <c r="B1379" s="8" t="n">
        <v>2012</v>
      </c>
      <c r="C1379" s="8" t="s">
        <v>176</v>
      </c>
      <c r="D1379" s="8" t="n">
        <v>142</v>
      </c>
      <c r="E1379" s="7" t="s">
        <v>1604</v>
      </c>
      <c r="F1379" s="8" t="n">
        <v>7.2</v>
      </c>
      <c r="G1379" s="8" t="n">
        <v>7</v>
      </c>
      <c r="H1379" s="9" t="n">
        <v>1090839</v>
      </c>
      <c r="I1379" s="7" t="s">
        <v>46</v>
      </c>
      <c r="J1379" s="7" t="s">
        <v>111</v>
      </c>
      <c r="K1379" s="7" t="s">
        <v>112</v>
      </c>
      <c r="L1379" s="10"/>
      <c r="M1379" s="7" t="s">
        <v>5876</v>
      </c>
      <c r="N1379" s="8" t="n">
        <v>0</v>
      </c>
      <c r="O1379" s="8" t="n">
        <v>0</v>
      </c>
      <c r="P1379" s="8" t="n">
        <v>0</v>
      </c>
      <c r="Q1379" s="8" t="n">
        <v>0</v>
      </c>
      <c r="R1379" s="8" t="n">
        <v>0</v>
      </c>
      <c r="S1379" s="13" t="n">
        <v>0</v>
      </c>
      <c r="T1379" s="8"/>
      <c r="U1379" s="11" t="n">
        <f aca="false">O1379*4 + P1379*2 + MAX(0,N1379-O1379-P1379)*1 + Q1379*0.2 + R1379*2 + S1379*1 + IF(T1379="",0,IF(T1379&lt;=10,8,IF(T1379&lt;=50,6,IF(T1379&lt;=100,4,2))))</f>
        <v>0</v>
      </c>
      <c r="V1379" s="7"/>
      <c r="W1379" s="7"/>
      <c r="X1379" s="13"/>
      <c r="Y1379" s="13" t="s">
        <v>5877</v>
      </c>
    </row>
    <row r="1380" customFormat="false" ht="15.75" hidden="false" customHeight="true" outlineLevel="0" collapsed="false">
      <c r="A1380" s="7" t="s">
        <v>5878</v>
      </c>
      <c r="B1380" s="8" t="n">
        <v>2005</v>
      </c>
      <c r="C1380" s="8" t="s">
        <v>35</v>
      </c>
      <c r="D1380" s="8" t="n">
        <v>113</v>
      </c>
      <c r="E1380" s="7" t="s">
        <v>5326</v>
      </c>
      <c r="F1380" s="8" t="n">
        <v>5.5</v>
      </c>
      <c r="G1380" s="8" t="n">
        <v>8</v>
      </c>
      <c r="H1380" s="9" t="n">
        <v>147157</v>
      </c>
      <c r="I1380" s="7" t="s">
        <v>46</v>
      </c>
      <c r="J1380" s="7" t="s">
        <v>147</v>
      </c>
      <c r="K1380" s="7" t="s">
        <v>131</v>
      </c>
      <c r="L1380" s="10" t="s">
        <v>5879</v>
      </c>
      <c r="M1380" s="10" t="s">
        <v>5880</v>
      </c>
      <c r="N1380" s="8" t="n">
        <v>0</v>
      </c>
      <c r="O1380" s="8" t="n">
        <v>0</v>
      </c>
      <c r="P1380" s="8" t="n">
        <v>0</v>
      </c>
      <c r="Q1380" s="8" t="n">
        <v>0</v>
      </c>
      <c r="R1380" s="13" t="n">
        <v>0</v>
      </c>
      <c r="S1380" s="13" t="n">
        <v>0</v>
      </c>
      <c r="T1380" s="13"/>
      <c r="U1380" s="11" t="n">
        <f aca="false">O1380*4 + P1380*2 + MAX(0,N1380-O1380-P1380)*1 + Q1380*0.2 + R1380*2 + S1380*1 + IF(T1380="",0,IF(T1380&lt;=10,8,IF(T1380&lt;=50,6,IF(T1380&lt;=100,4,2))))</f>
        <v>0</v>
      </c>
      <c r="V1380" s="7"/>
      <c r="W1380" s="7"/>
      <c r="X1380" s="13"/>
      <c r="Y1380" s="13" t="s">
        <v>5881</v>
      </c>
    </row>
    <row r="1381" customFormat="false" ht="15.75" hidden="false" customHeight="true" outlineLevel="0" collapsed="false">
      <c r="A1381" s="7" t="s">
        <v>5882</v>
      </c>
      <c r="B1381" s="8" t="n">
        <v>2007</v>
      </c>
      <c r="C1381" s="8" t="s">
        <v>35</v>
      </c>
      <c r="D1381" s="8" t="n">
        <v>104</v>
      </c>
      <c r="E1381" s="7" t="s">
        <v>3764</v>
      </c>
      <c r="F1381" s="8" t="n">
        <v>6.8</v>
      </c>
      <c r="G1381" s="8" t="n">
        <v>8</v>
      </c>
      <c r="H1381" s="9" t="n">
        <v>316485</v>
      </c>
      <c r="I1381" s="7" t="s">
        <v>46</v>
      </c>
      <c r="J1381" s="7" t="s">
        <v>147</v>
      </c>
      <c r="K1381" s="7" t="s">
        <v>125</v>
      </c>
      <c r="L1381" s="10" t="s">
        <v>5883</v>
      </c>
      <c r="M1381" s="7" t="s">
        <v>5884</v>
      </c>
      <c r="N1381" s="8" t="n">
        <v>0</v>
      </c>
      <c r="O1381" s="8" t="n">
        <v>0</v>
      </c>
      <c r="P1381" s="8" t="n">
        <v>0</v>
      </c>
      <c r="Q1381" s="8" t="n">
        <v>0</v>
      </c>
      <c r="R1381" s="13" t="n">
        <v>0</v>
      </c>
      <c r="S1381" s="13" t="n">
        <v>0</v>
      </c>
      <c r="T1381" s="13"/>
      <c r="U1381" s="11" t="n">
        <f aca="false">O1381*4 + P1381*2 + MAX(0,N1381-O1381-P1381)*1 + Q1381*0.2 + R1381*2 + S1381*1 + IF(T1381="",0,IF(T1381&lt;=10,8,IF(T1381&lt;=50,6,IF(T1381&lt;=100,4,2))))</f>
        <v>0</v>
      </c>
      <c r="V1381" s="7"/>
      <c r="W1381" s="7"/>
      <c r="X1381" s="13"/>
      <c r="Y1381" s="13" t="s">
        <v>5885</v>
      </c>
    </row>
    <row r="1382" customFormat="false" ht="15.75" hidden="false" customHeight="true" outlineLevel="0" collapsed="false">
      <c r="A1382" s="7" t="s">
        <v>5886</v>
      </c>
      <c r="B1382" s="8" t="n">
        <v>2010</v>
      </c>
      <c r="C1382" s="8" t="s">
        <v>176</v>
      </c>
      <c r="D1382" s="8" t="n">
        <v>100</v>
      </c>
      <c r="E1382" s="7" t="s">
        <v>5887</v>
      </c>
      <c r="F1382" s="8" t="n">
        <v>5.3</v>
      </c>
      <c r="G1382" s="8" t="n">
        <v>6</v>
      </c>
      <c r="H1382" s="9" t="n">
        <v>120828</v>
      </c>
      <c r="I1382" s="7" t="s">
        <v>46</v>
      </c>
      <c r="J1382" s="7" t="s">
        <v>147</v>
      </c>
      <c r="K1382" s="7" t="s">
        <v>1685</v>
      </c>
      <c r="L1382" s="10"/>
      <c r="M1382" s="10" t="s">
        <v>5888</v>
      </c>
      <c r="N1382" s="8" t="n">
        <v>0</v>
      </c>
      <c r="O1382" s="8" t="n">
        <v>0</v>
      </c>
      <c r="P1382" s="8" t="n">
        <v>0</v>
      </c>
      <c r="Q1382" s="8" t="n">
        <v>0</v>
      </c>
      <c r="R1382" s="13" t="n">
        <v>0</v>
      </c>
      <c r="S1382" s="13" t="n">
        <v>0</v>
      </c>
      <c r="T1382" s="13"/>
      <c r="U1382" s="11" t="n">
        <f aca="false">O1382*4 + P1382*2 + MAX(0,N1382-O1382-P1382)*1 + Q1382*0.2 + R1382*2 + S1382*1 + IF(T1382="",0,IF(T1382&lt;=10,8,IF(T1382&lt;=50,6,IF(T1382&lt;=100,4,2))))</f>
        <v>0</v>
      </c>
      <c r="V1382" s="7"/>
      <c r="W1382" s="7"/>
      <c r="X1382" s="13"/>
      <c r="Y1382" s="13" t="s">
        <v>5889</v>
      </c>
    </row>
    <row r="1383" customFormat="false" ht="15.75" hidden="false" customHeight="true" outlineLevel="0" collapsed="false">
      <c r="A1383" s="7" t="s">
        <v>5890</v>
      </c>
      <c r="B1383" s="8" t="n">
        <v>2003</v>
      </c>
      <c r="C1383" s="8" t="s">
        <v>35</v>
      </c>
      <c r="D1383" s="8" t="n">
        <v>103</v>
      </c>
      <c r="E1383" s="7" t="s">
        <v>5318</v>
      </c>
      <c r="F1383" s="8" t="n">
        <v>5.3</v>
      </c>
      <c r="G1383" s="8" t="n">
        <v>6</v>
      </c>
      <c r="H1383" s="9" t="n">
        <v>241382</v>
      </c>
      <c r="I1383" s="7" t="s">
        <v>46</v>
      </c>
      <c r="J1383" s="7" t="s">
        <v>112</v>
      </c>
      <c r="K1383" s="7" t="s">
        <v>54</v>
      </c>
      <c r="L1383" s="10" t="s">
        <v>5891</v>
      </c>
      <c r="M1383" s="10" t="s">
        <v>5892</v>
      </c>
      <c r="N1383" s="8" t="n">
        <v>0</v>
      </c>
      <c r="O1383" s="8" t="n">
        <v>0</v>
      </c>
      <c r="P1383" s="8" t="n">
        <v>0</v>
      </c>
      <c r="Q1383" s="8" t="n">
        <v>0</v>
      </c>
      <c r="R1383" s="13" t="n">
        <v>0</v>
      </c>
      <c r="S1383" s="13" t="n">
        <v>0</v>
      </c>
      <c r="T1383" s="13"/>
      <c r="U1383" s="11" t="n">
        <f aca="false">O1383*4 + P1383*2 + MAX(0,N1383-O1383-P1383)*1 + Q1383*0.2 + R1383*2 + S1383*1 + IF(T1383="",0,IF(T1383&lt;=10,8,IF(T1383&lt;=50,6,IF(T1383&lt;=100,4,2))))</f>
        <v>0</v>
      </c>
      <c r="V1383" s="7"/>
      <c r="W1383" s="7"/>
      <c r="X1383" s="13"/>
      <c r="Y1383" s="13" t="s">
        <v>5893</v>
      </c>
    </row>
    <row r="1384" customFormat="false" ht="15.75" hidden="false" customHeight="true" outlineLevel="0" collapsed="false">
      <c r="A1384" s="7" t="s">
        <v>5894</v>
      </c>
      <c r="B1384" s="8" t="n">
        <v>1999</v>
      </c>
      <c r="C1384" s="8" t="s">
        <v>26</v>
      </c>
      <c r="D1384" s="8" t="n">
        <v>105</v>
      </c>
      <c r="E1384" s="7" t="s">
        <v>561</v>
      </c>
      <c r="F1384" s="8" t="n">
        <v>7.3</v>
      </c>
      <c r="G1384" s="8" t="n">
        <v>7</v>
      </c>
      <c r="H1384" s="9" t="n">
        <v>414742</v>
      </c>
      <c r="I1384" s="7" t="s">
        <v>2011</v>
      </c>
      <c r="J1384" s="7" t="s">
        <v>147</v>
      </c>
      <c r="K1384" s="7" t="s">
        <v>125</v>
      </c>
      <c r="L1384" s="10"/>
      <c r="M1384" s="7" t="s">
        <v>5895</v>
      </c>
      <c r="N1384" s="8" t="n">
        <v>1</v>
      </c>
      <c r="O1384" s="8" t="n">
        <v>0</v>
      </c>
      <c r="P1384" s="8" t="n">
        <v>0</v>
      </c>
      <c r="Q1384" s="8" t="n">
        <v>3</v>
      </c>
      <c r="R1384" s="8" t="n">
        <v>0</v>
      </c>
      <c r="S1384" s="8" t="n">
        <v>0</v>
      </c>
      <c r="T1384" s="13"/>
      <c r="U1384" s="11" t="n">
        <f aca="false">O1384*4 + P1384*2 + MAX(0,N1384-O1384-P1384)*1 + Q1384*0.2 + R1384*2 + S1384*1 + IF(T1384="",0,IF(T1384&lt;=10,8,IF(T1384&lt;=50,6,IF(T1384&lt;=100,4,2))))</f>
        <v>1.6</v>
      </c>
      <c r="V1384" s="7"/>
      <c r="W1384" s="7"/>
      <c r="X1384" s="13"/>
      <c r="Y1384" s="13" t="s">
        <v>5896</v>
      </c>
    </row>
    <row r="1385" customFormat="false" ht="15.75" hidden="false" customHeight="true" outlineLevel="0" collapsed="false">
      <c r="A1385" s="7" t="s">
        <v>5897</v>
      </c>
      <c r="B1385" s="8" t="n">
        <v>2009</v>
      </c>
      <c r="C1385" s="8" t="s">
        <v>35</v>
      </c>
      <c r="D1385" s="8" t="n">
        <v>128</v>
      </c>
      <c r="E1385" s="7" t="s">
        <v>1196</v>
      </c>
      <c r="F1385" s="8" t="n">
        <v>7.5</v>
      </c>
      <c r="G1385" s="8" t="n">
        <v>7</v>
      </c>
      <c r="H1385" s="9" t="n">
        <v>709991</v>
      </c>
      <c r="I1385" s="7" t="s">
        <v>2083</v>
      </c>
      <c r="J1385" s="7" t="s">
        <v>112</v>
      </c>
      <c r="K1385" s="7" t="s">
        <v>125</v>
      </c>
      <c r="L1385" s="10" t="s">
        <v>5898</v>
      </c>
      <c r="M1385" s="7" t="s">
        <v>5899</v>
      </c>
      <c r="N1385" s="8" t="n">
        <v>0</v>
      </c>
      <c r="O1385" s="8" t="n">
        <v>0</v>
      </c>
      <c r="P1385" s="8" t="n">
        <v>0</v>
      </c>
      <c r="Q1385" s="8" t="n">
        <v>2</v>
      </c>
      <c r="R1385" s="8" t="n">
        <v>0</v>
      </c>
      <c r="S1385" s="8" t="n">
        <v>0</v>
      </c>
      <c r="T1385" s="13"/>
      <c r="U1385" s="11" t="n">
        <f aca="false">O1385*4 + P1385*2 + MAX(0,N1385-O1385-P1385)*1 + Q1385*0.2 + R1385*2 + S1385*1 + IF(T1385="",0,IF(T1385&lt;=10,8,IF(T1385&lt;=50,6,IF(T1385&lt;=100,4,2))))</f>
        <v>0.4</v>
      </c>
      <c r="V1385" s="7"/>
      <c r="W1385" s="7"/>
      <c r="X1385" s="13"/>
      <c r="Y1385" s="13" t="s">
        <v>5900</v>
      </c>
    </row>
    <row r="1386" customFormat="false" ht="15.75" hidden="false" customHeight="true" outlineLevel="0" collapsed="false">
      <c r="A1386" s="7" t="s">
        <v>5901</v>
      </c>
      <c r="B1386" s="8" t="n">
        <v>2012</v>
      </c>
      <c r="C1386" s="8" t="s">
        <v>176</v>
      </c>
      <c r="D1386" s="8" t="n">
        <v>113</v>
      </c>
      <c r="E1386" s="7" t="s">
        <v>5902</v>
      </c>
      <c r="F1386" s="8" t="n">
        <v>6.7</v>
      </c>
      <c r="G1386" s="8" t="n">
        <v>7</v>
      </c>
      <c r="H1386" s="9" t="n">
        <v>234996</v>
      </c>
      <c r="I1386" s="7" t="s">
        <v>46</v>
      </c>
      <c r="J1386" s="7" t="s">
        <v>30</v>
      </c>
      <c r="K1386" s="7"/>
      <c r="L1386" s="10"/>
      <c r="M1386" s="10" t="s">
        <v>5903</v>
      </c>
      <c r="N1386" s="8" t="n">
        <v>0</v>
      </c>
      <c r="O1386" s="8" t="n">
        <v>0</v>
      </c>
      <c r="P1386" s="8" t="n">
        <v>0</v>
      </c>
      <c r="Q1386" s="8" t="n">
        <v>0</v>
      </c>
      <c r="R1386" s="13" t="n">
        <v>0</v>
      </c>
      <c r="S1386" s="13" t="n">
        <v>0</v>
      </c>
      <c r="T1386" s="13"/>
      <c r="U1386" s="11" t="n">
        <f aca="false">O1386*4 + P1386*2 + MAX(0,N1386-O1386-P1386)*1 + Q1386*0.2 + R1386*2 + S1386*1 + IF(T1386="",0,IF(T1386&lt;=10,8,IF(T1386&lt;=50,6,IF(T1386&lt;=100,4,2))))</f>
        <v>0</v>
      </c>
      <c r="V1386" s="7"/>
      <c r="W1386" s="7"/>
      <c r="X1386" s="13"/>
      <c r="Y1386" s="13" t="s">
        <v>5904</v>
      </c>
    </row>
    <row r="1387" customFormat="false" ht="15.75" hidden="false" customHeight="true" outlineLevel="0" collapsed="false">
      <c r="A1387" s="7" t="s">
        <v>5905</v>
      </c>
      <c r="B1387" s="8" t="n">
        <v>2009</v>
      </c>
      <c r="C1387" s="8" t="s">
        <v>35</v>
      </c>
      <c r="D1387" s="8" t="n">
        <v>99</v>
      </c>
      <c r="E1387" s="7" t="s">
        <v>1487</v>
      </c>
      <c r="F1387" s="8" t="n">
        <v>6.6</v>
      </c>
      <c r="G1387" s="8" t="n">
        <v>8</v>
      </c>
      <c r="H1387" s="9" t="n">
        <v>232594</v>
      </c>
      <c r="I1387" s="7" t="s">
        <v>46</v>
      </c>
      <c r="J1387" s="7" t="s">
        <v>147</v>
      </c>
      <c r="K1387" s="7"/>
      <c r="L1387" s="10" t="s">
        <v>192</v>
      </c>
      <c r="M1387" s="10" t="s">
        <v>5906</v>
      </c>
      <c r="N1387" s="8" t="n">
        <v>0</v>
      </c>
      <c r="O1387" s="8" t="n">
        <v>0</v>
      </c>
      <c r="P1387" s="8" t="n">
        <v>0</v>
      </c>
      <c r="Q1387" s="8" t="n">
        <v>0</v>
      </c>
      <c r="R1387" s="13" t="n">
        <v>0</v>
      </c>
      <c r="S1387" s="13" t="n">
        <v>0</v>
      </c>
      <c r="T1387" s="13"/>
      <c r="U1387" s="11" t="n">
        <f aca="false">O1387*4 + P1387*2 + MAX(0,N1387-O1387-P1387)*1 + Q1387*0.2 + R1387*2 + S1387*1 + IF(T1387="",0,IF(T1387&lt;=10,8,IF(T1387&lt;=50,6,IF(T1387&lt;=100,4,2))))</f>
        <v>0</v>
      </c>
      <c r="V1387" s="7"/>
      <c r="W1387" s="7"/>
      <c r="X1387" s="13"/>
      <c r="Y1387" s="13" t="s">
        <v>5907</v>
      </c>
    </row>
    <row r="1388" customFormat="false" ht="15.75" hidden="false" customHeight="true" outlineLevel="0" collapsed="false">
      <c r="A1388" s="7" t="s">
        <v>5908</v>
      </c>
      <c r="B1388" s="8" t="n">
        <v>2011</v>
      </c>
      <c r="C1388" s="8" t="s">
        <v>176</v>
      </c>
      <c r="D1388" s="8" t="n">
        <v>83</v>
      </c>
      <c r="E1388" s="7" t="s">
        <v>5909</v>
      </c>
      <c r="F1388" s="8" t="n">
        <v>5.8</v>
      </c>
      <c r="G1388" s="8" t="n">
        <v>6</v>
      </c>
      <c r="H1388" s="9" t="n">
        <v>105205</v>
      </c>
      <c r="I1388" s="7" t="s">
        <v>46</v>
      </c>
      <c r="J1388" s="7" t="s">
        <v>147</v>
      </c>
      <c r="K1388" s="7" t="s">
        <v>125</v>
      </c>
      <c r="L1388" s="10" t="s">
        <v>192</v>
      </c>
      <c r="M1388" s="10" t="s">
        <v>5910</v>
      </c>
      <c r="N1388" s="8" t="n">
        <v>0</v>
      </c>
      <c r="O1388" s="8" t="n">
        <v>0</v>
      </c>
      <c r="P1388" s="8" t="n">
        <v>0</v>
      </c>
      <c r="Q1388" s="8" t="n">
        <v>0</v>
      </c>
      <c r="R1388" s="13" t="n">
        <v>0</v>
      </c>
      <c r="S1388" s="13" t="n">
        <v>0</v>
      </c>
      <c r="T1388" s="13"/>
      <c r="U1388" s="11" t="n">
        <f aca="false">O1388*4 + P1388*2 + MAX(0,N1388-O1388-P1388)*1 + Q1388*0.2 + R1388*2 + S1388*1 + IF(T1388="",0,IF(T1388&lt;=10,8,IF(T1388&lt;=50,6,IF(T1388&lt;=100,4,2))))</f>
        <v>0</v>
      </c>
      <c r="V1388" s="7"/>
      <c r="W1388" s="7"/>
      <c r="X1388" s="13"/>
      <c r="Y1388" s="13" t="s">
        <v>5911</v>
      </c>
    </row>
    <row r="1389" customFormat="false" ht="15.75" hidden="false" customHeight="true" outlineLevel="0" collapsed="false">
      <c r="A1389" s="7" t="s">
        <v>5912</v>
      </c>
      <c r="B1389" s="8" t="n">
        <v>2007</v>
      </c>
      <c r="C1389" s="8" t="s">
        <v>35</v>
      </c>
      <c r="D1389" s="8" t="n">
        <v>86</v>
      </c>
      <c r="E1389" s="7" t="s">
        <v>5913</v>
      </c>
      <c r="F1389" s="8" t="n">
        <v>6.3</v>
      </c>
      <c r="G1389" s="8" t="n">
        <v>7</v>
      </c>
      <c r="H1389" s="9" t="n">
        <v>273788</v>
      </c>
      <c r="I1389" s="7" t="s">
        <v>46</v>
      </c>
      <c r="J1389" s="7" t="s">
        <v>147</v>
      </c>
      <c r="K1389" s="7" t="s">
        <v>125</v>
      </c>
      <c r="L1389" s="10"/>
      <c r="M1389" s="7" t="s">
        <v>5914</v>
      </c>
      <c r="N1389" s="8" t="n">
        <v>0</v>
      </c>
      <c r="O1389" s="8" t="n">
        <v>0</v>
      </c>
      <c r="P1389" s="8" t="n">
        <v>0</v>
      </c>
      <c r="Q1389" s="8" t="n">
        <v>0</v>
      </c>
      <c r="R1389" s="13" t="n">
        <v>0</v>
      </c>
      <c r="S1389" s="13" t="n">
        <v>0</v>
      </c>
      <c r="T1389" s="13"/>
      <c r="U1389" s="11" t="n">
        <f aca="false">O1389*4 + P1389*2 + MAX(0,N1389-O1389-P1389)*1 + Q1389*0.2 + R1389*2 + S1389*1 + IF(T1389="",0,IF(T1389&lt;=10,8,IF(T1389&lt;=50,6,IF(T1389&lt;=100,4,2))))</f>
        <v>0</v>
      </c>
      <c r="V1389" s="7"/>
      <c r="W1389" s="7"/>
      <c r="X1389" s="13"/>
      <c r="Y1389" s="13" t="s">
        <v>5915</v>
      </c>
    </row>
    <row r="1390" customFormat="false" ht="15.75" hidden="false" customHeight="true" outlineLevel="0" collapsed="false">
      <c r="A1390" s="7" t="s">
        <v>5916</v>
      </c>
      <c r="B1390" s="8" t="n">
        <v>2011</v>
      </c>
      <c r="C1390" s="8" t="s">
        <v>176</v>
      </c>
      <c r="D1390" s="8" t="n">
        <v>119</v>
      </c>
      <c r="E1390" s="7" t="s">
        <v>5676</v>
      </c>
      <c r="F1390" s="8" t="n">
        <v>6</v>
      </c>
      <c r="G1390" s="8" t="n">
        <v>6</v>
      </c>
      <c r="H1390" s="9" t="n">
        <v>243282</v>
      </c>
      <c r="I1390" s="7" t="s">
        <v>46</v>
      </c>
      <c r="J1390" s="7" t="s">
        <v>111</v>
      </c>
      <c r="K1390" s="7" t="s">
        <v>132</v>
      </c>
      <c r="L1390" s="10"/>
      <c r="M1390" s="10" t="s">
        <v>5917</v>
      </c>
      <c r="N1390" s="8" t="n">
        <v>0</v>
      </c>
      <c r="O1390" s="8" t="n">
        <v>0</v>
      </c>
      <c r="P1390" s="8" t="n">
        <v>0</v>
      </c>
      <c r="Q1390" s="8" t="n">
        <v>0</v>
      </c>
      <c r="R1390" s="13" t="n">
        <v>0</v>
      </c>
      <c r="S1390" s="13" t="n">
        <v>0</v>
      </c>
      <c r="T1390" s="13"/>
      <c r="U1390" s="11" t="n">
        <f aca="false">O1390*4 + P1390*2 + MAX(0,N1390-O1390-P1390)*1 + Q1390*0.2 + R1390*2 + S1390*1 + IF(T1390="",0,IF(T1390&lt;=10,8,IF(T1390&lt;=50,6,IF(T1390&lt;=100,4,2))))</f>
        <v>0</v>
      </c>
      <c r="V1390" s="7"/>
      <c r="W1390" s="7"/>
      <c r="X1390" s="13"/>
      <c r="Y1390" s="13" t="s">
        <v>5918</v>
      </c>
    </row>
    <row r="1391" customFormat="false" ht="15.75" hidden="false" customHeight="true" outlineLevel="0" collapsed="false">
      <c r="A1391" s="7" t="s">
        <v>5919</v>
      </c>
      <c r="B1391" s="8" t="n">
        <v>2010</v>
      </c>
      <c r="C1391" s="8" t="s">
        <v>176</v>
      </c>
      <c r="D1391" s="8" t="n">
        <v>87</v>
      </c>
      <c r="E1391" s="7" t="s">
        <v>5920</v>
      </c>
      <c r="F1391" s="8" t="n">
        <v>5.7</v>
      </c>
      <c r="G1391" s="8" t="n">
        <v>7</v>
      </c>
      <c r="H1391" s="9" t="n">
        <v>54595</v>
      </c>
      <c r="I1391" s="7" t="s">
        <v>994</v>
      </c>
      <c r="J1391" s="7" t="s">
        <v>147</v>
      </c>
      <c r="K1391" s="7" t="s">
        <v>125</v>
      </c>
      <c r="L1391" s="10" t="s">
        <v>1488</v>
      </c>
      <c r="M1391" s="10" t="s">
        <v>5921</v>
      </c>
      <c r="N1391" s="8" t="n">
        <v>0</v>
      </c>
      <c r="O1391" s="8" t="n">
        <v>0</v>
      </c>
      <c r="P1391" s="8" t="n">
        <v>0</v>
      </c>
      <c r="Q1391" s="8" t="n">
        <v>0</v>
      </c>
      <c r="R1391" s="13" t="n">
        <v>0</v>
      </c>
      <c r="S1391" s="13" t="n">
        <v>0</v>
      </c>
      <c r="T1391" s="13"/>
      <c r="U1391" s="11" t="n">
        <f aca="false">O1391*4 + P1391*2 + MAX(0,N1391-O1391-P1391)*1 + Q1391*0.2 + R1391*2 + S1391*1 + IF(T1391="",0,IF(T1391&lt;=10,8,IF(T1391&lt;=50,6,IF(T1391&lt;=100,4,2))))</f>
        <v>0</v>
      </c>
      <c r="V1391" s="7"/>
      <c r="W1391" s="7"/>
      <c r="X1391" s="13"/>
      <c r="Y1391" s="13" t="s">
        <v>5922</v>
      </c>
    </row>
    <row r="1392" customFormat="false" ht="15.75" hidden="false" customHeight="true" outlineLevel="0" collapsed="false">
      <c r="A1392" s="7" t="s">
        <v>5923</v>
      </c>
      <c r="B1392" s="8" t="n">
        <v>2012</v>
      </c>
      <c r="C1392" s="8" t="s">
        <v>176</v>
      </c>
      <c r="D1392" s="8" t="n">
        <v>83</v>
      </c>
      <c r="E1392" s="7" t="s">
        <v>5924</v>
      </c>
      <c r="F1392" s="8" t="n">
        <v>4.2</v>
      </c>
      <c r="G1392" s="8" t="n">
        <v>4</v>
      </c>
      <c r="H1392" s="9" t="n">
        <v>38568</v>
      </c>
      <c r="I1392" s="7" t="s">
        <v>46</v>
      </c>
      <c r="J1392" s="7" t="s">
        <v>147</v>
      </c>
      <c r="K1392" s="7"/>
      <c r="L1392" s="10"/>
      <c r="M1392" s="10" t="s">
        <v>5925</v>
      </c>
      <c r="N1392" s="8" t="n">
        <v>0</v>
      </c>
      <c r="O1392" s="8" t="n">
        <v>0</v>
      </c>
      <c r="P1392" s="8" t="n">
        <v>0</v>
      </c>
      <c r="Q1392" s="8" t="n">
        <v>0</v>
      </c>
      <c r="R1392" s="13" t="n">
        <v>0</v>
      </c>
      <c r="S1392" s="13" t="n">
        <v>0</v>
      </c>
      <c r="T1392" s="13"/>
      <c r="U1392" s="11" t="n">
        <f aca="false">O1392*4 + P1392*2 + MAX(0,N1392-O1392-P1392)*1 + Q1392*0.2 + R1392*2 + S1392*1 + IF(T1392="",0,IF(T1392&lt;=10,8,IF(T1392&lt;=50,6,IF(T1392&lt;=100,4,2))))</f>
        <v>0</v>
      </c>
      <c r="V1392" s="7"/>
      <c r="W1392" s="7"/>
      <c r="X1392" s="13"/>
      <c r="Y1392" s="13" t="s">
        <v>5926</v>
      </c>
    </row>
    <row r="1393" customFormat="false" ht="15.75" hidden="false" customHeight="true" outlineLevel="0" collapsed="false">
      <c r="A1393" s="7" t="s">
        <v>5927</v>
      </c>
      <c r="B1393" s="8" t="n">
        <v>2007</v>
      </c>
      <c r="C1393" s="8" t="s">
        <v>35</v>
      </c>
      <c r="D1393" s="8" t="n">
        <v>78</v>
      </c>
      <c r="E1393" s="7" t="s">
        <v>5928</v>
      </c>
      <c r="F1393" s="8" t="n">
        <v>7.4</v>
      </c>
      <c r="G1393" s="8" t="n">
        <v>7</v>
      </c>
      <c r="H1393" s="9" t="n">
        <v>219333</v>
      </c>
      <c r="I1393" s="7" t="s">
        <v>232</v>
      </c>
      <c r="J1393" s="7" t="s">
        <v>147</v>
      </c>
      <c r="K1393" s="7" t="s">
        <v>125</v>
      </c>
      <c r="L1393" s="10" t="s">
        <v>5929</v>
      </c>
      <c r="M1393" s="10" t="s">
        <v>5930</v>
      </c>
      <c r="N1393" s="8" t="n">
        <v>0</v>
      </c>
      <c r="O1393" s="8" t="n">
        <v>0</v>
      </c>
      <c r="P1393" s="8" t="n">
        <v>0</v>
      </c>
      <c r="Q1393" s="8" t="n">
        <v>0</v>
      </c>
      <c r="R1393" s="8" t="n">
        <v>1</v>
      </c>
      <c r="S1393" s="13" t="n">
        <v>0</v>
      </c>
      <c r="T1393" s="13"/>
      <c r="U1393" s="11" t="n">
        <f aca="false">O1393*4 + P1393*2 + MAX(0,N1393-O1393-P1393)*1 + Q1393*0.2 + R1393*2 + S1393*1 + IF(T1393="",0,IF(T1393&lt;=10,8,IF(T1393&lt;=50,6,IF(T1393&lt;=100,4,2))))</f>
        <v>2</v>
      </c>
      <c r="V1393" s="7"/>
      <c r="W1393" s="7"/>
      <c r="X1393" s="13"/>
      <c r="Y1393" s="13" t="s">
        <v>5931</v>
      </c>
    </row>
    <row r="1394" customFormat="false" ht="15.75" hidden="false" customHeight="true" outlineLevel="0" collapsed="false">
      <c r="A1394" s="7" t="s">
        <v>5932</v>
      </c>
      <c r="B1394" s="8" t="n">
        <v>2009</v>
      </c>
      <c r="C1394" s="8" t="s">
        <v>35</v>
      </c>
      <c r="D1394" s="8" t="n">
        <v>85</v>
      </c>
      <c r="E1394" s="7" t="s">
        <v>5928</v>
      </c>
      <c r="F1394" s="8" t="n">
        <v>6.5</v>
      </c>
      <c r="G1394" s="8" t="n">
        <v>7</v>
      </c>
      <c r="H1394" s="9" t="n">
        <v>85346</v>
      </c>
      <c r="I1394" s="7" t="s">
        <v>232</v>
      </c>
      <c r="J1394" s="7" t="s">
        <v>147</v>
      </c>
      <c r="K1394" s="7" t="s">
        <v>5933</v>
      </c>
      <c r="L1394" s="10" t="s">
        <v>113</v>
      </c>
      <c r="M1394" s="10" t="s">
        <v>5934</v>
      </c>
      <c r="N1394" s="8" t="n">
        <v>0</v>
      </c>
      <c r="O1394" s="8" t="n">
        <v>0</v>
      </c>
      <c r="P1394" s="8" t="n">
        <v>0</v>
      </c>
      <c r="Q1394" s="8" t="n">
        <v>0</v>
      </c>
      <c r="R1394" s="8" t="n">
        <v>1</v>
      </c>
      <c r="S1394" s="13" t="n">
        <v>0</v>
      </c>
      <c r="T1394" s="13"/>
      <c r="U1394" s="11" t="n">
        <f aca="false">O1394*4 + P1394*2 + MAX(0,N1394-O1394-P1394)*1 + Q1394*0.2 + R1394*2 + S1394*1 + IF(T1394="",0,IF(T1394&lt;=10,8,IF(T1394&lt;=50,6,IF(T1394&lt;=100,4,2))))</f>
        <v>2</v>
      </c>
      <c r="V1394" s="7"/>
      <c r="W1394" s="7"/>
      <c r="X1394" s="13"/>
      <c r="Y1394" s="13" t="s">
        <v>5935</v>
      </c>
    </row>
    <row r="1395" customFormat="false" ht="15.75" hidden="false" customHeight="true" outlineLevel="0" collapsed="false">
      <c r="A1395" s="7" t="s">
        <v>5936</v>
      </c>
      <c r="B1395" s="8" t="n">
        <v>2004</v>
      </c>
      <c r="C1395" s="8" t="s">
        <v>35</v>
      </c>
      <c r="D1395" s="8" t="n">
        <v>163</v>
      </c>
      <c r="E1395" s="7" t="s">
        <v>257</v>
      </c>
      <c r="F1395" s="8" t="n">
        <v>7.3</v>
      </c>
      <c r="G1395" s="8" t="n">
        <v>8</v>
      </c>
      <c r="H1395" s="9" t="n">
        <v>642547</v>
      </c>
      <c r="I1395" s="7" t="s">
        <v>5937</v>
      </c>
      <c r="J1395" s="7" t="s">
        <v>112</v>
      </c>
      <c r="K1395" s="7" t="s">
        <v>39</v>
      </c>
      <c r="L1395" s="10" t="s">
        <v>5938</v>
      </c>
      <c r="M1395" s="7" t="s">
        <v>5939</v>
      </c>
      <c r="N1395" s="8" t="n">
        <v>0</v>
      </c>
      <c r="O1395" s="8" t="n">
        <v>0</v>
      </c>
      <c r="P1395" s="8" t="n">
        <v>0</v>
      </c>
      <c r="Q1395" s="8" t="n">
        <v>1</v>
      </c>
      <c r="R1395" s="8" t="n">
        <v>0</v>
      </c>
      <c r="S1395" s="8" t="n">
        <v>0</v>
      </c>
      <c r="T1395" s="13"/>
      <c r="U1395" s="11" t="n">
        <f aca="false">O1395*4 + P1395*2 + MAX(0,N1395-O1395-P1395)*1 + Q1395*0.2 + R1395*2 + S1395*1 + IF(T1395="",0,IF(T1395&lt;=10,8,IF(T1395&lt;=50,6,IF(T1395&lt;=100,4,2))))</f>
        <v>0.2</v>
      </c>
      <c r="V1395" s="7"/>
      <c r="W1395" s="7"/>
      <c r="X1395" s="13"/>
      <c r="Y1395" s="13" t="s">
        <v>5940</v>
      </c>
    </row>
    <row r="1396" customFormat="false" ht="15.75" hidden="false" customHeight="true" outlineLevel="0" collapsed="false">
      <c r="A1396" s="7" t="s">
        <v>5941</v>
      </c>
      <c r="B1396" s="8" t="n">
        <v>2005</v>
      </c>
      <c r="C1396" s="8" t="s">
        <v>35</v>
      </c>
      <c r="D1396" s="8" t="n">
        <v>119</v>
      </c>
      <c r="E1396" s="7" t="s">
        <v>5942</v>
      </c>
      <c r="F1396" s="8" t="n">
        <v>6.1</v>
      </c>
      <c r="G1396" s="8" t="n">
        <v>6</v>
      </c>
      <c r="H1396" s="9" t="n">
        <v>774</v>
      </c>
      <c r="I1396" s="7" t="s">
        <v>232</v>
      </c>
      <c r="J1396" s="7" t="s">
        <v>90</v>
      </c>
      <c r="K1396" s="7" t="s">
        <v>48</v>
      </c>
      <c r="L1396" s="10"/>
      <c r="M1396" s="10" t="s">
        <v>5943</v>
      </c>
      <c r="N1396" s="8" t="n">
        <v>0</v>
      </c>
      <c r="O1396" s="8" t="n">
        <v>0</v>
      </c>
      <c r="P1396" s="8" t="n">
        <v>0</v>
      </c>
      <c r="Q1396" s="8" t="n">
        <v>0</v>
      </c>
      <c r="R1396" s="13" t="n">
        <v>0</v>
      </c>
      <c r="S1396" s="13" t="n">
        <v>0</v>
      </c>
      <c r="T1396" s="13"/>
      <c r="U1396" s="11" t="n">
        <f aca="false">O1396*4 + P1396*2 + MAX(0,N1396-O1396-P1396)*1 + Q1396*0.2 + R1396*2 + S1396*1 + IF(T1396="",0,IF(T1396&lt;=10,8,IF(T1396&lt;=50,6,IF(T1396&lt;=100,4,2))))</f>
        <v>0</v>
      </c>
      <c r="V1396" s="7"/>
      <c r="W1396" s="7"/>
      <c r="X1396" s="13"/>
      <c r="Y1396" s="13" t="s">
        <v>5944</v>
      </c>
    </row>
    <row r="1397" customFormat="false" ht="15.75" hidden="false" customHeight="true" outlineLevel="0" collapsed="false">
      <c r="A1397" s="7" t="s">
        <v>5945</v>
      </c>
      <c r="B1397" s="8" t="n">
        <v>2006</v>
      </c>
      <c r="C1397" s="8" t="s">
        <v>35</v>
      </c>
      <c r="D1397" s="8" t="n">
        <v>129</v>
      </c>
      <c r="E1397" s="7" t="s">
        <v>1132</v>
      </c>
      <c r="F1397" s="8" t="n">
        <v>6</v>
      </c>
      <c r="G1397" s="8" t="n">
        <v>6</v>
      </c>
      <c r="H1397" s="9" t="n">
        <v>92344</v>
      </c>
      <c r="I1397" s="7" t="s">
        <v>46</v>
      </c>
      <c r="J1397" s="7" t="s">
        <v>131</v>
      </c>
      <c r="K1397" s="7" t="s">
        <v>453</v>
      </c>
      <c r="L1397" s="10"/>
      <c r="M1397" s="10" t="s">
        <v>5946</v>
      </c>
      <c r="N1397" s="8" t="n">
        <v>0</v>
      </c>
      <c r="O1397" s="8" t="n">
        <v>0</v>
      </c>
      <c r="P1397" s="8" t="n">
        <v>0</v>
      </c>
      <c r="Q1397" s="8" t="n">
        <v>0</v>
      </c>
      <c r="R1397" s="13" t="n">
        <v>0</v>
      </c>
      <c r="S1397" s="13" t="n">
        <v>0</v>
      </c>
      <c r="T1397" s="13"/>
      <c r="U1397" s="11" t="n">
        <f aca="false">O1397*4 + P1397*2 + MAX(0,N1397-O1397-P1397)*1 + Q1397*0.2 + R1397*2 + S1397*1 + IF(T1397="",0,IF(T1397&lt;=10,8,IF(T1397&lt;=50,6,IF(T1397&lt;=100,4,2))))</f>
        <v>0</v>
      </c>
      <c r="V1397" s="7"/>
      <c r="W1397" s="7"/>
      <c r="X1397" s="13"/>
      <c r="Y1397" s="13" t="s">
        <v>5947</v>
      </c>
    </row>
    <row r="1398" customFormat="false" ht="15.75" hidden="false" customHeight="true" outlineLevel="0" collapsed="false">
      <c r="A1398" s="7" t="s">
        <v>5948</v>
      </c>
      <c r="B1398" s="8" t="n">
        <v>2001</v>
      </c>
      <c r="C1398" s="8" t="s">
        <v>35</v>
      </c>
      <c r="D1398" s="8" t="n">
        <v>112</v>
      </c>
      <c r="E1398" s="7" t="s">
        <v>5364</v>
      </c>
      <c r="F1398" s="8" t="n">
        <v>6.5</v>
      </c>
      <c r="G1398" s="8" t="n">
        <v>7</v>
      </c>
      <c r="H1398" s="9" t="n">
        <v>131458</v>
      </c>
      <c r="I1398" s="7" t="s">
        <v>2168</v>
      </c>
      <c r="J1398" s="7" t="s">
        <v>112</v>
      </c>
      <c r="K1398" s="7" t="s">
        <v>39</v>
      </c>
      <c r="L1398" s="10" t="s">
        <v>126</v>
      </c>
      <c r="M1398" s="10" t="s">
        <v>5949</v>
      </c>
      <c r="N1398" s="8" t="n">
        <v>0</v>
      </c>
      <c r="O1398" s="8" t="n">
        <v>0</v>
      </c>
      <c r="P1398" s="8" t="n">
        <v>0</v>
      </c>
      <c r="Q1398" s="8" t="n">
        <v>0</v>
      </c>
      <c r="R1398" s="13" t="n">
        <v>0</v>
      </c>
      <c r="S1398" s="13" t="n">
        <v>0</v>
      </c>
      <c r="T1398" s="13"/>
      <c r="U1398" s="11" t="n">
        <f aca="false">O1398*4 + P1398*2 + MAX(0,N1398-O1398-P1398)*1 + Q1398*0.2 + R1398*2 + S1398*1 + IF(T1398="",0,IF(T1398&lt;=10,8,IF(T1398&lt;=50,6,IF(T1398&lt;=100,4,2))))</f>
        <v>0</v>
      </c>
      <c r="V1398" s="7"/>
      <c r="W1398" s="7"/>
      <c r="X1398" s="13"/>
      <c r="Y1398" s="13" t="s">
        <v>5950</v>
      </c>
    </row>
    <row r="1399" customFormat="false" ht="15.75" hidden="false" customHeight="true" outlineLevel="0" collapsed="false">
      <c r="A1399" s="7" t="s">
        <v>5951</v>
      </c>
      <c r="B1399" s="8" t="n">
        <v>2008</v>
      </c>
      <c r="C1399" s="8" t="s">
        <v>35</v>
      </c>
      <c r="D1399" s="8" t="n">
        <v>92</v>
      </c>
      <c r="E1399" s="7" t="s">
        <v>5314</v>
      </c>
      <c r="F1399" s="8" t="n">
        <v>6.4</v>
      </c>
      <c r="G1399" s="8" t="n">
        <v>6</v>
      </c>
      <c r="H1399" s="9" t="n">
        <v>542402</v>
      </c>
      <c r="I1399" s="7" t="s">
        <v>46</v>
      </c>
      <c r="J1399" s="7" t="s">
        <v>112</v>
      </c>
      <c r="K1399" s="7" t="s">
        <v>5160</v>
      </c>
      <c r="L1399" s="10" t="s">
        <v>507</v>
      </c>
      <c r="M1399" s="7" t="s">
        <v>5952</v>
      </c>
      <c r="N1399" s="8" t="n">
        <v>0</v>
      </c>
      <c r="O1399" s="8" t="n">
        <v>0</v>
      </c>
      <c r="P1399" s="8" t="n">
        <v>0</v>
      </c>
      <c r="Q1399" s="8" t="n">
        <v>0</v>
      </c>
      <c r="R1399" s="13" t="n">
        <v>0</v>
      </c>
      <c r="S1399" s="13" t="n">
        <v>0</v>
      </c>
      <c r="T1399" s="13"/>
      <c r="U1399" s="11" t="n">
        <f aca="false">O1399*4 + P1399*2 + MAX(0,N1399-O1399-P1399)*1 + Q1399*0.2 + R1399*2 + S1399*1 + IF(T1399="",0,IF(T1399&lt;=10,8,IF(T1399&lt;=50,6,IF(T1399&lt;=100,4,2))))</f>
        <v>0</v>
      </c>
      <c r="V1399" s="7"/>
      <c r="W1399" s="7"/>
      <c r="X1399" s="13"/>
      <c r="Y1399" s="13" t="s">
        <v>5953</v>
      </c>
    </row>
    <row r="1400" customFormat="false" ht="15.75" hidden="false" customHeight="true" outlineLevel="0" collapsed="false">
      <c r="A1400" s="7" t="s">
        <v>5954</v>
      </c>
      <c r="B1400" s="8" t="n">
        <v>2007</v>
      </c>
      <c r="C1400" s="8" t="s">
        <v>35</v>
      </c>
      <c r="D1400" s="8" t="n">
        <v>101</v>
      </c>
      <c r="E1400" s="7" t="s">
        <v>5522</v>
      </c>
      <c r="F1400" s="8" t="n">
        <v>7.2</v>
      </c>
      <c r="G1400" s="8" t="n">
        <v>8</v>
      </c>
      <c r="H1400" s="9" t="n">
        <v>885466</v>
      </c>
      <c r="I1400" s="7" t="s">
        <v>46</v>
      </c>
      <c r="J1400" s="7" t="s">
        <v>147</v>
      </c>
      <c r="K1400" s="7" t="s">
        <v>111</v>
      </c>
      <c r="L1400" s="10" t="s">
        <v>113</v>
      </c>
      <c r="M1400" s="7" t="s">
        <v>5955</v>
      </c>
      <c r="N1400" s="8" t="n">
        <v>0</v>
      </c>
      <c r="O1400" s="8" t="n">
        <v>0</v>
      </c>
      <c r="P1400" s="8" t="n">
        <v>0</v>
      </c>
      <c r="Q1400" s="8" t="n">
        <v>0</v>
      </c>
      <c r="R1400" s="8" t="n">
        <v>0</v>
      </c>
      <c r="S1400" s="13" t="n">
        <v>0</v>
      </c>
      <c r="T1400" s="8"/>
      <c r="U1400" s="11" t="n">
        <f aca="false">O1400*4 + P1400*2 + MAX(0,N1400-O1400-P1400)*1 + Q1400*0.2 + R1400*2 + S1400*1 + IF(T1400="",0,IF(T1400&lt;=10,8,IF(T1400&lt;=50,6,IF(T1400&lt;=100,4,2))))</f>
        <v>0</v>
      </c>
      <c r="V1400" s="7"/>
      <c r="W1400" s="7"/>
      <c r="X1400" s="13"/>
      <c r="Y1400" s="13" t="s">
        <v>5956</v>
      </c>
    </row>
    <row r="1401" customFormat="false" ht="15.75" hidden="false" customHeight="true" outlineLevel="0" collapsed="false">
      <c r="A1401" s="7" t="s">
        <v>5957</v>
      </c>
      <c r="B1401" s="8" t="n">
        <v>2008</v>
      </c>
      <c r="C1401" s="8" t="s">
        <v>35</v>
      </c>
      <c r="D1401" s="8" t="n">
        <v>105</v>
      </c>
      <c r="E1401" s="7" t="s">
        <v>5958</v>
      </c>
      <c r="F1401" s="8" t="n">
        <v>5.9</v>
      </c>
      <c r="G1401" s="8" t="n">
        <v>7</v>
      </c>
      <c r="H1401" s="9" t="n">
        <v>82600</v>
      </c>
      <c r="I1401" s="7" t="s">
        <v>5959</v>
      </c>
      <c r="J1401" s="7" t="s">
        <v>111</v>
      </c>
      <c r="K1401" s="7" t="s">
        <v>131</v>
      </c>
      <c r="L1401" s="10" t="s">
        <v>192</v>
      </c>
      <c r="M1401" s="10" t="s">
        <v>5960</v>
      </c>
      <c r="N1401" s="8" t="n">
        <v>0</v>
      </c>
      <c r="O1401" s="8" t="n">
        <v>0</v>
      </c>
      <c r="P1401" s="8" t="n">
        <v>0</v>
      </c>
      <c r="Q1401" s="8" t="n">
        <v>0</v>
      </c>
      <c r="R1401" s="13" t="n">
        <v>0</v>
      </c>
      <c r="S1401" s="13" t="n">
        <v>0</v>
      </c>
      <c r="T1401" s="13"/>
      <c r="U1401" s="11" t="n">
        <f aca="false">O1401*4 + P1401*2 + MAX(0,N1401-O1401-P1401)*1 + Q1401*0.2 + R1401*2 + S1401*1 + IF(T1401="",0,IF(T1401&lt;=10,8,IF(T1401&lt;=50,6,IF(T1401&lt;=100,4,2))))</f>
        <v>0</v>
      </c>
      <c r="V1401" s="7"/>
      <c r="W1401" s="7"/>
      <c r="X1401" s="13"/>
      <c r="Y1401" s="13" t="s">
        <v>5961</v>
      </c>
    </row>
    <row r="1402" customFormat="false" ht="15.75" hidden="false" customHeight="true" outlineLevel="0" collapsed="false">
      <c r="A1402" s="7" t="s">
        <v>5962</v>
      </c>
      <c r="B1402" s="8" t="n">
        <v>2003</v>
      </c>
      <c r="C1402" s="8" t="s">
        <v>35</v>
      </c>
      <c r="D1402" s="8" t="n">
        <v>102</v>
      </c>
      <c r="E1402" s="7" t="s">
        <v>5963</v>
      </c>
      <c r="F1402" s="8" t="n">
        <v>5.1</v>
      </c>
      <c r="G1402" s="8" t="n">
        <v>5</v>
      </c>
      <c r="H1402" s="9" t="n">
        <v>19159</v>
      </c>
      <c r="I1402" s="7" t="s">
        <v>2011</v>
      </c>
      <c r="J1402" s="7" t="s">
        <v>147</v>
      </c>
      <c r="K1402" s="7" t="s">
        <v>125</v>
      </c>
      <c r="L1402" s="10"/>
      <c r="M1402" s="10" t="s">
        <v>5964</v>
      </c>
      <c r="N1402" s="8" t="n">
        <v>0</v>
      </c>
      <c r="O1402" s="8" t="n">
        <v>0</v>
      </c>
      <c r="P1402" s="8" t="n">
        <v>0</v>
      </c>
      <c r="Q1402" s="8" t="n">
        <v>0</v>
      </c>
      <c r="R1402" s="13" t="n">
        <v>0</v>
      </c>
      <c r="S1402" s="13" t="n">
        <v>0</v>
      </c>
      <c r="T1402" s="13"/>
      <c r="U1402" s="11" t="n">
        <f aca="false">O1402*4 + P1402*2 + MAX(0,N1402-O1402-P1402)*1 + Q1402*0.2 + R1402*2 + S1402*1 + IF(T1402="",0,IF(T1402&lt;=10,8,IF(T1402&lt;=50,6,IF(T1402&lt;=100,4,2))))</f>
        <v>0</v>
      </c>
      <c r="V1402" s="7"/>
      <c r="W1402" s="7"/>
      <c r="X1402" s="13"/>
      <c r="Y1402" s="13" t="s">
        <v>5965</v>
      </c>
    </row>
    <row r="1403" customFormat="false" ht="15.75" hidden="false" customHeight="true" outlineLevel="0" collapsed="false">
      <c r="A1403" s="7" t="s">
        <v>5966</v>
      </c>
      <c r="B1403" s="8" t="n">
        <v>1996</v>
      </c>
      <c r="C1403" s="8" t="s">
        <v>26</v>
      </c>
      <c r="D1403" s="8" t="n">
        <v>93</v>
      </c>
      <c r="E1403" s="7" t="s">
        <v>5819</v>
      </c>
      <c r="F1403" s="8" t="n">
        <v>8.1</v>
      </c>
      <c r="G1403" s="8" t="n">
        <v>7</v>
      </c>
      <c r="H1403" s="9" t="n">
        <v>772507</v>
      </c>
      <c r="I1403" s="7" t="s">
        <v>280</v>
      </c>
      <c r="J1403" s="7" t="s">
        <v>47</v>
      </c>
      <c r="K1403" s="7" t="s">
        <v>1005</v>
      </c>
      <c r="L1403" s="10" t="s">
        <v>205</v>
      </c>
      <c r="M1403" s="7" t="s">
        <v>5967</v>
      </c>
      <c r="N1403" s="8" t="n">
        <v>0</v>
      </c>
      <c r="O1403" s="8" t="n">
        <v>0</v>
      </c>
      <c r="P1403" s="8" t="n">
        <v>0</v>
      </c>
      <c r="Q1403" s="8" t="n">
        <v>1</v>
      </c>
      <c r="R1403" s="8" t="n">
        <v>0</v>
      </c>
      <c r="S1403" s="8" t="n">
        <v>0</v>
      </c>
      <c r="T1403" s="8"/>
      <c r="U1403" s="11" t="n">
        <f aca="false">O1403*4 + P1403*2 + MAX(0,N1403-O1403-P1403)*1 + Q1403*0.2 + R1403*2 + S1403*1 + IF(T1403="",0,IF(T1403&lt;=10,8,IF(T1403&lt;=50,6,IF(T1403&lt;=100,4,2))))</f>
        <v>0.2</v>
      </c>
      <c r="V1403" s="7"/>
      <c r="W1403" s="7"/>
      <c r="X1403" s="13"/>
      <c r="Y1403" s="13" t="s">
        <v>5968</v>
      </c>
    </row>
    <row r="1404" customFormat="false" ht="15.75" hidden="false" customHeight="true" outlineLevel="0" collapsed="false">
      <c r="A1404" s="7" t="s">
        <v>5969</v>
      </c>
      <c r="B1404" s="8" t="n">
        <v>2007</v>
      </c>
      <c r="C1404" s="8" t="s">
        <v>35</v>
      </c>
      <c r="D1404" s="8" t="n">
        <v>100</v>
      </c>
      <c r="E1404" s="7" t="s">
        <v>5970</v>
      </c>
      <c r="F1404" s="8" t="n">
        <v>6.8</v>
      </c>
      <c r="G1404" s="8" t="n">
        <v>6</v>
      </c>
      <c r="H1404" s="9" t="n">
        <v>367100</v>
      </c>
      <c r="I1404" s="7" t="s">
        <v>2997</v>
      </c>
      <c r="J1404" s="7" t="s">
        <v>147</v>
      </c>
      <c r="K1404" s="7" t="s">
        <v>111</v>
      </c>
      <c r="L1404" s="10" t="s">
        <v>177</v>
      </c>
      <c r="M1404" s="7" t="s">
        <v>5971</v>
      </c>
      <c r="N1404" s="8" t="n">
        <v>0</v>
      </c>
      <c r="O1404" s="8" t="n">
        <v>0</v>
      </c>
      <c r="P1404" s="8" t="n">
        <v>0</v>
      </c>
      <c r="Q1404" s="8" t="n">
        <v>0</v>
      </c>
      <c r="R1404" s="13" t="n">
        <v>0</v>
      </c>
      <c r="S1404" s="13" t="n">
        <v>0</v>
      </c>
      <c r="T1404" s="13"/>
      <c r="U1404" s="11" t="n">
        <f aca="false">O1404*4 + P1404*2 + MAX(0,N1404-O1404-P1404)*1 + Q1404*0.2 + R1404*2 + S1404*1 + IF(T1404="",0,IF(T1404&lt;=10,8,IF(T1404&lt;=50,6,IF(T1404&lt;=100,4,2))))</f>
        <v>0</v>
      </c>
      <c r="V1404" s="7"/>
      <c r="W1404" s="7"/>
      <c r="X1404" s="13"/>
      <c r="Y1404" s="13" t="s">
        <v>5972</v>
      </c>
    </row>
    <row r="1405" customFormat="false" ht="15.75" hidden="false" customHeight="true" outlineLevel="0" collapsed="false">
      <c r="A1405" s="7" t="s">
        <v>5973</v>
      </c>
      <c r="B1405" s="8" t="n">
        <v>2012</v>
      </c>
      <c r="C1405" s="8" t="s">
        <v>176</v>
      </c>
      <c r="D1405" s="8" t="n">
        <v>80</v>
      </c>
      <c r="E1405" s="7" t="s">
        <v>5974</v>
      </c>
      <c r="F1405" s="8" t="n">
        <v>5</v>
      </c>
      <c r="G1405" s="8" t="n">
        <v>5</v>
      </c>
      <c r="H1405" s="9" t="n">
        <v>41698</v>
      </c>
      <c r="I1405" s="7" t="s">
        <v>232</v>
      </c>
      <c r="J1405" s="7" t="s">
        <v>38</v>
      </c>
      <c r="K1405" s="7" t="s">
        <v>1685</v>
      </c>
      <c r="L1405" s="10" t="s">
        <v>5929</v>
      </c>
      <c r="M1405" s="10" t="s">
        <v>5975</v>
      </c>
      <c r="N1405" s="8" t="n">
        <v>0</v>
      </c>
      <c r="O1405" s="8" t="n">
        <v>0</v>
      </c>
      <c r="P1405" s="8" t="n">
        <v>0</v>
      </c>
      <c r="Q1405" s="8" t="n">
        <v>0</v>
      </c>
      <c r="R1405" s="13" t="n">
        <v>0</v>
      </c>
      <c r="S1405" s="13" t="n">
        <v>0</v>
      </c>
      <c r="T1405" s="13"/>
      <c r="U1405" s="11" t="n">
        <f aca="false">O1405*4 + P1405*2 + MAX(0,N1405-O1405-P1405)*1 + Q1405*0.2 + R1405*2 + S1405*1 + IF(T1405="",0,IF(T1405&lt;=10,8,IF(T1405&lt;=50,6,IF(T1405&lt;=100,4,2))))</f>
        <v>0</v>
      </c>
      <c r="V1405" s="7"/>
      <c r="W1405" s="7"/>
      <c r="X1405" s="13"/>
      <c r="Y1405" s="13" t="s">
        <v>5976</v>
      </c>
    </row>
    <row r="1406" customFormat="false" ht="15.75" hidden="false" customHeight="true" outlineLevel="0" collapsed="false">
      <c r="A1406" s="7" t="s">
        <v>5977</v>
      </c>
      <c r="B1406" s="8" t="n">
        <v>1946</v>
      </c>
      <c r="C1406" s="8" t="s">
        <v>243</v>
      </c>
      <c r="D1406" s="8" t="n">
        <v>102</v>
      </c>
      <c r="E1406" s="7" t="s">
        <v>146</v>
      </c>
      <c r="F1406" s="8" t="n">
        <v>7.9</v>
      </c>
      <c r="G1406" s="8" t="n">
        <v>7</v>
      </c>
      <c r="H1406" s="9" t="n">
        <v>113239</v>
      </c>
      <c r="I1406" s="7" t="s">
        <v>46</v>
      </c>
      <c r="J1406" s="7" t="s">
        <v>47</v>
      </c>
      <c r="K1406" s="7" t="s">
        <v>54</v>
      </c>
      <c r="L1406" s="10" t="s">
        <v>5978</v>
      </c>
      <c r="M1406" s="7" t="s">
        <v>5979</v>
      </c>
      <c r="N1406" s="8" t="n">
        <v>0</v>
      </c>
      <c r="O1406" s="8" t="n">
        <v>0</v>
      </c>
      <c r="P1406" s="8" t="n">
        <v>0</v>
      </c>
      <c r="Q1406" s="8" t="n">
        <v>0</v>
      </c>
      <c r="R1406" s="13" t="n">
        <v>0</v>
      </c>
      <c r="S1406" s="13" t="n">
        <v>0</v>
      </c>
      <c r="T1406" s="8" t="n">
        <v>133</v>
      </c>
      <c r="U1406" s="11" t="n">
        <f aca="false">O1406*4 + P1406*2 + MAX(0,N1406-O1406-P1406)*1 + Q1406*0.2 + R1406*2 + S1406*1 + IF(T1406="",0,IF(T1406&lt;=10,8,IF(T1406&lt;=50,6,IF(T1406&lt;=100,4,2))))</f>
        <v>2</v>
      </c>
      <c r="V1406" s="10" t="s">
        <v>5980</v>
      </c>
      <c r="W1406" s="7"/>
      <c r="X1406" s="13"/>
      <c r="Y1406" s="13" t="s">
        <v>5981</v>
      </c>
    </row>
    <row r="1407" customFormat="false" ht="15.75" hidden="false" customHeight="true" outlineLevel="0" collapsed="false">
      <c r="A1407" s="7" t="s">
        <v>5982</v>
      </c>
      <c r="B1407" s="8" t="n">
        <v>1997</v>
      </c>
      <c r="C1407" s="8" t="s">
        <v>26</v>
      </c>
      <c r="D1407" s="8" t="n">
        <v>194</v>
      </c>
      <c r="E1407" s="7" t="s">
        <v>110</v>
      </c>
      <c r="F1407" s="8" t="n">
        <v>8</v>
      </c>
      <c r="G1407" s="8" t="n">
        <v>8</v>
      </c>
      <c r="H1407" s="9" t="n">
        <v>1407146</v>
      </c>
      <c r="I1407" s="7" t="s">
        <v>46</v>
      </c>
      <c r="J1407" s="7" t="s">
        <v>29</v>
      </c>
      <c r="K1407" s="7" t="s">
        <v>5983</v>
      </c>
      <c r="L1407" s="10" t="s">
        <v>5984</v>
      </c>
      <c r="M1407" s="7" t="s">
        <v>5985</v>
      </c>
      <c r="N1407" s="8" t="n">
        <v>11</v>
      </c>
      <c r="O1407" s="8" t="n">
        <v>1</v>
      </c>
      <c r="P1407" s="8" t="n">
        <v>1</v>
      </c>
      <c r="Q1407" s="8" t="n">
        <v>14</v>
      </c>
      <c r="R1407" s="8" t="n">
        <v>0</v>
      </c>
      <c r="S1407" s="8" t="n">
        <v>1</v>
      </c>
      <c r="T1407" s="8"/>
      <c r="U1407" s="11" t="n">
        <f aca="false">O1407*4 + P1407*2 + MAX(0,N1407-O1407-P1407)*1 + Q1407*0.2 + R1407*2 + S1407*1 + IF(T1407="",0,IF(T1407&lt;=10,8,IF(T1407&lt;=50,6,IF(T1407&lt;=100,4,2))))</f>
        <v>18.8</v>
      </c>
      <c r="V1407" s="7"/>
      <c r="W1407" s="7"/>
      <c r="X1407" s="13"/>
      <c r="Y1407" s="13" t="s">
        <v>5986</v>
      </c>
    </row>
    <row r="1408" customFormat="false" ht="15.75" hidden="false" customHeight="true" outlineLevel="0" collapsed="false">
      <c r="A1408" s="7" t="s">
        <v>5987</v>
      </c>
      <c r="B1408" s="8" t="n">
        <v>2002</v>
      </c>
      <c r="C1408" s="8" t="s">
        <v>35</v>
      </c>
      <c r="D1408" s="8" t="n">
        <v>161</v>
      </c>
      <c r="E1408" s="7" t="s">
        <v>5248</v>
      </c>
      <c r="F1408" s="8" t="n">
        <v>7.5</v>
      </c>
      <c r="G1408" s="8" t="n">
        <v>8</v>
      </c>
      <c r="H1408" s="9" t="n">
        <v>773929</v>
      </c>
      <c r="I1408" s="7" t="s">
        <v>2083</v>
      </c>
      <c r="J1408" s="7" t="s">
        <v>38</v>
      </c>
      <c r="K1408" s="7" t="s">
        <v>259</v>
      </c>
      <c r="L1408" s="10" t="s">
        <v>55</v>
      </c>
      <c r="M1408" s="7" t="s">
        <v>5988</v>
      </c>
      <c r="N1408" s="8" t="n">
        <v>0</v>
      </c>
      <c r="O1408" s="8" t="n">
        <v>0</v>
      </c>
      <c r="P1408" s="8" t="n">
        <v>0</v>
      </c>
      <c r="Q1408" s="8" t="n">
        <v>0</v>
      </c>
      <c r="R1408" s="13" t="n">
        <v>0</v>
      </c>
      <c r="S1408" s="13" t="n">
        <v>0</v>
      </c>
      <c r="T1408" s="13"/>
      <c r="U1408" s="11" t="n">
        <f aca="false">O1408*4 + P1408*2 + MAX(0,N1408-O1408-P1408)*1 + Q1408*0.2 + R1408*2 + S1408*1 + IF(T1408="",0,IF(T1408&lt;=10,8,IF(T1408&lt;=50,6,IF(T1408&lt;=100,4,2))))</f>
        <v>0</v>
      </c>
      <c r="V1408" s="7"/>
      <c r="W1408" s="7"/>
      <c r="X1408" s="13"/>
      <c r="Y1408" s="13" t="s">
        <v>5989</v>
      </c>
    </row>
    <row r="1409" customFormat="false" ht="15.75" hidden="false" customHeight="true" outlineLevel="0" collapsed="false">
      <c r="A1409" s="7" t="s">
        <v>5990</v>
      </c>
      <c r="B1409" s="8" t="n">
        <v>2004</v>
      </c>
      <c r="C1409" s="8" t="s">
        <v>35</v>
      </c>
      <c r="D1409" s="8" t="n">
        <v>142</v>
      </c>
      <c r="E1409" s="7" t="s">
        <v>2324</v>
      </c>
      <c r="F1409" s="8" t="n">
        <v>7.9</v>
      </c>
      <c r="G1409" s="8" t="n">
        <v>7</v>
      </c>
      <c r="H1409" s="9" t="n">
        <v>775028</v>
      </c>
      <c r="I1409" s="7" t="s">
        <v>359</v>
      </c>
      <c r="J1409" s="7" t="s">
        <v>38</v>
      </c>
      <c r="K1409" s="7" t="s">
        <v>259</v>
      </c>
      <c r="L1409" s="10" t="s">
        <v>55</v>
      </c>
      <c r="M1409" s="7" t="s">
        <v>5991</v>
      </c>
      <c r="N1409" s="8" t="n">
        <v>0</v>
      </c>
      <c r="O1409" s="8" t="n">
        <v>0</v>
      </c>
      <c r="P1409" s="8" t="n">
        <v>0</v>
      </c>
      <c r="Q1409" s="8" t="n">
        <v>2</v>
      </c>
      <c r="R1409" s="8" t="n">
        <v>0</v>
      </c>
      <c r="S1409" s="8" t="n">
        <v>0</v>
      </c>
      <c r="T1409" s="13"/>
      <c r="U1409" s="11" t="n">
        <f aca="false">O1409*4 + P1409*2 + MAX(0,N1409-O1409-P1409)*1 + Q1409*0.2 + R1409*2 + S1409*1 + IF(T1409="",0,IF(T1409&lt;=10,8,IF(T1409&lt;=50,6,IF(T1409&lt;=100,4,2))))</f>
        <v>0.4</v>
      </c>
      <c r="V1409" s="7"/>
      <c r="W1409" s="7"/>
      <c r="X1409" s="13"/>
      <c r="Y1409" s="13" t="s">
        <v>5992</v>
      </c>
    </row>
    <row r="1410" customFormat="false" ht="15.75" hidden="false" customHeight="true" outlineLevel="0" collapsed="false">
      <c r="A1410" s="7" t="s">
        <v>5993</v>
      </c>
      <c r="B1410" s="8" t="n">
        <v>2005</v>
      </c>
      <c r="C1410" s="8" t="s">
        <v>35</v>
      </c>
      <c r="D1410" s="8" t="n">
        <v>157</v>
      </c>
      <c r="E1410" s="7" t="s">
        <v>5994</v>
      </c>
      <c r="F1410" s="8" t="n">
        <v>7.7</v>
      </c>
      <c r="G1410" s="8" t="n">
        <v>7</v>
      </c>
      <c r="H1410" s="9" t="n">
        <v>761309</v>
      </c>
      <c r="I1410" s="7" t="s">
        <v>359</v>
      </c>
      <c r="J1410" s="7" t="s">
        <v>38</v>
      </c>
      <c r="K1410" s="7" t="s">
        <v>259</v>
      </c>
      <c r="L1410" s="10" t="s">
        <v>55</v>
      </c>
      <c r="M1410" s="7" t="s">
        <v>5995</v>
      </c>
      <c r="N1410" s="8" t="n">
        <v>0</v>
      </c>
      <c r="O1410" s="8" t="n">
        <v>0</v>
      </c>
      <c r="P1410" s="8" t="n">
        <v>0</v>
      </c>
      <c r="Q1410" s="8" t="n">
        <v>1</v>
      </c>
      <c r="R1410" s="8" t="n">
        <v>0</v>
      </c>
      <c r="S1410" s="8" t="n">
        <v>0</v>
      </c>
      <c r="T1410" s="13"/>
      <c r="U1410" s="11" t="n">
        <f aca="false">O1410*4 + P1410*2 + MAX(0,N1410-O1410-P1410)*1 + Q1410*0.2 + R1410*2 + S1410*1 + IF(T1410="",0,IF(T1410&lt;=10,8,IF(T1410&lt;=50,6,IF(T1410&lt;=100,4,2))))</f>
        <v>0.2</v>
      </c>
      <c r="V1410" s="7"/>
      <c r="W1410" s="7"/>
      <c r="X1410" s="13"/>
      <c r="Y1410" s="13" t="s">
        <v>5996</v>
      </c>
    </row>
    <row r="1411" customFormat="false" ht="15.75" hidden="false" customHeight="true" outlineLevel="0" collapsed="false">
      <c r="A1411" s="7" t="s">
        <v>5997</v>
      </c>
      <c r="B1411" s="8" t="n">
        <v>2009</v>
      </c>
      <c r="C1411" s="8" t="s">
        <v>35</v>
      </c>
      <c r="D1411" s="8" t="n">
        <v>153</v>
      </c>
      <c r="E1411" s="7" t="s">
        <v>2351</v>
      </c>
      <c r="F1411" s="8" t="n">
        <v>7.6</v>
      </c>
      <c r="G1411" s="8" t="n">
        <v>6</v>
      </c>
      <c r="H1411" s="9" t="n">
        <v>667596</v>
      </c>
      <c r="I1411" s="7" t="s">
        <v>359</v>
      </c>
      <c r="J1411" s="7" t="s">
        <v>38</v>
      </c>
      <c r="K1411" s="7" t="s">
        <v>259</v>
      </c>
      <c r="L1411" s="10" t="s">
        <v>55</v>
      </c>
      <c r="M1411" s="7" t="s">
        <v>5998</v>
      </c>
      <c r="N1411" s="8" t="n">
        <v>0</v>
      </c>
      <c r="O1411" s="8" t="n">
        <v>0</v>
      </c>
      <c r="P1411" s="8" t="n">
        <v>0</v>
      </c>
      <c r="Q1411" s="8" t="n">
        <v>1</v>
      </c>
      <c r="R1411" s="8" t="n">
        <v>0</v>
      </c>
      <c r="S1411" s="8" t="n">
        <v>0</v>
      </c>
      <c r="T1411" s="13"/>
      <c r="U1411" s="11" t="n">
        <f aca="false">O1411*4 + P1411*2 + MAX(0,N1411-O1411-P1411)*1 + Q1411*0.2 + R1411*2 + S1411*1 + IF(T1411="",0,IF(T1411&lt;=10,8,IF(T1411&lt;=50,6,IF(T1411&lt;=100,4,2))))</f>
        <v>0.2</v>
      </c>
      <c r="V1411" s="7"/>
      <c r="W1411" s="7"/>
      <c r="X1411" s="13"/>
      <c r="Y1411" s="13" t="s">
        <v>5999</v>
      </c>
    </row>
    <row r="1412" customFormat="false" ht="15.75" hidden="false" customHeight="true" outlineLevel="0" collapsed="false">
      <c r="A1412" s="7" t="s">
        <v>6000</v>
      </c>
      <c r="B1412" s="8" t="n">
        <v>2010</v>
      </c>
      <c r="C1412" s="8" t="s">
        <v>176</v>
      </c>
      <c r="D1412" s="8" t="n">
        <v>146</v>
      </c>
      <c r="E1412" s="7" t="s">
        <v>2351</v>
      </c>
      <c r="F1412" s="8" t="n">
        <v>7.7</v>
      </c>
      <c r="G1412" s="8" t="n">
        <v>6</v>
      </c>
      <c r="H1412" s="9" t="n">
        <v>671885</v>
      </c>
      <c r="I1412" s="7" t="s">
        <v>359</v>
      </c>
      <c r="J1412" s="7" t="s">
        <v>38</v>
      </c>
      <c r="K1412" s="7" t="s">
        <v>259</v>
      </c>
      <c r="L1412" s="10" t="s">
        <v>55</v>
      </c>
      <c r="M1412" s="7" t="s">
        <v>6001</v>
      </c>
      <c r="N1412" s="8" t="n">
        <v>0</v>
      </c>
      <c r="O1412" s="8" t="n">
        <v>0</v>
      </c>
      <c r="P1412" s="8" t="n">
        <v>0</v>
      </c>
      <c r="Q1412" s="8" t="n">
        <v>2</v>
      </c>
      <c r="R1412" s="8" t="n">
        <v>0</v>
      </c>
      <c r="S1412" s="8" t="n">
        <v>0</v>
      </c>
      <c r="T1412" s="13"/>
      <c r="U1412" s="11" t="n">
        <f aca="false">O1412*4 + P1412*2 + MAX(0,N1412-O1412-P1412)*1 + Q1412*0.2 + R1412*2 + S1412*1 + IF(T1412="",0,IF(T1412&lt;=10,8,IF(T1412&lt;=50,6,IF(T1412&lt;=100,4,2))))</f>
        <v>0.4</v>
      </c>
      <c r="V1412" s="7"/>
      <c r="W1412" s="7"/>
      <c r="X1412" s="13"/>
      <c r="Y1412" s="13" t="s">
        <v>6002</v>
      </c>
    </row>
    <row r="1413" customFormat="false" ht="15.75" hidden="false" customHeight="true" outlineLevel="0" collapsed="false">
      <c r="A1413" s="7" t="s">
        <v>6003</v>
      </c>
      <c r="B1413" s="8" t="n">
        <v>2008</v>
      </c>
      <c r="C1413" s="8" t="s">
        <v>35</v>
      </c>
      <c r="D1413" s="8" t="n">
        <v>113</v>
      </c>
      <c r="E1413" s="7" t="s">
        <v>5853</v>
      </c>
      <c r="F1413" s="8" t="n">
        <v>5.6</v>
      </c>
      <c r="G1413" s="8" t="n">
        <v>5</v>
      </c>
      <c r="H1413" s="9" t="n">
        <v>229217</v>
      </c>
      <c r="I1413" s="7" t="s">
        <v>46</v>
      </c>
      <c r="J1413" s="7" t="s">
        <v>112</v>
      </c>
      <c r="K1413" s="7" t="s">
        <v>30</v>
      </c>
      <c r="L1413" s="10" t="s">
        <v>210</v>
      </c>
      <c r="M1413" s="10" t="s">
        <v>6004</v>
      </c>
      <c r="N1413" s="8" t="n">
        <v>0</v>
      </c>
      <c r="O1413" s="8" t="n">
        <v>0</v>
      </c>
      <c r="P1413" s="8" t="n">
        <v>0</v>
      </c>
      <c r="Q1413" s="8" t="n">
        <v>0</v>
      </c>
      <c r="R1413" s="13" t="n">
        <v>0</v>
      </c>
      <c r="S1413" s="13" t="n">
        <v>0</v>
      </c>
      <c r="T1413" s="13"/>
      <c r="U1413" s="11" t="n">
        <f aca="false">O1413*4 + P1413*2 + MAX(0,N1413-O1413-P1413)*1 + Q1413*0.2 + R1413*2 + S1413*1 + IF(T1413="",0,IF(T1413&lt;=10,8,IF(T1413&lt;=50,6,IF(T1413&lt;=100,4,2))))</f>
        <v>0</v>
      </c>
      <c r="V1413" s="7"/>
      <c r="W1413" s="7"/>
      <c r="X1413" s="13"/>
      <c r="Y1413" s="13" t="s">
        <v>6005</v>
      </c>
    </row>
    <row r="1414" customFormat="false" ht="15.75" hidden="false" customHeight="true" outlineLevel="0" collapsed="false">
      <c r="A1414" s="7" t="s">
        <v>6006</v>
      </c>
      <c r="B1414" s="8" t="n">
        <v>2002</v>
      </c>
      <c r="C1414" s="8" t="s">
        <v>35</v>
      </c>
      <c r="D1414" s="8" t="n">
        <v>88</v>
      </c>
      <c r="E1414" s="7" t="s">
        <v>1400</v>
      </c>
      <c r="F1414" s="8" t="n">
        <v>5.4</v>
      </c>
      <c r="G1414" s="8" t="n">
        <v>7</v>
      </c>
      <c r="H1414" s="9" t="n">
        <v>21115</v>
      </c>
      <c r="I1414" s="7" t="s">
        <v>2270</v>
      </c>
      <c r="J1414" s="7" t="s">
        <v>147</v>
      </c>
      <c r="K1414" s="7" t="s">
        <v>6007</v>
      </c>
      <c r="L1414" s="10" t="s">
        <v>6008</v>
      </c>
      <c r="M1414" s="10" t="s">
        <v>6009</v>
      </c>
      <c r="N1414" s="8" t="n">
        <v>0</v>
      </c>
      <c r="O1414" s="8" t="n">
        <v>0</v>
      </c>
      <c r="P1414" s="8" t="n">
        <v>0</v>
      </c>
      <c r="Q1414" s="8" t="n">
        <v>0</v>
      </c>
      <c r="R1414" s="13" t="n">
        <v>0</v>
      </c>
      <c r="S1414" s="13" t="n">
        <v>0</v>
      </c>
      <c r="T1414" s="13"/>
      <c r="U1414" s="11" t="n">
        <f aca="false">O1414*4 + P1414*2 + MAX(0,N1414-O1414-P1414)*1 + Q1414*0.2 + R1414*2 + S1414*1 + IF(T1414="",0,IF(T1414&lt;=10,8,IF(T1414&lt;=50,6,IF(T1414&lt;=100,4,2))))</f>
        <v>0</v>
      </c>
      <c r="V1414" s="7"/>
      <c r="W1414" s="7"/>
      <c r="X1414" s="13"/>
      <c r="Y1414" s="13" t="s">
        <v>6010</v>
      </c>
    </row>
    <row r="1415" customFormat="false" ht="15.75" hidden="false" customHeight="true" outlineLevel="0" collapsed="false">
      <c r="A1415" s="7" t="s">
        <v>6011</v>
      </c>
      <c r="B1415" s="8" t="n">
        <v>2005</v>
      </c>
      <c r="C1415" s="8" t="s">
        <v>35</v>
      </c>
      <c r="D1415" s="8" t="n">
        <v>144</v>
      </c>
      <c r="E1415" s="7" t="s">
        <v>1074</v>
      </c>
      <c r="F1415" s="8" t="n">
        <v>7.3</v>
      </c>
      <c r="G1415" s="8" t="n">
        <v>8</v>
      </c>
      <c r="H1415" s="9" t="n">
        <v>359293</v>
      </c>
      <c r="I1415" s="7" t="s">
        <v>6012</v>
      </c>
      <c r="J1415" s="7" t="s">
        <v>112</v>
      </c>
      <c r="K1415" s="7" t="s">
        <v>39</v>
      </c>
      <c r="L1415" s="10" t="s">
        <v>6013</v>
      </c>
      <c r="M1415" s="7" t="s">
        <v>6014</v>
      </c>
      <c r="N1415" s="8" t="n">
        <v>0</v>
      </c>
      <c r="O1415" s="8" t="n">
        <v>0</v>
      </c>
      <c r="P1415" s="8" t="n">
        <v>0</v>
      </c>
      <c r="Q1415" s="8" t="n">
        <v>0</v>
      </c>
      <c r="R1415" s="13" t="n">
        <v>0</v>
      </c>
      <c r="S1415" s="13" t="n">
        <v>0</v>
      </c>
      <c r="T1415" s="13"/>
      <c r="U1415" s="11" t="n">
        <f aca="false">O1415*4 + P1415*2 + MAX(0,N1415-O1415-P1415)*1 + Q1415*0.2 + R1415*2 + S1415*1 + IF(T1415="",0,IF(T1415&lt;=10,8,IF(T1415&lt;=50,6,IF(T1415&lt;=100,4,2))))</f>
        <v>0</v>
      </c>
      <c r="V1415" s="7"/>
      <c r="W1415" s="7"/>
      <c r="X1415" s="13"/>
      <c r="Y1415" s="13" t="s">
        <v>6015</v>
      </c>
    </row>
    <row r="1416" customFormat="false" ht="15.75" hidden="false" customHeight="true" outlineLevel="0" collapsed="false">
      <c r="A1416" s="7" t="s">
        <v>6016</v>
      </c>
      <c r="B1416" s="8" t="n">
        <v>2012</v>
      </c>
      <c r="C1416" s="8" t="s">
        <v>176</v>
      </c>
      <c r="D1416" s="8" t="n">
        <v>124</v>
      </c>
      <c r="E1416" s="7" t="s">
        <v>1074</v>
      </c>
      <c r="F1416" s="8" t="n">
        <v>7</v>
      </c>
      <c r="G1416" s="8" t="n">
        <v>7</v>
      </c>
      <c r="H1416" s="9" t="n">
        <v>705375</v>
      </c>
      <c r="I1416" s="7" t="s">
        <v>359</v>
      </c>
      <c r="J1416" s="7" t="s">
        <v>111</v>
      </c>
      <c r="K1416" s="7" t="s">
        <v>852</v>
      </c>
      <c r="L1416" s="10" t="s">
        <v>177</v>
      </c>
      <c r="M1416" s="7" t="s">
        <v>6017</v>
      </c>
      <c r="N1416" s="8" t="n">
        <v>0</v>
      </c>
      <c r="O1416" s="8" t="n">
        <v>0</v>
      </c>
      <c r="P1416" s="8" t="n">
        <v>0</v>
      </c>
      <c r="Q1416" s="8" t="n">
        <v>1</v>
      </c>
      <c r="R1416" s="8" t="n">
        <v>0</v>
      </c>
      <c r="S1416" s="8" t="n">
        <v>0</v>
      </c>
      <c r="T1416" s="13"/>
      <c r="U1416" s="11" t="n">
        <f aca="false">O1416*4 + P1416*2 + MAX(0,N1416-O1416-P1416)*1 + Q1416*0.2 + R1416*2 + S1416*1 + IF(T1416="",0,IF(T1416&lt;=10,8,IF(T1416&lt;=50,6,IF(T1416&lt;=100,4,2))))</f>
        <v>0.2</v>
      </c>
      <c r="V1416" s="7"/>
      <c r="W1416" s="7"/>
      <c r="X1416" s="13"/>
      <c r="Y1416" s="13" t="s">
        <v>6018</v>
      </c>
    </row>
    <row r="1417" customFormat="false" ht="15.75" hidden="false" customHeight="true" outlineLevel="0" collapsed="false">
      <c r="A1417" s="7" t="s">
        <v>6019</v>
      </c>
      <c r="B1417" s="8" t="n">
        <v>2010</v>
      </c>
      <c r="C1417" s="8" t="s">
        <v>176</v>
      </c>
      <c r="D1417" s="8" t="n">
        <v>93</v>
      </c>
      <c r="E1417" s="7" t="s">
        <v>6020</v>
      </c>
      <c r="F1417" s="8" t="n">
        <v>5.5</v>
      </c>
      <c r="G1417" s="8" t="n">
        <v>5</v>
      </c>
      <c r="H1417" s="9" t="n">
        <v>1476</v>
      </c>
      <c r="I1417" s="7" t="s">
        <v>232</v>
      </c>
      <c r="J1417" s="7" t="s">
        <v>29</v>
      </c>
      <c r="K1417" s="7" t="s">
        <v>30</v>
      </c>
      <c r="L1417" s="10"/>
      <c r="M1417" s="10" t="s">
        <v>6021</v>
      </c>
      <c r="N1417" s="8" t="n">
        <v>0</v>
      </c>
      <c r="O1417" s="8" t="n">
        <v>0</v>
      </c>
      <c r="P1417" s="8" t="n">
        <v>0</v>
      </c>
      <c r="Q1417" s="8" t="n">
        <v>0</v>
      </c>
      <c r="R1417" s="13" t="n">
        <v>0</v>
      </c>
      <c r="S1417" s="13" t="n">
        <v>0</v>
      </c>
      <c r="T1417" s="13"/>
      <c r="U1417" s="11" t="n">
        <f aca="false">O1417*4 + P1417*2 + MAX(0,N1417-O1417-P1417)*1 + Q1417*0.2 + R1417*2 + S1417*1 + IF(T1417="",0,IF(T1417&lt;=10,8,IF(T1417&lt;=50,6,IF(T1417&lt;=100,4,2))))</f>
        <v>0</v>
      </c>
      <c r="V1417" s="7"/>
      <c r="W1417" s="7"/>
      <c r="X1417" s="13"/>
      <c r="Y1417" s="13" t="s">
        <v>6022</v>
      </c>
    </row>
    <row r="1418" customFormat="false" ht="15.75" hidden="false" customHeight="true" outlineLevel="0" collapsed="false">
      <c r="A1418" s="7" t="s">
        <v>6023</v>
      </c>
      <c r="B1418" s="8" t="n">
        <v>2008</v>
      </c>
      <c r="C1418" s="8" t="s">
        <v>35</v>
      </c>
      <c r="D1418" s="8" t="n">
        <v>104</v>
      </c>
      <c r="E1418" s="7" t="s">
        <v>5596</v>
      </c>
      <c r="F1418" s="8" t="n">
        <v>6.8</v>
      </c>
      <c r="G1418" s="8" t="n">
        <v>6</v>
      </c>
      <c r="H1418" s="9" t="n">
        <v>407425</v>
      </c>
      <c r="I1418" s="7" t="s">
        <v>46</v>
      </c>
      <c r="J1418" s="7" t="s">
        <v>29</v>
      </c>
      <c r="K1418" s="7" t="s">
        <v>30</v>
      </c>
      <c r="L1418" s="10" t="s">
        <v>636</v>
      </c>
      <c r="M1418" s="7" t="s">
        <v>6024</v>
      </c>
      <c r="N1418" s="8" t="n">
        <v>0</v>
      </c>
      <c r="O1418" s="8" t="n">
        <v>0</v>
      </c>
      <c r="P1418" s="8" t="n">
        <v>0</v>
      </c>
      <c r="Q1418" s="8" t="n">
        <v>0</v>
      </c>
      <c r="R1418" s="13" t="n">
        <v>0</v>
      </c>
      <c r="S1418" s="13" t="n">
        <v>0</v>
      </c>
      <c r="T1418" s="13"/>
      <c r="U1418" s="11" t="n">
        <f aca="false">O1418*4 + P1418*2 + MAX(0,N1418-O1418-P1418)*1 + Q1418*0.2 + R1418*2 + S1418*1 + IF(T1418="",0,IF(T1418&lt;=10,8,IF(T1418&lt;=50,6,IF(T1418&lt;=100,4,2))))</f>
        <v>0</v>
      </c>
      <c r="V1418" s="7"/>
      <c r="W1418" s="7"/>
      <c r="X1418" s="13"/>
      <c r="Y1418" s="13" t="s">
        <v>6025</v>
      </c>
    </row>
    <row r="1419" customFormat="false" ht="15.75" hidden="false" customHeight="true" outlineLevel="0" collapsed="false">
      <c r="A1419" s="7" t="s">
        <v>6026</v>
      </c>
      <c r="B1419" s="8" t="n">
        <v>2003</v>
      </c>
      <c r="C1419" s="8" t="s">
        <v>35</v>
      </c>
      <c r="D1419" s="8" t="n">
        <v>101</v>
      </c>
      <c r="E1419" s="7" t="s">
        <v>6027</v>
      </c>
      <c r="F1419" s="8" t="n">
        <v>6.8</v>
      </c>
      <c r="G1419" s="8" t="n">
        <v>7</v>
      </c>
      <c r="H1419" s="9" t="n">
        <v>474183</v>
      </c>
      <c r="I1419" s="7" t="s">
        <v>46</v>
      </c>
      <c r="J1419" s="7" t="s">
        <v>38</v>
      </c>
      <c r="K1419" s="7" t="s">
        <v>30</v>
      </c>
      <c r="L1419" s="10" t="s">
        <v>113</v>
      </c>
      <c r="M1419" s="7" t="s">
        <v>6028</v>
      </c>
      <c r="N1419" s="8" t="n">
        <v>0</v>
      </c>
      <c r="O1419" s="8" t="n">
        <v>0</v>
      </c>
      <c r="P1419" s="8" t="n">
        <v>0</v>
      </c>
      <c r="Q1419" s="8" t="n">
        <v>0</v>
      </c>
      <c r="R1419" s="13" t="n">
        <v>0</v>
      </c>
      <c r="S1419" s="13" t="n">
        <v>0</v>
      </c>
      <c r="T1419" s="13"/>
      <c r="U1419" s="11" t="n">
        <f aca="false">O1419*4 + P1419*2 + MAX(0,N1419-O1419-P1419)*1 + Q1419*0.2 + R1419*2 + S1419*1 + IF(T1419="",0,IF(T1419&lt;=10,8,IF(T1419&lt;=50,6,IF(T1419&lt;=100,4,2))))</f>
        <v>0</v>
      </c>
      <c r="V1419" s="7"/>
      <c r="W1419" s="7"/>
      <c r="X1419" s="13"/>
      <c r="Y1419" s="13" t="s">
        <v>6029</v>
      </c>
    </row>
    <row r="1420" customFormat="false" ht="15.75" hidden="false" customHeight="true" outlineLevel="0" collapsed="false">
      <c r="A1420" s="7" t="s">
        <v>6030</v>
      </c>
      <c r="B1420" s="8" t="n">
        <v>2005</v>
      </c>
      <c r="C1420" s="8" t="s">
        <v>35</v>
      </c>
      <c r="D1420" s="8" t="n">
        <v>117</v>
      </c>
      <c r="E1420" s="7" t="s">
        <v>321</v>
      </c>
      <c r="F1420" s="8" t="n">
        <v>5.6</v>
      </c>
      <c r="G1420" s="8" t="n">
        <v>8</v>
      </c>
      <c r="H1420" s="9" t="n">
        <v>54732</v>
      </c>
      <c r="I1420" s="7" t="s">
        <v>46</v>
      </c>
      <c r="J1420" s="7" t="s">
        <v>47</v>
      </c>
      <c r="K1420" s="7" t="s">
        <v>54</v>
      </c>
      <c r="L1420" s="10"/>
      <c r="M1420" s="10" t="s">
        <v>6031</v>
      </c>
      <c r="N1420" s="8" t="n">
        <v>0</v>
      </c>
      <c r="O1420" s="8" t="n">
        <v>0</v>
      </c>
      <c r="P1420" s="8" t="n">
        <v>0</v>
      </c>
      <c r="Q1420" s="8" t="n">
        <v>0</v>
      </c>
      <c r="R1420" s="13" t="n">
        <v>0</v>
      </c>
      <c r="S1420" s="13" t="n">
        <v>0</v>
      </c>
      <c r="T1420" s="13"/>
      <c r="U1420" s="11" t="n">
        <f aca="false">O1420*4 + P1420*2 + MAX(0,N1420-O1420-P1420)*1 + Q1420*0.2 + R1420*2 + S1420*1 + IF(T1420="",0,IF(T1420&lt;=10,8,IF(T1420&lt;=50,6,IF(T1420&lt;=100,4,2))))</f>
        <v>0</v>
      </c>
      <c r="V1420" s="7"/>
      <c r="W1420" s="7"/>
      <c r="X1420" s="13"/>
      <c r="Y1420" s="13" t="s">
        <v>6032</v>
      </c>
    </row>
    <row r="1421" customFormat="false" ht="15.75" hidden="false" customHeight="true" outlineLevel="0" collapsed="false">
      <c r="A1421" s="7" t="s">
        <v>6033</v>
      </c>
      <c r="B1421" s="8" t="n">
        <v>2002</v>
      </c>
      <c r="C1421" s="8" t="s">
        <v>35</v>
      </c>
      <c r="D1421" s="8" t="n">
        <v>110</v>
      </c>
      <c r="E1421" s="7" t="s">
        <v>6034</v>
      </c>
      <c r="F1421" s="8" t="n">
        <v>7.2</v>
      </c>
      <c r="G1421" s="8" t="n">
        <v>7</v>
      </c>
      <c r="H1421" s="9" t="n">
        <v>354221</v>
      </c>
      <c r="I1421" s="7" t="s">
        <v>46</v>
      </c>
      <c r="J1421" s="7" t="s">
        <v>90</v>
      </c>
      <c r="K1421" s="7" t="s">
        <v>47</v>
      </c>
      <c r="L1421" s="10"/>
      <c r="M1421" s="7" t="s">
        <v>6035</v>
      </c>
      <c r="N1421" s="8" t="n">
        <v>1</v>
      </c>
      <c r="O1421" s="8" t="n">
        <v>0</v>
      </c>
      <c r="P1421" s="8" t="n">
        <v>0</v>
      </c>
      <c r="Q1421" s="8" t="n">
        <v>1</v>
      </c>
      <c r="R1421" s="8" t="n">
        <v>0</v>
      </c>
      <c r="S1421" s="8" t="n">
        <v>0</v>
      </c>
      <c r="T1421" s="13"/>
      <c r="U1421" s="11" t="n">
        <f aca="false">O1421*4 + P1421*2 + MAX(0,N1421-O1421-P1421)*1 + Q1421*0.2 + R1421*2 + S1421*1 + IF(T1421="",0,IF(T1421&lt;=10,8,IF(T1421&lt;=50,6,IF(T1421&lt;=100,4,2))))</f>
        <v>1.2</v>
      </c>
      <c r="V1421" s="7"/>
      <c r="W1421" s="7"/>
      <c r="X1421" s="13"/>
      <c r="Y1421" s="13" t="s">
        <v>6036</v>
      </c>
    </row>
    <row r="1422" customFormat="false" ht="15.75" hidden="false" customHeight="true" outlineLevel="0" collapsed="false">
      <c r="A1422" s="7" t="s">
        <v>6037</v>
      </c>
      <c r="B1422" s="8" t="n">
        <v>2009</v>
      </c>
      <c r="C1422" s="8" t="s">
        <v>35</v>
      </c>
      <c r="D1422" s="8" t="n">
        <v>158</v>
      </c>
      <c r="E1422" s="7" t="s">
        <v>5640</v>
      </c>
      <c r="F1422" s="8" t="n">
        <v>5.9</v>
      </c>
      <c r="G1422" s="8" t="n">
        <v>6</v>
      </c>
      <c r="H1422" s="9" t="n">
        <v>425208</v>
      </c>
      <c r="I1422" s="7" t="s">
        <v>2168</v>
      </c>
      <c r="J1422" s="7" t="s">
        <v>111</v>
      </c>
      <c r="K1422" s="7" t="s">
        <v>953</v>
      </c>
      <c r="L1422" s="10" t="s">
        <v>281</v>
      </c>
      <c r="M1422" s="7" t="s">
        <v>6038</v>
      </c>
      <c r="N1422" s="8" t="n">
        <v>0</v>
      </c>
      <c r="O1422" s="8" t="n">
        <v>0</v>
      </c>
      <c r="P1422" s="8" t="n">
        <v>0</v>
      </c>
      <c r="Q1422" s="8" t="n">
        <v>0</v>
      </c>
      <c r="R1422" s="13" t="n">
        <v>0</v>
      </c>
      <c r="S1422" s="13" t="n">
        <v>0</v>
      </c>
      <c r="T1422" s="13"/>
      <c r="U1422" s="11" t="n">
        <f aca="false">O1422*4 + P1422*2 + MAX(0,N1422-O1422-P1422)*1 + Q1422*0.2 + R1422*2 + S1422*1 + IF(T1422="",0,IF(T1422&lt;=10,8,IF(T1422&lt;=50,6,IF(T1422&lt;=100,4,2))))</f>
        <v>0</v>
      </c>
      <c r="V1422" s="7"/>
      <c r="W1422" s="7"/>
      <c r="X1422" s="13"/>
      <c r="Y1422" s="13" t="s">
        <v>6039</v>
      </c>
    </row>
    <row r="1423" customFormat="false" ht="15.75" hidden="false" customHeight="true" outlineLevel="0" collapsed="false">
      <c r="A1423" s="7" t="s">
        <v>6040</v>
      </c>
      <c r="B1423" s="8" t="n">
        <v>2004</v>
      </c>
      <c r="C1423" s="8" t="s">
        <v>35</v>
      </c>
      <c r="D1423" s="8" t="n">
        <v>131</v>
      </c>
      <c r="E1423" s="7" t="s">
        <v>6041</v>
      </c>
      <c r="F1423" s="8" t="n">
        <v>6.1</v>
      </c>
      <c r="G1423" s="8" t="n">
        <v>6</v>
      </c>
      <c r="H1423" s="9" t="n">
        <v>309030</v>
      </c>
      <c r="I1423" s="7" t="s">
        <v>2204</v>
      </c>
      <c r="J1423" s="7" t="s">
        <v>38</v>
      </c>
      <c r="K1423" s="7" t="s">
        <v>3805</v>
      </c>
      <c r="L1423" s="10" t="s">
        <v>192</v>
      </c>
      <c r="M1423" s="7" t="s">
        <v>6042</v>
      </c>
      <c r="N1423" s="8" t="n">
        <v>0</v>
      </c>
      <c r="O1423" s="8" t="n">
        <v>0</v>
      </c>
      <c r="P1423" s="8" t="n">
        <v>0</v>
      </c>
      <c r="Q1423" s="8" t="n">
        <v>0</v>
      </c>
      <c r="R1423" s="13" t="n">
        <v>0</v>
      </c>
      <c r="S1423" s="13" t="n">
        <v>0</v>
      </c>
      <c r="T1423" s="13"/>
      <c r="U1423" s="11" t="n">
        <f aca="false">O1423*4 + P1423*2 + MAX(0,N1423-O1423-P1423)*1 + Q1423*0.2 + R1423*2 + S1423*1 + IF(T1423="",0,IF(T1423&lt;=10,8,IF(T1423&lt;=50,6,IF(T1423&lt;=100,4,2))))</f>
        <v>0</v>
      </c>
      <c r="V1423" s="7"/>
      <c r="W1423" s="7"/>
      <c r="X1423" s="13"/>
      <c r="Y1423" s="13" t="s">
        <v>6043</v>
      </c>
    </row>
    <row r="1424" customFormat="false" ht="15.75" hidden="false" customHeight="true" outlineLevel="0" collapsed="false">
      <c r="A1424" s="7" t="s">
        <v>6044</v>
      </c>
      <c r="B1424" s="8" t="n">
        <v>2003</v>
      </c>
      <c r="C1424" s="8" t="s">
        <v>35</v>
      </c>
      <c r="D1424" s="8" t="n">
        <v>98</v>
      </c>
      <c r="E1424" s="7" t="s">
        <v>6045</v>
      </c>
      <c r="F1424" s="8" t="n">
        <v>5.8</v>
      </c>
      <c r="G1424" s="8" t="n">
        <v>6</v>
      </c>
      <c r="H1424" s="9" t="n">
        <v>124068</v>
      </c>
      <c r="I1424" s="7" t="s">
        <v>46</v>
      </c>
      <c r="J1424" s="7" t="s">
        <v>147</v>
      </c>
      <c r="K1424" s="7" t="s">
        <v>1455</v>
      </c>
      <c r="L1424" s="10"/>
      <c r="M1424" s="10" t="s">
        <v>6046</v>
      </c>
      <c r="N1424" s="8" t="n">
        <v>0</v>
      </c>
      <c r="O1424" s="8" t="n">
        <v>0</v>
      </c>
      <c r="P1424" s="8" t="n">
        <v>0</v>
      </c>
      <c r="Q1424" s="8" t="n">
        <v>0</v>
      </c>
      <c r="R1424" s="13" t="n">
        <v>0</v>
      </c>
      <c r="S1424" s="13" t="n">
        <v>0</v>
      </c>
      <c r="T1424" s="13"/>
      <c r="U1424" s="11" t="n">
        <f aca="false">O1424*4 + P1424*2 + MAX(0,N1424-O1424-P1424)*1 + Q1424*0.2 + R1424*2 + S1424*1 + IF(T1424="",0,IF(T1424&lt;=10,8,IF(T1424&lt;=50,6,IF(T1424&lt;=100,4,2))))</f>
        <v>0</v>
      </c>
      <c r="V1424" s="7"/>
      <c r="W1424" s="7"/>
      <c r="X1424" s="13"/>
      <c r="Y1424" s="13" t="s">
        <v>6047</v>
      </c>
    </row>
    <row r="1425" customFormat="false" ht="15.75" hidden="false" customHeight="true" outlineLevel="0" collapsed="false">
      <c r="A1425" s="7" t="s">
        <v>6048</v>
      </c>
      <c r="B1425" s="8" t="n">
        <v>2012</v>
      </c>
      <c r="C1425" s="8" t="s">
        <v>176</v>
      </c>
      <c r="D1425" s="8" t="n">
        <v>103</v>
      </c>
      <c r="E1425" s="7" t="s">
        <v>5292</v>
      </c>
      <c r="F1425" s="8" t="n">
        <v>6.6</v>
      </c>
      <c r="G1425" s="8" t="n">
        <v>7</v>
      </c>
      <c r="H1425" s="9" t="n">
        <v>335860</v>
      </c>
      <c r="I1425" s="7" t="s">
        <v>46</v>
      </c>
      <c r="J1425" s="7" t="s">
        <v>131</v>
      </c>
      <c r="K1425" s="7" t="s">
        <v>112</v>
      </c>
      <c r="L1425" s="10"/>
      <c r="M1425" s="7" t="s">
        <v>6049</v>
      </c>
      <c r="N1425" s="8" t="n">
        <v>0</v>
      </c>
      <c r="O1425" s="8" t="n">
        <v>0</v>
      </c>
      <c r="P1425" s="8" t="n">
        <v>0</v>
      </c>
      <c r="Q1425" s="8" t="n">
        <v>0</v>
      </c>
      <c r="R1425" s="13" t="n">
        <v>0</v>
      </c>
      <c r="S1425" s="13" t="n">
        <v>0</v>
      </c>
      <c r="T1425" s="13"/>
      <c r="U1425" s="11" t="n">
        <f aca="false">O1425*4 + P1425*2 + MAX(0,N1425-O1425-P1425)*1 + Q1425*0.2 + R1425*2 + S1425*1 + IF(T1425="",0,IF(T1425&lt;=10,8,IF(T1425&lt;=50,6,IF(T1425&lt;=100,4,2))))</f>
        <v>0</v>
      </c>
      <c r="V1425" s="7"/>
      <c r="W1425" s="7"/>
      <c r="X1425" s="13"/>
      <c r="Y1425" s="13" t="s">
        <v>6050</v>
      </c>
    </row>
    <row r="1426" customFormat="false" ht="15.75" hidden="false" customHeight="true" outlineLevel="0" collapsed="false">
      <c r="A1426" s="7" t="s">
        <v>6051</v>
      </c>
      <c r="B1426" s="8" t="n">
        <v>2003</v>
      </c>
      <c r="C1426" s="8" t="s">
        <v>35</v>
      </c>
      <c r="D1426" s="8" t="n">
        <v>113</v>
      </c>
      <c r="E1426" s="7" t="s">
        <v>6052</v>
      </c>
      <c r="F1426" s="8" t="n">
        <v>6.2</v>
      </c>
      <c r="G1426" s="8" t="n">
        <v>6</v>
      </c>
      <c r="H1426" s="9" t="n">
        <v>3233</v>
      </c>
      <c r="I1426" s="7" t="s">
        <v>232</v>
      </c>
      <c r="J1426" s="7" t="s">
        <v>30</v>
      </c>
      <c r="K1426" s="7" t="s">
        <v>75</v>
      </c>
      <c r="L1426" s="10" t="s">
        <v>972</v>
      </c>
      <c r="M1426" s="10" t="s">
        <v>6053</v>
      </c>
      <c r="N1426" s="8" t="n">
        <v>0</v>
      </c>
      <c r="O1426" s="8" t="n">
        <v>0</v>
      </c>
      <c r="P1426" s="8" t="n">
        <v>0</v>
      </c>
      <c r="Q1426" s="8" t="n">
        <v>0</v>
      </c>
      <c r="R1426" s="13" t="n">
        <v>0</v>
      </c>
      <c r="S1426" s="13" t="n">
        <v>0</v>
      </c>
      <c r="T1426" s="13"/>
      <c r="U1426" s="11" t="n">
        <f aca="false">O1426*4 + P1426*2 + MAX(0,N1426-O1426-P1426)*1 + Q1426*0.2 + R1426*2 + S1426*1 + IF(T1426="",0,IF(T1426&lt;=10,8,IF(T1426&lt;=50,6,IF(T1426&lt;=100,4,2))))</f>
        <v>0</v>
      </c>
      <c r="V1426" s="7"/>
      <c r="W1426" s="7"/>
      <c r="X1426" s="13"/>
      <c r="Y1426" s="13" t="s">
        <v>6054</v>
      </c>
    </row>
    <row r="1427" customFormat="false" ht="15.75" hidden="false" customHeight="true" outlineLevel="0" collapsed="false">
      <c r="A1427" s="7" t="s">
        <v>6055</v>
      </c>
      <c r="B1427" s="8" t="n">
        <v>2009</v>
      </c>
      <c r="C1427" s="8" t="s">
        <v>35</v>
      </c>
      <c r="D1427" s="8" t="n">
        <v>104</v>
      </c>
      <c r="E1427" s="7" t="s">
        <v>6056</v>
      </c>
      <c r="F1427" s="8" t="n">
        <v>4.8</v>
      </c>
      <c r="G1427" s="8" t="n">
        <v>6</v>
      </c>
      <c r="H1427" s="9" t="n">
        <v>2585</v>
      </c>
      <c r="I1427" s="7" t="s">
        <v>232</v>
      </c>
      <c r="J1427" s="7" t="s">
        <v>29</v>
      </c>
      <c r="K1427" s="7" t="s">
        <v>30</v>
      </c>
      <c r="L1427" s="10" t="s">
        <v>113</v>
      </c>
      <c r="M1427" s="10" t="s">
        <v>6057</v>
      </c>
      <c r="N1427" s="8" t="n">
        <v>0</v>
      </c>
      <c r="O1427" s="8" t="n">
        <v>0</v>
      </c>
      <c r="P1427" s="8" t="n">
        <v>0</v>
      </c>
      <c r="Q1427" s="8" t="n">
        <v>0</v>
      </c>
      <c r="R1427" s="13" t="n">
        <v>0</v>
      </c>
      <c r="S1427" s="13" t="n">
        <v>0</v>
      </c>
      <c r="T1427" s="13"/>
      <c r="U1427" s="11" t="n">
        <f aca="false">O1427*4 + P1427*2 + MAX(0,N1427-O1427-P1427)*1 + Q1427*0.2 + R1427*2 + S1427*1 + IF(T1427="",0,IF(T1427&lt;=10,8,IF(T1427&lt;=50,6,IF(T1427&lt;=100,4,2))))</f>
        <v>0</v>
      </c>
      <c r="V1427" s="7"/>
      <c r="W1427" s="7"/>
      <c r="X1427" s="13"/>
      <c r="Y1427" s="13" t="s">
        <v>6058</v>
      </c>
    </row>
    <row r="1428" customFormat="false" ht="15.75" hidden="false" customHeight="true" outlineLevel="0" collapsed="false">
      <c r="A1428" s="7" t="s">
        <v>6059</v>
      </c>
      <c r="B1428" s="8" t="n">
        <v>2001</v>
      </c>
      <c r="C1428" s="8" t="s">
        <v>35</v>
      </c>
      <c r="D1428" s="8" t="n">
        <v>114</v>
      </c>
      <c r="E1428" s="7" t="s">
        <v>6060</v>
      </c>
      <c r="F1428" s="8" t="n">
        <v>6</v>
      </c>
      <c r="G1428" s="8" t="n">
        <v>7</v>
      </c>
      <c r="H1428" s="9" t="n">
        <v>155343</v>
      </c>
      <c r="I1428" s="7" t="s">
        <v>46</v>
      </c>
      <c r="J1428" s="7" t="s">
        <v>38</v>
      </c>
      <c r="K1428" s="7" t="s">
        <v>30</v>
      </c>
      <c r="L1428" s="10" t="s">
        <v>177</v>
      </c>
      <c r="M1428" s="10" t="s">
        <v>6061</v>
      </c>
      <c r="N1428" s="8" t="n">
        <v>0</v>
      </c>
      <c r="O1428" s="8" t="n">
        <v>0</v>
      </c>
      <c r="P1428" s="8" t="n">
        <v>0</v>
      </c>
      <c r="Q1428" s="8" t="n">
        <v>0</v>
      </c>
      <c r="R1428" s="13" t="n">
        <v>0</v>
      </c>
      <c r="S1428" s="13" t="n">
        <v>0</v>
      </c>
      <c r="T1428" s="13"/>
      <c r="U1428" s="11" t="n">
        <f aca="false">O1428*4 + P1428*2 + MAX(0,N1428-O1428-P1428)*1 + Q1428*0.2 + R1428*2 + S1428*1 + IF(T1428="",0,IF(T1428&lt;=10,8,IF(T1428&lt;=50,6,IF(T1428&lt;=100,4,2))))</f>
        <v>0</v>
      </c>
      <c r="V1428" s="7"/>
      <c r="W1428" s="7"/>
      <c r="X1428" s="13"/>
      <c r="Y1428" s="13" t="s">
        <v>6062</v>
      </c>
    </row>
    <row r="1429" customFormat="false" ht="15.75" hidden="false" customHeight="true" outlineLevel="0" collapsed="false">
      <c r="A1429" s="7" t="s">
        <v>6063</v>
      </c>
      <c r="B1429" s="8" t="n">
        <v>2002</v>
      </c>
      <c r="C1429" s="8" t="s">
        <v>35</v>
      </c>
      <c r="D1429" s="8" t="n">
        <v>101</v>
      </c>
      <c r="E1429" s="7" t="s">
        <v>6064</v>
      </c>
      <c r="F1429" s="8" t="n">
        <v>7.3</v>
      </c>
      <c r="G1429" s="8" t="n">
        <v>8</v>
      </c>
      <c r="H1429" s="9" t="n">
        <v>232518</v>
      </c>
      <c r="I1429" s="7" t="s">
        <v>46</v>
      </c>
      <c r="J1429" s="7" t="s">
        <v>29</v>
      </c>
      <c r="K1429" s="7" t="s">
        <v>47</v>
      </c>
      <c r="L1429" s="10"/>
      <c r="M1429" s="10" t="s">
        <v>6065</v>
      </c>
      <c r="N1429" s="8" t="n">
        <v>0</v>
      </c>
      <c r="O1429" s="8" t="n">
        <v>0</v>
      </c>
      <c r="P1429" s="8" t="n">
        <v>0</v>
      </c>
      <c r="Q1429" s="8" t="n">
        <v>0</v>
      </c>
      <c r="R1429" s="13" t="n">
        <v>0</v>
      </c>
      <c r="S1429" s="13" t="n">
        <v>0</v>
      </c>
      <c r="T1429" s="13"/>
      <c r="U1429" s="11" t="n">
        <f aca="false">O1429*4 + P1429*2 + MAX(0,N1429-O1429-P1429)*1 + Q1429*0.2 + R1429*2 + S1429*1 + IF(T1429="",0,IF(T1429&lt;=10,8,IF(T1429&lt;=50,6,IF(T1429&lt;=100,4,2))))</f>
        <v>0</v>
      </c>
      <c r="V1429" s="7"/>
      <c r="W1429" s="7"/>
      <c r="X1429" s="13"/>
      <c r="Y1429" s="13" t="s">
        <v>6066</v>
      </c>
    </row>
    <row r="1430" customFormat="false" ht="15.75" hidden="false" customHeight="true" outlineLevel="0" collapsed="false">
      <c r="A1430" s="7" t="s">
        <v>6067</v>
      </c>
      <c r="B1430" s="8" t="n">
        <v>2007</v>
      </c>
      <c r="C1430" s="8" t="s">
        <v>35</v>
      </c>
      <c r="D1430" s="8" t="n">
        <v>96</v>
      </c>
      <c r="E1430" s="7" t="s">
        <v>6068</v>
      </c>
      <c r="F1430" s="8" t="n">
        <v>6.2</v>
      </c>
      <c r="G1430" s="8" t="n">
        <v>4</v>
      </c>
      <c r="H1430" s="9" t="n">
        <v>175897</v>
      </c>
      <c r="I1430" s="7" t="s">
        <v>46</v>
      </c>
      <c r="J1430" s="7" t="s">
        <v>111</v>
      </c>
      <c r="K1430" s="7" t="s">
        <v>131</v>
      </c>
      <c r="L1430" s="10" t="s">
        <v>4251</v>
      </c>
      <c r="M1430" s="10" t="s">
        <v>6069</v>
      </c>
      <c r="N1430" s="8" t="n">
        <v>0</v>
      </c>
      <c r="O1430" s="8" t="n">
        <v>0</v>
      </c>
      <c r="P1430" s="8" t="n">
        <v>0</v>
      </c>
      <c r="Q1430" s="8" t="n">
        <v>0</v>
      </c>
      <c r="R1430" s="13" t="n">
        <v>0</v>
      </c>
      <c r="S1430" s="13" t="n">
        <v>0</v>
      </c>
      <c r="T1430" s="13"/>
      <c r="U1430" s="11" t="n">
        <f aca="false">O1430*4 + P1430*2 + MAX(0,N1430-O1430-P1430)*1 + Q1430*0.2 + R1430*2 + S1430*1 + IF(T1430="",0,IF(T1430&lt;=10,8,IF(T1430&lt;=50,6,IF(T1430&lt;=100,4,2))))</f>
        <v>0</v>
      </c>
      <c r="V1430" s="7"/>
      <c r="W1430" s="7"/>
      <c r="X1430" s="13"/>
      <c r="Y1430" s="13" t="s">
        <v>6070</v>
      </c>
    </row>
    <row r="1431" customFormat="false" ht="15.75" hidden="false" customHeight="true" outlineLevel="0" collapsed="false">
      <c r="A1431" s="7" t="s">
        <v>6071</v>
      </c>
      <c r="B1431" s="8" t="n">
        <v>2006</v>
      </c>
      <c r="C1431" s="8" t="s">
        <v>35</v>
      </c>
      <c r="D1431" s="8" t="n">
        <v>113</v>
      </c>
      <c r="E1431" s="7" t="s">
        <v>1870</v>
      </c>
      <c r="F1431" s="8" t="n">
        <v>6.9</v>
      </c>
      <c r="G1431" s="8" t="n">
        <v>6</v>
      </c>
      <c r="H1431" s="9" t="n">
        <v>33322</v>
      </c>
      <c r="I1431" s="7" t="s">
        <v>2270</v>
      </c>
      <c r="J1431" s="7" t="s">
        <v>47</v>
      </c>
      <c r="K1431" s="7" t="s">
        <v>48</v>
      </c>
      <c r="L1431" s="10"/>
      <c r="M1431" s="10" t="s">
        <v>6072</v>
      </c>
      <c r="N1431" s="8" t="n">
        <v>0</v>
      </c>
      <c r="O1431" s="8" t="n">
        <v>0</v>
      </c>
      <c r="P1431" s="8" t="n">
        <v>0</v>
      </c>
      <c r="Q1431" s="8" t="n">
        <v>0</v>
      </c>
      <c r="R1431" s="13" t="n">
        <v>0</v>
      </c>
      <c r="S1431" s="13" t="n">
        <v>0</v>
      </c>
      <c r="T1431" s="13"/>
      <c r="U1431" s="11" t="n">
        <f aca="false">O1431*4 + P1431*2 + MAX(0,N1431-O1431-P1431)*1 + Q1431*0.2 + R1431*2 + S1431*1 + IF(T1431="",0,IF(T1431&lt;=10,8,IF(T1431&lt;=50,6,IF(T1431&lt;=100,4,2))))</f>
        <v>0</v>
      </c>
      <c r="V1431" s="7"/>
      <c r="W1431" s="7"/>
      <c r="X1431" s="13"/>
      <c r="Y1431" s="13" t="s">
        <v>6073</v>
      </c>
    </row>
    <row r="1432" customFormat="false" ht="15.75" hidden="false" customHeight="true" outlineLevel="0" collapsed="false">
      <c r="A1432" s="7" t="s">
        <v>6074</v>
      </c>
      <c r="B1432" s="8" t="n">
        <v>2012</v>
      </c>
      <c r="C1432" s="8" t="s">
        <v>176</v>
      </c>
      <c r="D1432" s="8" t="n">
        <v>104</v>
      </c>
      <c r="E1432" s="7" t="s">
        <v>6075</v>
      </c>
      <c r="F1432" s="8" t="n">
        <v>6.8</v>
      </c>
      <c r="G1432" s="8" t="n">
        <v>5</v>
      </c>
      <c r="H1432" s="9" t="n">
        <v>215187</v>
      </c>
      <c r="I1432" s="7" t="s">
        <v>46</v>
      </c>
      <c r="J1432" s="7" t="s">
        <v>29</v>
      </c>
      <c r="K1432" s="7" t="s">
        <v>47</v>
      </c>
      <c r="L1432" s="10" t="s">
        <v>187</v>
      </c>
      <c r="M1432" s="10" t="s">
        <v>6076</v>
      </c>
      <c r="N1432" s="8" t="n">
        <v>0</v>
      </c>
      <c r="O1432" s="8" t="n">
        <v>0</v>
      </c>
      <c r="P1432" s="8" t="n">
        <v>0</v>
      </c>
      <c r="Q1432" s="8" t="n">
        <v>0</v>
      </c>
      <c r="R1432" s="13" t="n">
        <v>0</v>
      </c>
      <c r="S1432" s="13" t="n">
        <v>0</v>
      </c>
      <c r="T1432" s="13"/>
      <c r="U1432" s="11" t="n">
        <f aca="false">O1432*4 + P1432*2 + MAX(0,N1432-O1432-P1432)*1 + Q1432*0.2 + R1432*2 + S1432*1 + IF(T1432="",0,IF(T1432&lt;=10,8,IF(T1432&lt;=50,6,IF(T1432&lt;=100,4,2))))</f>
        <v>0</v>
      </c>
      <c r="V1432" s="7"/>
      <c r="W1432" s="7"/>
      <c r="X1432" s="13"/>
      <c r="Y1432" s="13" t="s">
        <v>6077</v>
      </c>
    </row>
    <row r="1433" customFormat="false" ht="15.75" hidden="false" customHeight="true" outlineLevel="0" collapsed="false">
      <c r="A1433" s="7" t="s">
        <v>6078</v>
      </c>
      <c r="B1433" s="8" t="n">
        <v>1999</v>
      </c>
      <c r="C1433" s="8" t="s">
        <v>26</v>
      </c>
      <c r="D1433" s="8" t="n">
        <v>139</v>
      </c>
      <c r="E1433" s="7" t="s">
        <v>225</v>
      </c>
      <c r="F1433" s="8" t="n">
        <v>8.8</v>
      </c>
      <c r="G1433" s="8" t="n">
        <v>9</v>
      </c>
      <c r="H1433" s="9" t="n">
        <v>2647311</v>
      </c>
      <c r="I1433" s="7" t="s">
        <v>2011</v>
      </c>
      <c r="J1433" s="7" t="s">
        <v>131</v>
      </c>
      <c r="K1433" s="7" t="s">
        <v>54</v>
      </c>
      <c r="L1433" s="10" t="s">
        <v>6079</v>
      </c>
      <c r="M1433" s="7" t="s">
        <v>6080</v>
      </c>
      <c r="N1433" s="8" t="n">
        <v>0</v>
      </c>
      <c r="O1433" s="8" t="n">
        <v>0</v>
      </c>
      <c r="P1433" s="8" t="n">
        <v>0</v>
      </c>
      <c r="Q1433" s="8" t="n">
        <v>1</v>
      </c>
      <c r="R1433" s="8" t="n">
        <v>0</v>
      </c>
      <c r="S1433" s="8" t="n">
        <v>0</v>
      </c>
      <c r="T1433" s="8"/>
      <c r="U1433" s="11" t="n">
        <f aca="false">O1433*4 + P1433*2 + MAX(0,N1433-O1433-P1433)*1 + Q1433*0.2 + R1433*2 + S1433*1 + IF(T1433="",0,IF(T1433&lt;=10,8,IF(T1433&lt;=50,6,IF(T1433&lt;=100,4,2))))</f>
        <v>0.2</v>
      </c>
      <c r="V1433" s="7"/>
      <c r="W1433" s="7"/>
      <c r="X1433" s="13"/>
      <c r="Y1433" s="13" t="s">
        <v>6081</v>
      </c>
    </row>
    <row r="1434" customFormat="false" ht="15.75" hidden="false" customHeight="true" outlineLevel="0" collapsed="false">
      <c r="A1434" s="7" t="s">
        <v>6082</v>
      </c>
      <c r="B1434" s="8" t="n">
        <v>2011</v>
      </c>
      <c r="C1434" s="8" t="s">
        <v>176</v>
      </c>
      <c r="D1434" s="8" t="n">
        <v>107</v>
      </c>
      <c r="E1434" s="7" t="s">
        <v>2032</v>
      </c>
      <c r="F1434" s="8" t="n">
        <v>7.3</v>
      </c>
      <c r="G1434" s="8" t="n">
        <v>6</v>
      </c>
      <c r="H1434" s="9" t="n">
        <v>323151</v>
      </c>
      <c r="I1434" s="7" t="s">
        <v>46</v>
      </c>
      <c r="J1434" s="7" t="s">
        <v>579</v>
      </c>
      <c r="K1434" s="7" t="s">
        <v>112</v>
      </c>
      <c r="L1434" s="10" t="s">
        <v>226</v>
      </c>
      <c r="M1434" s="7" t="s">
        <v>6083</v>
      </c>
      <c r="N1434" s="8" t="n">
        <v>1</v>
      </c>
      <c r="O1434" s="8" t="n">
        <v>0</v>
      </c>
      <c r="P1434" s="8" t="n">
        <v>0</v>
      </c>
      <c r="Q1434" s="8" t="n">
        <v>1</v>
      </c>
      <c r="R1434" s="8" t="n">
        <v>0</v>
      </c>
      <c r="S1434" s="8" t="n">
        <v>0</v>
      </c>
      <c r="T1434" s="13"/>
      <c r="U1434" s="11" t="n">
        <f aca="false">O1434*4 + P1434*2 + MAX(0,N1434-O1434-P1434)*1 + Q1434*0.2 + R1434*2 + S1434*1 + IF(T1434="",0,IF(T1434&lt;=10,8,IF(T1434&lt;=50,6,IF(T1434&lt;=100,4,2))))</f>
        <v>1.2</v>
      </c>
      <c r="V1434" s="7"/>
      <c r="W1434" s="7"/>
      <c r="X1434" s="13"/>
      <c r="Y1434" s="13" t="s">
        <v>6084</v>
      </c>
    </row>
    <row r="1435" customFormat="false" ht="15.75" hidden="false" customHeight="true" outlineLevel="0" collapsed="false">
      <c r="A1435" s="7" t="s">
        <v>6085</v>
      </c>
      <c r="B1435" s="8" t="n">
        <v>2012</v>
      </c>
      <c r="C1435" s="8" t="s">
        <v>176</v>
      </c>
      <c r="D1435" s="8" t="n">
        <v>83</v>
      </c>
      <c r="E1435" s="7" t="s">
        <v>5064</v>
      </c>
      <c r="F1435" s="8" t="n">
        <v>6.5</v>
      </c>
      <c r="G1435" s="8" t="n">
        <v>6</v>
      </c>
      <c r="H1435" s="9" t="n">
        <v>371604</v>
      </c>
      <c r="I1435" s="7" t="s">
        <v>46</v>
      </c>
      <c r="J1435" s="7" t="s">
        <v>30</v>
      </c>
      <c r="K1435" s="7"/>
      <c r="L1435" s="10" t="s">
        <v>192</v>
      </c>
      <c r="M1435" s="7" t="s">
        <v>6086</v>
      </c>
      <c r="N1435" s="8" t="n">
        <v>0</v>
      </c>
      <c r="O1435" s="8" t="n">
        <v>0</v>
      </c>
      <c r="P1435" s="8" t="n">
        <v>0</v>
      </c>
      <c r="Q1435" s="8" t="n">
        <v>0</v>
      </c>
      <c r="R1435" s="13" t="n">
        <v>0</v>
      </c>
      <c r="S1435" s="13" t="n">
        <v>0</v>
      </c>
      <c r="T1435" s="13"/>
      <c r="U1435" s="11" t="n">
        <f aca="false">O1435*4 + P1435*2 + MAX(0,N1435-O1435-P1435)*1 + Q1435*0.2 + R1435*2 + S1435*1 + IF(T1435="",0,IF(T1435&lt;=10,8,IF(T1435&lt;=50,6,IF(T1435&lt;=100,4,2))))</f>
        <v>0</v>
      </c>
      <c r="V1435" s="7"/>
      <c r="W1435" s="7"/>
      <c r="X1435" s="13"/>
      <c r="Y1435" s="13" t="s">
        <v>6087</v>
      </c>
    </row>
    <row r="1436" customFormat="false" ht="15.75" hidden="false" customHeight="true" outlineLevel="0" collapsed="false">
      <c r="A1436" s="7" t="s">
        <v>6088</v>
      </c>
      <c r="B1436" s="8" t="n">
        <v>2011</v>
      </c>
      <c r="C1436" s="8" t="s">
        <v>176</v>
      </c>
      <c r="D1436" s="8" t="n">
        <v>106</v>
      </c>
      <c r="E1436" s="7" t="s">
        <v>6089</v>
      </c>
      <c r="F1436" s="8" t="n">
        <v>4.6</v>
      </c>
      <c r="G1436" s="8" t="n">
        <v>5</v>
      </c>
      <c r="H1436" s="9" t="n">
        <v>1240</v>
      </c>
      <c r="I1436" s="7" t="s">
        <v>232</v>
      </c>
      <c r="J1436" s="7" t="s">
        <v>29</v>
      </c>
      <c r="K1436" s="7" t="s">
        <v>30</v>
      </c>
      <c r="L1436" s="10" t="s">
        <v>113</v>
      </c>
      <c r="M1436" s="10" t="s">
        <v>6090</v>
      </c>
      <c r="N1436" s="8" t="n">
        <v>0</v>
      </c>
      <c r="O1436" s="8" t="n">
        <v>0</v>
      </c>
      <c r="P1436" s="8" t="n">
        <v>0</v>
      </c>
      <c r="Q1436" s="8" t="n">
        <v>0</v>
      </c>
      <c r="R1436" s="13" t="n">
        <v>0</v>
      </c>
      <c r="S1436" s="13" t="n">
        <v>0</v>
      </c>
      <c r="T1436" s="13"/>
      <c r="U1436" s="11" t="n">
        <f aca="false">O1436*4 + P1436*2 + MAX(0,N1436-O1436-P1436)*1 + Q1436*0.2 + R1436*2 + S1436*1 + IF(T1436="",0,IF(T1436&lt;=10,8,IF(T1436&lt;=50,6,IF(T1436&lt;=100,4,2))))</f>
        <v>0</v>
      </c>
      <c r="V1436" s="7"/>
      <c r="W1436" s="7"/>
      <c r="X1436" s="13"/>
      <c r="Y1436" s="13" t="s">
        <v>6091</v>
      </c>
    </row>
    <row r="1437" customFormat="false" ht="15.75" hidden="false" customHeight="true" outlineLevel="0" collapsed="false">
      <c r="A1437" s="7" t="s">
        <v>6092</v>
      </c>
      <c r="B1437" s="8" t="n">
        <v>2009</v>
      </c>
      <c r="C1437" s="8" t="s">
        <v>35</v>
      </c>
      <c r="D1437" s="8" t="n">
        <v>104</v>
      </c>
      <c r="E1437" s="7" t="s">
        <v>6093</v>
      </c>
      <c r="F1437" s="8" t="n">
        <v>5.8</v>
      </c>
      <c r="G1437" s="8" t="n">
        <v>5</v>
      </c>
      <c r="H1437" s="9" t="n">
        <v>107017</v>
      </c>
      <c r="I1437" s="7" t="s">
        <v>6094</v>
      </c>
      <c r="J1437" s="7" t="s">
        <v>147</v>
      </c>
      <c r="K1437" s="7" t="s">
        <v>111</v>
      </c>
      <c r="L1437" s="10"/>
      <c r="M1437" s="10" t="s">
        <v>6095</v>
      </c>
      <c r="N1437" s="8" t="n">
        <v>0</v>
      </c>
      <c r="O1437" s="8" t="n">
        <v>0</v>
      </c>
      <c r="P1437" s="8" t="n">
        <v>0</v>
      </c>
      <c r="Q1437" s="8" t="n">
        <v>0</v>
      </c>
      <c r="R1437" s="13" t="n">
        <v>0</v>
      </c>
      <c r="S1437" s="13" t="n">
        <v>0</v>
      </c>
      <c r="T1437" s="13"/>
      <c r="U1437" s="11" t="n">
        <f aca="false">O1437*4 + P1437*2 + MAX(0,N1437-O1437-P1437)*1 + Q1437*0.2 + R1437*2 + S1437*1 + IF(T1437="",0,IF(T1437&lt;=10,8,IF(T1437&lt;=50,6,IF(T1437&lt;=100,4,2))))</f>
        <v>0</v>
      </c>
      <c r="V1437" s="7"/>
      <c r="W1437" s="7"/>
      <c r="X1437" s="13"/>
      <c r="Y1437" s="13" t="s">
        <v>6096</v>
      </c>
    </row>
    <row r="1438" customFormat="false" ht="15.75" hidden="false" customHeight="true" outlineLevel="0" collapsed="false">
      <c r="A1438" s="7" t="s">
        <v>6097</v>
      </c>
      <c r="B1438" s="8" t="n">
        <v>2010</v>
      </c>
      <c r="C1438" s="8" t="s">
        <v>176</v>
      </c>
      <c r="D1438" s="8" t="n">
        <v>111</v>
      </c>
      <c r="E1438" s="7" t="s">
        <v>6098</v>
      </c>
      <c r="F1438" s="8" t="n">
        <v>7</v>
      </c>
      <c r="G1438" s="8" t="n">
        <v>5</v>
      </c>
      <c r="H1438" s="9" t="n">
        <v>340404</v>
      </c>
      <c r="I1438" s="7" t="s">
        <v>46</v>
      </c>
      <c r="J1438" s="7" t="s">
        <v>112</v>
      </c>
      <c r="K1438" s="7" t="s">
        <v>245</v>
      </c>
      <c r="L1438" s="10" t="s">
        <v>5733</v>
      </c>
      <c r="M1438" s="7" t="s">
        <v>6099</v>
      </c>
      <c r="N1438" s="8" t="n">
        <v>0</v>
      </c>
      <c r="O1438" s="8" t="n">
        <v>0</v>
      </c>
      <c r="P1438" s="8" t="n">
        <v>0</v>
      </c>
      <c r="Q1438" s="8" t="n">
        <v>0</v>
      </c>
      <c r="R1438" s="13" t="n">
        <v>0</v>
      </c>
      <c r="S1438" s="13" t="n">
        <v>0</v>
      </c>
      <c r="T1438" s="13"/>
      <c r="U1438" s="11" t="n">
        <f aca="false">O1438*4 + P1438*2 + MAX(0,N1438-O1438-P1438)*1 + Q1438*0.2 + R1438*2 + S1438*1 + IF(T1438="",0,IF(T1438&lt;=10,8,IF(T1438&lt;=50,6,IF(T1438&lt;=100,4,2))))</f>
        <v>0</v>
      </c>
      <c r="V1438" s="7"/>
      <c r="W1438" s="7"/>
      <c r="X1438" s="13"/>
      <c r="Y1438" s="13" t="s">
        <v>6100</v>
      </c>
    </row>
    <row r="1439" customFormat="false" ht="15.75" hidden="false" customHeight="true" outlineLevel="0" collapsed="false">
      <c r="A1439" s="7" t="s">
        <v>6101</v>
      </c>
      <c r="B1439" s="8" t="n">
        <v>1993</v>
      </c>
      <c r="C1439" s="8" t="s">
        <v>26</v>
      </c>
      <c r="D1439" s="8" t="n">
        <v>108</v>
      </c>
      <c r="E1439" s="7" t="s">
        <v>6041</v>
      </c>
      <c r="F1439" s="8" t="n">
        <v>6.2</v>
      </c>
      <c r="G1439" s="8" t="n">
        <v>5</v>
      </c>
      <c r="H1439" s="9" t="n">
        <v>9928</v>
      </c>
      <c r="I1439" s="7" t="s">
        <v>46</v>
      </c>
      <c r="J1439" s="7" t="s">
        <v>39</v>
      </c>
      <c r="K1439" s="7" t="s">
        <v>30</v>
      </c>
      <c r="L1439" s="10" t="s">
        <v>177</v>
      </c>
      <c r="M1439" s="10" t="s">
        <v>6102</v>
      </c>
      <c r="N1439" s="8" t="n">
        <v>0</v>
      </c>
      <c r="O1439" s="8" t="n">
        <v>0</v>
      </c>
      <c r="P1439" s="8" t="n">
        <v>0</v>
      </c>
      <c r="Q1439" s="8" t="n">
        <v>0</v>
      </c>
      <c r="R1439" s="13" t="n">
        <v>0</v>
      </c>
      <c r="S1439" s="13" t="n">
        <v>0</v>
      </c>
      <c r="T1439" s="13"/>
      <c r="U1439" s="11" t="n">
        <f aca="false">O1439*4 + P1439*2 + MAX(0,N1439-O1439-P1439)*1 + Q1439*0.2 + R1439*2 + S1439*1 + IF(T1439="",0,IF(T1439&lt;=10,8,IF(T1439&lt;=50,6,IF(T1439&lt;=100,4,2))))</f>
        <v>0</v>
      </c>
      <c r="V1439" s="7"/>
      <c r="W1439" s="7"/>
      <c r="X1439" s="13"/>
      <c r="Y1439" s="13" t="s">
        <v>6103</v>
      </c>
    </row>
    <row r="1440" customFormat="false" ht="15.75" hidden="false" customHeight="true" outlineLevel="0" collapsed="false">
      <c r="A1440" s="7" t="s">
        <v>6104</v>
      </c>
      <c r="B1440" s="8" t="n">
        <v>2005</v>
      </c>
      <c r="C1440" s="8" t="s">
        <v>35</v>
      </c>
      <c r="D1440" s="8" t="n">
        <v>127</v>
      </c>
      <c r="E1440" s="7" t="s">
        <v>911</v>
      </c>
      <c r="F1440" s="8" t="n">
        <v>5.9</v>
      </c>
      <c r="G1440" s="8" t="n">
        <v>6</v>
      </c>
      <c r="H1440" s="9" t="n">
        <v>71701</v>
      </c>
      <c r="I1440" s="7" t="s">
        <v>6105</v>
      </c>
      <c r="J1440" s="7" t="s">
        <v>112</v>
      </c>
      <c r="K1440" s="7" t="s">
        <v>54</v>
      </c>
      <c r="L1440" s="10"/>
      <c r="M1440" s="10" t="s">
        <v>6106</v>
      </c>
      <c r="N1440" s="8" t="n">
        <v>0</v>
      </c>
      <c r="O1440" s="8" t="n">
        <v>0</v>
      </c>
      <c r="P1440" s="8" t="n">
        <v>0</v>
      </c>
      <c r="Q1440" s="8" t="n">
        <v>0</v>
      </c>
      <c r="R1440" s="13" t="n">
        <v>0</v>
      </c>
      <c r="S1440" s="13" t="n">
        <v>0</v>
      </c>
      <c r="T1440" s="13"/>
      <c r="U1440" s="11" t="n">
        <f aca="false">O1440*4 + P1440*2 + MAX(0,N1440-O1440-P1440)*1 + Q1440*0.2 + R1440*2 + S1440*1 + IF(T1440="",0,IF(T1440&lt;=10,8,IF(T1440&lt;=50,6,IF(T1440&lt;=100,4,2))))</f>
        <v>0</v>
      </c>
      <c r="V1440" s="7"/>
      <c r="W1440" s="7"/>
      <c r="X1440" s="13"/>
      <c r="Y1440" s="13" t="s">
        <v>6107</v>
      </c>
    </row>
    <row r="1441" customFormat="false" ht="15.75" hidden="false" customHeight="true" outlineLevel="0" collapsed="false">
      <c r="A1441" s="7" t="s">
        <v>6108</v>
      </c>
      <c r="B1441" s="8" t="n">
        <v>1995</v>
      </c>
      <c r="C1441" s="8" t="s">
        <v>26</v>
      </c>
      <c r="D1441" s="8" t="n">
        <v>104</v>
      </c>
      <c r="E1441" s="7" t="s">
        <v>5471</v>
      </c>
      <c r="F1441" s="8" t="n">
        <v>7.1</v>
      </c>
      <c r="G1441" s="8" t="n">
        <v>8</v>
      </c>
      <c r="H1441" s="9" t="n">
        <v>417819</v>
      </c>
      <c r="I1441" s="7" t="s">
        <v>46</v>
      </c>
      <c r="J1441" s="7" t="s">
        <v>39</v>
      </c>
      <c r="K1441" s="7" t="s">
        <v>259</v>
      </c>
      <c r="L1441" s="10" t="s">
        <v>210</v>
      </c>
      <c r="M1441" s="7" t="s">
        <v>6109</v>
      </c>
      <c r="N1441" s="8" t="n">
        <v>0</v>
      </c>
      <c r="O1441" s="8" t="n">
        <v>0</v>
      </c>
      <c r="P1441" s="8" t="n">
        <v>0</v>
      </c>
      <c r="Q1441" s="8" t="n">
        <v>0</v>
      </c>
      <c r="R1441" s="13" t="n">
        <v>0</v>
      </c>
      <c r="S1441" s="13" t="n">
        <v>0</v>
      </c>
      <c r="T1441" s="13"/>
      <c r="U1441" s="11" t="n">
        <f aca="false">O1441*4 + P1441*2 + MAX(0,N1441-O1441-P1441)*1 + Q1441*0.2 + R1441*2 + S1441*1 + IF(T1441="",0,IF(T1441&lt;=10,8,IF(T1441&lt;=50,6,IF(T1441&lt;=100,4,2))))</f>
        <v>0</v>
      </c>
      <c r="V1441" s="7"/>
      <c r="W1441" s="7"/>
      <c r="X1441" s="13"/>
      <c r="Y1441" s="13" t="s">
        <v>6110</v>
      </c>
    </row>
    <row r="1442" customFormat="false" ht="15.75" hidden="false" customHeight="true" outlineLevel="0" collapsed="false">
      <c r="A1442" s="7" t="s">
        <v>6111</v>
      </c>
      <c r="B1442" s="8" t="n">
        <v>2011</v>
      </c>
      <c r="C1442" s="8" t="s">
        <v>176</v>
      </c>
      <c r="D1442" s="8" t="n">
        <v>96</v>
      </c>
      <c r="E1442" s="7" t="s">
        <v>6112</v>
      </c>
      <c r="F1442" s="8" t="n">
        <v>6.9</v>
      </c>
      <c r="G1442" s="8" t="n">
        <v>6</v>
      </c>
      <c r="H1442" s="9" t="n">
        <v>276593</v>
      </c>
      <c r="I1442" s="7" t="s">
        <v>46</v>
      </c>
      <c r="J1442" s="7" t="s">
        <v>579</v>
      </c>
      <c r="K1442" s="7" t="s">
        <v>90</v>
      </c>
      <c r="L1442" s="10" t="s">
        <v>552</v>
      </c>
      <c r="M1442" s="7" t="s">
        <v>6113</v>
      </c>
      <c r="N1442" s="8" t="n">
        <v>0</v>
      </c>
      <c r="O1442" s="8" t="n">
        <v>0</v>
      </c>
      <c r="P1442" s="8" t="n">
        <v>0</v>
      </c>
      <c r="Q1442" s="8" t="n">
        <v>1</v>
      </c>
      <c r="R1442" s="8" t="n">
        <v>0</v>
      </c>
      <c r="S1442" s="8" t="n">
        <v>0</v>
      </c>
      <c r="T1442" s="13"/>
      <c r="U1442" s="11" t="n">
        <f aca="false">O1442*4 + P1442*2 + MAX(0,N1442-O1442-P1442)*1 + Q1442*0.2 + R1442*2 + S1442*1 + IF(T1442="",0,IF(T1442&lt;=10,8,IF(T1442&lt;=50,6,IF(T1442&lt;=100,4,2))))</f>
        <v>0.2</v>
      </c>
      <c r="V1442" s="7"/>
      <c r="W1442" s="7"/>
      <c r="X1442" s="13"/>
      <c r="Y1442" s="13" t="s">
        <v>6114</v>
      </c>
    </row>
    <row r="1443" customFormat="false" ht="15.75" hidden="false" customHeight="true" outlineLevel="0" collapsed="false">
      <c r="A1443" s="7" t="s">
        <v>6115</v>
      </c>
      <c r="B1443" s="8" t="n">
        <v>2008</v>
      </c>
      <c r="C1443" s="8" t="s">
        <v>35</v>
      </c>
      <c r="D1443" s="8" t="n">
        <v>88</v>
      </c>
      <c r="E1443" s="7" t="s">
        <v>6116</v>
      </c>
      <c r="F1443" s="8" t="n">
        <v>4.4</v>
      </c>
      <c r="G1443" s="8" t="n">
        <v>4</v>
      </c>
      <c r="H1443" s="9" t="n">
        <v>1916</v>
      </c>
      <c r="I1443" s="7" t="s">
        <v>46</v>
      </c>
      <c r="J1443" s="7" t="s">
        <v>147</v>
      </c>
      <c r="K1443" s="7" t="s">
        <v>131</v>
      </c>
      <c r="L1443" s="10"/>
      <c r="M1443" s="10" t="s">
        <v>6117</v>
      </c>
      <c r="N1443" s="8" t="n">
        <v>0</v>
      </c>
      <c r="O1443" s="8" t="n">
        <v>0</v>
      </c>
      <c r="P1443" s="8" t="n">
        <v>0</v>
      </c>
      <c r="Q1443" s="8" t="n">
        <v>0</v>
      </c>
      <c r="R1443" s="13" t="n">
        <v>0</v>
      </c>
      <c r="S1443" s="13" t="n">
        <v>0</v>
      </c>
      <c r="T1443" s="13"/>
      <c r="U1443" s="11" t="n">
        <f aca="false">O1443*4 + P1443*2 + MAX(0,N1443-O1443-P1443)*1 + Q1443*0.2 + R1443*2 + S1443*1 + IF(T1443="",0,IF(T1443&lt;=10,8,IF(T1443&lt;=50,6,IF(T1443&lt;=100,4,2))))</f>
        <v>0</v>
      </c>
      <c r="V1443" s="7"/>
      <c r="W1443" s="7"/>
      <c r="X1443" s="13"/>
      <c r="Y1443" s="13" t="s">
        <v>6118</v>
      </c>
    </row>
    <row r="1444" customFormat="false" ht="15.75" hidden="false" customHeight="true" outlineLevel="0" collapsed="false">
      <c r="A1444" s="7" t="s">
        <v>6119</v>
      </c>
      <c r="B1444" s="8" t="n">
        <v>2012</v>
      </c>
      <c r="C1444" s="8" t="s">
        <v>176</v>
      </c>
      <c r="D1444" s="8" t="n">
        <v>110</v>
      </c>
      <c r="E1444" s="7" t="s">
        <v>6120</v>
      </c>
      <c r="F1444" s="8" t="n">
        <v>6.4</v>
      </c>
      <c r="G1444" s="8" t="n">
        <v>7</v>
      </c>
      <c r="H1444" s="9" t="n">
        <v>74391</v>
      </c>
      <c r="I1444" s="7" t="s">
        <v>46</v>
      </c>
      <c r="J1444" s="7" t="s">
        <v>131</v>
      </c>
      <c r="K1444" s="7" t="s">
        <v>112</v>
      </c>
      <c r="L1444" s="10"/>
      <c r="M1444" s="10" t="s">
        <v>6121</v>
      </c>
      <c r="N1444" s="8" t="n">
        <v>0</v>
      </c>
      <c r="O1444" s="8" t="n">
        <v>0</v>
      </c>
      <c r="P1444" s="8" t="n">
        <v>0</v>
      </c>
      <c r="Q1444" s="8" t="n">
        <v>0</v>
      </c>
      <c r="R1444" s="13" t="n">
        <v>0</v>
      </c>
      <c r="S1444" s="13" t="n">
        <v>0</v>
      </c>
      <c r="T1444" s="13"/>
      <c r="U1444" s="11" t="n">
        <f aca="false">O1444*4 + P1444*2 + MAX(0,N1444-O1444-P1444)*1 + Q1444*0.2 + R1444*2 + S1444*1 + IF(T1444="",0,IF(T1444&lt;=10,8,IF(T1444&lt;=50,6,IF(T1444&lt;=100,4,2))))</f>
        <v>0</v>
      </c>
      <c r="V1444" s="7"/>
      <c r="W1444" s="7"/>
      <c r="X1444" s="13"/>
      <c r="Y1444" s="13" t="s">
        <v>6122</v>
      </c>
    </row>
    <row r="1445" customFormat="false" ht="15.75" hidden="false" customHeight="true" outlineLevel="0" collapsed="false">
      <c r="A1445" s="7" t="s">
        <v>6123</v>
      </c>
      <c r="B1445" s="8" t="n">
        <v>1998</v>
      </c>
      <c r="C1445" s="8" t="s">
        <v>26</v>
      </c>
      <c r="D1445" s="8" t="n">
        <v>80</v>
      </c>
      <c r="E1445" s="7" t="s">
        <v>6124</v>
      </c>
      <c r="F1445" s="8" t="n">
        <v>7.6</v>
      </c>
      <c r="G1445" s="8" t="n">
        <v>8</v>
      </c>
      <c r="H1445" s="9" t="n">
        <v>46776</v>
      </c>
      <c r="I1445" s="7" t="s">
        <v>219</v>
      </c>
      <c r="J1445" s="7" t="s">
        <v>30</v>
      </c>
      <c r="K1445" s="7"/>
      <c r="L1445" s="10" t="s">
        <v>252</v>
      </c>
      <c r="M1445" s="10" t="s">
        <v>6125</v>
      </c>
      <c r="N1445" s="8" t="n">
        <v>0</v>
      </c>
      <c r="O1445" s="8" t="n">
        <v>0</v>
      </c>
      <c r="P1445" s="8" t="n">
        <v>0</v>
      </c>
      <c r="Q1445" s="8" t="n">
        <v>0</v>
      </c>
      <c r="R1445" s="13" t="n">
        <v>0</v>
      </c>
      <c r="S1445" s="13" t="n">
        <v>0</v>
      </c>
      <c r="T1445" s="13"/>
      <c r="U1445" s="11" t="n">
        <f aca="false">O1445*4 + P1445*2 + MAX(0,N1445-O1445-P1445)*1 + Q1445*0.2 + R1445*2 + S1445*1 + IF(T1445="",0,IF(T1445&lt;=10,8,IF(T1445&lt;=50,6,IF(T1445&lt;=100,4,2))))</f>
        <v>0</v>
      </c>
      <c r="V1445" s="7"/>
      <c r="W1445" s="7"/>
      <c r="X1445" s="13"/>
      <c r="Y1445" s="13" t="s">
        <v>6126</v>
      </c>
    </row>
    <row r="1446" customFormat="false" ht="15.75" hidden="false" customHeight="true" outlineLevel="0" collapsed="false">
      <c r="A1446" s="7" t="s">
        <v>6127</v>
      </c>
      <c r="B1446" s="8" t="n">
        <v>2012</v>
      </c>
      <c r="C1446" s="8" t="s">
        <v>176</v>
      </c>
      <c r="D1446" s="8" t="n">
        <v>106</v>
      </c>
      <c r="E1446" s="7" t="s">
        <v>6128</v>
      </c>
      <c r="F1446" s="8" t="n">
        <v>6.8</v>
      </c>
      <c r="G1446" s="8" t="n">
        <v>6</v>
      </c>
      <c r="H1446" s="9" t="n">
        <v>414627</v>
      </c>
      <c r="I1446" s="7" t="s">
        <v>46</v>
      </c>
      <c r="J1446" s="7" t="s">
        <v>112</v>
      </c>
      <c r="K1446" s="7" t="s">
        <v>2271</v>
      </c>
      <c r="L1446" s="10" t="s">
        <v>220</v>
      </c>
      <c r="M1446" s="7" t="s">
        <v>6129</v>
      </c>
      <c r="N1446" s="8" t="n">
        <v>0</v>
      </c>
      <c r="O1446" s="8" t="n">
        <v>0</v>
      </c>
      <c r="P1446" s="8" t="n">
        <v>0</v>
      </c>
      <c r="Q1446" s="8" t="n">
        <v>0</v>
      </c>
      <c r="R1446" s="13" t="n">
        <v>0</v>
      </c>
      <c r="S1446" s="13" t="n">
        <v>0</v>
      </c>
      <c r="T1446" s="13"/>
      <c r="U1446" s="11" t="n">
        <f aca="false">O1446*4 + P1446*2 + MAX(0,N1446-O1446-P1446)*1 + Q1446*0.2 + R1446*2 + S1446*1 + IF(T1446="",0,IF(T1446&lt;=10,8,IF(T1446&lt;=50,6,IF(T1446&lt;=100,4,2))))</f>
        <v>0</v>
      </c>
      <c r="V1446" s="7"/>
      <c r="W1446" s="7"/>
      <c r="X1446" s="13"/>
      <c r="Y1446" s="13" t="s">
        <v>6130</v>
      </c>
    </row>
    <row r="1447" customFormat="false" ht="15.75" hidden="false" customHeight="true" outlineLevel="0" collapsed="false">
      <c r="A1447" s="7" t="s">
        <v>6131</v>
      </c>
      <c r="B1447" s="8" t="n">
        <v>2012</v>
      </c>
      <c r="C1447" s="8" t="s">
        <v>176</v>
      </c>
      <c r="D1447" s="8" t="n">
        <v>13</v>
      </c>
      <c r="E1447" s="7" t="s">
        <v>6132</v>
      </c>
      <c r="F1447" s="8" t="n">
        <v>6.7</v>
      </c>
      <c r="G1447" s="8" t="n">
        <v>6</v>
      </c>
      <c r="H1447" s="9" t="n">
        <v>7825</v>
      </c>
      <c r="I1447" s="7" t="s">
        <v>46</v>
      </c>
      <c r="J1447" s="7" t="s">
        <v>39</v>
      </c>
      <c r="K1447" s="7" t="s">
        <v>259</v>
      </c>
      <c r="L1447" s="10"/>
      <c r="M1447" s="10" t="s">
        <v>6133</v>
      </c>
      <c r="N1447" s="8" t="n">
        <v>0</v>
      </c>
      <c r="O1447" s="8" t="n">
        <v>0</v>
      </c>
      <c r="P1447" s="8" t="n">
        <v>0</v>
      </c>
      <c r="Q1447" s="8" t="n">
        <v>0</v>
      </c>
      <c r="R1447" s="13" t="n">
        <v>0</v>
      </c>
      <c r="S1447" s="13" t="n">
        <v>0</v>
      </c>
      <c r="T1447" s="13"/>
      <c r="U1447" s="11" t="n">
        <f aca="false">O1447*4 + P1447*2 + MAX(0,N1447-O1447-P1447)*1 + Q1447*0.2 + R1447*2 + S1447*1 + IF(T1447="",0,IF(T1447&lt;=10,8,IF(T1447&lt;=50,6,IF(T1447&lt;=100,4,2))))</f>
        <v>0</v>
      </c>
      <c r="V1447" s="7"/>
      <c r="W1447" s="7"/>
      <c r="X1447" s="13"/>
      <c r="Y1447" s="13" t="s">
        <v>6134</v>
      </c>
    </row>
    <row r="1448" customFormat="false" ht="15.75" hidden="false" customHeight="true" outlineLevel="0" collapsed="false">
      <c r="A1448" s="7" t="s">
        <v>6135</v>
      </c>
      <c r="B1448" s="8" t="n">
        <v>2012</v>
      </c>
      <c r="C1448" s="8" t="s">
        <v>176</v>
      </c>
      <c r="D1448" s="8" t="n">
        <v>143</v>
      </c>
      <c r="E1448" s="7" t="s">
        <v>5672</v>
      </c>
      <c r="F1448" s="8" t="n">
        <v>8</v>
      </c>
      <c r="G1448" s="8" t="n">
        <v>8</v>
      </c>
      <c r="H1448" s="9" t="n">
        <v>1574825</v>
      </c>
      <c r="I1448" s="7" t="s">
        <v>46</v>
      </c>
      <c r="J1448" s="7" t="s">
        <v>111</v>
      </c>
      <c r="K1448" s="7" t="s">
        <v>112</v>
      </c>
      <c r="L1448" s="10" t="s">
        <v>552</v>
      </c>
      <c r="M1448" s="7" t="s">
        <v>6136</v>
      </c>
      <c r="N1448" s="8" t="n">
        <v>0</v>
      </c>
      <c r="O1448" s="8" t="n">
        <v>0</v>
      </c>
      <c r="P1448" s="8" t="n">
        <v>0</v>
      </c>
      <c r="Q1448" s="8" t="n">
        <v>1</v>
      </c>
      <c r="R1448" s="8" t="n">
        <v>0</v>
      </c>
      <c r="S1448" s="8" t="n">
        <v>0</v>
      </c>
      <c r="T1448" s="8"/>
      <c r="U1448" s="11" t="n">
        <f aca="false">O1448*4 + P1448*2 + MAX(0,N1448-O1448-P1448)*1 + Q1448*0.2 + R1448*2 + S1448*1 + IF(T1448="",0,IF(T1448&lt;=10,8,IF(T1448&lt;=50,6,IF(T1448&lt;=100,4,2))))</f>
        <v>0.2</v>
      </c>
      <c r="V1448" s="7"/>
      <c r="W1448" s="7"/>
      <c r="X1448" s="13"/>
      <c r="Y1448" s="13" t="s">
        <v>6137</v>
      </c>
    </row>
    <row r="1449" customFormat="false" ht="15.75" hidden="false" customHeight="true" outlineLevel="0" collapsed="false">
      <c r="A1449" s="7" t="s">
        <v>6138</v>
      </c>
      <c r="B1449" s="8" t="n">
        <v>2011</v>
      </c>
      <c r="C1449" s="8" t="s">
        <v>176</v>
      </c>
      <c r="D1449" s="8" t="n">
        <v>93</v>
      </c>
      <c r="E1449" s="7" t="s">
        <v>2470</v>
      </c>
      <c r="F1449" s="8" t="n">
        <v>7.5</v>
      </c>
      <c r="G1449" s="8" t="n">
        <v>5</v>
      </c>
      <c r="H1449" s="9" t="n">
        <v>586429</v>
      </c>
      <c r="I1449" s="7" t="s">
        <v>2168</v>
      </c>
      <c r="J1449" s="7" t="s">
        <v>112</v>
      </c>
      <c r="K1449" s="7" t="s">
        <v>125</v>
      </c>
      <c r="L1449" s="10" t="s">
        <v>260</v>
      </c>
      <c r="M1449" s="7" t="s">
        <v>6139</v>
      </c>
      <c r="N1449" s="8" t="n">
        <v>0</v>
      </c>
      <c r="O1449" s="8" t="n">
        <v>0</v>
      </c>
      <c r="P1449" s="8" t="n">
        <v>0</v>
      </c>
      <c r="Q1449" s="8" t="n">
        <v>0</v>
      </c>
      <c r="R1449" s="13" t="n">
        <v>0</v>
      </c>
      <c r="S1449" s="13" t="n">
        <v>0</v>
      </c>
      <c r="T1449" s="13"/>
      <c r="U1449" s="11" t="n">
        <f aca="false">O1449*4 + P1449*2 + MAX(0,N1449-O1449-P1449)*1 + Q1449*0.2 + R1449*2 + S1449*1 + IF(T1449="",0,IF(T1449&lt;=10,8,IF(T1449&lt;=50,6,IF(T1449&lt;=100,4,2))))</f>
        <v>0</v>
      </c>
      <c r="V1449" s="7"/>
      <c r="W1449" s="7"/>
      <c r="X1449" s="13"/>
      <c r="Y1449" s="13" t="s">
        <v>6140</v>
      </c>
    </row>
    <row r="1450" customFormat="false" ht="15.75" hidden="false" customHeight="true" outlineLevel="0" collapsed="false">
      <c r="A1450" s="7" t="s">
        <v>6141</v>
      </c>
      <c r="B1450" s="8" t="n">
        <v>2010</v>
      </c>
      <c r="C1450" s="8" t="s">
        <v>176</v>
      </c>
      <c r="D1450" s="8" t="n">
        <v>98</v>
      </c>
      <c r="E1450" s="7" t="s">
        <v>911</v>
      </c>
      <c r="F1450" s="8" t="n">
        <v>6.8</v>
      </c>
      <c r="G1450" s="8" t="n">
        <v>4</v>
      </c>
      <c r="H1450" s="9" t="n">
        <v>220340</v>
      </c>
      <c r="I1450" s="7" t="s">
        <v>46</v>
      </c>
      <c r="J1450" s="7" t="s">
        <v>131</v>
      </c>
      <c r="K1450" s="7" t="s">
        <v>112</v>
      </c>
      <c r="L1450" s="10" t="s">
        <v>177</v>
      </c>
      <c r="M1450" s="10" t="s">
        <v>6142</v>
      </c>
      <c r="N1450" s="8" t="n">
        <v>0</v>
      </c>
      <c r="O1450" s="8" t="n">
        <v>0</v>
      </c>
      <c r="P1450" s="8" t="n">
        <v>0</v>
      </c>
      <c r="Q1450" s="8" t="n">
        <v>1</v>
      </c>
      <c r="R1450" s="8" t="n">
        <v>0</v>
      </c>
      <c r="S1450" s="8" t="n">
        <v>0</v>
      </c>
      <c r="T1450" s="13"/>
      <c r="U1450" s="11" t="n">
        <f aca="false">O1450*4 + P1450*2 + MAX(0,N1450-O1450-P1450)*1 + Q1450*0.2 + R1450*2 + S1450*1 + IF(T1450="",0,IF(T1450&lt;=10,8,IF(T1450&lt;=50,6,IF(T1450&lt;=100,4,2))))</f>
        <v>0.2</v>
      </c>
      <c r="V1450" s="7"/>
      <c r="W1450" s="7"/>
      <c r="X1450" s="13"/>
      <c r="Y1450" s="13" t="s">
        <v>6143</v>
      </c>
    </row>
    <row r="1451" customFormat="false" ht="15.75" hidden="false" customHeight="true" outlineLevel="0" collapsed="false">
      <c r="A1451" s="7" t="s">
        <v>6144</v>
      </c>
      <c r="B1451" s="8" t="n">
        <v>2002</v>
      </c>
      <c r="C1451" s="8" t="s">
        <v>35</v>
      </c>
      <c r="D1451" s="8" t="n">
        <v>81</v>
      </c>
      <c r="E1451" s="7" t="s">
        <v>1699</v>
      </c>
      <c r="F1451" s="8" t="n">
        <v>7.1</v>
      </c>
      <c r="G1451" s="8" t="n">
        <v>7</v>
      </c>
      <c r="H1451" s="9" t="n">
        <v>303347</v>
      </c>
      <c r="I1451" s="7" t="s">
        <v>46</v>
      </c>
      <c r="J1451" s="7" t="s">
        <v>131</v>
      </c>
      <c r="K1451" s="7" t="s">
        <v>54</v>
      </c>
      <c r="L1451" s="10" t="s">
        <v>177</v>
      </c>
      <c r="M1451" s="7" t="s">
        <v>6145</v>
      </c>
      <c r="N1451" s="8" t="n">
        <v>0</v>
      </c>
      <c r="O1451" s="8" t="n">
        <v>0</v>
      </c>
      <c r="P1451" s="8" t="n">
        <v>0</v>
      </c>
      <c r="Q1451" s="8" t="n">
        <v>0</v>
      </c>
      <c r="R1451" s="13" t="n">
        <v>0</v>
      </c>
      <c r="S1451" s="13" t="n">
        <v>0</v>
      </c>
      <c r="T1451" s="13"/>
      <c r="U1451" s="11" t="n">
        <f aca="false">O1451*4 + P1451*2 + MAX(0,N1451-O1451-P1451)*1 + Q1451*0.2 + R1451*2 + S1451*1 + IF(T1451="",0,IF(T1451&lt;=10,8,IF(T1451&lt;=50,6,IF(T1451&lt;=100,4,2))))</f>
        <v>0</v>
      </c>
      <c r="V1451" s="7"/>
      <c r="W1451" s="7"/>
      <c r="X1451" s="13"/>
      <c r="Y1451" s="13" t="s">
        <v>6146</v>
      </c>
    </row>
    <row r="1452" customFormat="false" ht="15.75" hidden="false" customHeight="true" outlineLevel="0" collapsed="false">
      <c r="A1452" s="7" t="s">
        <v>6147</v>
      </c>
      <c r="B1452" s="8" t="n">
        <v>2003</v>
      </c>
      <c r="C1452" s="8" t="s">
        <v>35</v>
      </c>
      <c r="D1452" s="8" t="n">
        <v>115</v>
      </c>
      <c r="E1452" s="7" t="s">
        <v>6148</v>
      </c>
      <c r="F1452" s="8" t="n">
        <v>6.6</v>
      </c>
      <c r="G1452" s="8" t="n">
        <v>6</v>
      </c>
      <c r="H1452" s="9" t="n">
        <v>147962</v>
      </c>
      <c r="I1452" s="7" t="s">
        <v>46</v>
      </c>
      <c r="J1452" s="7" t="s">
        <v>131</v>
      </c>
      <c r="K1452" s="7" t="s">
        <v>112</v>
      </c>
      <c r="L1452" s="10"/>
      <c r="M1452" s="10" t="s">
        <v>6149</v>
      </c>
      <c r="N1452" s="8" t="n">
        <v>0</v>
      </c>
      <c r="O1452" s="8" t="n">
        <v>0</v>
      </c>
      <c r="P1452" s="8" t="n">
        <v>0</v>
      </c>
      <c r="Q1452" s="8" t="n">
        <v>0</v>
      </c>
      <c r="R1452" s="13" t="n">
        <v>0</v>
      </c>
      <c r="S1452" s="13" t="n">
        <v>0</v>
      </c>
      <c r="T1452" s="13"/>
      <c r="U1452" s="11" t="n">
        <f aca="false">O1452*4 + P1452*2 + MAX(0,N1452-O1452-P1452)*1 + Q1452*0.2 + R1452*2 + S1452*1 + IF(T1452="",0,IF(T1452&lt;=10,8,IF(T1452&lt;=50,6,IF(T1452&lt;=100,4,2))))</f>
        <v>0</v>
      </c>
      <c r="V1452" s="7"/>
      <c r="W1452" s="7"/>
      <c r="X1452" s="13"/>
      <c r="Y1452" s="13" t="s">
        <v>6150</v>
      </c>
    </row>
    <row r="1453" customFormat="false" ht="15.75" hidden="false" customHeight="true" outlineLevel="0" collapsed="false">
      <c r="A1453" s="7" t="s">
        <v>1140</v>
      </c>
      <c r="B1453" s="8" t="n">
        <v>2008</v>
      </c>
      <c r="C1453" s="8" t="s">
        <v>35</v>
      </c>
      <c r="D1453" s="8" t="n">
        <v>90</v>
      </c>
      <c r="E1453" s="7" t="s">
        <v>6151</v>
      </c>
      <c r="F1453" s="8" t="n">
        <v>7.7</v>
      </c>
      <c r="G1453" s="8" t="n">
        <v>8</v>
      </c>
      <c r="H1453" s="9" t="n">
        <v>676620</v>
      </c>
      <c r="I1453" s="7" t="s">
        <v>3897</v>
      </c>
      <c r="J1453" s="7" t="s">
        <v>131</v>
      </c>
      <c r="K1453" s="7" t="s">
        <v>54</v>
      </c>
      <c r="L1453" s="10" t="s">
        <v>1890</v>
      </c>
      <c r="M1453" s="7" t="s">
        <v>6152</v>
      </c>
      <c r="N1453" s="8" t="n">
        <v>0</v>
      </c>
      <c r="O1453" s="8" t="n">
        <v>0</v>
      </c>
      <c r="P1453" s="8" t="n">
        <v>0</v>
      </c>
      <c r="Q1453" s="8" t="n">
        <v>0</v>
      </c>
      <c r="R1453" s="13" t="n">
        <v>0</v>
      </c>
      <c r="S1453" s="13" t="n">
        <v>0</v>
      </c>
      <c r="T1453" s="13"/>
      <c r="U1453" s="11" t="n">
        <f aca="false">O1453*4 + P1453*2 + MAX(0,N1453-O1453-P1453)*1 + Q1453*0.2 + R1453*2 + S1453*1 + IF(T1453="",0,IF(T1453&lt;=10,8,IF(T1453&lt;=50,6,IF(T1453&lt;=100,4,2))))</f>
        <v>0</v>
      </c>
      <c r="V1453" s="7"/>
      <c r="W1453" s="7"/>
      <c r="X1453" s="13"/>
      <c r="Y1453" s="13" t="s">
        <v>6153</v>
      </c>
    </row>
    <row r="1454" customFormat="false" ht="15.75" hidden="false" customHeight="true" outlineLevel="0" collapsed="false">
      <c r="A1454" s="7" t="s">
        <v>6154</v>
      </c>
      <c r="B1454" s="8" t="n">
        <v>1997</v>
      </c>
      <c r="C1454" s="8" t="s">
        <v>26</v>
      </c>
      <c r="D1454" s="8" t="n">
        <v>106</v>
      </c>
      <c r="E1454" s="7" t="s">
        <v>2438</v>
      </c>
      <c r="F1454" s="8" t="n">
        <v>7.7</v>
      </c>
      <c r="G1454" s="8" t="n">
        <v>6</v>
      </c>
      <c r="H1454" s="9" t="n">
        <v>349745</v>
      </c>
      <c r="I1454" s="7" t="s">
        <v>46</v>
      </c>
      <c r="J1454" s="7" t="s">
        <v>111</v>
      </c>
      <c r="K1454" s="7" t="s">
        <v>953</v>
      </c>
      <c r="L1454" s="10" t="s">
        <v>531</v>
      </c>
      <c r="M1454" s="7" t="s">
        <v>6155</v>
      </c>
      <c r="N1454" s="8" t="n">
        <v>0</v>
      </c>
      <c r="O1454" s="8" t="n">
        <v>0</v>
      </c>
      <c r="P1454" s="8" t="n">
        <v>0</v>
      </c>
      <c r="Q1454" s="8" t="n">
        <v>1</v>
      </c>
      <c r="R1454" s="8" t="n">
        <v>0</v>
      </c>
      <c r="S1454" s="8" t="n">
        <v>0</v>
      </c>
      <c r="T1454" s="13"/>
      <c r="U1454" s="11" t="n">
        <f aca="false">O1454*4 + P1454*2 + MAX(0,N1454-O1454-P1454)*1 + Q1454*0.2 + R1454*2 + S1454*1 + IF(T1454="",0,IF(T1454&lt;=10,8,IF(T1454&lt;=50,6,IF(T1454&lt;=100,4,2))))</f>
        <v>0.2</v>
      </c>
      <c r="V1454" s="7"/>
      <c r="W1454" s="7"/>
      <c r="X1454" s="13"/>
      <c r="Y1454" s="13" t="s">
        <v>6156</v>
      </c>
    </row>
    <row r="1455" customFormat="false" ht="15.75" hidden="false" customHeight="true" outlineLevel="0" collapsed="false">
      <c r="A1455" s="7" t="s">
        <v>6157</v>
      </c>
      <c r="B1455" s="8" t="n">
        <v>2008</v>
      </c>
      <c r="C1455" s="8" t="s">
        <v>35</v>
      </c>
      <c r="D1455" s="8" t="n">
        <v>99</v>
      </c>
      <c r="E1455" s="7" t="s">
        <v>6158</v>
      </c>
      <c r="F1455" s="8" t="n">
        <v>5.3</v>
      </c>
      <c r="G1455" s="8" t="n">
        <v>6</v>
      </c>
      <c r="H1455" s="9" t="n">
        <v>59809</v>
      </c>
      <c r="I1455" s="7" t="s">
        <v>46</v>
      </c>
      <c r="J1455" s="7" t="s">
        <v>131</v>
      </c>
      <c r="K1455" s="7" t="s">
        <v>103</v>
      </c>
      <c r="L1455" s="10"/>
      <c r="M1455" s="10" t="s">
        <v>6159</v>
      </c>
      <c r="N1455" s="8" t="n">
        <v>0</v>
      </c>
      <c r="O1455" s="8" t="n">
        <v>0</v>
      </c>
      <c r="P1455" s="8" t="n">
        <v>0</v>
      </c>
      <c r="Q1455" s="8" t="n">
        <v>0</v>
      </c>
      <c r="R1455" s="13" t="n">
        <v>0</v>
      </c>
      <c r="S1455" s="13" t="n">
        <v>0</v>
      </c>
      <c r="T1455" s="13"/>
      <c r="U1455" s="11" t="n">
        <f aca="false">O1455*4 + P1455*2 + MAX(0,N1455-O1455-P1455)*1 + Q1455*0.2 + R1455*2 + S1455*1 + IF(T1455="",0,IF(T1455&lt;=10,8,IF(T1455&lt;=50,6,IF(T1455&lt;=100,4,2))))</f>
        <v>0</v>
      </c>
      <c r="V1455" s="7"/>
      <c r="W1455" s="7"/>
      <c r="X1455" s="13"/>
      <c r="Y1455" s="13" t="s">
        <v>6160</v>
      </c>
    </row>
    <row r="1456" customFormat="false" ht="15.75" hidden="false" customHeight="true" outlineLevel="0" collapsed="false">
      <c r="A1456" s="7" t="s">
        <v>6161</v>
      </c>
      <c r="B1456" s="8" t="n">
        <v>2010</v>
      </c>
      <c r="C1456" s="8" t="s">
        <v>176</v>
      </c>
      <c r="D1456" s="8" t="n">
        <v>108</v>
      </c>
      <c r="E1456" s="7" t="s">
        <v>2934</v>
      </c>
      <c r="F1456" s="8" t="n">
        <v>7.5</v>
      </c>
      <c r="G1456" s="8" t="n">
        <v>6</v>
      </c>
      <c r="H1456" s="9" t="n">
        <v>117541</v>
      </c>
      <c r="I1456" s="7" t="s">
        <v>6162</v>
      </c>
      <c r="J1456" s="7" t="s">
        <v>112</v>
      </c>
      <c r="K1456" s="7" t="s">
        <v>48</v>
      </c>
      <c r="L1456" s="10" t="s">
        <v>6163</v>
      </c>
      <c r="M1456" s="10" t="s">
        <v>6164</v>
      </c>
      <c r="N1456" s="8" t="n">
        <v>0</v>
      </c>
      <c r="O1456" s="8" t="n">
        <v>0</v>
      </c>
      <c r="P1456" s="8" t="n">
        <v>0</v>
      </c>
      <c r="Q1456" s="8" t="n">
        <v>0</v>
      </c>
      <c r="R1456" s="13" t="n">
        <v>0</v>
      </c>
      <c r="S1456" s="13" t="n">
        <v>0</v>
      </c>
      <c r="T1456" s="13"/>
      <c r="U1456" s="11" t="n">
        <f aca="false">O1456*4 + P1456*2 + MAX(0,N1456-O1456-P1456)*1 + Q1456*0.2 + R1456*2 + S1456*1 + IF(T1456="",0,IF(T1456&lt;=10,8,IF(T1456&lt;=50,6,IF(T1456&lt;=100,4,2))))</f>
        <v>0</v>
      </c>
      <c r="V1456" s="7"/>
      <c r="W1456" s="7"/>
      <c r="X1456" s="13"/>
      <c r="Y1456" s="13" t="s">
        <v>6165</v>
      </c>
    </row>
    <row r="1457" customFormat="false" ht="15.75" hidden="false" customHeight="true" outlineLevel="0" collapsed="false">
      <c r="A1457" s="7" t="s">
        <v>6166</v>
      </c>
      <c r="B1457" s="8" t="n">
        <v>2001</v>
      </c>
      <c r="C1457" s="8" t="s">
        <v>35</v>
      </c>
      <c r="D1457" s="8" t="n">
        <v>95</v>
      </c>
      <c r="E1457" s="7" t="s">
        <v>6167</v>
      </c>
      <c r="F1457" s="8" t="n">
        <v>5</v>
      </c>
      <c r="G1457" s="8" t="n">
        <v>6</v>
      </c>
      <c r="H1457" s="9" t="n">
        <v>46494</v>
      </c>
      <c r="I1457" s="7" t="s">
        <v>46</v>
      </c>
      <c r="J1457" s="7" t="s">
        <v>38</v>
      </c>
      <c r="K1457" s="7" t="s">
        <v>39</v>
      </c>
      <c r="L1457" s="10"/>
      <c r="M1457" s="10" t="s">
        <v>6168</v>
      </c>
      <c r="N1457" s="8" t="n">
        <v>0</v>
      </c>
      <c r="O1457" s="8" t="n">
        <v>0</v>
      </c>
      <c r="P1457" s="8" t="n">
        <v>0</v>
      </c>
      <c r="Q1457" s="8" t="n">
        <v>0</v>
      </c>
      <c r="R1457" s="13" t="n">
        <v>0</v>
      </c>
      <c r="S1457" s="13" t="n">
        <v>0</v>
      </c>
      <c r="T1457" s="13"/>
      <c r="U1457" s="11" t="n">
        <f aca="false">O1457*4 + P1457*2 + MAX(0,N1457-O1457-P1457)*1 + Q1457*0.2 + R1457*2 + S1457*1 + IF(T1457="",0,IF(T1457&lt;=10,8,IF(T1457&lt;=50,6,IF(T1457&lt;=100,4,2))))</f>
        <v>0</v>
      </c>
      <c r="V1457" s="7"/>
      <c r="W1457" s="7"/>
      <c r="X1457" s="13"/>
      <c r="Y1457" s="13" t="s">
        <v>6169</v>
      </c>
    </row>
    <row r="1458" customFormat="false" ht="15.75" hidden="false" customHeight="true" outlineLevel="0" collapsed="false">
      <c r="A1458" s="7" t="s">
        <v>6170</v>
      </c>
      <c r="B1458" s="8" t="n">
        <v>2011</v>
      </c>
      <c r="C1458" s="8" t="s">
        <v>176</v>
      </c>
      <c r="D1458" s="8" t="n">
        <v>105</v>
      </c>
      <c r="E1458" s="7" t="s">
        <v>6060</v>
      </c>
      <c r="F1458" s="8" t="n">
        <v>5.9</v>
      </c>
      <c r="G1458" s="8" t="n">
        <v>6</v>
      </c>
      <c r="H1458" s="9" t="n">
        <v>137705</v>
      </c>
      <c r="I1458" s="7" t="s">
        <v>46</v>
      </c>
      <c r="J1458" s="7" t="s">
        <v>29</v>
      </c>
      <c r="K1458" s="7" t="s">
        <v>30</v>
      </c>
      <c r="L1458" s="10" t="s">
        <v>238</v>
      </c>
      <c r="M1458" s="10" t="s">
        <v>6171</v>
      </c>
      <c r="N1458" s="8" t="n">
        <v>0</v>
      </c>
      <c r="O1458" s="8" t="n">
        <v>0</v>
      </c>
      <c r="P1458" s="8" t="n">
        <v>0</v>
      </c>
      <c r="Q1458" s="8" t="n">
        <v>0</v>
      </c>
      <c r="R1458" s="13" t="n">
        <v>0</v>
      </c>
      <c r="S1458" s="13" t="n">
        <v>0</v>
      </c>
      <c r="T1458" s="13"/>
      <c r="U1458" s="11" t="n">
        <f aca="false">O1458*4 + P1458*2 + MAX(0,N1458-O1458-P1458)*1 + Q1458*0.2 + R1458*2 + S1458*1 + IF(T1458="",0,IF(T1458&lt;=10,8,IF(T1458&lt;=50,6,IF(T1458&lt;=100,4,2))))</f>
        <v>0</v>
      </c>
      <c r="V1458" s="7"/>
      <c r="W1458" s="7"/>
      <c r="X1458" s="13"/>
      <c r="Y1458" s="13" t="s">
        <v>6172</v>
      </c>
    </row>
    <row r="1459" customFormat="false" ht="15.75" hidden="false" customHeight="true" outlineLevel="0" collapsed="false">
      <c r="A1459" s="7" t="s">
        <v>6173</v>
      </c>
      <c r="B1459" s="8" t="n">
        <v>2009</v>
      </c>
      <c r="C1459" s="8" t="s">
        <v>35</v>
      </c>
      <c r="D1459" s="8" t="n">
        <v>118</v>
      </c>
      <c r="E1459" s="7" t="s">
        <v>6041</v>
      </c>
      <c r="F1459" s="8" t="n">
        <v>5.7</v>
      </c>
      <c r="G1459" s="8" t="n">
        <v>4</v>
      </c>
      <c r="H1459" s="9" t="n">
        <v>222349</v>
      </c>
      <c r="I1459" s="7" t="s">
        <v>2204</v>
      </c>
      <c r="J1459" s="7" t="s">
        <v>111</v>
      </c>
      <c r="K1459" s="7" t="s">
        <v>112</v>
      </c>
      <c r="L1459" s="10" t="s">
        <v>6174</v>
      </c>
      <c r="M1459" s="10" t="s">
        <v>6175</v>
      </c>
      <c r="N1459" s="8" t="n">
        <v>0</v>
      </c>
      <c r="O1459" s="8" t="n">
        <v>0</v>
      </c>
      <c r="P1459" s="8" t="n">
        <v>0</v>
      </c>
      <c r="Q1459" s="8" t="n">
        <v>0</v>
      </c>
      <c r="R1459" s="13" t="n">
        <v>0</v>
      </c>
      <c r="S1459" s="13" t="n">
        <v>0</v>
      </c>
      <c r="T1459" s="13"/>
      <c r="U1459" s="11" t="n">
        <f aca="false">O1459*4 + P1459*2 + MAX(0,N1459-O1459-P1459)*1 + Q1459*0.2 + R1459*2 + S1459*1 + IF(T1459="",0,IF(T1459&lt;=10,8,IF(T1459&lt;=50,6,IF(T1459&lt;=100,4,2))))</f>
        <v>0</v>
      </c>
      <c r="V1459" s="7"/>
      <c r="W1459" s="7"/>
      <c r="X1459" s="13"/>
      <c r="Y1459" s="13" t="s">
        <v>6176</v>
      </c>
    </row>
    <row r="1460" customFormat="false" ht="15.75" hidden="false" customHeight="true" outlineLevel="0" collapsed="false">
      <c r="A1460" s="7" t="s">
        <v>6177</v>
      </c>
      <c r="B1460" s="8" t="n">
        <v>2011</v>
      </c>
      <c r="C1460" s="8" t="s">
        <v>176</v>
      </c>
      <c r="D1460" s="8" t="n">
        <v>130</v>
      </c>
      <c r="E1460" s="7" t="s">
        <v>6178</v>
      </c>
      <c r="F1460" s="8" t="n">
        <v>7.3</v>
      </c>
      <c r="G1460" s="8" t="n">
        <v>7</v>
      </c>
      <c r="H1460" s="9" t="n">
        <v>436817</v>
      </c>
      <c r="I1460" s="7" t="s">
        <v>46</v>
      </c>
      <c r="J1460" s="7" t="s">
        <v>131</v>
      </c>
      <c r="K1460" s="7" t="s">
        <v>54</v>
      </c>
      <c r="L1460" s="10" t="s">
        <v>5302</v>
      </c>
      <c r="M1460" s="7" t="s">
        <v>6179</v>
      </c>
      <c r="N1460" s="8" t="n">
        <v>0</v>
      </c>
      <c r="O1460" s="8" t="n">
        <v>0</v>
      </c>
      <c r="P1460" s="8" t="n">
        <v>0</v>
      </c>
      <c r="Q1460" s="8" t="n">
        <v>0</v>
      </c>
      <c r="R1460" s="13" t="n">
        <v>0</v>
      </c>
      <c r="S1460" s="13" t="n">
        <v>0</v>
      </c>
      <c r="T1460" s="13"/>
      <c r="U1460" s="11" t="n">
        <f aca="false">O1460*4 + P1460*2 + MAX(0,N1460-O1460-P1460)*1 + Q1460*0.2 + R1460*2 + S1460*1 + IF(T1460="",0,IF(T1460&lt;=10,8,IF(T1460&lt;=50,6,IF(T1460&lt;=100,4,2))))</f>
        <v>0</v>
      </c>
      <c r="V1460" s="7"/>
      <c r="W1460" s="7"/>
      <c r="X1460" s="13"/>
      <c r="Y1460" s="13" t="s">
        <v>6180</v>
      </c>
    </row>
    <row r="1461" customFormat="false" ht="15.75" hidden="false" customHeight="true" outlineLevel="0" collapsed="false">
      <c r="A1461" s="7" t="s">
        <v>6181</v>
      </c>
      <c r="B1461" s="8" t="n">
        <v>2002</v>
      </c>
      <c r="C1461" s="8" t="s">
        <v>35</v>
      </c>
      <c r="D1461" s="8" t="n">
        <v>89</v>
      </c>
      <c r="E1461" s="7" t="s">
        <v>1196</v>
      </c>
      <c r="F1461" s="8" t="n">
        <v>3.6</v>
      </c>
      <c r="G1461" s="8" t="n">
        <v>4</v>
      </c>
      <c r="H1461" s="9" t="n">
        <v>18903</v>
      </c>
      <c r="I1461" s="7" t="s">
        <v>6182</v>
      </c>
      <c r="J1461" s="7" t="s">
        <v>29</v>
      </c>
      <c r="K1461" s="7" t="s">
        <v>30</v>
      </c>
      <c r="L1461" s="10"/>
      <c r="M1461" s="10" t="s">
        <v>6183</v>
      </c>
      <c r="N1461" s="8" t="n">
        <v>0</v>
      </c>
      <c r="O1461" s="8" t="n">
        <v>0</v>
      </c>
      <c r="P1461" s="8" t="n">
        <v>0</v>
      </c>
      <c r="Q1461" s="8" t="n">
        <v>0</v>
      </c>
      <c r="R1461" s="13" t="n">
        <v>0</v>
      </c>
      <c r="S1461" s="13" t="n">
        <v>0</v>
      </c>
      <c r="T1461" s="13"/>
      <c r="U1461" s="11" t="n">
        <f aca="false">O1461*4 + P1461*2 + MAX(0,N1461-O1461-P1461)*1 + Q1461*0.2 + R1461*2 + S1461*1 + IF(T1461="",0,IF(T1461&lt;=10,8,IF(T1461&lt;=50,6,IF(T1461&lt;=100,4,2))))</f>
        <v>0</v>
      </c>
      <c r="V1461" s="7"/>
      <c r="W1461" s="7"/>
      <c r="X1461" s="13"/>
      <c r="Y1461" s="13" t="s">
        <v>6184</v>
      </c>
    </row>
    <row r="1462" customFormat="false" ht="15.75" hidden="false" customHeight="true" outlineLevel="0" collapsed="false">
      <c r="A1462" s="7" t="s">
        <v>6185</v>
      </c>
      <c r="B1462" s="8" t="n">
        <v>2010</v>
      </c>
      <c r="C1462" s="8" t="s">
        <v>176</v>
      </c>
      <c r="D1462" s="8" t="n">
        <v>103</v>
      </c>
      <c r="E1462" s="7" t="s">
        <v>364</v>
      </c>
      <c r="F1462" s="8" t="n">
        <v>6</v>
      </c>
      <c r="G1462" s="8" t="n">
        <v>5</v>
      </c>
      <c r="H1462" s="9" t="n">
        <v>269831</v>
      </c>
      <c r="I1462" s="7" t="s">
        <v>6186</v>
      </c>
      <c r="J1462" s="7" t="s">
        <v>131</v>
      </c>
      <c r="K1462" s="7" t="s">
        <v>54</v>
      </c>
      <c r="L1462" s="10"/>
      <c r="M1462" s="7" t="s">
        <v>6187</v>
      </c>
      <c r="N1462" s="8" t="n">
        <v>0</v>
      </c>
      <c r="O1462" s="8" t="n">
        <v>0</v>
      </c>
      <c r="P1462" s="8" t="n">
        <v>0</v>
      </c>
      <c r="Q1462" s="8" t="n">
        <v>0</v>
      </c>
      <c r="R1462" s="13" t="n">
        <v>0</v>
      </c>
      <c r="S1462" s="13" t="n">
        <v>0</v>
      </c>
      <c r="T1462" s="13"/>
      <c r="U1462" s="11" t="n">
        <f aca="false">O1462*4 + P1462*2 + MAX(0,N1462-O1462-P1462)*1 + Q1462*0.2 + R1462*2 + S1462*1 + IF(T1462="",0,IF(T1462&lt;=10,8,IF(T1462&lt;=50,6,IF(T1462&lt;=100,4,2))))</f>
        <v>0</v>
      </c>
      <c r="V1462" s="7"/>
      <c r="W1462" s="7"/>
      <c r="X1462" s="13"/>
      <c r="Y1462" s="13" t="s">
        <v>6188</v>
      </c>
    </row>
    <row r="1463" customFormat="false" ht="15.75" hidden="false" customHeight="true" outlineLevel="0" collapsed="false">
      <c r="A1463" s="7" t="s">
        <v>6189</v>
      </c>
      <c r="B1463" s="8" t="n">
        <v>2008</v>
      </c>
      <c r="C1463" s="8" t="s">
        <v>35</v>
      </c>
      <c r="D1463" s="8" t="n">
        <v>86</v>
      </c>
      <c r="E1463" s="7" t="s">
        <v>6190</v>
      </c>
      <c r="F1463" s="8" t="n">
        <v>6.1</v>
      </c>
      <c r="G1463" s="8" t="n">
        <v>8</v>
      </c>
      <c r="H1463" s="9" t="n">
        <v>158589</v>
      </c>
      <c r="I1463" s="7" t="s">
        <v>46</v>
      </c>
      <c r="J1463" s="7" t="s">
        <v>147</v>
      </c>
      <c r="K1463" s="7" t="s">
        <v>125</v>
      </c>
      <c r="L1463" s="10" t="s">
        <v>192</v>
      </c>
      <c r="M1463" s="10" t="s">
        <v>6191</v>
      </c>
      <c r="N1463" s="8" t="n">
        <v>0</v>
      </c>
      <c r="O1463" s="8" t="n">
        <v>0</v>
      </c>
      <c r="P1463" s="8" t="n">
        <v>0</v>
      </c>
      <c r="Q1463" s="8" t="n">
        <v>0</v>
      </c>
      <c r="R1463" s="13" t="n">
        <v>0</v>
      </c>
      <c r="S1463" s="13" t="n">
        <v>0</v>
      </c>
      <c r="T1463" s="13"/>
      <c r="U1463" s="11" t="n">
        <f aca="false">O1463*4 + P1463*2 + MAX(0,N1463-O1463-P1463)*1 + Q1463*0.2 + R1463*2 + S1463*1 + IF(T1463="",0,IF(T1463&lt;=10,8,IF(T1463&lt;=50,6,IF(T1463&lt;=100,4,2))))</f>
        <v>0</v>
      </c>
      <c r="V1463" s="7"/>
      <c r="W1463" s="7"/>
      <c r="X1463" s="13"/>
      <c r="Y1463" s="13" t="s">
        <v>6192</v>
      </c>
    </row>
    <row r="1464" customFormat="false" ht="15.75" hidden="false" customHeight="true" outlineLevel="0" collapsed="false">
      <c r="A1464" s="7" t="s">
        <v>6193</v>
      </c>
      <c r="B1464" s="8" t="n">
        <v>1991</v>
      </c>
      <c r="C1464" s="8" t="s">
        <v>26</v>
      </c>
      <c r="D1464" s="8" t="n">
        <v>102</v>
      </c>
      <c r="E1464" s="7" t="s">
        <v>6194</v>
      </c>
      <c r="F1464" s="8" t="n">
        <v>5.2</v>
      </c>
      <c r="G1464" s="8" t="n">
        <v>5</v>
      </c>
      <c r="H1464" s="9" t="n">
        <v>23495</v>
      </c>
      <c r="I1464" s="7" t="s">
        <v>46</v>
      </c>
      <c r="J1464" s="7" t="s">
        <v>39</v>
      </c>
      <c r="K1464" s="7" t="s">
        <v>29</v>
      </c>
      <c r="L1464" s="10"/>
      <c r="M1464" s="10" t="s">
        <v>6195</v>
      </c>
      <c r="N1464" s="8" t="n">
        <v>0</v>
      </c>
      <c r="O1464" s="8" t="n">
        <v>0</v>
      </c>
      <c r="P1464" s="8" t="n">
        <v>0</v>
      </c>
      <c r="Q1464" s="8" t="n">
        <v>0</v>
      </c>
      <c r="R1464" s="13" t="n">
        <v>0</v>
      </c>
      <c r="S1464" s="13" t="n">
        <v>0</v>
      </c>
      <c r="T1464" s="13"/>
      <c r="U1464" s="11" t="n">
        <f aca="false">O1464*4 + P1464*2 + MAX(0,N1464-O1464-P1464)*1 + Q1464*0.2 + R1464*2 + S1464*1 + IF(T1464="",0,IF(T1464&lt;=10,8,IF(T1464&lt;=50,6,IF(T1464&lt;=100,4,2))))</f>
        <v>0</v>
      </c>
      <c r="V1464" s="7"/>
      <c r="W1464" s="7"/>
      <c r="X1464" s="13"/>
      <c r="Y1464" s="13" t="s">
        <v>6196</v>
      </c>
    </row>
    <row r="1465" customFormat="false" ht="15.75" hidden="false" customHeight="true" outlineLevel="0" collapsed="false">
      <c r="A1465" s="7" t="s">
        <v>6197</v>
      </c>
      <c r="B1465" s="8" t="n">
        <v>2004</v>
      </c>
      <c r="C1465" s="8" t="s">
        <v>35</v>
      </c>
      <c r="D1465" s="8" t="n">
        <v>87</v>
      </c>
      <c r="E1465" s="7" t="s">
        <v>6198</v>
      </c>
      <c r="F1465" s="8" t="n">
        <v>6.4</v>
      </c>
      <c r="G1465" s="8" t="n">
        <v>4</v>
      </c>
      <c r="H1465" s="9" t="n">
        <v>11473</v>
      </c>
      <c r="I1465" s="7" t="s">
        <v>46</v>
      </c>
      <c r="J1465" s="7" t="s">
        <v>30</v>
      </c>
      <c r="K1465" s="7" t="s">
        <v>54</v>
      </c>
      <c r="L1465" s="10"/>
      <c r="M1465" s="10" t="s">
        <v>6199</v>
      </c>
      <c r="N1465" s="8" t="n">
        <v>0</v>
      </c>
      <c r="O1465" s="8" t="n">
        <v>0</v>
      </c>
      <c r="P1465" s="8" t="n">
        <v>0</v>
      </c>
      <c r="Q1465" s="8" t="n">
        <v>0</v>
      </c>
      <c r="R1465" s="13" t="n">
        <v>0</v>
      </c>
      <c r="S1465" s="13" t="n">
        <v>0</v>
      </c>
      <c r="T1465" s="13"/>
      <c r="U1465" s="11" t="n">
        <f aca="false">O1465*4 + P1465*2 + MAX(0,N1465-O1465-P1465)*1 + Q1465*0.2 + R1465*2 + S1465*1 + IF(T1465="",0,IF(T1465&lt;=10,8,IF(T1465&lt;=50,6,IF(T1465&lt;=100,4,2))))</f>
        <v>0</v>
      </c>
      <c r="V1465" s="7"/>
      <c r="W1465" s="7"/>
      <c r="X1465" s="13"/>
      <c r="Y1465" s="13" t="s">
        <v>6200</v>
      </c>
    </row>
    <row r="1466" customFormat="false" ht="15.75" hidden="false" customHeight="true" outlineLevel="0" collapsed="false">
      <c r="A1466" s="7" t="s">
        <v>6201</v>
      </c>
      <c r="B1466" s="8" t="n">
        <v>2012</v>
      </c>
      <c r="C1466" s="8" t="s">
        <v>176</v>
      </c>
      <c r="D1466" s="8" t="n">
        <v>106</v>
      </c>
      <c r="E1466" s="7" t="s">
        <v>6202</v>
      </c>
      <c r="F1466" s="8" t="n">
        <v>6.9</v>
      </c>
      <c r="G1466" s="8" t="n">
        <v>7</v>
      </c>
      <c r="H1466" s="9" t="n">
        <v>716191</v>
      </c>
      <c r="I1466" s="7" t="s">
        <v>46</v>
      </c>
      <c r="J1466" s="7" t="s">
        <v>30</v>
      </c>
      <c r="K1466" s="7"/>
      <c r="L1466" s="10" t="s">
        <v>5389</v>
      </c>
      <c r="M1466" s="7" t="s">
        <v>6203</v>
      </c>
      <c r="N1466" s="8" t="n">
        <v>0</v>
      </c>
      <c r="O1466" s="8" t="n">
        <v>0</v>
      </c>
      <c r="P1466" s="8" t="n">
        <v>0</v>
      </c>
      <c r="Q1466" s="8" t="n">
        <v>1</v>
      </c>
      <c r="R1466" s="8" t="n">
        <v>0</v>
      </c>
      <c r="S1466" s="8" t="n">
        <v>0</v>
      </c>
      <c r="T1466" s="13"/>
      <c r="U1466" s="11" t="n">
        <f aca="false">O1466*4 + P1466*2 + MAX(0,N1466-O1466-P1466)*1 + Q1466*0.2 + R1466*2 + S1466*1 + IF(T1466="",0,IF(T1466&lt;=10,8,IF(T1466&lt;=50,6,IF(T1466&lt;=100,4,2))))</f>
        <v>0.2</v>
      </c>
      <c r="V1466" s="7"/>
      <c r="W1466" s="7"/>
      <c r="X1466" s="13"/>
      <c r="Y1466" s="13" t="s">
        <v>6204</v>
      </c>
    </row>
    <row r="1467" customFormat="false" ht="15.75" hidden="false" customHeight="true" outlineLevel="0" collapsed="false">
      <c r="A1467" s="7" t="s">
        <v>6205</v>
      </c>
      <c r="B1467" s="8" t="n">
        <v>2004</v>
      </c>
      <c r="C1467" s="8" t="s">
        <v>35</v>
      </c>
      <c r="D1467" s="8" t="n">
        <v>84</v>
      </c>
      <c r="E1467" s="7" t="s">
        <v>6151</v>
      </c>
      <c r="F1467" s="8" t="n">
        <v>7.1</v>
      </c>
      <c r="G1467" s="8" t="n">
        <v>7</v>
      </c>
      <c r="H1467" s="9" t="n">
        <v>78014</v>
      </c>
      <c r="I1467" s="7" t="s">
        <v>219</v>
      </c>
      <c r="J1467" s="7" t="s">
        <v>111</v>
      </c>
      <c r="K1467" s="7" t="s">
        <v>54</v>
      </c>
      <c r="L1467" s="10" t="s">
        <v>6206</v>
      </c>
      <c r="M1467" s="10" t="s">
        <v>6207</v>
      </c>
      <c r="N1467" s="8" t="n">
        <v>0</v>
      </c>
      <c r="O1467" s="8" t="n">
        <v>0</v>
      </c>
      <c r="P1467" s="8" t="n">
        <v>0</v>
      </c>
      <c r="Q1467" s="8" t="n">
        <v>0</v>
      </c>
      <c r="R1467" s="13" t="n">
        <v>0</v>
      </c>
      <c r="S1467" s="13" t="n">
        <v>0</v>
      </c>
      <c r="T1467" s="13"/>
      <c r="U1467" s="11" t="n">
        <f aca="false">O1467*4 + P1467*2 + MAX(0,N1467-O1467-P1467)*1 + Q1467*0.2 + R1467*2 + S1467*1 + IF(T1467="",0,IF(T1467&lt;=10,8,IF(T1467&lt;=50,6,IF(T1467&lt;=100,4,2))))</f>
        <v>0</v>
      </c>
      <c r="V1467" s="7"/>
      <c r="W1467" s="7"/>
      <c r="X1467" s="13"/>
      <c r="Y1467" s="13" t="s">
        <v>6208</v>
      </c>
    </row>
    <row r="1468" customFormat="false" ht="15.75" hidden="false" customHeight="true" outlineLevel="0" collapsed="false">
      <c r="A1468" s="7" t="s">
        <v>6209</v>
      </c>
      <c r="B1468" s="8" t="n">
        <v>1993</v>
      </c>
      <c r="C1468" s="8" t="s">
        <v>26</v>
      </c>
      <c r="D1468" s="8" t="n">
        <v>101</v>
      </c>
      <c r="E1468" s="7" t="s">
        <v>6210</v>
      </c>
      <c r="F1468" s="8" t="n">
        <v>8</v>
      </c>
      <c r="G1468" s="8" t="n">
        <v>7</v>
      </c>
      <c r="H1468" s="9" t="n">
        <v>739525</v>
      </c>
      <c r="I1468" s="7" t="s">
        <v>46</v>
      </c>
      <c r="J1468" s="7" t="s">
        <v>38</v>
      </c>
      <c r="K1468" s="7" t="s">
        <v>30</v>
      </c>
      <c r="L1468" s="10" t="s">
        <v>210</v>
      </c>
      <c r="M1468" s="7" t="s">
        <v>6211</v>
      </c>
      <c r="N1468" s="8" t="n">
        <v>0</v>
      </c>
      <c r="O1468" s="8" t="n">
        <v>0</v>
      </c>
      <c r="P1468" s="8" t="n">
        <v>0</v>
      </c>
      <c r="Q1468" s="8" t="n">
        <v>0</v>
      </c>
      <c r="R1468" s="13" t="n">
        <v>0</v>
      </c>
      <c r="S1468" s="13" t="n">
        <v>0</v>
      </c>
      <c r="T1468" s="13"/>
      <c r="U1468" s="11" t="n">
        <f aca="false">O1468*4 + P1468*2 + MAX(0,N1468-O1468-P1468)*1 + Q1468*0.2 + R1468*2 + S1468*1 + IF(T1468="",0,IF(T1468&lt;=10,8,IF(T1468&lt;=50,6,IF(T1468&lt;=100,4,2))))</f>
        <v>0</v>
      </c>
      <c r="V1468" s="7"/>
      <c r="W1468" s="7"/>
      <c r="X1468" s="13"/>
      <c r="Y1468" s="13" t="s">
        <v>6212</v>
      </c>
    </row>
    <row r="1469" customFormat="false" ht="15.75" hidden="false" customHeight="true" outlineLevel="0" collapsed="false">
      <c r="A1469" s="7" t="s">
        <v>6213</v>
      </c>
      <c r="B1469" s="8" t="n">
        <v>2001</v>
      </c>
      <c r="C1469" s="8" t="s">
        <v>35</v>
      </c>
      <c r="D1469" s="8" t="n">
        <v>120</v>
      </c>
      <c r="E1469" s="7" t="s">
        <v>6214</v>
      </c>
      <c r="F1469" s="8" t="n">
        <v>7.4</v>
      </c>
      <c r="G1469" s="8" t="n">
        <v>8</v>
      </c>
      <c r="H1469" s="9" t="n">
        <v>203748</v>
      </c>
      <c r="I1469" s="7" t="s">
        <v>2083</v>
      </c>
      <c r="J1469" s="7" t="s">
        <v>111</v>
      </c>
      <c r="K1469" s="7" t="s">
        <v>125</v>
      </c>
      <c r="L1469" s="10"/>
      <c r="M1469" s="10" t="s">
        <v>6215</v>
      </c>
      <c r="N1469" s="8" t="n">
        <v>0</v>
      </c>
      <c r="O1469" s="8" t="n">
        <v>0</v>
      </c>
      <c r="P1469" s="8" t="n">
        <v>0</v>
      </c>
      <c r="Q1469" s="8" t="n">
        <v>0</v>
      </c>
      <c r="R1469" s="13" t="n">
        <v>0</v>
      </c>
      <c r="S1469" s="13" t="n">
        <v>0</v>
      </c>
      <c r="T1469" s="13"/>
      <c r="U1469" s="11" t="n">
        <f aca="false">O1469*4 + P1469*2 + MAX(0,N1469-O1469-P1469)*1 + Q1469*0.2 + R1469*2 + S1469*1 + IF(T1469="",0,IF(T1469&lt;=10,8,IF(T1469&lt;=50,6,IF(T1469&lt;=100,4,2))))</f>
        <v>0</v>
      </c>
      <c r="V1469" s="7"/>
      <c r="W1469" s="7"/>
      <c r="X1469" s="13"/>
      <c r="Y1469" s="13" t="s">
        <v>6216</v>
      </c>
    </row>
    <row r="1470" customFormat="false" ht="15.75" hidden="false" customHeight="true" outlineLevel="0" collapsed="false">
      <c r="A1470" s="7" t="s">
        <v>6217</v>
      </c>
      <c r="B1470" s="8" t="n">
        <v>2010</v>
      </c>
      <c r="C1470" s="8" t="s">
        <v>176</v>
      </c>
      <c r="D1470" s="8" t="n">
        <v>112</v>
      </c>
      <c r="E1470" s="7" t="s">
        <v>1653</v>
      </c>
      <c r="F1470" s="8" t="n">
        <v>6.7</v>
      </c>
      <c r="G1470" s="8" t="n">
        <v>6</v>
      </c>
      <c r="H1470" s="9" t="n">
        <v>254695</v>
      </c>
      <c r="I1470" s="7" t="s">
        <v>46</v>
      </c>
      <c r="J1470" s="7" t="s">
        <v>29</v>
      </c>
      <c r="K1470" s="7" t="s">
        <v>30</v>
      </c>
      <c r="L1470" s="10" t="s">
        <v>1669</v>
      </c>
      <c r="M1470" s="10" t="s">
        <v>6218</v>
      </c>
      <c r="N1470" s="8" t="n">
        <v>0</v>
      </c>
      <c r="O1470" s="8" t="n">
        <v>0</v>
      </c>
      <c r="P1470" s="8" t="n">
        <v>0</v>
      </c>
      <c r="Q1470" s="8" t="n">
        <v>0</v>
      </c>
      <c r="R1470" s="13" t="n">
        <v>0</v>
      </c>
      <c r="S1470" s="13" t="n">
        <v>0</v>
      </c>
      <c r="T1470" s="13"/>
      <c r="U1470" s="11" t="n">
        <f aca="false">O1470*4 + P1470*2 + MAX(0,N1470-O1470-P1470)*1 + Q1470*0.2 + R1470*2 + S1470*1 + IF(T1470="",0,IF(T1470&lt;=10,8,IF(T1470&lt;=50,6,IF(T1470&lt;=100,4,2))))</f>
        <v>0</v>
      </c>
      <c r="V1470" s="7"/>
      <c r="W1470" s="7"/>
      <c r="X1470" s="13"/>
      <c r="Y1470" s="13" t="s">
        <v>6219</v>
      </c>
    </row>
    <row r="1471" customFormat="false" ht="15.75" hidden="false" customHeight="true" outlineLevel="0" collapsed="false">
      <c r="A1471" s="7" t="s">
        <v>6220</v>
      </c>
      <c r="B1471" s="8" t="n">
        <v>2012</v>
      </c>
      <c r="C1471" s="8" t="s">
        <v>176</v>
      </c>
      <c r="D1471" s="8" t="n">
        <v>93</v>
      </c>
      <c r="E1471" s="7" t="s">
        <v>6221</v>
      </c>
      <c r="F1471" s="8" t="n">
        <v>7.1</v>
      </c>
      <c r="G1471" s="8" t="n">
        <v>6</v>
      </c>
      <c r="H1471" s="9" t="n">
        <v>483918</v>
      </c>
      <c r="I1471" s="7" t="s">
        <v>46</v>
      </c>
      <c r="J1471" s="7" t="s">
        <v>579</v>
      </c>
      <c r="K1471" s="7" t="s">
        <v>112</v>
      </c>
      <c r="L1471" s="10" t="s">
        <v>177</v>
      </c>
      <c r="M1471" s="7" t="s">
        <v>6222</v>
      </c>
      <c r="N1471" s="8" t="n">
        <v>1</v>
      </c>
      <c r="O1471" s="8" t="n">
        <v>0</v>
      </c>
      <c r="P1471" s="8" t="n">
        <v>0</v>
      </c>
      <c r="Q1471" s="8" t="n">
        <v>1</v>
      </c>
      <c r="R1471" s="8" t="n">
        <v>0</v>
      </c>
      <c r="S1471" s="8" t="n">
        <v>0</v>
      </c>
      <c r="T1471" s="13"/>
      <c r="U1471" s="11" t="n">
        <f aca="false">O1471*4 + P1471*2 + MAX(0,N1471-O1471-P1471)*1 + Q1471*0.2 + R1471*2 + S1471*1 + IF(T1471="",0,IF(T1471&lt;=10,8,IF(T1471&lt;=50,6,IF(T1471&lt;=100,4,2))))</f>
        <v>1.2</v>
      </c>
      <c r="V1471" s="7"/>
      <c r="W1471" s="7"/>
      <c r="X1471" s="13"/>
      <c r="Y1471" s="13" t="s">
        <v>6223</v>
      </c>
    </row>
    <row r="1472" customFormat="false" ht="15.75" hidden="false" customHeight="true" outlineLevel="0" collapsed="false">
      <c r="A1472" s="7" t="s">
        <v>6224</v>
      </c>
      <c r="B1472" s="8" t="n">
        <v>1985</v>
      </c>
      <c r="C1472" s="8" t="s">
        <v>109</v>
      </c>
      <c r="D1472" s="8" t="n">
        <v>161</v>
      </c>
      <c r="E1472" s="7" t="s">
        <v>6225</v>
      </c>
      <c r="F1472" s="8" t="n">
        <v>7.2</v>
      </c>
      <c r="G1472" s="8" t="n">
        <v>8</v>
      </c>
      <c r="H1472" s="9" t="n">
        <v>93850</v>
      </c>
      <c r="I1472" s="7" t="s">
        <v>46</v>
      </c>
      <c r="J1472" s="7" t="s">
        <v>29</v>
      </c>
      <c r="K1472" s="7" t="s">
        <v>48</v>
      </c>
      <c r="L1472" s="10"/>
      <c r="M1472" s="10" t="s">
        <v>6226</v>
      </c>
      <c r="N1472" s="8" t="n">
        <v>7</v>
      </c>
      <c r="O1472" s="8" t="n">
        <v>1</v>
      </c>
      <c r="P1472" s="8" t="n">
        <v>1</v>
      </c>
      <c r="Q1472" s="8" t="n">
        <v>11</v>
      </c>
      <c r="R1472" s="8" t="n">
        <v>0</v>
      </c>
      <c r="S1472" s="8" t="n">
        <v>1</v>
      </c>
      <c r="T1472" s="13"/>
      <c r="U1472" s="11" t="n">
        <f aca="false">O1472*4 + P1472*2 + MAX(0,N1472-O1472-P1472)*1 + Q1472*0.2 + R1472*2 + S1472*1 + IF(T1472="",0,IF(T1472&lt;=10,8,IF(T1472&lt;=50,6,IF(T1472&lt;=100,4,2))))</f>
        <v>14.2</v>
      </c>
      <c r="V1472" s="7"/>
      <c r="W1472" s="7"/>
      <c r="X1472" s="13"/>
      <c r="Y1472" s="13" t="s">
        <v>6227</v>
      </c>
    </row>
    <row r="1473" customFormat="false" ht="15.75" hidden="false" customHeight="true" outlineLevel="0" collapsed="false">
      <c r="A1473" s="7" t="s">
        <v>6228</v>
      </c>
      <c r="B1473" s="8" t="n">
        <v>2004</v>
      </c>
      <c r="C1473" s="8" t="s">
        <v>35</v>
      </c>
      <c r="D1473" s="8" t="n">
        <v>124</v>
      </c>
      <c r="E1473" s="7" t="s">
        <v>5640</v>
      </c>
      <c r="F1473" s="8" t="n">
        <v>6.5</v>
      </c>
      <c r="G1473" s="8" t="n">
        <v>8</v>
      </c>
      <c r="H1473" s="9" t="n">
        <v>516062</v>
      </c>
      <c r="I1473" s="7" t="s">
        <v>46</v>
      </c>
      <c r="J1473" s="7" t="s">
        <v>111</v>
      </c>
      <c r="K1473" s="7" t="s">
        <v>112</v>
      </c>
      <c r="L1473" s="10" t="s">
        <v>552</v>
      </c>
      <c r="M1473" s="7" t="s">
        <v>6229</v>
      </c>
      <c r="N1473" s="8" t="n">
        <v>0</v>
      </c>
      <c r="O1473" s="8" t="n">
        <v>0</v>
      </c>
      <c r="P1473" s="8" t="n">
        <v>0</v>
      </c>
      <c r="Q1473" s="8" t="n">
        <v>0</v>
      </c>
      <c r="R1473" s="13" t="n">
        <v>0</v>
      </c>
      <c r="S1473" s="13" t="n">
        <v>0</v>
      </c>
      <c r="T1473" s="13"/>
      <c r="U1473" s="11" t="n">
        <f aca="false">O1473*4 + P1473*2 + MAX(0,N1473-O1473-P1473)*1 + Q1473*0.2 + R1473*2 + S1473*1 + IF(T1473="",0,IF(T1473&lt;=10,8,IF(T1473&lt;=50,6,IF(T1473&lt;=100,4,2))))</f>
        <v>0</v>
      </c>
      <c r="V1473" s="7"/>
      <c r="W1473" s="7"/>
      <c r="X1473" s="13"/>
      <c r="Y1473" s="13" t="s">
        <v>6230</v>
      </c>
    </row>
    <row r="1474" customFormat="false" ht="15.75" hidden="false" customHeight="true" outlineLevel="0" collapsed="false">
      <c r="A1474" s="7" t="s">
        <v>6231</v>
      </c>
      <c r="B1474" s="8" t="n">
        <v>2011</v>
      </c>
      <c r="C1474" s="8" t="s">
        <v>176</v>
      </c>
      <c r="D1474" s="8" t="n">
        <v>105</v>
      </c>
      <c r="E1474" s="7" t="s">
        <v>6232</v>
      </c>
      <c r="F1474" s="8" t="n">
        <v>7.6</v>
      </c>
      <c r="G1474" s="8" t="n">
        <v>7</v>
      </c>
      <c r="H1474" s="9" t="n">
        <v>608797</v>
      </c>
      <c r="I1474" s="7" t="s">
        <v>46</v>
      </c>
      <c r="J1474" s="7" t="s">
        <v>111</v>
      </c>
      <c r="K1474" s="7" t="s">
        <v>112</v>
      </c>
      <c r="L1474" s="10" t="s">
        <v>552</v>
      </c>
      <c r="M1474" s="7" t="s">
        <v>6233</v>
      </c>
      <c r="N1474" s="8" t="n">
        <v>0</v>
      </c>
      <c r="O1474" s="8" t="n">
        <v>0</v>
      </c>
      <c r="P1474" s="8" t="n">
        <v>0</v>
      </c>
      <c r="Q1474" s="8" t="n">
        <v>1</v>
      </c>
      <c r="R1474" s="8" t="n">
        <v>0</v>
      </c>
      <c r="S1474" s="8" t="n">
        <v>0</v>
      </c>
      <c r="T1474" s="13"/>
      <c r="U1474" s="11" t="n">
        <f aca="false">O1474*4 + P1474*2 + MAX(0,N1474-O1474-P1474)*1 + Q1474*0.2 + R1474*2 + S1474*1 + IF(T1474="",0,IF(T1474&lt;=10,8,IF(T1474&lt;=50,6,IF(T1474&lt;=100,4,2))))</f>
        <v>0.2</v>
      </c>
      <c r="V1474" s="7"/>
      <c r="W1474" s="7"/>
      <c r="X1474" s="13"/>
      <c r="Y1474" s="13" t="s">
        <v>6234</v>
      </c>
    </row>
    <row r="1475" customFormat="false" ht="15.75" hidden="false" customHeight="true" outlineLevel="0" collapsed="false">
      <c r="A1475" s="7" t="s">
        <v>6235</v>
      </c>
      <c r="B1475" s="8" t="n">
        <v>2012</v>
      </c>
      <c r="C1475" s="8" t="s">
        <v>176</v>
      </c>
      <c r="D1475" s="8" t="n">
        <v>92</v>
      </c>
      <c r="E1475" s="7" t="s">
        <v>6236</v>
      </c>
      <c r="F1475" s="8" t="n">
        <v>6</v>
      </c>
      <c r="G1475" s="8" t="n">
        <v>5</v>
      </c>
      <c r="H1475" s="9" t="n">
        <v>9937</v>
      </c>
      <c r="I1475" s="7" t="s">
        <v>232</v>
      </c>
      <c r="J1475" s="7" t="s">
        <v>579</v>
      </c>
      <c r="K1475" s="7" t="s">
        <v>39</v>
      </c>
      <c r="L1475" s="10" t="s">
        <v>5302</v>
      </c>
      <c r="M1475" s="10" t="s">
        <v>6237</v>
      </c>
      <c r="N1475" s="8" t="n">
        <v>0</v>
      </c>
      <c r="O1475" s="8" t="n">
        <v>0</v>
      </c>
      <c r="P1475" s="8" t="n">
        <v>0</v>
      </c>
      <c r="Q1475" s="8" t="n">
        <v>0</v>
      </c>
      <c r="R1475" s="13" t="n">
        <v>0</v>
      </c>
      <c r="S1475" s="13" t="n">
        <v>0</v>
      </c>
      <c r="T1475" s="13"/>
      <c r="U1475" s="11" t="n">
        <f aca="false">O1475*4 + P1475*2 + MAX(0,N1475-O1475-P1475)*1 + Q1475*0.2 + R1475*2 + S1475*1 + IF(T1475="",0,IF(T1475&lt;=10,8,IF(T1475&lt;=50,6,IF(T1475&lt;=100,4,2))))</f>
        <v>0</v>
      </c>
      <c r="V1475" s="7"/>
      <c r="W1475" s="7"/>
      <c r="X1475" s="13"/>
      <c r="Y1475" s="13" t="s">
        <v>6238</v>
      </c>
    </row>
    <row r="1476" customFormat="false" ht="15.75" hidden="false" customHeight="true" outlineLevel="0" collapsed="false">
      <c r="A1476" s="7" t="s">
        <v>6239</v>
      </c>
      <c r="B1476" s="8" t="n">
        <v>2001</v>
      </c>
      <c r="C1476" s="8" t="s">
        <v>35</v>
      </c>
      <c r="D1476" s="8" t="n">
        <v>108</v>
      </c>
      <c r="E1476" s="7" t="s">
        <v>6240</v>
      </c>
      <c r="F1476" s="8" t="n">
        <v>6.5</v>
      </c>
      <c r="G1476" s="8" t="n">
        <v>8</v>
      </c>
      <c r="H1476" s="9" t="n">
        <v>288679</v>
      </c>
      <c r="I1476" s="7" t="s">
        <v>46</v>
      </c>
      <c r="J1476" s="7" t="s">
        <v>30</v>
      </c>
      <c r="K1476" s="7"/>
      <c r="L1476" s="10"/>
      <c r="M1476" s="7" t="s">
        <v>6241</v>
      </c>
      <c r="N1476" s="8" t="n">
        <v>0</v>
      </c>
      <c r="O1476" s="8" t="n">
        <v>0</v>
      </c>
      <c r="P1476" s="8" t="n">
        <v>0</v>
      </c>
      <c r="Q1476" s="8" t="n">
        <v>0</v>
      </c>
      <c r="R1476" s="13" t="n">
        <v>0</v>
      </c>
      <c r="S1476" s="13" t="n">
        <v>0</v>
      </c>
      <c r="T1476" s="13"/>
      <c r="U1476" s="11" t="n">
        <f aca="false">O1476*4 + P1476*2 + MAX(0,N1476-O1476-P1476)*1 + Q1476*0.2 + R1476*2 + S1476*1 + IF(T1476="",0,IF(T1476&lt;=10,8,IF(T1476&lt;=50,6,IF(T1476&lt;=100,4,2))))</f>
        <v>0</v>
      </c>
      <c r="V1476" s="7"/>
      <c r="W1476" s="7"/>
      <c r="X1476" s="13"/>
      <c r="Y1476" s="13" t="s">
        <v>6242</v>
      </c>
    </row>
    <row r="1477" customFormat="false" ht="15.75" hidden="false" customHeight="true" outlineLevel="0" collapsed="false">
      <c r="A1477" s="7" t="s">
        <v>6243</v>
      </c>
      <c r="B1477" s="8" t="n">
        <v>2001</v>
      </c>
      <c r="C1477" s="8" t="s">
        <v>35</v>
      </c>
      <c r="D1477" s="8" t="n">
        <v>93</v>
      </c>
      <c r="E1477" s="7" t="s">
        <v>6244</v>
      </c>
      <c r="F1477" s="8" t="n">
        <v>6.2</v>
      </c>
      <c r="G1477" s="8" t="n">
        <v>5</v>
      </c>
      <c r="H1477" s="9" t="n">
        <v>65697</v>
      </c>
      <c r="I1477" s="7" t="s">
        <v>46</v>
      </c>
      <c r="J1477" s="7" t="s">
        <v>38</v>
      </c>
      <c r="K1477" s="7" t="s">
        <v>30</v>
      </c>
      <c r="L1477" s="10"/>
      <c r="M1477" s="10" t="s">
        <v>6245</v>
      </c>
      <c r="N1477" s="8" t="n">
        <v>0</v>
      </c>
      <c r="O1477" s="8" t="n">
        <v>0</v>
      </c>
      <c r="P1477" s="8" t="n">
        <v>0</v>
      </c>
      <c r="Q1477" s="8" t="n">
        <v>0</v>
      </c>
      <c r="R1477" s="13" t="n">
        <v>0</v>
      </c>
      <c r="S1477" s="13" t="n">
        <v>0</v>
      </c>
      <c r="T1477" s="13"/>
      <c r="U1477" s="11" t="n">
        <f aca="false">O1477*4 + P1477*2 + MAX(0,N1477-O1477-P1477)*1 + Q1477*0.2 + R1477*2 + S1477*1 + IF(T1477="",0,IF(T1477&lt;=10,8,IF(T1477&lt;=50,6,IF(T1477&lt;=100,4,2))))</f>
        <v>0</v>
      </c>
      <c r="V1477" s="7"/>
      <c r="W1477" s="7"/>
      <c r="X1477" s="13"/>
      <c r="Y1477" s="13" t="s">
        <v>6246</v>
      </c>
    </row>
    <row r="1478" customFormat="false" ht="15.75" hidden="false" customHeight="true" outlineLevel="0" collapsed="false">
      <c r="A1478" s="7" t="s">
        <v>6247</v>
      </c>
      <c r="B1478" s="8" t="n">
        <v>2007</v>
      </c>
      <c r="C1478" s="8" t="s">
        <v>35</v>
      </c>
      <c r="D1478" s="8" t="n">
        <v>113</v>
      </c>
      <c r="E1478" s="7" t="s">
        <v>635</v>
      </c>
      <c r="F1478" s="8" t="n">
        <v>7.2</v>
      </c>
      <c r="G1478" s="8" t="n">
        <v>6</v>
      </c>
      <c r="H1478" s="9" t="n">
        <v>237922</v>
      </c>
      <c r="I1478" s="7" t="s">
        <v>2011</v>
      </c>
      <c r="J1478" s="7" t="s">
        <v>131</v>
      </c>
      <c r="K1478" s="7" t="s">
        <v>54</v>
      </c>
      <c r="L1478" s="10" t="s">
        <v>238</v>
      </c>
      <c r="M1478" s="10" t="s">
        <v>6248</v>
      </c>
      <c r="N1478" s="8" t="n">
        <v>0</v>
      </c>
      <c r="O1478" s="8" t="n">
        <v>0</v>
      </c>
      <c r="P1478" s="8" t="n">
        <v>0</v>
      </c>
      <c r="Q1478" s="8" t="n">
        <v>0</v>
      </c>
      <c r="R1478" s="13" t="n">
        <v>0</v>
      </c>
      <c r="S1478" s="13" t="n">
        <v>0</v>
      </c>
      <c r="T1478" s="13"/>
      <c r="U1478" s="11" t="n">
        <f aca="false">O1478*4 + P1478*2 + MAX(0,N1478-O1478-P1478)*1 + Q1478*0.2 + R1478*2 + S1478*1 + IF(T1478="",0,IF(T1478&lt;=10,8,IF(T1478&lt;=50,6,IF(T1478&lt;=100,4,2))))</f>
        <v>0</v>
      </c>
      <c r="V1478" s="7"/>
      <c r="W1478" s="7"/>
      <c r="X1478" s="13"/>
      <c r="Y1478" s="13" t="s">
        <v>6249</v>
      </c>
    </row>
    <row r="1479" customFormat="false" ht="15.75" hidden="false" customHeight="true" outlineLevel="0" collapsed="false">
      <c r="A1479" s="7" t="s">
        <v>6250</v>
      </c>
      <c r="B1479" s="8" t="n">
        <v>2004</v>
      </c>
      <c r="C1479" s="8" t="s">
        <v>35</v>
      </c>
      <c r="D1479" s="8" t="n">
        <v>122</v>
      </c>
      <c r="E1479" s="7" t="s">
        <v>1657</v>
      </c>
      <c r="F1479" s="8" t="n">
        <v>6.9</v>
      </c>
      <c r="G1479" s="8" t="n">
        <v>6</v>
      </c>
      <c r="H1479" s="9" t="n">
        <v>372392</v>
      </c>
      <c r="I1479" s="7" t="s">
        <v>46</v>
      </c>
      <c r="J1479" s="7" t="s">
        <v>38</v>
      </c>
      <c r="K1479" s="7" t="s">
        <v>5160</v>
      </c>
      <c r="L1479" s="10" t="s">
        <v>113</v>
      </c>
      <c r="M1479" s="7" t="s">
        <v>6251</v>
      </c>
      <c r="N1479" s="8" t="n">
        <v>0</v>
      </c>
      <c r="O1479" s="8" t="n">
        <v>0</v>
      </c>
      <c r="P1479" s="8" t="n">
        <v>0</v>
      </c>
      <c r="Q1479" s="8" t="n">
        <v>0</v>
      </c>
      <c r="R1479" s="13" t="n">
        <v>0</v>
      </c>
      <c r="S1479" s="13" t="n">
        <v>0</v>
      </c>
      <c r="T1479" s="13"/>
      <c r="U1479" s="11" t="n">
        <f aca="false">O1479*4 + P1479*2 + MAX(0,N1479-O1479-P1479)*1 + Q1479*0.2 + R1479*2 + S1479*1 + IF(T1479="",0,IF(T1479&lt;=10,8,IF(T1479&lt;=50,6,IF(T1479&lt;=100,4,2))))</f>
        <v>0</v>
      </c>
      <c r="V1479" s="7"/>
      <c r="W1479" s="7"/>
      <c r="X1479" s="13"/>
      <c r="Y1479" s="13" t="s">
        <v>6252</v>
      </c>
    </row>
    <row r="1480" customFormat="false" ht="15.75" hidden="false" customHeight="true" outlineLevel="0" collapsed="false">
      <c r="A1480" s="7" t="s">
        <v>6253</v>
      </c>
      <c r="B1480" s="8" t="n">
        <v>2008</v>
      </c>
      <c r="C1480" s="8" t="s">
        <v>35</v>
      </c>
      <c r="D1480" s="8" t="n">
        <v>94</v>
      </c>
      <c r="E1480" s="7" t="s">
        <v>6254</v>
      </c>
      <c r="F1480" s="8" t="n">
        <v>7.7</v>
      </c>
      <c r="G1480" s="8" t="n">
        <v>8</v>
      </c>
      <c r="H1480" s="9" t="n">
        <v>277089</v>
      </c>
      <c r="I1480" s="7" t="s">
        <v>359</v>
      </c>
      <c r="J1480" s="7" t="s">
        <v>154</v>
      </c>
      <c r="K1480" s="7" t="s">
        <v>47</v>
      </c>
      <c r="L1480" s="10"/>
      <c r="M1480" s="7" t="s">
        <v>6255</v>
      </c>
      <c r="N1480" s="8" t="n">
        <v>0</v>
      </c>
      <c r="O1480" s="8" t="n">
        <v>0</v>
      </c>
      <c r="P1480" s="8" t="n">
        <v>0</v>
      </c>
      <c r="Q1480" s="8" t="n">
        <v>0</v>
      </c>
      <c r="R1480" s="13" t="n">
        <v>0</v>
      </c>
      <c r="S1480" s="13" t="n">
        <v>0</v>
      </c>
      <c r="T1480" s="13"/>
      <c r="U1480" s="11" t="n">
        <f aca="false">O1480*4 + P1480*2 + MAX(0,N1480-O1480-P1480)*1 + Q1480*0.2 + R1480*2 + S1480*1 + IF(T1480="",0,IF(T1480&lt;=10,8,IF(T1480&lt;=50,6,IF(T1480&lt;=100,4,2))))</f>
        <v>0</v>
      </c>
      <c r="V1480" s="7"/>
      <c r="W1480" s="7"/>
      <c r="X1480" s="13"/>
      <c r="Y1480" s="13" t="s">
        <v>6256</v>
      </c>
    </row>
    <row r="1481" customFormat="false" ht="15.75" hidden="false" customHeight="true" outlineLevel="0" collapsed="false">
      <c r="A1481" s="7" t="s">
        <v>6257</v>
      </c>
      <c r="B1481" s="8" t="n">
        <v>2011</v>
      </c>
      <c r="C1481" s="8" t="s">
        <v>176</v>
      </c>
      <c r="D1481" s="8" t="n">
        <v>89</v>
      </c>
      <c r="E1481" s="7" t="s">
        <v>6258</v>
      </c>
      <c r="F1481" s="8" t="n">
        <v>5</v>
      </c>
      <c r="G1481" s="8" t="n">
        <v>2</v>
      </c>
      <c r="H1481" s="9" t="n">
        <v>4645</v>
      </c>
      <c r="I1481" s="7" t="s">
        <v>46</v>
      </c>
      <c r="J1481" s="7" t="s">
        <v>112</v>
      </c>
      <c r="K1481" s="7" t="s">
        <v>54</v>
      </c>
      <c r="L1481" s="10" t="s">
        <v>3213</v>
      </c>
      <c r="M1481" s="10" t="s">
        <v>6259</v>
      </c>
      <c r="N1481" s="8" t="n">
        <v>0</v>
      </c>
      <c r="O1481" s="8" t="n">
        <v>0</v>
      </c>
      <c r="P1481" s="8" t="n">
        <v>0</v>
      </c>
      <c r="Q1481" s="8" t="n">
        <v>0</v>
      </c>
      <c r="R1481" s="13" t="n">
        <v>0</v>
      </c>
      <c r="S1481" s="13" t="n">
        <v>0</v>
      </c>
      <c r="T1481" s="13"/>
      <c r="U1481" s="11" t="n">
        <f aca="false">O1481*4 + P1481*2 + MAX(0,N1481-O1481-P1481)*1 + Q1481*0.2 + R1481*2 + S1481*1 + IF(T1481="",0,IF(T1481&lt;=10,8,IF(T1481&lt;=50,6,IF(T1481&lt;=100,4,2))))</f>
        <v>0</v>
      </c>
      <c r="V1481" s="7"/>
      <c r="W1481" s="7"/>
      <c r="X1481" s="13"/>
      <c r="Y1481" s="13" t="s">
        <v>6260</v>
      </c>
    </row>
    <row r="1482" customFormat="false" ht="15.75" hidden="false" customHeight="true" outlineLevel="0" collapsed="false">
      <c r="A1482" s="7" t="s">
        <v>6261</v>
      </c>
      <c r="B1482" s="8" t="n">
        <v>2010</v>
      </c>
      <c r="C1482" s="8" t="s">
        <v>176</v>
      </c>
      <c r="D1482" s="8" t="n">
        <v>97</v>
      </c>
      <c r="E1482" s="7" t="s">
        <v>6262</v>
      </c>
      <c r="F1482" s="8" t="n">
        <v>7</v>
      </c>
      <c r="G1482" s="8" t="n">
        <v>7</v>
      </c>
      <c r="H1482" s="9" t="n">
        <v>101048</v>
      </c>
      <c r="I1482" s="7" t="s">
        <v>46</v>
      </c>
      <c r="J1482" s="7" t="s">
        <v>131</v>
      </c>
      <c r="K1482" s="7" t="s">
        <v>54</v>
      </c>
      <c r="L1482" s="10" t="s">
        <v>954</v>
      </c>
      <c r="M1482" s="10" t="s">
        <v>6263</v>
      </c>
      <c r="N1482" s="8" t="n">
        <v>0</v>
      </c>
      <c r="O1482" s="8" t="n">
        <v>0</v>
      </c>
      <c r="P1482" s="8" t="n">
        <v>0</v>
      </c>
      <c r="Q1482" s="8" t="n">
        <v>0</v>
      </c>
      <c r="R1482" s="13" t="n">
        <v>0</v>
      </c>
      <c r="S1482" s="13" t="n">
        <v>0</v>
      </c>
      <c r="T1482" s="13"/>
      <c r="U1482" s="11" t="n">
        <f aca="false">O1482*4 + P1482*2 + MAX(0,N1482-O1482-P1482)*1 + Q1482*0.2 + R1482*2 + S1482*1 + IF(T1482="",0,IF(T1482&lt;=10,8,IF(T1482&lt;=50,6,IF(T1482&lt;=100,4,2))))</f>
        <v>0</v>
      </c>
      <c r="V1482" s="7"/>
      <c r="W1482" s="7"/>
      <c r="X1482" s="13"/>
      <c r="Y1482" s="13" t="s">
        <v>6264</v>
      </c>
    </row>
    <row r="1483" customFormat="false" ht="15.75" hidden="false" customHeight="true" outlineLevel="0" collapsed="false">
      <c r="A1483" s="7" t="s">
        <v>6265</v>
      </c>
      <c r="B1483" s="8" t="n">
        <v>2009</v>
      </c>
      <c r="C1483" s="8" t="s">
        <v>35</v>
      </c>
      <c r="D1483" s="8" t="n">
        <v>108</v>
      </c>
      <c r="E1483" s="7" t="s">
        <v>6266</v>
      </c>
      <c r="F1483" s="8" t="n">
        <v>6.8</v>
      </c>
      <c r="G1483" s="8" t="n">
        <v>3</v>
      </c>
      <c r="H1483" s="9" t="n">
        <v>401765</v>
      </c>
      <c r="I1483" s="7" t="s">
        <v>46</v>
      </c>
      <c r="J1483" s="7" t="s">
        <v>29</v>
      </c>
      <c r="K1483" s="7" t="s">
        <v>30</v>
      </c>
      <c r="L1483" s="10" t="s">
        <v>6267</v>
      </c>
      <c r="M1483" s="7" t="s">
        <v>6268</v>
      </c>
      <c r="N1483" s="8" t="n">
        <v>0</v>
      </c>
      <c r="O1483" s="8" t="n">
        <v>0</v>
      </c>
      <c r="P1483" s="8" t="n">
        <v>0</v>
      </c>
      <c r="Q1483" s="8" t="n">
        <v>0</v>
      </c>
      <c r="R1483" s="13" t="n">
        <v>0</v>
      </c>
      <c r="S1483" s="13" t="n">
        <v>0</v>
      </c>
      <c r="T1483" s="13"/>
      <c r="U1483" s="11" t="n">
        <f aca="false">O1483*4 + P1483*2 + MAX(0,N1483-O1483-P1483)*1 + Q1483*0.2 + R1483*2 + S1483*1 + IF(T1483="",0,IF(T1483&lt;=10,8,IF(T1483&lt;=50,6,IF(T1483&lt;=100,4,2))))</f>
        <v>0</v>
      </c>
      <c r="V1483" s="7"/>
      <c r="W1483" s="7"/>
      <c r="X1483" s="13"/>
      <c r="Y1483" s="13" t="s">
        <v>6269</v>
      </c>
    </row>
    <row r="1484" customFormat="false" ht="15.75" hidden="false" customHeight="true" outlineLevel="0" collapsed="false">
      <c r="A1484" s="7" t="s">
        <v>6270</v>
      </c>
      <c r="B1484" s="8" t="n">
        <v>2008</v>
      </c>
      <c r="C1484" s="8" t="s">
        <v>35</v>
      </c>
      <c r="D1484" s="8" t="n">
        <v>92</v>
      </c>
      <c r="E1484" s="7" t="s">
        <v>6271</v>
      </c>
      <c r="F1484" s="8" t="n">
        <v>7.6</v>
      </c>
      <c r="G1484" s="8" t="n">
        <v>7</v>
      </c>
      <c r="H1484" s="9" t="n">
        <v>587706</v>
      </c>
      <c r="I1484" s="7" t="s">
        <v>46</v>
      </c>
      <c r="J1484" s="7" t="s">
        <v>579</v>
      </c>
      <c r="K1484" s="7" t="s">
        <v>2711</v>
      </c>
      <c r="L1484" s="10" t="s">
        <v>5259</v>
      </c>
      <c r="M1484" s="7" t="s">
        <v>6272</v>
      </c>
      <c r="N1484" s="8" t="n">
        <v>0</v>
      </c>
      <c r="O1484" s="8" t="n">
        <v>0</v>
      </c>
      <c r="P1484" s="8" t="n">
        <v>0</v>
      </c>
      <c r="Q1484" s="8" t="n">
        <v>1</v>
      </c>
      <c r="R1484" s="8" t="n">
        <v>0</v>
      </c>
      <c r="S1484" s="8" t="n">
        <v>0</v>
      </c>
      <c r="T1484" s="13"/>
      <c r="U1484" s="11" t="n">
        <f aca="false">O1484*4 + P1484*2 + MAX(0,N1484-O1484-P1484)*1 + Q1484*0.2 + R1484*2 + S1484*1 + IF(T1484="",0,IF(T1484&lt;=10,8,IF(T1484&lt;=50,6,IF(T1484&lt;=100,4,2))))</f>
        <v>0.2</v>
      </c>
      <c r="V1484" s="7"/>
      <c r="W1484" s="7"/>
      <c r="X1484" s="13"/>
      <c r="Y1484" s="13" t="s">
        <v>6273</v>
      </c>
    </row>
    <row r="1485" customFormat="false" ht="15.75" hidden="false" customHeight="true" outlineLevel="0" collapsed="false">
      <c r="A1485" s="7" t="s">
        <v>6274</v>
      </c>
      <c r="B1485" s="8" t="n">
        <v>2005</v>
      </c>
      <c r="C1485" s="8" t="s">
        <v>35</v>
      </c>
      <c r="D1485" s="8" t="n">
        <v>118</v>
      </c>
      <c r="E1485" s="7" t="s">
        <v>6275</v>
      </c>
      <c r="F1485" s="8" t="n">
        <v>6.6</v>
      </c>
      <c r="G1485" s="8" t="n">
        <v>6</v>
      </c>
      <c r="H1485" s="9" t="n">
        <v>351171</v>
      </c>
      <c r="I1485" s="7" t="s">
        <v>46</v>
      </c>
      <c r="J1485" s="7" t="s">
        <v>29</v>
      </c>
      <c r="K1485" s="7" t="s">
        <v>30</v>
      </c>
      <c r="L1485" s="10" t="s">
        <v>6276</v>
      </c>
      <c r="M1485" s="7" t="s">
        <v>6277</v>
      </c>
      <c r="N1485" s="8" t="n">
        <v>0</v>
      </c>
      <c r="O1485" s="8" t="n">
        <v>0</v>
      </c>
      <c r="P1485" s="8" t="n">
        <v>0</v>
      </c>
      <c r="Q1485" s="8" t="n">
        <v>0</v>
      </c>
      <c r="R1485" s="13" t="n">
        <v>0</v>
      </c>
      <c r="S1485" s="13" t="n">
        <v>0</v>
      </c>
      <c r="T1485" s="13"/>
      <c r="U1485" s="11" t="n">
        <f aca="false">O1485*4 + P1485*2 + MAX(0,N1485-O1485-P1485)*1 + Q1485*0.2 + R1485*2 + S1485*1 + IF(T1485="",0,IF(T1485&lt;=10,8,IF(T1485&lt;=50,6,IF(T1485&lt;=100,4,2))))</f>
        <v>0</v>
      </c>
      <c r="V1485" s="7"/>
      <c r="W1485" s="7"/>
      <c r="X1485" s="13"/>
      <c r="Y1485" s="13" t="s">
        <v>6278</v>
      </c>
    </row>
    <row r="1486" customFormat="false" ht="15.75" hidden="false" customHeight="true" outlineLevel="0" collapsed="false">
      <c r="A1486" s="7" t="s">
        <v>6279</v>
      </c>
      <c r="B1486" s="8" t="n">
        <v>2005</v>
      </c>
      <c r="C1486" s="8" t="s">
        <v>35</v>
      </c>
      <c r="D1486" s="8" t="n">
        <v>136</v>
      </c>
      <c r="E1486" s="7" t="s">
        <v>6280</v>
      </c>
      <c r="F1486" s="8" t="n">
        <v>7.4</v>
      </c>
      <c r="G1486" s="8" t="n">
        <v>7</v>
      </c>
      <c r="H1486" s="9" t="n">
        <v>194675</v>
      </c>
      <c r="I1486" s="7" t="s">
        <v>2011</v>
      </c>
      <c r="J1486" s="7" t="s">
        <v>47</v>
      </c>
      <c r="K1486" s="7" t="s">
        <v>48</v>
      </c>
      <c r="L1486" s="10"/>
      <c r="M1486" s="10" t="s">
        <v>6281</v>
      </c>
      <c r="N1486" s="8" t="n">
        <v>0</v>
      </c>
      <c r="O1486" s="8" t="n">
        <v>0</v>
      </c>
      <c r="P1486" s="8" t="n">
        <v>0</v>
      </c>
      <c r="Q1486" s="8" t="n">
        <v>0</v>
      </c>
      <c r="R1486" s="13" t="n">
        <v>0</v>
      </c>
      <c r="S1486" s="13" t="n">
        <v>0</v>
      </c>
      <c r="T1486" s="13"/>
      <c r="U1486" s="11" t="n">
        <f aca="false">O1486*4 + P1486*2 + MAX(0,N1486-O1486-P1486)*1 + Q1486*0.2 + R1486*2 + S1486*1 + IF(T1486="",0,IF(T1486&lt;=10,8,IF(T1486&lt;=50,6,IF(T1486&lt;=100,4,2))))</f>
        <v>0</v>
      </c>
      <c r="V1486" s="7"/>
      <c r="W1486" s="7"/>
      <c r="X1486" s="13"/>
      <c r="Y1486" s="13" t="s">
        <v>6282</v>
      </c>
    </row>
    <row r="1487" customFormat="false" ht="15.75" hidden="false" customHeight="true" outlineLevel="0" collapsed="false">
      <c r="A1487" s="7" t="s">
        <v>6283</v>
      </c>
      <c r="B1487" s="8" t="n">
        <v>2012</v>
      </c>
      <c r="C1487" s="8" t="s">
        <v>176</v>
      </c>
      <c r="D1487" s="8" t="n">
        <v>90</v>
      </c>
      <c r="E1487" s="7" t="s">
        <v>6284</v>
      </c>
      <c r="F1487" s="8" t="n">
        <v>3.6</v>
      </c>
      <c r="G1487" s="8" t="n">
        <v>1</v>
      </c>
      <c r="H1487" s="9" t="n">
        <v>4204</v>
      </c>
      <c r="I1487" s="7" t="s">
        <v>46</v>
      </c>
      <c r="J1487" s="7" t="s">
        <v>147</v>
      </c>
      <c r="K1487" s="7" t="s">
        <v>111</v>
      </c>
      <c r="L1487" s="10" t="s">
        <v>6285</v>
      </c>
      <c r="M1487" s="10" t="s">
        <v>6286</v>
      </c>
      <c r="N1487" s="8" t="n">
        <v>0</v>
      </c>
      <c r="O1487" s="8" t="n">
        <v>0</v>
      </c>
      <c r="P1487" s="8" t="n">
        <v>0</v>
      </c>
      <c r="Q1487" s="8" t="n">
        <v>0</v>
      </c>
      <c r="R1487" s="13" t="n">
        <v>0</v>
      </c>
      <c r="S1487" s="13" t="n">
        <v>0</v>
      </c>
      <c r="T1487" s="13"/>
      <c r="U1487" s="11" t="n">
        <f aca="false">O1487*4 + P1487*2 + MAX(0,N1487-O1487-P1487)*1 + Q1487*0.2 + R1487*2 + S1487*1 + IF(T1487="",0,IF(T1487&lt;=10,8,IF(T1487&lt;=50,6,IF(T1487&lt;=100,4,2))))</f>
        <v>0</v>
      </c>
      <c r="V1487" s="7"/>
      <c r="W1487" s="7"/>
      <c r="X1487" s="13"/>
      <c r="Y1487" s="13" t="s">
        <v>6287</v>
      </c>
    </row>
    <row r="1488" customFormat="false" ht="15.75" hidden="false" customHeight="true" outlineLevel="0" collapsed="false">
      <c r="A1488" s="7" t="s">
        <v>6288</v>
      </c>
      <c r="B1488" s="8" t="n">
        <v>1997</v>
      </c>
      <c r="C1488" s="8" t="s">
        <v>26</v>
      </c>
      <c r="D1488" s="8" t="n">
        <v>90</v>
      </c>
      <c r="E1488" s="7" t="s">
        <v>6093</v>
      </c>
      <c r="F1488" s="8" t="n">
        <v>7.1</v>
      </c>
      <c r="G1488" s="8" t="n">
        <v>7</v>
      </c>
      <c r="H1488" s="9" t="n">
        <v>263216</v>
      </c>
      <c r="I1488" s="7" t="s">
        <v>1111</v>
      </c>
      <c r="J1488" s="7" t="s">
        <v>147</v>
      </c>
      <c r="K1488" s="7" t="s">
        <v>125</v>
      </c>
      <c r="L1488" s="10" t="s">
        <v>161</v>
      </c>
      <c r="M1488" s="7" t="s">
        <v>6289</v>
      </c>
      <c r="N1488" s="8" t="n">
        <v>0</v>
      </c>
      <c r="O1488" s="8" t="n">
        <v>0</v>
      </c>
      <c r="P1488" s="8" t="n">
        <v>0</v>
      </c>
      <c r="Q1488" s="8" t="n">
        <v>0</v>
      </c>
      <c r="R1488" s="13" t="n">
        <v>0</v>
      </c>
      <c r="S1488" s="13" t="n">
        <v>0</v>
      </c>
      <c r="T1488" s="13"/>
      <c r="U1488" s="11" t="n">
        <f aca="false">O1488*4 + P1488*2 + MAX(0,N1488-O1488-P1488)*1 + Q1488*0.2 + R1488*2 + S1488*1 + IF(T1488="",0,IF(T1488&lt;=10,8,IF(T1488&lt;=50,6,IF(T1488&lt;=100,4,2))))</f>
        <v>0</v>
      </c>
      <c r="V1488" s="7"/>
      <c r="W1488" s="7"/>
      <c r="X1488" s="13"/>
      <c r="Y1488" s="13" t="s">
        <v>6290</v>
      </c>
    </row>
    <row r="1489" customFormat="false" ht="15.75" hidden="false" customHeight="true" outlineLevel="0" collapsed="false">
      <c r="A1489" s="7" t="s">
        <v>6291</v>
      </c>
      <c r="B1489" s="8" t="n">
        <v>2011</v>
      </c>
      <c r="C1489" s="8" t="s">
        <v>176</v>
      </c>
      <c r="D1489" s="8" t="n">
        <v>94</v>
      </c>
      <c r="E1489" s="7" t="s">
        <v>6292</v>
      </c>
      <c r="F1489" s="8" t="n">
        <v>6.6</v>
      </c>
      <c r="G1489" s="8" t="n">
        <v>5</v>
      </c>
      <c r="H1489" s="9" t="n">
        <v>10744</v>
      </c>
      <c r="I1489" s="7" t="s">
        <v>232</v>
      </c>
      <c r="J1489" s="7" t="s">
        <v>38</v>
      </c>
      <c r="K1489" s="7" t="s">
        <v>29</v>
      </c>
      <c r="L1489" s="10"/>
      <c r="M1489" s="10" t="s">
        <v>6293</v>
      </c>
      <c r="N1489" s="8" t="n">
        <v>0</v>
      </c>
      <c r="O1489" s="8" t="n">
        <v>0</v>
      </c>
      <c r="P1489" s="8" t="n">
        <v>0</v>
      </c>
      <c r="Q1489" s="8" t="n">
        <v>0</v>
      </c>
      <c r="R1489" s="13" t="n">
        <v>0</v>
      </c>
      <c r="S1489" s="13" t="n">
        <v>0</v>
      </c>
      <c r="T1489" s="13"/>
      <c r="U1489" s="11" t="n">
        <f aca="false">O1489*4 + P1489*2 + MAX(0,N1489-O1489-P1489)*1 + Q1489*0.2 + R1489*2 + S1489*1 + IF(T1489="",0,IF(T1489&lt;=10,8,IF(T1489&lt;=50,6,IF(T1489&lt;=100,4,2))))</f>
        <v>0</v>
      </c>
      <c r="V1489" s="7"/>
      <c r="W1489" s="7"/>
      <c r="X1489" s="13"/>
      <c r="Y1489" s="13" t="s">
        <v>6294</v>
      </c>
    </row>
    <row r="1490" customFormat="false" ht="15.75" hidden="false" customHeight="true" outlineLevel="0" collapsed="false">
      <c r="A1490" s="7" t="s">
        <v>6295</v>
      </c>
      <c r="B1490" s="8" t="n">
        <v>2010</v>
      </c>
      <c r="C1490" s="8" t="s">
        <v>176</v>
      </c>
      <c r="D1490" s="8" t="n">
        <v>89</v>
      </c>
      <c r="E1490" s="7" t="s">
        <v>6296</v>
      </c>
      <c r="F1490" s="8" t="n">
        <v>5.5</v>
      </c>
      <c r="G1490" s="8" t="n">
        <v>2</v>
      </c>
      <c r="H1490" s="9" t="n">
        <v>818</v>
      </c>
      <c r="I1490" s="7" t="s">
        <v>1111</v>
      </c>
      <c r="J1490" s="7" t="s">
        <v>47</v>
      </c>
      <c r="K1490" s="7" t="s">
        <v>54</v>
      </c>
      <c r="L1490" s="10"/>
      <c r="M1490" s="10" t="s">
        <v>6297</v>
      </c>
      <c r="N1490" s="8" t="n">
        <v>0</v>
      </c>
      <c r="O1490" s="8" t="n">
        <v>0</v>
      </c>
      <c r="P1490" s="8" t="n">
        <v>0</v>
      </c>
      <c r="Q1490" s="8" t="n">
        <v>0</v>
      </c>
      <c r="R1490" s="13" t="n">
        <v>0</v>
      </c>
      <c r="S1490" s="13" t="n">
        <v>0</v>
      </c>
      <c r="T1490" s="13"/>
      <c r="U1490" s="11" t="n">
        <f aca="false">O1490*4 + P1490*2 + MAX(0,N1490-O1490-P1490)*1 + Q1490*0.2 + R1490*2 + S1490*1 + IF(T1490="",0,IF(T1490&lt;=10,8,IF(T1490&lt;=50,6,IF(T1490&lt;=100,4,2))))</f>
        <v>0</v>
      </c>
      <c r="V1490" s="7"/>
      <c r="W1490" s="7"/>
      <c r="X1490" s="13"/>
      <c r="Y1490" s="13" t="s">
        <v>6298</v>
      </c>
    </row>
    <row r="1491" customFormat="false" ht="15.75" hidden="false" customHeight="true" outlineLevel="0" collapsed="false">
      <c r="A1491" s="7" t="s">
        <v>6299</v>
      </c>
      <c r="B1491" s="8" t="n">
        <v>2008</v>
      </c>
      <c r="C1491" s="8" t="s">
        <v>35</v>
      </c>
      <c r="D1491" s="8" t="n">
        <v>128</v>
      </c>
      <c r="E1491" s="7" t="s">
        <v>1074</v>
      </c>
      <c r="F1491" s="8" t="n">
        <v>7</v>
      </c>
      <c r="G1491" s="8" t="n">
        <v>7</v>
      </c>
      <c r="H1491" s="9" t="n">
        <v>251647</v>
      </c>
      <c r="I1491" s="7" t="s">
        <v>153</v>
      </c>
      <c r="J1491" s="7" t="s">
        <v>131</v>
      </c>
      <c r="K1491" s="7" t="s">
        <v>112</v>
      </c>
      <c r="L1491" s="10" t="s">
        <v>1936</v>
      </c>
      <c r="M1491" s="10" t="s">
        <v>6300</v>
      </c>
      <c r="N1491" s="8" t="n">
        <v>0</v>
      </c>
      <c r="O1491" s="8" t="n">
        <v>0</v>
      </c>
      <c r="P1491" s="8" t="n">
        <v>0</v>
      </c>
      <c r="Q1491" s="8" t="n">
        <v>0</v>
      </c>
      <c r="R1491" s="13" t="n">
        <v>0</v>
      </c>
      <c r="S1491" s="13" t="n">
        <v>0</v>
      </c>
      <c r="T1491" s="13"/>
      <c r="U1491" s="11" t="n">
        <f aca="false">O1491*4 + P1491*2 + MAX(0,N1491-O1491-P1491)*1 + Q1491*0.2 + R1491*2 + S1491*1 + IF(T1491="",0,IF(T1491&lt;=10,8,IF(T1491&lt;=50,6,IF(T1491&lt;=100,4,2))))</f>
        <v>0</v>
      </c>
      <c r="V1491" s="7"/>
      <c r="W1491" s="7"/>
      <c r="X1491" s="13"/>
      <c r="Y1491" s="13" t="s">
        <v>6301</v>
      </c>
    </row>
    <row r="1492" customFormat="false" ht="15.75" hidden="false" customHeight="true" outlineLevel="0" collapsed="false">
      <c r="A1492" s="7" t="s">
        <v>6302</v>
      </c>
      <c r="B1492" s="8" t="n">
        <v>2005</v>
      </c>
      <c r="C1492" s="8" t="s">
        <v>35</v>
      </c>
      <c r="D1492" s="8" t="n">
        <v>124</v>
      </c>
      <c r="E1492" s="7" t="s">
        <v>6303</v>
      </c>
      <c r="F1492" s="8" t="n">
        <v>8</v>
      </c>
      <c r="G1492" s="8" t="n">
        <v>8</v>
      </c>
      <c r="H1492" s="9" t="n">
        <v>823038</v>
      </c>
      <c r="I1492" s="7" t="s">
        <v>46</v>
      </c>
      <c r="J1492" s="7" t="s">
        <v>131</v>
      </c>
      <c r="K1492" s="7" t="s">
        <v>54</v>
      </c>
      <c r="L1492" s="10" t="s">
        <v>155</v>
      </c>
      <c r="M1492" s="7" t="s">
        <v>6304</v>
      </c>
      <c r="N1492" s="8" t="n">
        <v>0</v>
      </c>
      <c r="O1492" s="8" t="n">
        <v>0</v>
      </c>
      <c r="P1492" s="8" t="n">
        <v>0</v>
      </c>
      <c r="Q1492" s="8" t="n">
        <v>0</v>
      </c>
      <c r="R1492" s="13" t="n">
        <v>0</v>
      </c>
      <c r="S1492" s="13" t="n">
        <v>0</v>
      </c>
      <c r="T1492" s="13"/>
      <c r="U1492" s="11" t="n">
        <f aca="false">O1492*4 + P1492*2 + MAX(0,N1492-O1492-P1492)*1 + Q1492*0.2 + R1492*2 + S1492*1 + IF(T1492="",0,IF(T1492&lt;=10,8,IF(T1492&lt;=50,6,IF(T1492&lt;=100,4,2))))</f>
        <v>0</v>
      </c>
      <c r="V1492" s="7"/>
      <c r="W1492" s="7"/>
      <c r="X1492" s="13"/>
      <c r="Y1492" s="13" t="s">
        <v>6305</v>
      </c>
    </row>
    <row r="1493" customFormat="false" ht="15.75" hidden="false" customHeight="true" outlineLevel="0" collapsed="false">
      <c r="A1493" s="7" t="s">
        <v>6306</v>
      </c>
      <c r="B1493" s="8" t="n">
        <v>1998</v>
      </c>
      <c r="C1493" s="8" t="s">
        <v>26</v>
      </c>
      <c r="D1493" s="8" t="n">
        <v>169</v>
      </c>
      <c r="E1493" s="7" t="s">
        <v>45</v>
      </c>
      <c r="F1493" s="8" t="n">
        <v>8.6</v>
      </c>
      <c r="G1493" s="8" t="n">
        <v>9</v>
      </c>
      <c r="H1493" s="9" t="n">
        <v>1655765</v>
      </c>
      <c r="I1493" s="7" t="s">
        <v>46</v>
      </c>
      <c r="J1493" s="7" t="s">
        <v>154</v>
      </c>
      <c r="K1493" s="7" t="s">
        <v>47</v>
      </c>
      <c r="L1493" s="10" t="s">
        <v>6307</v>
      </c>
      <c r="M1493" s="7" t="s">
        <v>6308</v>
      </c>
      <c r="N1493" s="8" t="n">
        <v>5</v>
      </c>
      <c r="O1493" s="8" t="n">
        <v>0</v>
      </c>
      <c r="P1493" s="8" t="n">
        <v>1</v>
      </c>
      <c r="Q1493" s="8" t="n">
        <v>11</v>
      </c>
      <c r="R1493" s="8" t="n">
        <v>0</v>
      </c>
      <c r="S1493" s="8" t="n">
        <v>1</v>
      </c>
      <c r="T1493" s="8"/>
      <c r="U1493" s="11" t="n">
        <f aca="false">O1493*4 + P1493*2 + MAX(0,N1493-O1493-P1493)*1 + Q1493*0.2 + R1493*2 + S1493*1 + IF(T1493="",0,IF(T1493&lt;=10,8,IF(T1493&lt;=50,6,IF(T1493&lt;=100,4,2))))</f>
        <v>9.2</v>
      </c>
      <c r="V1493" s="7"/>
      <c r="W1493" s="7"/>
      <c r="X1493" s="13"/>
      <c r="Y1493" s="13" t="s">
        <v>6309</v>
      </c>
    </row>
    <row r="1494" customFormat="false" ht="15.75" hidden="false" customHeight="true" outlineLevel="0" collapsed="false">
      <c r="A1494" s="7" t="s">
        <v>6310</v>
      </c>
      <c r="B1494" s="8" t="n">
        <v>2006</v>
      </c>
      <c r="C1494" s="8" t="s">
        <v>35</v>
      </c>
      <c r="D1494" s="8" t="n">
        <v>144</v>
      </c>
      <c r="E1494" s="7" t="s">
        <v>6311</v>
      </c>
      <c r="F1494" s="8" t="n">
        <v>8</v>
      </c>
      <c r="G1494" s="8" t="n">
        <v>7</v>
      </c>
      <c r="H1494" s="9" t="n">
        <v>751858</v>
      </c>
      <c r="I1494" s="7" t="s">
        <v>6312</v>
      </c>
      <c r="J1494" s="7" t="s">
        <v>131</v>
      </c>
      <c r="K1494" s="7" t="s">
        <v>6313</v>
      </c>
      <c r="L1494" s="10" t="s">
        <v>113</v>
      </c>
      <c r="M1494" s="7" t="s">
        <v>6314</v>
      </c>
      <c r="N1494" s="8" t="n">
        <v>0</v>
      </c>
      <c r="O1494" s="8" t="n">
        <v>0</v>
      </c>
      <c r="P1494" s="8" t="n">
        <v>0</v>
      </c>
      <c r="Q1494" s="8" t="n">
        <v>0</v>
      </c>
      <c r="R1494" s="13" t="n">
        <v>0</v>
      </c>
      <c r="S1494" s="13" t="n">
        <v>0</v>
      </c>
      <c r="T1494" s="13"/>
      <c r="U1494" s="11" t="n">
        <f aca="false">O1494*4 + P1494*2 + MAX(0,N1494-O1494-P1494)*1 + Q1494*0.2 + R1494*2 + S1494*1 + IF(T1494="",0,IF(T1494&lt;=10,8,IF(T1494&lt;=50,6,IF(T1494&lt;=100,4,2))))</f>
        <v>0</v>
      </c>
      <c r="V1494" s="7"/>
      <c r="W1494" s="7"/>
      <c r="X1494" s="13"/>
      <c r="Y1494" s="13" t="s">
        <v>6315</v>
      </c>
    </row>
    <row r="1495" customFormat="false" ht="15.75" hidden="false" customHeight="true" outlineLevel="0" collapsed="false">
      <c r="A1495" s="7" t="s">
        <v>6316</v>
      </c>
      <c r="B1495" s="8" t="n">
        <v>2008</v>
      </c>
      <c r="C1495" s="8" t="s">
        <v>35</v>
      </c>
      <c r="D1495" s="8" t="n">
        <v>105</v>
      </c>
      <c r="E1495" s="7" t="s">
        <v>6317</v>
      </c>
      <c r="F1495" s="8" t="n">
        <v>7.6</v>
      </c>
      <c r="G1495" s="8" t="n">
        <v>8</v>
      </c>
      <c r="H1495" s="9" t="n">
        <v>5844</v>
      </c>
      <c r="I1495" s="7" t="s">
        <v>46</v>
      </c>
      <c r="J1495" s="7" t="s">
        <v>2730</v>
      </c>
      <c r="K1495" s="7" t="s">
        <v>48</v>
      </c>
      <c r="L1495" s="10" t="s">
        <v>161</v>
      </c>
      <c r="M1495" s="10" t="s">
        <v>6318</v>
      </c>
      <c r="N1495" s="8" t="n">
        <v>0</v>
      </c>
      <c r="O1495" s="8" t="n">
        <v>0</v>
      </c>
      <c r="P1495" s="8" t="n">
        <v>0</v>
      </c>
      <c r="Q1495" s="8" t="n">
        <v>0</v>
      </c>
      <c r="R1495" s="13" t="n">
        <v>0</v>
      </c>
      <c r="S1495" s="13" t="n">
        <v>0</v>
      </c>
      <c r="T1495" s="13"/>
      <c r="U1495" s="11" t="n">
        <f aca="false">O1495*4 + P1495*2 + MAX(0,N1495-O1495-P1495)*1 + Q1495*0.2 + R1495*2 + S1495*1 + IF(T1495="",0,IF(T1495&lt;=10,8,IF(T1495&lt;=50,6,IF(T1495&lt;=100,4,2))))</f>
        <v>0</v>
      </c>
      <c r="V1495" s="7"/>
      <c r="W1495" s="7"/>
      <c r="X1495" s="13"/>
      <c r="Y1495" s="13" t="s">
        <v>6319</v>
      </c>
    </row>
    <row r="1496" customFormat="false" ht="15.75" hidden="false" customHeight="true" outlineLevel="0" collapsed="false">
      <c r="A1496" s="7" t="s">
        <v>6320</v>
      </c>
      <c r="B1496" s="8" t="n">
        <v>2004</v>
      </c>
      <c r="C1496" s="8" t="s">
        <v>35</v>
      </c>
      <c r="D1496" s="8" t="n">
        <v>91</v>
      </c>
      <c r="E1496" s="7" t="s">
        <v>6321</v>
      </c>
      <c r="F1496" s="8" t="n">
        <v>5.4</v>
      </c>
      <c r="G1496" s="8" t="n">
        <v>5</v>
      </c>
      <c r="H1496" s="9" t="n">
        <v>7342</v>
      </c>
      <c r="I1496" s="7" t="s">
        <v>46</v>
      </c>
      <c r="J1496" s="7" t="s">
        <v>147</v>
      </c>
      <c r="K1496" s="7" t="s">
        <v>131</v>
      </c>
      <c r="L1496" s="10"/>
      <c r="M1496" s="10" t="s">
        <v>6322</v>
      </c>
      <c r="N1496" s="8" t="n">
        <v>0</v>
      </c>
      <c r="O1496" s="8" t="n">
        <v>0</v>
      </c>
      <c r="P1496" s="8" t="n">
        <v>0</v>
      </c>
      <c r="Q1496" s="8" t="n">
        <v>0</v>
      </c>
      <c r="R1496" s="13" t="n">
        <v>0</v>
      </c>
      <c r="S1496" s="13" t="n">
        <v>0</v>
      </c>
      <c r="T1496" s="13"/>
      <c r="U1496" s="11" t="n">
        <f aca="false">O1496*4 + P1496*2 + MAX(0,N1496-O1496-P1496)*1 + Q1496*0.2 + R1496*2 + S1496*1 + IF(T1496="",0,IF(T1496&lt;=10,8,IF(T1496&lt;=50,6,IF(T1496&lt;=100,4,2))))</f>
        <v>0</v>
      </c>
      <c r="V1496" s="7"/>
      <c r="W1496" s="7"/>
      <c r="X1496" s="13"/>
      <c r="Y1496" s="13" t="s">
        <v>6323</v>
      </c>
    </row>
    <row r="1497" customFormat="false" ht="15.75" hidden="false" customHeight="true" outlineLevel="0" collapsed="false">
      <c r="A1497" s="7" t="s">
        <v>6324</v>
      </c>
      <c r="B1497" s="8" t="n">
        <v>2010</v>
      </c>
      <c r="C1497" s="8" t="s">
        <v>176</v>
      </c>
      <c r="D1497" s="8" t="n">
        <v>102</v>
      </c>
      <c r="E1497" s="7" t="s">
        <v>6325</v>
      </c>
      <c r="F1497" s="8" t="n">
        <v>7.1</v>
      </c>
      <c r="G1497" s="8" t="n">
        <v>4</v>
      </c>
      <c r="H1497" s="9" t="n">
        <v>11005</v>
      </c>
      <c r="I1497" s="7" t="s">
        <v>219</v>
      </c>
      <c r="J1497" s="7" t="s">
        <v>30</v>
      </c>
      <c r="K1497" s="7"/>
      <c r="L1497" s="10" t="s">
        <v>3213</v>
      </c>
      <c r="M1497" s="10" t="s">
        <v>6326</v>
      </c>
      <c r="N1497" s="8" t="n">
        <v>0</v>
      </c>
      <c r="O1497" s="8" t="n">
        <v>0</v>
      </c>
      <c r="P1497" s="8" t="n">
        <v>0</v>
      </c>
      <c r="Q1497" s="8" t="n">
        <v>0</v>
      </c>
      <c r="R1497" s="13" t="n">
        <v>0</v>
      </c>
      <c r="S1497" s="13" t="n">
        <v>0</v>
      </c>
      <c r="T1497" s="13"/>
      <c r="U1497" s="11" t="n">
        <f aca="false">O1497*4 + P1497*2 + MAX(0,N1497-O1497-P1497)*1 + Q1497*0.2 + R1497*2 + S1497*1 + IF(T1497="",0,IF(T1497&lt;=10,8,IF(T1497&lt;=50,6,IF(T1497&lt;=100,4,2))))</f>
        <v>0</v>
      </c>
      <c r="V1497" s="7"/>
      <c r="W1497" s="7"/>
      <c r="X1497" s="13"/>
      <c r="Y1497" s="13" t="s">
        <v>6327</v>
      </c>
    </row>
    <row r="1498" customFormat="false" ht="15.75" hidden="false" customHeight="true" outlineLevel="0" collapsed="false">
      <c r="A1498" s="7" t="s">
        <v>6328</v>
      </c>
      <c r="B1498" s="8" t="n">
        <v>2012</v>
      </c>
      <c r="C1498" s="8" t="s">
        <v>176</v>
      </c>
      <c r="D1498" s="8" t="n">
        <v>119</v>
      </c>
      <c r="E1498" s="7" t="s">
        <v>679</v>
      </c>
      <c r="F1498" s="8" t="n">
        <v>7.4</v>
      </c>
      <c r="G1498" s="8" t="n">
        <v>6</v>
      </c>
      <c r="H1498" s="9" t="n">
        <v>631337</v>
      </c>
      <c r="I1498" s="7" t="s">
        <v>2276</v>
      </c>
      <c r="J1498" s="7" t="s">
        <v>111</v>
      </c>
      <c r="K1498" s="7" t="s">
        <v>103</v>
      </c>
      <c r="L1498" s="10" t="s">
        <v>161</v>
      </c>
      <c r="M1498" s="7" t="s">
        <v>6329</v>
      </c>
      <c r="N1498" s="8" t="n">
        <v>0</v>
      </c>
      <c r="O1498" s="8" t="n">
        <v>0</v>
      </c>
      <c r="P1498" s="8" t="n">
        <v>0</v>
      </c>
      <c r="Q1498" s="8" t="n">
        <v>0</v>
      </c>
      <c r="R1498" s="13" t="n">
        <v>0</v>
      </c>
      <c r="S1498" s="13" t="n">
        <v>0</v>
      </c>
      <c r="T1498" s="13"/>
      <c r="U1498" s="11" t="n">
        <f aca="false">O1498*4 + P1498*2 + MAX(0,N1498-O1498-P1498)*1 + Q1498*0.2 + R1498*2 + S1498*1 + IF(T1498="",0,IF(T1498&lt;=10,8,IF(T1498&lt;=50,6,IF(T1498&lt;=100,4,2))))</f>
        <v>0</v>
      </c>
      <c r="V1498" s="7"/>
      <c r="W1498" s="7"/>
      <c r="X1498" s="13"/>
      <c r="Y1498" s="13" t="s">
        <v>6330</v>
      </c>
    </row>
    <row r="1499" customFormat="false" ht="15.75" hidden="false" customHeight="true" outlineLevel="0" collapsed="false">
      <c r="A1499" s="7" t="s">
        <v>6331</v>
      </c>
      <c r="B1499" s="8" t="n">
        <v>2012</v>
      </c>
      <c r="C1499" s="8" t="s">
        <v>176</v>
      </c>
      <c r="D1499" s="8" t="n">
        <v>97</v>
      </c>
      <c r="E1499" s="7" t="s">
        <v>6332</v>
      </c>
      <c r="F1499" s="8" t="n">
        <v>6.2</v>
      </c>
      <c r="G1499" s="8" t="n">
        <v>6</v>
      </c>
      <c r="H1499" s="9" t="n">
        <v>161381</v>
      </c>
      <c r="I1499" s="7" t="s">
        <v>46</v>
      </c>
      <c r="J1499" s="7" t="s">
        <v>131</v>
      </c>
      <c r="K1499" s="7" t="s">
        <v>54</v>
      </c>
      <c r="L1499" s="10" t="s">
        <v>113</v>
      </c>
      <c r="M1499" s="10" t="s">
        <v>6333</v>
      </c>
      <c r="N1499" s="8" t="n">
        <v>0</v>
      </c>
      <c r="O1499" s="8" t="n">
        <v>0</v>
      </c>
      <c r="P1499" s="8" t="n">
        <v>0</v>
      </c>
      <c r="Q1499" s="8" t="n">
        <v>0</v>
      </c>
      <c r="R1499" s="13" t="n">
        <v>0</v>
      </c>
      <c r="S1499" s="13" t="n">
        <v>0</v>
      </c>
      <c r="T1499" s="13"/>
      <c r="U1499" s="11" t="n">
        <f aca="false">O1499*4 + P1499*2 + MAX(0,N1499-O1499-P1499)*1 + Q1499*0.2 + R1499*2 + S1499*1 + IF(T1499="",0,IF(T1499&lt;=10,8,IF(T1499&lt;=50,6,IF(T1499&lt;=100,4,2))))</f>
        <v>0</v>
      </c>
      <c r="V1499" s="7"/>
      <c r="W1499" s="7"/>
      <c r="X1499" s="13"/>
      <c r="Y1499" s="13" t="s">
        <v>6334</v>
      </c>
    </row>
    <row r="1500" customFormat="false" ht="15.75" hidden="false" customHeight="true" outlineLevel="0" collapsed="false">
      <c r="A1500" s="7" t="s">
        <v>6335</v>
      </c>
      <c r="B1500" s="8" t="n">
        <v>2012</v>
      </c>
      <c r="C1500" s="8" t="s">
        <v>176</v>
      </c>
      <c r="D1500" s="8" t="n">
        <v>88</v>
      </c>
      <c r="E1500" s="7" t="s">
        <v>6336</v>
      </c>
      <c r="F1500" s="8" t="n">
        <v>6.5</v>
      </c>
      <c r="G1500" s="8" t="n">
        <v>6</v>
      </c>
      <c r="H1500" s="9" t="n">
        <v>245635</v>
      </c>
      <c r="I1500" s="7" t="s">
        <v>46</v>
      </c>
      <c r="J1500" s="7" t="s">
        <v>579</v>
      </c>
      <c r="K1500" s="7" t="s">
        <v>39</v>
      </c>
      <c r="L1500" s="10" t="s">
        <v>177</v>
      </c>
      <c r="M1500" s="10" t="s">
        <v>6337</v>
      </c>
      <c r="N1500" s="8" t="n">
        <v>0</v>
      </c>
      <c r="O1500" s="8" t="n">
        <v>0</v>
      </c>
      <c r="P1500" s="8" t="n">
        <v>0</v>
      </c>
      <c r="Q1500" s="8" t="n">
        <v>0</v>
      </c>
      <c r="R1500" s="13" t="n">
        <v>0</v>
      </c>
      <c r="S1500" s="13" t="n">
        <v>0</v>
      </c>
      <c r="T1500" s="13"/>
      <c r="U1500" s="11" t="n">
        <f aca="false">O1500*4 + P1500*2 + MAX(0,N1500-O1500-P1500)*1 + Q1500*0.2 + R1500*2 + S1500*1 + IF(T1500="",0,IF(T1500&lt;=10,8,IF(T1500&lt;=50,6,IF(T1500&lt;=100,4,2))))</f>
        <v>0</v>
      </c>
      <c r="V1500" s="7"/>
      <c r="W1500" s="7"/>
      <c r="X1500" s="13"/>
      <c r="Y1500" s="13" t="s">
        <v>6338</v>
      </c>
    </row>
    <row r="1501" customFormat="false" ht="15.75" hidden="false" customHeight="true" outlineLevel="0" collapsed="false">
      <c r="A1501" s="7" t="s">
        <v>6339</v>
      </c>
      <c r="B1501" s="8" t="n">
        <v>2011</v>
      </c>
      <c r="C1501" s="8" t="s">
        <v>176</v>
      </c>
      <c r="D1501" s="8" t="n">
        <v>107</v>
      </c>
      <c r="E1501" s="7" t="s">
        <v>45</v>
      </c>
      <c r="F1501" s="8" t="n">
        <v>7.3</v>
      </c>
      <c r="G1501" s="8" t="n">
        <v>6</v>
      </c>
      <c r="H1501" s="9" t="n">
        <v>256902</v>
      </c>
      <c r="I1501" s="7" t="s">
        <v>1988</v>
      </c>
      <c r="J1501" s="7" t="s">
        <v>579</v>
      </c>
      <c r="K1501" s="7" t="s">
        <v>112</v>
      </c>
      <c r="L1501" s="10" t="s">
        <v>416</v>
      </c>
      <c r="M1501" s="7" t="s">
        <v>6340</v>
      </c>
      <c r="N1501" s="8" t="n">
        <v>0</v>
      </c>
      <c r="O1501" s="8" t="n">
        <v>0</v>
      </c>
      <c r="P1501" s="8" t="n">
        <v>0</v>
      </c>
      <c r="Q1501" s="8" t="n">
        <v>1</v>
      </c>
      <c r="R1501" s="8" t="n">
        <v>0</v>
      </c>
      <c r="S1501" s="8" t="n">
        <v>0</v>
      </c>
      <c r="T1501" s="13"/>
      <c r="U1501" s="11" t="n">
        <f aca="false">O1501*4 + P1501*2 + MAX(0,N1501-O1501-P1501)*1 + Q1501*0.2 + R1501*2 + S1501*1 + IF(T1501="",0,IF(T1501&lt;=10,8,IF(T1501&lt;=50,6,IF(T1501&lt;=100,4,2))))</f>
        <v>0.2</v>
      </c>
      <c r="V1501" s="7"/>
      <c r="W1501" s="7"/>
      <c r="X1501" s="13"/>
      <c r="Y1501" s="13" t="s">
        <v>6341</v>
      </c>
    </row>
    <row r="1502" customFormat="false" ht="15.75" hidden="false" customHeight="true" outlineLevel="0" collapsed="false">
      <c r="A1502" s="7" t="s">
        <v>6342</v>
      </c>
      <c r="B1502" s="8" t="n">
        <v>1995</v>
      </c>
      <c r="C1502" s="8" t="s">
        <v>26</v>
      </c>
      <c r="D1502" s="8" t="n">
        <v>114</v>
      </c>
      <c r="E1502" s="7" t="s">
        <v>6343</v>
      </c>
      <c r="F1502" s="8" t="n">
        <v>6</v>
      </c>
      <c r="G1502" s="8" t="n">
        <v>5</v>
      </c>
      <c r="H1502" s="9" t="n">
        <v>80414</v>
      </c>
      <c r="I1502" s="7" t="s">
        <v>46</v>
      </c>
      <c r="J1502" s="7" t="s">
        <v>112</v>
      </c>
      <c r="K1502" s="7" t="s">
        <v>54</v>
      </c>
      <c r="L1502" s="10"/>
      <c r="M1502" s="10" t="s">
        <v>6344</v>
      </c>
      <c r="N1502" s="8" t="n">
        <v>0</v>
      </c>
      <c r="O1502" s="8" t="n">
        <v>0</v>
      </c>
      <c r="P1502" s="8" t="n">
        <v>0</v>
      </c>
      <c r="Q1502" s="8" t="n">
        <v>0</v>
      </c>
      <c r="R1502" s="13" t="n">
        <v>0</v>
      </c>
      <c r="S1502" s="13" t="n">
        <v>0</v>
      </c>
      <c r="T1502" s="13"/>
      <c r="U1502" s="11" t="n">
        <f aca="false">O1502*4 + P1502*2 + MAX(0,N1502-O1502-P1502)*1 + Q1502*0.2 + R1502*2 + S1502*1 + IF(T1502="",0,IF(T1502&lt;=10,8,IF(T1502&lt;=50,6,IF(T1502&lt;=100,4,2))))</f>
        <v>0</v>
      </c>
      <c r="V1502" s="7"/>
      <c r="W1502" s="7"/>
      <c r="X1502" s="13"/>
      <c r="Y1502" s="13" t="s">
        <v>6345</v>
      </c>
    </row>
    <row r="1503" customFormat="false" ht="15.75" hidden="false" customHeight="true" outlineLevel="0" collapsed="false">
      <c r="A1503" s="7" t="s">
        <v>6346</v>
      </c>
      <c r="B1503" s="8" t="n">
        <v>2010</v>
      </c>
      <c r="C1503" s="8" t="s">
        <v>176</v>
      </c>
      <c r="D1503" s="8" t="n">
        <v>108</v>
      </c>
      <c r="E1503" s="7" t="s">
        <v>561</v>
      </c>
      <c r="F1503" s="8" t="n">
        <v>6.4</v>
      </c>
      <c r="G1503" s="8" t="n">
        <v>4</v>
      </c>
      <c r="H1503" s="9" t="n">
        <v>471330</v>
      </c>
      <c r="I1503" s="7" t="s">
        <v>46</v>
      </c>
      <c r="J1503" s="7" t="s">
        <v>38</v>
      </c>
      <c r="K1503" s="7" t="s">
        <v>259</v>
      </c>
      <c r="L1503" s="10" t="s">
        <v>177</v>
      </c>
      <c r="M1503" s="7" t="s">
        <v>6347</v>
      </c>
      <c r="N1503" s="8" t="n">
        <v>2</v>
      </c>
      <c r="O1503" s="8" t="n">
        <v>0</v>
      </c>
      <c r="P1503" s="8" t="n">
        <v>0</v>
      </c>
      <c r="Q1503" s="8" t="n">
        <v>3</v>
      </c>
      <c r="R1503" s="8" t="n">
        <v>0</v>
      </c>
      <c r="S1503" s="8" t="n">
        <v>0</v>
      </c>
      <c r="T1503" s="13"/>
      <c r="U1503" s="11" t="n">
        <f aca="false">O1503*4 + P1503*2 + MAX(0,N1503-O1503-P1503)*1 + Q1503*0.2 + R1503*2 + S1503*1 + IF(T1503="",0,IF(T1503&lt;=10,8,IF(T1503&lt;=50,6,IF(T1503&lt;=100,4,2))))</f>
        <v>2.6</v>
      </c>
      <c r="V1503" s="7"/>
      <c r="W1503" s="7"/>
      <c r="X1503" s="13"/>
      <c r="Y1503" s="13" t="s">
        <v>6348</v>
      </c>
    </row>
    <row r="1504" customFormat="false" ht="15.75" hidden="false" customHeight="true" outlineLevel="0" collapsed="false">
      <c r="A1504" s="7" t="s">
        <v>6349</v>
      </c>
      <c r="B1504" s="8" t="n">
        <v>2012</v>
      </c>
      <c r="C1504" s="8" t="s">
        <v>176</v>
      </c>
      <c r="D1504" s="8" t="n">
        <v>114</v>
      </c>
      <c r="E1504" s="7" t="s">
        <v>825</v>
      </c>
      <c r="F1504" s="8" t="n">
        <v>7.5</v>
      </c>
      <c r="G1504" s="8" t="n">
        <v>8</v>
      </c>
      <c r="H1504" s="9" t="n">
        <v>266082</v>
      </c>
      <c r="I1504" s="7" t="s">
        <v>2451</v>
      </c>
      <c r="J1504" s="7" t="s">
        <v>131</v>
      </c>
      <c r="K1504" s="7" t="s">
        <v>453</v>
      </c>
      <c r="L1504" s="10" t="s">
        <v>238</v>
      </c>
      <c r="M1504" s="7" t="s">
        <v>6350</v>
      </c>
      <c r="N1504" s="8" t="n">
        <v>0</v>
      </c>
      <c r="O1504" s="8" t="n">
        <v>0</v>
      </c>
      <c r="P1504" s="8" t="n">
        <v>0</v>
      </c>
      <c r="Q1504" s="8" t="n">
        <v>1</v>
      </c>
      <c r="R1504" s="8" t="n">
        <v>0</v>
      </c>
      <c r="S1504" s="8" t="n">
        <v>0</v>
      </c>
      <c r="T1504" s="13"/>
      <c r="U1504" s="11" t="n">
        <f aca="false">O1504*4 + P1504*2 + MAX(0,N1504-O1504-P1504)*1 + Q1504*0.2 + R1504*2 + S1504*1 + IF(T1504="",0,IF(T1504&lt;=10,8,IF(T1504&lt;=50,6,IF(T1504&lt;=100,4,2))))</f>
        <v>0.2</v>
      </c>
      <c r="V1504" s="7"/>
      <c r="W1504" s="7"/>
      <c r="X1504" s="13"/>
      <c r="Y1504" s="13" t="s">
        <v>6351</v>
      </c>
    </row>
    <row r="1505" customFormat="false" ht="15.75" hidden="false" customHeight="true" outlineLevel="0" collapsed="false">
      <c r="A1505" s="7" t="s">
        <v>6352</v>
      </c>
      <c r="B1505" s="8" t="n">
        <v>2012</v>
      </c>
      <c r="C1505" s="8" t="s">
        <v>176</v>
      </c>
      <c r="D1505" s="8" t="n">
        <v>92</v>
      </c>
      <c r="E1505" s="7" t="s">
        <v>6353</v>
      </c>
      <c r="F1505" s="8" t="n">
        <v>6.2</v>
      </c>
      <c r="G1505" s="8" t="n">
        <v>6</v>
      </c>
      <c r="H1505" s="9" t="n">
        <v>338550</v>
      </c>
      <c r="I1505" s="7" t="s">
        <v>219</v>
      </c>
      <c r="J1505" s="7" t="s">
        <v>131</v>
      </c>
      <c r="K1505" s="7" t="s">
        <v>54</v>
      </c>
      <c r="L1505" s="10" t="s">
        <v>1890</v>
      </c>
      <c r="M1505" s="7" t="s">
        <v>6354</v>
      </c>
      <c r="N1505" s="8" t="n">
        <v>0</v>
      </c>
      <c r="O1505" s="8" t="n">
        <v>0</v>
      </c>
      <c r="P1505" s="8" t="n">
        <v>0</v>
      </c>
      <c r="Q1505" s="8" t="n">
        <v>0</v>
      </c>
      <c r="R1505" s="13" t="n">
        <v>0</v>
      </c>
      <c r="S1505" s="13" t="n">
        <v>0</v>
      </c>
      <c r="T1505" s="13"/>
      <c r="U1505" s="11" t="n">
        <f aca="false">O1505*4 + P1505*2 + MAX(0,N1505-O1505-P1505)*1 + Q1505*0.2 + R1505*2 + S1505*1 + IF(T1505="",0,IF(T1505&lt;=10,8,IF(T1505&lt;=50,6,IF(T1505&lt;=100,4,2))))</f>
        <v>0</v>
      </c>
      <c r="V1505" s="7"/>
      <c r="W1505" s="7"/>
      <c r="X1505" s="13"/>
      <c r="Y1505" s="13" t="s">
        <v>6355</v>
      </c>
    </row>
    <row r="1506" customFormat="false" ht="15.75" hidden="false" customHeight="true" outlineLevel="0" collapsed="false">
      <c r="A1506" s="7" t="s">
        <v>6356</v>
      </c>
      <c r="B1506" s="8" t="n">
        <v>2012</v>
      </c>
      <c r="C1506" s="8" t="s">
        <v>176</v>
      </c>
      <c r="D1506" s="8" t="n">
        <v>127</v>
      </c>
      <c r="E1506" s="7" t="s">
        <v>6357</v>
      </c>
      <c r="F1506" s="8" t="n">
        <v>6.1</v>
      </c>
      <c r="G1506" s="8" t="n">
        <v>5</v>
      </c>
      <c r="H1506" s="9" t="n">
        <v>316362</v>
      </c>
      <c r="I1506" s="7" t="s">
        <v>46</v>
      </c>
      <c r="J1506" s="7" t="s">
        <v>112</v>
      </c>
      <c r="K1506" s="7" t="s">
        <v>39</v>
      </c>
      <c r="L1506" s="10" t="s">
        <v>1895</v>
      </c>
      <c r="M1506" s="7" t="s">
        <v>6358</v>
      </c>
      <c r="N1506" s="8" t="n">
        <v>0</v>
      </c>
      <c r="O1506" s="8" t="n">
        <v>0</v>
      </c>
      <c r="P1506" s="8" t="n">
        <v>0</v>
      </c>
      <c r="Q1506" s="8" t="n">
        <v>2</v>
      </c>
      <c r="R1506" s="8" t="n">
        <v>0</v>
      </c>
      <c r="S1506" s="8" t="n">
        <v>0</v>
      </c>
      <c r="T1506" s="13"/>
      <c r="U1506" s="11" t="n">
        <f aca="false">O1506*4 + P1506*2 + MAX(0,N1506-O1506-P1506)*1 + Q1506*0.2 + R1506*2 + S1506*1 + IF(T1506="",0,IF(T1506&lt;=10,8,IF(T1506&lt;=50,6,IF(T1506&lt;=100,4,2))))</f>
        <v>0.4</v>
      </c>
      <c r="V1506" s="7"/>
      <c r="W1506" s="7"/>
      <c r="X1506" s="13"/>
      <c r="Y1506" s="13" t="s">
        <v>6359</v>
      </c>
    </row>
    <row r="1507" customFormat="false" ht="15.75" hidden="false" customHeight="true" outlineLevel="0" collapsed="false">
      <c r="A1507" s="7" t="s">
        <v>6360</v>
      </c>
      <c r="B1507" s="8" t="n">
        <v>2008</v>
      </c>
      <c r="C1507" s="8" t="s">
        <v>35</v>
      </c>
      <c r="D1507" s="8" t="n">
        <v>88</v>
      </c>
      <c r="E1507" s="7" t="s">
        <v>6361</v>
      </c>
      <c r="F1507" s="8" t="n">
        <v>5.1</v>
      </c>
      <c r="G1507" s="8" t="n">
        <v>1</v>
      </c>
      <c r="H1507" s="9" t="n">
        <v>717</v>
      </c>
      <c r="I1507" s="7" t="s">
        <v>46</v>
      </c>
      <c r="J1507" s="7" t="s">
        <v>131</v>
      </c>
      <c r="K1507" s="7" t="s">
        <v>54</v>
      </c>
      <c r="L1507" s="10"/>
      <c r="M1507" s="10" t="s">
        <v>6362</v>
      </c>
      <c r="N1507" s="8" t="n">
        <v>0</v>
      </c>
      <c r="O1507" s="8" t="n">
        <v>0</v>
      </c>
      <c r="P1507" s="8" t="n">
        <v>0</v>
      </c>
      <c r="Q1507" s="8" t="n">
        <v>0</v>
      </c>
      <c r="R1507" s="13" t="n">
        <v>0</v>
      </c>
      <c r="S1507" s="13" t="n">
        <v>0</v>
      </c>
      <c r="T1507" s="13"/>
      <c r="U1507" s="11" t="n">
        <f aca="false">O1507*4 + P1507*2 + MAX(0,N1507-O1507-P1507)*1 + Q1507*0.2 + R1507*2 + S1507*1 + IF(T1507="",0,IF(T1507&lt;=10,8,IF(T1507&lt;=50,6,IF(T1507&lt;=100,4,2))))</f>
        <v>0</v>
      </c>
      <c r="V1507" s="7"/>
      <c r="W1507" s="7"/>
      <c r="X1507" s="13"/>
      <c r="Y1507" s="13" t="s">
        <v>6363</v>
      </c>
    </row>
    <row r="1508" customFormat="false" ht="15.75" hidden="false" customHeight="true" outlineLevel="0" collapsed="false">
      <c r="A1508" s="7" t="s">
        <v>6364</v>
      </c>
      <c r="B1508" s="8" t="n">
        <v>2000</v>
      </c>
      <c r="C1508" s="8" t="s">
        <v>35</v>
      </c>
      <c r="D1508" s="8" t="n">
        <v>118</v>
      </c>
      <c r="E1508" s="7" t="s">
        <v>6365</v>
      </c>
      <c r="F1508" s="8" t="n">
        <v>6.5</v>
      </c>
      <c r="G1508" s="8" t="n">
        <v>6</v>
      </c>
      <c r="H1508" s="9" t="n">
        <v>311917</v>
      </c>
      <c r="I1508" s="7" t="s">
        <v>46</v>
      </c>
      <c r="J1508" s="7" t="s">
        <v>131</v>
      </c>
      <c r="K1508" s="7" t="s">
        <v>54</v>
      </c>
      <c r="L1508" s="10" t="s">
        <v>552</v>
      </c>
      <c r="M1508" s="7" t="s">
        <v>6366</v>
      </c>
      <c r="N1508" s="8" t="n">
        <v>0</v>
      </c>
      <c r="O1508" s="8" t="n">
        <v>0</v>
      </c>
      <c r="P1508" s="8" t="n">
        <v>0</v>
      </c>
      <c r="Q1508" s="8" t="n">
        <v>0</v>
      </c>
      <c r="R1508" s="13" t="n">
        <v>0</v>
      </c>
      <c r="S1508" s="13" t="n">
        <v>0</v>
      </c>
      <c r="T1508" s="13"/>
      <c r="U1508" s="11" t="n">
        <f aca="false">O1508*4 + P1508*2 + MAX(0,N1508-O1508-P1508)*1 + Q1508*0.2 + R1508*2 + S1508*1 + IF(T1508="",0,IF(T1508&lt;=10,8,IF(T1508&lt;=50,6,IF(T1508&lt;=100,4,2))))</f>
        <v>0</v>
      </c>
      <c r="V1508" s="7"/>
      <c r="W1508" s="7"/>
      <c r="X1508" s="13"/>
      <c r="Y1508" s="13" t="s">
        <v>6367</v>
      </c>
    </row>
    <row r="1509" customFormat="false" ht="15.75" hidden="false" customHeight="true" outlineLevel="0" collapsed="false">
      <c r="A1509" s="7" t="s">
        <v>6368</v>
      </c>
      <c r="B1509" s="8" t="n">
        <v>2002</v>
      </c>
      <c r="C1509" s="8" t="s">
        <v>35</v>
      </c>
      <c r="D1509" s="8" t="n">
        <v>145</v>
      </c>
      <c r="E1509" s="7" t="s">
        <v>45</v>
      </c>
      <c r="F1509" s="8" t="n">
        <v>7.6</v>
      </c>
      <c r="G1509" s="8" t="n">
        <v>7</v>
      </c>
      <c r="H1509" s="9" t="n">
        <v>625384</v>
      </c>
      <c r="I1509" s="7" t="s">
        <v>46</v>
      </c>
      <c r="J1509" s="7" t="s">
        <v>112</v>
      </c>
      <c r="K1509" s="7" t="s">
        <v>54</v>
      </c>
      <c r="L1509" s="10"/>
      <c r="M1509" s="7" t="s">
        <v>6369</v>
      </c>
      <c r="N1509" s="8" t="n">
        <v>0</v>
      </c>
      <c r="O1509" s="8" t="n">
        <v>0</v>
      </c>
      <c r="P1509" s="8" t="n">
        <v>0</v>
      </c>
      <c r="Q1509" s="8" t="n">
        <v>1</v>
      </c>
      <c r="R1509" s="8" t="n">
        <v>0</v>
      </c>
      <c r="S1509" s="8" t="n">
        <v>0</v>
      </c>
      <c r="T1509" s="13"/>
      <c r="U1509" s="11" t="n">
        <f aca="false">O1509*4 + P1509*2 + MAX(0,N1509-O1509-P1509)*1 + Q1509*0.2 + R1509*2 + S1509*1 + IF(T1509="",0,IF(T1509&lt;=10,8,IF(T1509&lt;=50,6,IF(T1509&lt;=100,4,2))))</f>
        <v>0.2</v>
      </c>
      <c r="V1509" s="7"/>
      <c r="W1509" s="7"/>
      <c r="X1509" s="13"/>
      <c r="Y1509" s="13" t="s">
        <v>6370</v>
      </c>
    </row>
    <row r="1510" customFormat="false" ht="15.75" hidden="false" customHeight="true" outlineLevel="0" collapsed="false">
      <c r="A1510" s="7" t="s">
        <v>6371</v>
      </c>
      <c r="B1510" s="8" t="n">
        <v>2008</v>
      </c>
      <c r="C1510" s="8" t="s">
        <v>35</v>
      </c>
      <c r="D1510" s="8" t="n">
        <v>90</v>
      </c>
      <c r="E1510" s="7" t="s">
        <v>6045</v>
      </c>
      <c r="F1510" s="8" t="n">
        <v>5.5</v>
      </c>
      <c r="G1510" s="8" t="n">
        <v>4</v>
      </c>
      <c r="H1510" s="9" t="n">
        <v>101189</v>
      </c>
      <c r="I1510" s="7" t="s">
        <v>3107</v>
      </c>
      <c r="J1510" s="7" t="s">
        <v>111</v>
      </c>
      <c r="K1510" s="7" t="s">
        <v>953</v>
      </c>
      <c r="L1510" s="10" t="s">
        <v>220</v>
      </c>
      <c r="M1510" s="10" t="s">
        <v>6372</v>
      </c>
      <c r="N1510" s="8" t="n">
        <v>0</v>
      </c>
      <c r="O1510" s="8" t="n">
        <v>0</v>
      </c>
      <c r="P1510" s="8" t="n">
        <v>0</v>
      </c>
      <c r="Q1510" s="8" t="n">
        <v>0</v>
      </c>
      <c r="R1510" s="13" t="n">
        <v>0</v>
      </c>
      <c r="S1510" s="13" t="n">
        <v>0</v>
      </c>
      <c r="T1510" s="13"/>
      <c r="U1510" s="11" t="n">
        <f aca="false">O1510*4 + P1510*2 + MAX(0,N1510-O1510-P1510)*1 + Q1510*0.2 + R1510*2 + S1510*1 + IF(T1510="",0,IF(T1510&lt;=10,8,IF(T1510&lt;=50,6,IF(T1510&lt;=100,4,2))))</f>
        <v>0</v>
      </c>
      <c r="V1510" s="7"/>
      <c r="W1510" s="7"/>
      <c r="X1510" s="13"/>
      <c r="Y1510" s="13" t="s">
        <v>6373</v>
      </c>
    </row>
    <row r="1511" customFormat="false" ht="15.75" hidden="false" customHeight="true" outlineLevel="0" collapsed="false">
      <c r="A1511" s="7" t="s">
        <v>6374</v>
      </c>
      <c r="B1511" s="8" t="n">
        <v>2009</v>
      </c>
      <c r="C1511" s="8" t="s">
        <v>35</v>
      </c>
      <c r="D1511" s="8" t="n">
        <v>96</v>
      </c>
      <c r="E1511" s="7" t="s">
        <v>5756</v>
      </c>
      <c r="F1511" s="8" t="n">
        <v>6.4</v>
      </c>
      <c r="G1511" s="8" t="n">
        <v>6</v>
      </c>
      <c r="H1511" s="9" t="n">
        <v>242940</v>
      </c>
      <c r="I1511" s="7" t="s">
        <v>46</v>
      </c>
      <c r="J1511" s="7" t="s">
        <v>29</v>
      </c>
      <c r="K1511" s="7" t="s">
        <v>30</v>
      </c>
      <c r="L1511" s="10" t="s">
        <v>587</v>
      </c>
      <c r="M1511" s="10" t="s">
        <v>6375</v>
      </c>
      <c r="N1511" s="8" t="n">
        <v>0</v>
      </c>
      <c r="O1511" s="8" t="n">
        <v>0</v>
      </c>
      <c r="P1511" s="8" t="n">
        <v>0</v>
      </c>
      <c r="Q1511" s="8" t="n">
        <v>0</v>
      </c>
      <c r="R1511" s="13" t="n">
        <v>0</v>
      </c>
      <c r="S1511" s="13" t="n">
        <v>0</v>
      </c>
      <c r="T1511" s="13"/>
      <c r="U1511" s="11" t="n">
        <f aca="false">O1511*4 + P1511*2 + MAX(0,N1511-O1511-P1511)*1 + Q1511*0.2 + R1511*2 + S1511*1 + IF(T1511="",0,IF(T1511&lt;=10,8,IF(T1511&lt;=50,6,IF(T1511&lt;=100,4,2))))</f>
        <v>0</v>
      </c>
      <c r="V1511" s="7"/>
      <c r="W1511" s="7"/>
      <c r="X1511" s="13"/>
      <c r="Y1511" s="13" t="s">
        <v>6376</v>
      </c>
    </row>
    <row r="1512" customFormat="false" ht="15.75" hidden="false" customHeight="true" outlineLevel="0" collapsed="false">
      <c r="A1512" s="7" t="s">
        <v>6377</v>
      </c>
      <c r="B1512" s="8" t="n">
        <v>2003</v>
      </c>
      <c r="C1512" s="8" t="s">
        <v>35</v>
      </c>
      <c r="D1512" s="8" t="n">
        <v>121</v>
      </c>
      <c r="E1512" s="7" t="s">
        <v>6378</v>
      </c>
      <c r="F1512" s="8" t="n">
        <v>7</v>
      </c>
      <c r="G1512" s="8" t="n">
        <v>5</v>
      </c>
      <c r="H1512" s="9" t="n">
        <v>302574</v>
      </c>
      <c r="I1512" s="7" t="s">
        <v>6379</v>
      </c>
      <c r="J1512" s="7" t="s">
        <v>38</v>
      </c>
      <c r="K1512" s="7" t="s">
        <v>3805</v>
      </c>
      <c r="L1512" s="10"/>
      <c r="M1512" s="7" t="s">
        <v>6380</v>
      </c>
      <c r="N1512" s="8" t="n">
        <v>0</v>
      </c>
      <c r="O1512" s="8" t="n">
        <v>0</v>
      </c>
      <c r="P1512" s="8" t="n">
        <v>0</v>
      </c>
      <c r="Q1512" s="8" t="n">
        <v>0</v>
      </c>
      <c r="R1512" s="13" t="n">
        <v>0</v>
      </c>
      <c r="S1512" s="13" t="n">
        <v>0</v>
      </c>
      <c r="T1512" s="13"/>
      <c r="U1512" s="11" t="n">
        <f aca="false">O1512*4 + P1512*2 + MAX(0,N1512-O1512-P1512)*1 + Q1512*0.2 + R1512*2 + S1512*1 + IF(T1512="",0,IF(T1512&lt;=10,8,IF(T1512&lt;=50,6,IF(T1512&lt;=100,4,2))))</f>
        <v>0</v>
      </c>
      <c r="V1512" s="7"/>
      <c r="W1512" s="7"/>
      <c r="X1512" s="13"/>
      <c r="Y1512" s="13" t="s">
        <v>6381</v>
      </c>
    </row>
    <row r="1513" customFormat="false" ht="15.75" hidden="false" customHeight="true" outlineLevel="0" collapsed="false">
      <c r="A1513" s="7" t="s">
        <v>6382</v>
      </c>
      <c r="B1513" s="8" t="n">
        <v>2010</v>
      </c>
      <c r="C1513" s="8" t="s">
        <v>176</v>
      </c>
      <c r="D1513" s="8" t="n">
        <v>99</v>
      </c>
      <c r="E1513" s="7" t="s">
        <v>6383</v>
      </c>
      <c r="F1513" s="8" t="n">
        <v>6.4</v>
      </c>
      <c r="G1513" s="8" t="n">
        <v>6</v>
      </c>
      <c r="H1513" s="9" t="n">
        <v>199602</v>
      </c>
      <c r="I1513" s="7" t="s">
        <v>46</v>
      </c>
      <c r="J1513" s="7" t="s">
        <v>111</v>
      </c>
      <c r="K1513" s="7" t="s">
        <v>30</v>
      </c>
      <c r="L1513" s="10"/>
      <c r="M1513" s="10" t="s">
        <v>6384</v>
      </c>
      <c r="N1513" s="8" t="n">
        <v>0</v>
      </c>
      <c r="O1513" s="8" t="n">
        <v>0</v>
      </c>
      <c r="P1513" s="8" t="n">
        <v>0</v>
      </c>
      <c r="Q1513" s="8" t="n">
        <v>0</v>
      </c>
      <c r="R1513" s="13" t="n">
        <v>0</v>
      </c>
      <c r="S1513" s="13" t="n">
        <v>0</v>
      </c>
      <c r="T1513" s="13"/>
      <c r="U1513" s="11" t="n">
        <f aca="false">O1513*4 + P1513*2 + MAX(0,N1513-O1513-P1513)*1 + Q1513*0.2 + R1513*2 + S1513*1 + IF(T1513="",0,IF(T1513&lt;=10,8,IF(T1513&lt;=50,6,IF(T1513&lt;=100,4,2))))</f>
        <v>0</v>
      </c>
      <c r="V1513" s="7"/>
      <c r="W1513" s="7"/>
      <c r="X1513" s="13"/>
      <c r="Y1513" s="13" t="s">
        <v>6385</v>
      </c>
    </row>
    <row r="1514" customFormat="false" ht="15.75" hidden="false" customHeight="true" outlineLevel="0" collapsed="false">
      <c r="A1514" s="7" t="s">
        <v>6386</v>
      </c>
      <c r="B1514" s="8" t="n">
        <v>1984</v>
      </c>
      <c r="C1514" s="8" t="s">
        <v>109</v>
      </c>
      <c r="D1514" s="8" t="n">
        <v>107</v>
      </c>
      <c r="E1514" s="7" t="s">
        <v>6387</v>
      </c>
      <c r="F1514" s="8" t="n">
        <v>6.6</v>
      </c>
      <c r="G1514" s="8" t="n">
        <v>3</v>
      </c>
      <c r="H1514" s="9" t="n">
        <v>102711</v>
      </c>
      <c r="I1514" s="7" t="s">
        <v>46</v>
      </c>
      <c r="J1514" s="7" t="s">
        <v>90</v>
      </c>
      <c r="K1514" s="7" t="s">
        <v>29</v>
      </c>
      <c r="L1514" s="10"/>
      <c r="M1514" s="10" t="s">
        <v>6388</v>
      </c>
      <c r="N1514" s="8" t="n">
        <v>0</v>
      </c>
      <c r="O1514" s="8" t="n">
        <v>0</v>
      </c>
      <c r="P1514" s="8" t="n">
        <v>0</v>
      </c>
      <c r="Q1514" s="8" t="n">
        <v>2</v>
      </c>
      <c r="R1514" s="8" t="n">
        <v>0</v>
      </c>
      <c r="S1514" s="8" t="n">
        <v>0</v>
      </c>
      <c r="T1514" s="13"/>
      <c r="U1514" s="11" t="n">
        <f aca="false">O1514*4 + P1514*2 + MAX(0,N1514-O1514-P1514)*1 + Q1514*0.2 + R1514*2 + S1514*1 + IF(T1514="",0,IF(T1514&lt;=10,8,IF(T1514&lt;=50,6,IF(T1514&lt;=100,4,2))))</f>
        <v>0.4</v>
      </c>
      <c r="V1514" s="7"/>
      <c r="W1514" s="7"/>
      <c r="X1514" s="13"/>
      <c r="Y1514" s="13" t="s">
        <v>6389</v>
      </c>
    </row>
    <row r="1515" customFormat="false" ht="15.75" hidden="false" customHeight="true" outlineLevel="0" collapsed="false">
      <c r="A1515" s="7" t="s">
        <v>6390</v>
      </c>
      <c r="B1515" s="8" t="n">
        <v>2007</v>
      </c>
      <c r="C1515" s="8" t="s">
        <v>35</v>
      </c>
      <c r="D1515" s="8" t="n">
        <v>108</v>
      </c>
      <c r="E1515" s="7" t="s">
        <v>833</v>
      </c>
      <c r="F1515" s="8" t="n">
        <v>5.9</v>
      </c>
      <c r="G1515" s="8" t="n">
        <v>4</v>
      </c>
      <c r="H1515" s="9" t="n">
        <v>80611</v>
      </c>
      <c r="I1515" s="7" t="s">
        <v>46</v>
      </c>
      <c r="J1515" s="7" t="s">
        <v>47</v>
      </c>
      <c r="K1515" s="7" t="s">
        <v>54</v>
      </c>
      <c r="L1515" s="10"/>
      <c r="M1515" s="10" t="s">
        <v>6391</v>
      </c>
      <c r="N1515" s="8" t="n">
        <v>0</v>
      </c>
      <c r="O1515" s="8" t="n">
        <v>0</v>
      </c>
      <c r="P1515" s="8" t="n">
        <v>0</v>
      </c>
      <c r="Q1515" s="8" t="n">
        <v>0</v>
      </c>
      <c r="R1515" s="13" t="n">
        <v>0</v>
      </c>
      <c r="S1515" s="13" t="n">
        <v>0</v>
      </c>
      <c r="T1515" s="13"/>
      <c r="U1515" s="11" t="n">
        <f aca="false">O1515*4 + P1515*2 + MAX(0,N1515-O1515-P1515)*1 + Q1515*0.2 + R1515*2 + S1515*1 + IF(T1515="",0,IF(T1515&lt;=10,8,IF(T1515&lt;=50,6,IF(T1515&lt;=100,4,2))))</f>
        <v>0</v>
      </c>
      <c r="V1515" s="7"/>
      <c r="W1515" s="7"/>
      <c r="X1515" s="13"/>
      <c r="Y1515" s="13" t="s">
        <v>6392</v>
      </c>
    </row>
    <row r="1516" customFormat="false" ht="15.75" hidden="false" customHeight="true" outlineLevel="0" collapsed="false">
      <c r="A1516" s="7" t="s">
        <v>6393</v>
      </c>
      <c r="B1516" s="8" t="n">
        <v>2012</v>
      </c>
      <c r="C1516" s="8" t="s">
        <v>176</v>
      </c>
      <c r="D1516" s="8" t="n">
        <v>95</v>
      </c>
      <c r="E1516" s="7" t="s">
        <v>6394</v>
      </c>
      <c r="F1516" s="8" t="n">
        <v>7.1</v>
      </c>
      <c r="G1516" s="8" t="n">
        <v>7</v>
      </c>
      <c r="H1516" s="9" t="n">
        <v>314096</v>
      </c>
      <c r="I1516" s="7" t="s">
        <v>6395</v>
      </c>
      <c r="J1516" s="7" t="s">
        <v>111</v>
      </c>
      <c r="K1516" s="7" t="s">
        <v>54</v>
      </c>
      <c r="L1516" s="10" t="s">
        <v>6396</v>
      </c>
      <c r="M1516" s="7" t="s">
        <v>6397</v>
      </c>
      <c r="N1516" s="8" t="n">
        <v>0</v>
      </c>
      <c r="O1516" s="8" t="n">
        <v>0</v>
      </c>
      <c r="P1516" s="8" t="n">
        <v>0</v>
      </c>
      <c r="Q1516" s="8" t="n">
        <v>0</v>
      </c>
      <c r="R1516" s="13" t="n">
        <v>0</v>
      </c>
      <c r="S1516" s="13" t="n">
        <v>0</v>
      </c>
      <c r="T1516" s="13"/>
      <c r="U1516" s="11" t="n">
        <f aca="false">O1516*4 + P1516*2 + MAX(0,N1516-O1516-P1516)*1 + Q1516*0.2 + R1516*2 + S1516*1 + IF(T1516="",0,IF(T1516&lt;=10,8,IF(T1516&lt;=50,6,IF(T1516&lt;=100,4,2))))</f>
        <v>0</v>
      </c>
      <c r="V1516" s="7"/>
      <c r="W1516" s="7"/>
      <c r="X1516" s="13"/>
      <c r="Y1516" s="13" t="s">
        <v>6398</v>
      </c>
    </row>
    <row r="1517" customFormat="false" ht="15.75" hidden="false" customHeight="true" outlineLevel="0" collapsed="false">
      <c r="A1517" s="7" t="s">
        <v>6399</v>
      </c>
      <c r="B1517" s="8" t="n">
        <v>2004</v>
      </c>
      <c r="C1517" s="8" t="s">
        <v>35</v>
      </c>
      <c r="D1517" s="8" t="n">
        <v>175</v>
      </c>
      <c r="E1517" s="7" t="s">
        <v>1132</v>
      </c>
      <c r="F1517" s="8" t="n">
        <v>5.6</v>
      </c>
      <c r="G1517" s="8" t="n">
        <v>5</v>
      </c>
      <c r="H1517" s="9" t="n">
        <v>184541</v>
      </c>
      <c r="I1517" s="7" t="s">
        <v>6400</v>
      </c>
      <c r="J1517" s="7" t="s">
        <v>112</v>
      </c>
      <c r="K1517" s="7" t="s">
        <v>48</v>
      </c>
      <c r="L1517" s="10" t="s">
        <v>6401</v>
      </c>
      <c r="M1517" s="10" t="s">
        <v>6402</v>
      </c>
      <c r="N1517" s="8" t="n">
        <v>0</v>
      </c>
      <c r="O1517" s="8" t="n">
        <v>0</v>
      </c>
      <c r="P1517" s="8" t="n">
        <v>0</v>
      </c>
      <c r="Q1517" s="8" t="n">
        <v>0</v>
      </c>
      <c r="R1517" s="13" t="n">
        <v>0</v>
      </c>
      <c r="S1517" s="13" t="n">
        <v>0</v>
      </c>
      <c r="T1517" s="13"/>
      <c r="U1517" s="11" t="n">
        <f aca="false">O1517*4 + P1517*2 + MAX(0,N1517-O1517-P1517)*1 + Q1517*0.2 + R1517*2 + S1517*1 + IF(T1517="",0,IF(T1517&lt;=10,8,IF(T1517&lt;=50,6,IF(T1517&lt;=100,4,2))))</f>
        <v>0</v>
      </c>
      <c r="V1517" s="7"/>
      <c r="W1517" s="7"/>
      <c r="X1517" s="13"/>
      <c r="Y1517" s="13" t="s">
        <v>6403</v>
      </c>
    </row>
    <row r="1518" customFormat="false" ht="15.75" hidden="false" customHeight="true" outlineLevel="0" collapsed="false">
      <c r="A1518" s="7" t="s">
        <v>6404</v>
      </c>
      <c r="B1518" s="8" t="n">
        <v>2012</v>
      </c>
      <c r="C1518" s="8" t="s">
        <v>176</v>
      </c>
      <c r="D1518" s="8" t="n">
        <v>110</v>
      </c>
      <c r="E1518" s="7" t="s">
        <v>5306</v>
      </c>
      <c r="F1518" s="8" t="n">
        <v>6.8</v>
      </c>
      <c r="G1518" s="8" t="n">
        <v>7</v>
      </c>
      <c r="H1518" s="9" t="n">
        <v>320836</v>
      </c>
      <c r="I1518" s="7" t="s">
        <v>46</v>
      </c>
      <c r="J1518" s="7" t="s">
        <v>147</v>
      </c>
      <c r="K1518" s="7" t="s">
        <v>125</v>
      </c>
      <c r="L1518" s="10" t="s">
        <v>161</v>
      </c>
      <c r="M1518" s="7" t="s">
        <v>6405</v>
      </c>
      <c r="N1518" s="8" t="n">
        <v>0</v>
      </c>
      <c r="O1518" s="8" t="n">
        <v>0</v>
      </c>
      <c r="P1518" s="8" t="n">
        <v>0</v>
      </c>
      <c r="Q1518" s="8" t="n">
        <v>0</v>
      </c>
      <c r="R1518" s="13" t="n">
        <v>0</v>
      </c>
      <c r="S1518" s="13" t="n">
        <v>0</v>
      </c>
      <c r="T1518" s="13"/>
      <c r="U1518" s="11" t="n">
        <f aca="false">O1518*4 + P1518*2 + MAX(0,N1518-O1518-P1518)*1 + Q1518*0.2 + R1518*2 + S1518*1 + IF(T1518="",0,IF(T1518&lt;=10,8,IF(T1518&lt;=50,6,IF(T1518&lt;=100,4,2))))</f>
        <v>0</v>
      </c>
      <c r="V1518" s="7"/>
      <c r="W1518" s="7"/>
      <c r="X1518" s="13"/>
      <c r="Y1518" s="13" t="s">
        <v>6406</v>
      </c>
    </row>
    <row r="1519" customFormat="false" ht="15.75" hidden="false" customHeight="true" outlineLevel="0" collapsed="false">
      <c r="A1519" s="7" t="s">
        <v>6407</v>
      </c>
      <c r="B1519" s="8" t="n">
        <v>1999</v>
      </c>
      <c r="C1519" s="8" t="s">
        <v>26</v>
      </c>
      <c r="D1519" s="8" t="n">
        <v>89</v>
      </c>
      <c r="E1519" s="7" t="s">
        <v>6408</v>
      </c>
      <c r="F1519" s="8" t="n">
        <v>6.2</v>
      </c>
      <c r="G1519" s="8" t="n">
        <v>6</v>
      </c>
      <c r="H1519" s="9" t="n">
        <v>1451</v>
      </c>
      <c r="I1519" s="7" t="s">
        <v>232</v>
      </c>
      <c r="J1519" s="7" t="s">
        <v>30</v>
      </c>
      <c r="K1519" s="7"/>
      <c r="L1519" s="10" t="s">
        <v>6409</v>
      </c>
      <c r="M1519" s="10" t="s">
        <v>6410</v>
      </c>
      <c r="N1519" s="8" t="n">
        <v>0</v>
      </c>
      <c r="O1519" s="8" t="n">
        <v>0</v>
      </c>
      <c r="P1519" s="8" t="n">
        <v>0</v>
      </c>
      <c r="Q1519" s="8" t="n">
        <v>0</v>
      </c>
      <c r="R1519" s="13" t="n">
        <v>0</v>
      </c>
      <c r="S1519" s="13" t="n">
        <v>0</v>
      </c>
      <c r="T1519" s="13"/>
      <c r="U1519" s="11" t="n">
        <f aca="false">O1519*4 + P1519*2 + MAX(0,N1519-O1519-P1519)*1 + Q1519*0.2 + R1519*2 + S1519*1 + IF(T1519="",0,IF(T1519&lt;=10,8,IF(T1519&lt;=50,6,IF(T1519&lt;=100,4,2))))</f>
        <v>0</v>
      </c>
      <c r="V1519" s="7"/>
      <c r="W1519" s="7"/>
      <c r="X1519" s="13"/>
      <c r="Y1519" s="13" t="s">
        <v>6411</v>
      </c>
    </row>
    <row r="1520" customFormat="false" ht="15.75" hidden="false" customHeight="true" outlineLevel="0" collapsed="false">
      <c r="A1520" s="7" t="s">
        <v>6412</v>
      </c>
      <c r="B1520" s="8" t="n">
        <v>2012</v>
      </c>
      <c r="C1520" s="8" t="s">
        <v>176</v>
      </c>
      <c r="D1520" s="8" t="n">
        <v>101</v>
      </c>
      <c r="E1520" s="7" t="s">
        <v>6413</v>
      </c>
      <c r="F1520" s="8" t="n">
        <v>6.4</v>
      </c>
      <c r="G1520" s="8" t="n">
        <v>5</v>
      </c>
      <c r="H1520" s="9" t="n">
        <v>118923</v>
      </c>
      <c r="I1520" s="7" t="s">
        <v>46</v>
      </c>
      <c r="J1520" s="7" t="s">
        <v>29</v>
      </c>
      <c r="K1520" s="7" t="s">
        <v>125</v>
      </c>
      <c r="L1520" s="10"/>
      <c r="M1520" s="10" t="s">
        <v>6414</v>
      </c>
      <c r="N1520" s="8" t="n">
        <v>0</v>
      </c>
      <c r="O1520" s="8" t="n">
        <v>0</v>
      </c>
      <c r="P1520" s="8" t="n">
        <v>0</v>
      </c>
      <c r="Q1520" s="8" t="n">
        <v>0</v>
      </c>
      <c r="R1520" s="13" t="n">
        <v>0</v>
      </c>
      <c r="S1520" s="13" t="n">
        <v>0</v>
      </c>
      <c r="T1520" s="13"/>
      <c r="U1520" s="11" t="n">
        <f aca="false">O1520*4 + P1520*2 + MAX(0,N1520-O1520-P1520)*1 + Q1520*0.2 + R1520*2 + S1520*1 + IF(T1520="",0,IF(T1520&lt;=10,8,IF(T1520&lt;=50,6,IF(T1520&lt;=100,4,2))))</f>
        <v>0</v>
      </c>
      <c r="V1520" s="7"/>
      <c r="W1520" s="7"/>
      <c r="X1520" s="13"/>
      <c r="Y1520" s="13" t="s">
        <v>6415</v>
      </c>
    </row>
    <row r="1521" customFormat="false" ht="15.75" hidden="false" customHeight="true" outlineLevel="0" collapsed="false">
      <c r="A1521" s="7" t="s">
        <v>6416</v>
      </c>
      <c r="B1521" s="8" t="n">
        <v>2018</v>
      </c>
      <c r="C1521" s="8" t="s">
        <v>176</v>
      </c>
      <c r="D1521" s="8" t="n">
        <v>92</v>
      </c>
      <c r="E1521" s="7" t="s">
        <v>6417</v>
      </c>
      <c r="F1521" s="8" t="n">
        <v>5.1</v>
      </c>
      <c r="G1521" s="8" t="n">
        <v>5</v>
      </c>
      <c r="H1521" s="9" t="n">
        <v>680</v>
      </c>
      <c r="I1521" s="7" t="s">
        <v>232</v>
      </c>
      <c r="J1521" s="7" t="s">
        <v>112</v>
      </c>
      <c r="K1521" s="7" t="s">
        <v>30</v>
      </c>
      <c r="L1521" s="10"/>
      <c r="M1521" s="10" t="s">
        <v>6418</v>
      </c>
      <c r="N1521" s="8" t="n">
        <v>0</v>
      </c>
      <c r="O1521" s="8" t="n">
        <v>0</v>
      </c>
      <c r="P1521" s="8" t="n">
        <v>0</v>
      </c>
      <c r="Q1521" s="8" t="n">
        <v>0</v>
      </c>
      <c r="R1521" s="13" t="n">
        <v>0</v>
      </c>
      <c r="S1521" s="13" t="n">
        <v>0</v>
      </c>
      <c r="T1521" s="13"/>
      <c r="U1521" s="11" t="n">
        <f aca="false">O1521*4 + P1521*2 + MAX(0,N1521-O1521-P1521)*1 + Q1521*0.2 + R1521*2 + S1521*1 + IF(T1521="",0,IF(T1521&lt;=10,8,IF(T1521&lt;=50,6,IF(T1521&lt;=100,4,2))))</f>
        <v>0</v>
      </c>
      <c r="V1521" s="7"/>
      <c r="W1521" s="7"/>
      <c r="X1521" s="13"/>
      <c r="Y1521" s="13" t="s">
        <v>6419</v>
      </c>
    </row>
    <row r="1522" customFormat="false" ht="15.75" hidden="false" customHeight="true" outlineLevel="0" collapsed="false">
      <c r="A1522" s="7" t="s">
        <v>6420</v>
      </c>
      <c r="B1522" s="8" t="n">
        <v>2012</v>
      </c>
      <c r="C1522" s="8" t="s">
        <v>176</v>
      </c>
      <c r="D1522" s="8" t="n">
        <v>83</v>
      </c>
      <c r="E1522" s="7" t="s">
        <v>6417</v>
      </c>
      <c r="F1522" s="8" t="n">
        <v>6.5</v>
      </c>
      <c r="G1522" s="8" t="n">
        <v>8</v>
      </c>
      <c r="H1522" s="9" t="n">
        <v>1791</v>
      </c>
      <c r="I1522" s="7" t="s">
        <v>232</v>
      </c>
      <c r="J1522" s="7" t="s">
        <v>30</v>
      </c>
      <c r="K1522" s="7" t="s">
        <v>54</v>
      </c>
      <c r="L1522" s="10" t="s">
        <v>6421</v>
      </c>
      <c r="M1522" s="10" t="s">
        <v>6422</v>
      </c>
      <c r="N1522" s="8" t="n">
        <v>0</v>
      </c>
      <c r="O1522" s="8" t="n">
        <v>0</v>
      </c>
      <c r="P1522" s="8" t="n">
        <v>0</v>
      </c>
      <c r="Q1522" s="8" t="n">
        <v>0</v>
      </c>
      <c r="R1522" s="13" t="n">
        <v>0</v>
      </c>
      <c r="S1522" s="13" t="n">
        <v>0</v>
      </c>
      <c r="T1522" s="13"/>
      <c r="U1522" s="11" t="n">
        <f aca="false">O1522*4 + P1522*2 + MAX(0,N1522-O1522-P1522)*1 + Q1522*0.2 + R1522*2 + S1522*1 + IF(T1522="",0,IF(T1522&lt;=10,8,IF(T1522&lt;=50,6,IF(T1522&lt;=100,4,2))))</f>
        <v>0</v>
      </c>
      <c r="V1522" s="7"/>
      <c r="W1522" s="7"/>
      <c r="X1522" s="13"/>
      <c r="Y1522" s="13" t="s">
        <v>6423</v>
      </c>
    </row>
    <row r="1523" customFormat="false" ht="15.75" hidden="false" customHeight="true" outlineLevel="0" collapsed="false">
      <c r="A1523" s="7" t="s">
        <v>6424</v>
      </c>
      <c r="B1523" s="8" t="n">
        <v>2009</v>
      </c>
      <c r="C1523" s="8" t="s">
        <v>35</v>
      </c>
      <c r="D1523" s="8" t="n">
        <v>107</v>
      </c>
      <c r="E1523" s="7" t="s">
        <v>6178</v>
      </c>
      <c r="F1523" s="8" t="n">
        <v>6.5</v>
      </c>
      <c r="G1523" s="8" t="n">
        <v>6</v>
      </c>
      <c r="H1523" s="9" t="n">
        <v>339002</v>
      </c>
      <c r="I1523" s="7" t="s">
        <v>46</v>
      </c>
      <c r="J1523" s="7" t="s">
        <v>131</v>
      </c>
      <c r="K1523" s="7" t="s">
        <v>112</v>
      </c>
      <c r="L1523" s="10" t="s">
        <v>5302</v>
      </c>
      <c r="M1523" s="7" t="s">
        <v>6425</v>
      </c>
      <c r="N1523" s="8" t="n">
        <v>0</v>
      </c>
      <c r="O1523" s="8" t="n">
        <v>0</v>
      </c>
      <c r="P1523" s="8" t="n">
        <v>0</v>
      </c>
      <c r="Q1523" s="8" t="n">
        <v>0</v>
      </c>
      <c r="R1523" s="13" t="n">
        <v>0</v>
      </c>
      <c r="S1523" s="13" t="n">
        <v>0</v>
      </c>
      <c r="T1523" s="13"/>
      <c r="U1523" s="11" t="n">
        <f aca="false">O1523*4 + P1523*2 + MAX(0,N1523-O1523-P1523)*1 + Q1523*0.2 + R1523*2 + S1523*1 + IF(T1523="",0,IF(T1523&lt;=10,8,IF(T1523&lt;=50,6,IF(T1523&lt;=100,4,2))))</f>
        <v>0</v>
      </c>
      <c r="V1523" s="7"/>
      <c r="W1523" s="7"/>
      <c r="X1523" s="13"/>
      <c r="Y1523" s="13" t="s">
        <v>6426</v>
      </c>
    </row>
    <row r="1524" customFormat="false" ht="15.75" hidden="false" customHeight="true" outlineLevel="0" collapsed="false">
      <c r="A1524" s="7" t="s">
        <v>6427</v>
      </c>
      <c r="B1524" s="8" t="n">
        <v>2010</v>
      </c>
      <c r="C1524" s="8" t="s">
        <v>176</v>
      </c>
      <c r="D1524" s="8" t="n">
        <v>102</v>
      </c>
      <c r="E1524" s="7" t="s">
        <v>5853</v>
      </c>
      <c r="F1524" s="8" t="n">
        <v>6</v>
      </c>
      <c r="G1524" s="8" t="n">
        <v>6</v>
      </c>
      <c r="H1524" s="9" t="n">
        <v>317598</v>
      </c>
      <c r="I1524" s="7" t="s">
        <v>46</v>
      </c>
      <c r="J1524" s="7" t="s">
        <v>30</v>
      </c>
      <c r="K1524" s="7"/>
      <c r="L1524" s="10" t="s">
        <v>210</v>
      </c>
      <c r="M1524" s="7" t="s">
        <v>6428</v>
      </c>
      <c r="N1524" s="8" t="n">
        <v>0</v>
      </c>
      <c r="O1524" s="8" t="n">
        <v>0</v>
      </c>
      <c r="P1524" s="8" t="n">
        <v>0</v>
      </c>
      <c r="Q1524" s="8" t="n">
        <v>0</v>
      </c>
      <c r="R1524" s="13" t="n">
        <v>0</v>
      </c>
      <c r="S1524" s="13" t="n">
        <v>0</v>
      </c>
      <c r="T1524" s="13"/>
      <c r="U1524" s="11" t="n">
        <f aca="false">O1524*4 + P1524*2 + MAX(0,N1524-O1524-P1524)*1 + Q1524*0.2 + R1524*2 + S1524*1 + IF(T1524="",0,IF(T1524&lt;=10,8,IF(T1524&lt;=50,6,IF(T1524&lt;=100,4,2))))</f>
        <v>0</v>
      </c>
      <c r="V1524" s="7"/>
      <c r="W1524" s="7"/>
      <c r="X1524" s="13"/>
      <c r="Y1524" s="13" t="s">
        <v>6429</v>
      </c>
    </row>
    <row r="1525" customFormat="false" ht="15.75" hidden="false" customHeight="true" outlineLevel="0" collapsed="false">
      <c r="A1525" s="7" t="s">
        <v>6430</v>
      </c>
      <c r="B1525" s="8" t="n">
        <v>2013</v>
      </c>
      <c r="C1525" s="8" t="s">
        <v>176</v>
      </c>
      <c r="D1525" s="8" t="n">
        <v>130</v>
      </c>
      <c r="E1525" s="7" t="s">
        <v>6178</v>
      </c>
      <c r="F1525" s="8" t="n">
        <v>7</v>
      </c>
      <c r="G1525" s="8" t="n">
        <v>7</v>
      </c>
      <c r="H1525" s="9" t="n">
        <v>443070</v>
      </c>
      <c r="I1525" s="7" t="s">
        <v>46</v>
      </c>
      <c r="J1525" s="7" t="s">
        <v>112</v>
      </c>
      <c r="K1525" s="7" t="s">
        <v>54</v>
      </c>
      <c r="L1525" s="10" t="s">
        <v>6431</v>
      </c>
      <c r="M1525" s="7" t="s">
        <v>6432</v>
      </c>
      <c r="N1525" s="8" t="n">
        <v>0</v>
      </c>
      <c r="O1525" s="8" t="n">
        <v>0</v>
      </c>
      <c r="P1525" s="8" t="n">
        <v>0</v>
      </c>
      <c r="Q1525" s="8" t="n">
        <v>0</v>
      </c>
      <c r="R1525" s="13" t="n">
        <v>0</v>
      </c>
      <c r="S1525" s="13" t="n">
        <v>0</v>
      </c>
      <c r="T1525" s="13"/>
      <c r="U1525" s="11" t="n">
        <f aca="false">O1525*4 + P1525*2 + MAX(0,N1525-O1525-P1525)*1 + Q1525*0.2 + R1525*2 + S1525*1 + IF(T1525="",0,IF(T1525&lt;=10,8,IF(T1525&lt;=50,6,IF(T1525&lt;=100,4,2))))</f>
        <v>0</v>
      </c>
      <c r="V1525" s="7"/>
      <c r="W1525" s="7"/>
      <c r="X1525" s="13"/>
      <c r="Y1525" s="13" t="s">
        <v>6433</v>
      </c>
    </row>
    <row r="1526" customFormat="false" ht="15.75" hidden="false" customHeight="true" outlineLevel="0" collapsed="false">
      <c r="A1526" s="7" t="s">
        <v>6434</v>
      </c>
      <c r="B1526" s="8" t="n">
        <v>2011</v>
      </c>
      <c r="C1526" s="8" t="s">
        <v>176</v>
      </c>
      <c r="D1526" s="8" t="n">
        <v>90</v>
      </c>
      <c r="E1526" s="7" t="s">
        <v>6435</v>
      </c>
      <c r="F1526" s="8" t="n">
        <v>7.3</v>
      </c>
      <c r="G1526" s="8" t="n">
        <v>6</v>
      </c>
      <c r="H1526" s="9" t="n">
        <v>362208</v>
      </c>
      <c r="I1526" s="7" t="s">
        <v>46</v>
      </c>
      <c r="J1526" s="7" t="s">
        <v>579</v>
      </c>
      <c r="K1526" s="7" t="s">
        <v>2711</v>
      </c>
      <c r="L1526" s="10" t="s">
        <v>5259</v>
      </c>
      <c r="M1526" s="7" t="s">
        <v>6436</v>
      </c>
      <c r="N1526" s="8" t="n">
        <v>0</v>
      </c>
      <c r="O1526" s="8" t="n">
        <v>0</v>
      </c>
      <c r="P1526" s="8" t="n">
        <v>0</v>
      </c>
      <c r="Q1526" s="8" t="n">
        <v>1</v>
      </c>
      <c r="R1526" s="8" t="n">
        <v>0</v>
      </c>
      <c r="S1526" s="8" t="n">
        <v>0</v>
      </c>
      <c r="T1526" s="13"/>
      <c r="U1526" s="11" t="n">
        <f aca="false">O1526*4 + P1526*2 + MAX(0,N1526-O1526-P1526)*1 + Q1526*0.2 + R1526*2 + S1526*1 + IF(T1526="",0,IF(T1526&lt;=10,8,IF(T1526&lt;=50,6,IF(T1526&lt;=100,4,2))))</f>
        <v>0.2</v>
      </c>
      <c r="V1526" s="7"/>
      <c r="W1526" s="7"/>
      <c r="X1526" s="13"/>
      <c r="Y1526" s="13" t="s">
        <v>6437</v>
      </c>
    </row>
    <row r="1527" customFormat="false" ht="15.75" hidden="false" customHeight="true" outlineLevel="0" collapsed="false">
      <c r="A1527" s="7" t="s">
        <v>6438</v>
      </c>
      <c r="B1527" s="8" t="n">
        <v>2012</v>
      </c>
      <c r="C1527" s="8" t="s">
        <v>176</v>
      </c>
      <c r="D1527" s="8" t="n">
        <v>99</v>
      </c>
      <c r="E1527" s="7" t="s">
        <v>6439</v>
      </c>
      <c r="F1527" s="8" t="n">
        <v>5.7</v>
      </c>
      <c r="G1527" s="8" t="n">
        <v>4</v>
      </c>
      <c r="H1527" s="9" t="n">
        <v>204607</v>
      </c>
      <c r="I1527" s="7" t="s">
        <v>2270</v>
      </c>
      <c r="J1527" s="7" t="s">
        <v>38</v>
      </c>
      <c r="K1527" s="7" t="s">
        <v>112</v>
      </c>
      <c r="L1527" s="10" t="s">
        <v>5649</v>
      </c>
      <c r="M1527" s="10" t="s">
        <v>6440</v>
      </c>
      <c r="N1527" s="8" t="n">
        <v>0</v>
      </c>
      <c r="O1527" s="8" t="n">
        <v>0</v>
      </c>
      <c r="P1527" s="8" t="n">
        <v>0</v>
      </c>
      <c r="Q1527" s="8" t="n">
        <v>0</v>
      </c>
      <c r="R1527" s="13" t="n">
        <v>0</v>
      </c>
      <c r="S1527" s="13" t="n">
        <v>0</v>
      </c>
      <c r="T1527" s="13"/>
      <c r="U1527" s="11" t="n">
        <f aca="false">O1527*4 + P1527*2 + MAX(0,N1527-O1527-P1527)*1 + Q1527*0.2 + R1527*2 + S1527*1 + IF(T1527="",0,IF(T1527&lt;=10,8,IF(T1527&lt;=50,6,IF(T1527&lt;=100,4,2))))</f>
        <v>0</v>
      </c>
      <c r="V1527" s="7"/>
      <c r="W1527" s="7"/>
      <c r="X1527" s="13"/>
      <c r="Y1527" s="13" t="s">
        <v>6441</v>
      </c>
    </row>
    <row r="1528" customFormat="false" ht="15.75" hidden="false" customHeight="true" outlineLevel="0" collapsed="false">
      <c r="A1528" s="7" t="s">
        <v>6442</v>
      </c>
      <c r="B1528" s="8" t="n">
        <v>2010</v>
      </c>
      <c r="C1528" s="8" t="s">
        <v>176</v>
      </c>
      <c r="D1528" s="8" t="n">
        <v>106</v>
      </c>
      <c r="E1528" s="7" t="s">
        <v>5626</v>
      </c>
      <c r="F1528" s="8" t="n">
        <v>5.8</v>
      </c>
      <c r="G1528" s="8" t="n">
        <v>5</v>
      </c>
      <c r="H1528" s="9" t="n">
        <v>307004</v>
      </c>
      <c r="I1528" s="7" t="s">
        <v>46</v>
      </c>
      <c r="J1528" s="7" t="s">
        <v>38</v>
      </c>
      <c r="K1528" s="7" t="s">
        <v>112</v>
      </c>
      <c r="L1528" s="10" t="s">
        <v>2195</v>
      </c>
      <c r="M1528" s="7" t="s">
        <v>6443</v>
      </c>
      <c r="N1528" s="8" t="n">
        <v>0</v>
      </c>
      <c r="O1528" s="8" t="n">
        <v>0</v>
      </c>
      <c r="P1528" s="8" t="n">
        <v>0</v>
      </c>
      <c r="Q1528" s="8" t="n">
        <v>0</v>
      </c>
      <c r="R1528" s="13" t="n">
        <v>0</v>
      </c>
      <c r="S1528" s="13" t="n">
        <v>0</v>
      </c>
      <c r="T1528" s="13"/>
      <c r="U1528" s="11" t="n">
        <f aca="false">O1528*4 + P1528*2 + MAX(0,N1528-O1528-P1528)*1 + Q1528*0.2 + R1528*2 + S1528*1 + IF(T1528="",0,IF(T1528&lt;=10,8,IF(T1528&lt;=50,6,IF(T1528&lt;=100,4,2))))</f>
        <v>0</v>
      </c>
      <c r="V1528" s="7"/>
      <c r="W1528" s="7"/>
      <c r="X1528" s="13"/>
      <c r="Y1528" s="13" t="s">
        <v>6444</v>
      </c>
    </row>
    <row r="1529" customFormat="false" ht="15.75" hidden="false" customHeight="true" outlineLevel="0" collapsed="false">
      <c r="A1529" s="7" t="s">
        <v>6445</v>
      </c>
      <c r="B1529" s="8" t="n">
        <v>1998</v>
      </c>
      <c r="C1529" s="8" t="s">
        <v>26</v>
      </c>
      <c r="D1529" s="8" t="n">
        <v>118</v>
      </c>
      <c r="E1529" s="7" t="s">
        <v>761</v>
      </c>
      <c r="F1529" s="8" t="n">
        <v>7.4</v>
      </c>
      <c r="G1529" s="8" t="n">
        <v>6</v>
      </c>
      <c r="H1529" s="9" t="n">
        <v>320981</v>
      </c>
      <c r="I1529" s="7" t="s">
        <v>46</v>
      </c>
      <c r="J1529" s="7" t="s">
        <v>39</v>
      </c>
      <c r="K1529" s="7" t="s">
        <v>30</v>
      </c>
      <c r="L1529" s="10"/>
      <c r="M1529" s="7" t="s">
        <v>6446</v>
      </c>
      <c r="N1529" s="8" t="n">
        <v>0</v>
      </c>
      <c r="O1529" s="8" t="n">
        <v>0</v>
      </c>
      <c r="P1529" s="8" t="n">
        <v>0</v>
      </c>
      <c r="Q1529" s="8" t="n">
        <v>0</v>
      </c>
      <c r="R1529" s="13" t="n">
        <v>0</v>
      </c>
      <c r="S1529" s="13" t="n">
        <v>0</v>
      </c>
      <c r="T1529" s="13"/>
      <c r="U1529" s="11" t="n">
        <f aca="false">O1529*4 + P1529*2 + MAX(0,N1529-O1529-P1529)*1 + Q1529*0.2 + R1529*2 + S1529*1 + IF(T1529="",0,IF(T1529&lt;=10,8,IF(T1529&lt;=50,6,IF(T1529&lt;=100,4,2))))</f>
        <v>0</v>
      </c>
      <c r="V1529" s="7"/>
      <c r="W1529" s="7"/>
      <c r="X1529" s="13"/>
      <c r="Y1529" s="13" t="s">
        <v>6447</v>
      </c>
    </row>
    <row r="1530" customFormat="false" ht="15.75" hidden="false" customHeight="true" outlineLevel="0" collapsed="false">
      <c r="A1530" s="7" t="s">
        <v>6448</v>
      </c>
      <c r="B1530" s="8" t="n">
        <v>2006</v>
      </c>
      <c r="C1530" s="8" t="s">
        <v>35</v>
      </c>
      <c r="D1530" s="8" t="n">
        <v>104</v>
      </c>
      <c r="E1530" s="7" t="s">
        <v>6178</v>
      </c>
      <c r="F1530" s="8" t="n">
        <v>6.1</v>
      </c>
      <c r="G1530" s="8" t="n">
        <v>9</v>
      </c>
      <c r="H1530" s="9" t="n">
        <v>336565</v>
      </c>
      <c r="I1530" s="7" t="s">
        <v>2186</v>
      </c>
      <c r="J1530" s="7" t="s">
        <v>131</v>
      </c>
      <c r="K1530" s="7" t="s">
        <v>54</v>
      </c>
      <c r="L1530" s="10" t="s">
        <v>5302</v>
      </c>
      <c r="M1530" s="7" t="s">
        <v>6449</v>
      </c>
      <c r="N1530" s="8" t="n">
        <v>0</v>
      </c>
      <c r="O1530" s="8" t="n">
        <v>0</v>
      </c>
      <c r="P1530" s="8" t="n">
        <v>0</v>
      </c>
      <c r="Q1530" s="8" t="n">
        <v>0</v>
      </c>
      <c r="R1530" s="13" t="n">
        <v>0</v>
      </c>
      <c r="S1530" s="13" t="n">
        <v>0</v>
      </c>
      <c r="T1530" s="13"/>
      <c r="U1530" s="11" t="n">
        <f aca="false">O1530*4 + P1530*2 + MAX(0,N1530-O1530-P1530)*1 + Q1530*0.2 + R1530*2 + S1530*1 + IF(T1530="",0,IF(T1530&lt;=10,8,IF(T1530&lt;=50,6,IF(T1530&lt;=100,4,2))))</f>
        <v>0</v>
      </c>
      <c r="V1530" s="7"/>
      <c r="W1530" s="7"/>
      <c r="X1530" s="13"/>
      <c r="Y1530" s="13" t="s">
        <v>6450</v>
      </c>
    </row>
    <row r="1531" customFormat="false" ht="15.75" hidden="false" customHeight="true" outlineLevel="0" collapsed="false">
      <c r="A1531" s="7" t="s">
        <v>6451</v>
      </c>
      <c r="B1531" s="8" t="n">
        <v>2012</v>
      </c>
      <c r="C1531" s="8" t="s">
        <v>176</v>
      </c>
      <c r="D1531" s="8" t="n">
        <v>120</v>
      </c>
      <c r="E1531" s="7" t="s">
        <v>6056</v>
      </c>
      <c r="F1531" s="8" t="n">
        <v>6.7</v>
      </c>
      <c r="G1531" s="8" t="n">
        <v>6</v>
      </c>
      <c r="H1531" s="9" t="n">
        <v>17860</v>
      </c>
      <c r="I1531" s="7" t="s">
        <v>232</v>
      </c>
      <c r="J1531" s="7" t="s">
        <v>29</v>
      </c>
      <c r="K1531" s="7" t="s">
        <v>591</v>
      </c>
      <c r="L1531" s="10" t="s">
        <v>636</v>
      </c>
      <c r="M1531" s="10" t="s">
        <v>6452</v>
      </c>
      <c r="N1531" s="8" t="n">
        <v>0</v>
      </c>
      <c r="O1531" s="8" t="n">
        <v>0</v>
      </c>
      <c r="P1531" s="8" t="n">
        <v>0</v>
      </c>
      <c r="Q1531" s="8" t="n">
        <v>0</v>
      </c>
      <c r="R1531" s="13" t="n">
        <v>0</v>
      </c>
      <c r="S1531" s="13" t="n">
        <v>0</v>
      </c>
      <c r="T1531" s="13"/>
      <c r="U1531" s="11" t="n">
        <f aca="false">O1531*4 + P1531*2 + MAX(0,N1531-O1531-P1531)*1 + Q1531*0.2 + R1531*2 + S1531*1 + IF(T1531="",0,IF(T1531&lt;=10,8,IF(T1531&lt;=50,6,IF(T1531&lt;=100,4,2))))</f>
        <v>0</v>
      </c>
      <c r="V1531" s="7"/>
      <c r="W1531" s="7"/>
      <c r="X1531" s="13"/>
      <c r="Y1531" s="13" t="s">
        <v>6453</v>
      </c>
    </row>
    <row r="1532" customFormat="false" ht="15.75" hidden="false" customHeight="true" outlineLevel="0" collapsed="false">
      <c r="A1532" s="7" t="s">
        <v>6454</v>
      </c>
      <c r="B1532" s="8" t="n">
        <v>2010</v>
      </c>
      <c r="C1532" s="8" t="s">
        <v>176</v>
      </c>
      <c r="D1532" s="8" t="n">
        <v>118</v>
      </c>
      <c r="E1532" s="7" t="s">
        <v>6056</v>
      </c>
      <c r="F1532" s="8" t="n">
        <v>6.7</v>
      </c>
      <c r="G1532" s="8" t="n">
        <v>7</v>
      </c>
      <c r="H1532" s="9" t="n">
        <v>31488</v>
      </c>
      <c r="I1532" s="7" t="s">
        <v>232</v>
      </c>
      <c r="J1532" s="7" t="s">
        <v>112</v>
      </c>
      <c r="K1532" s="7" t="s">
        <v>29</v>
      </c>
      <c r="L1532" s="10" t="s">
        <v>636</v>
      </c>
      <c r="M1532" s="10" t="s">
        <v>6455</v>
      </c>
      <c r="N1532" s="8" t="n">
        <v>0</v>
      </c>
      <c r="O1532" s="8" t="n">
        <v>0</v>
      </c>
      <c r="P1532" s="8" t="n">
        <v>0</v>
      </c>
      <c r="Q1532" s="8" t="n">
        <v>0</v>
      </c>
      <c r="R1532" s="13" t="n">
        <v>0</v>
      </c>
      <c r="S1532" s="13" t="n">
        <v>0</v>
      </c>
      <c r="T1532" s="13"/>
      <c r="U1532" s="11" t="n">
        <f aca="false">O1532*4 + P1532*2 + MAX(0,N1532-O1532-P1532)*1 + Q1532*0.2 + R1532*2 + S1532*1 + IF(T1532="",0,IF(T1532&lt;=10,8,IF(T1532&lt;=50,6,IF(T1532&lt;=100,4,2))))</f>
        <v>0</v>
      </c>
      <c r="V1532" s="7"/>
      <c r="W1532" s="7"/>
      <c r="X1532" s="13"/>
      <c r="Y1532" s="13" t="s">
        <v>6456</v>
      </c>
    </row>
    <row r="1533" customFormat="false" ht="15.75" hidden="false" customHeight="true" outlineLevel="0" collapsed="false">
      <c r="A1533" s="7" t="s">
        <v>6457</v>
      </c>
      <c r="B1533" s="8" t="n">
        <v>2008</v>
      </c>
      <c r="C1533" s="8" t="s">
        <v>35</v>
      </c>
      <c r="D1533" s="8" t="n">
        <v>122</v>
      </c>
      <c r="E1533" s="7" t="s">
        <v>6458</v>
      </c>
      <c r="F1533" s="8" t="n">
        <v>5.4</v>
      </c>
      <c r="G1533" s="8" t="n">
        <v>6</v>
      </c>
      <c r="H1533" s="9" t="n">
        <v>532068</v>
      </c>
      <c r="I1533" s="7" t="s">
        <v>46</v>
      </c>
      <c r="J1533" s="7" t="s">
        <v>38</v>
      </c>
      <c r="K1533" s="7" t="s">
        <v>29</v>
      </c>
      <c r="L1533" s="10" t="s">
        <v>680</v>
      </c>
      <c r="M1533" s="7" t="s">
        <v>6459</v>
      </c>
      <c r="N1533" s="8" t="n">
        <v>0</v>
      </c>
      <c r="O1533" s="8" t="n">
        <v>0</v>
      </c>
      <c r="P1533" s="8" t="n">
        <v>0</v>
      </c>
      <c r="Q1533" s="8" t="n">
        <v>0</v>
      </c>
      <c r="R1533" s="13" t="n">
        <v>0</v>
      </c>
      <c r="S1533" s="13" t="n">
        <v>0</v>
      </c>
      <c r="T1533" s="13"/>
      <c r="U1533" s="11" t="n">
        <f aca="false">O1533*4 + P1533*2 + MAX(0,N1533-O1533-P1533)*1 + Q1533*0.2 + R1533*2 + S1533*1 + IF(T1533="",0,IF(T1533&lt;=10,8,IF(T1533&lt;=50,6,IF(T1533&lt;=100,4,2))))</f>
        <v>0</v>
      </c>
      <c r="V1533" s="7"/>
      <c r="W1533" s="7"/>
      <c r="X1533" s="13"/>
      <c r="Y1533" s="13" t="s">
        <v>6460</v>
      </c>
    </row>
    <row r="1534" customFormat="false" ht="15.75" hidden="false" customHeight="true" outlineLevel="0" collapsed="false">
      <c r="A1534" s="7" t="s">
        <v>6461</v>
      </c>
      <c r="B1534" s="8" t="n">
        <v>2009</v>
      </c>
      <c r="C1534" s="8" t="s">
        <v>35</v>
      </c>
      <c r="D1534" s="8" t="n">
        <v>130</v>
      </c>
      <c r="E1534" s="7" t="s">
        <v>6462</v>
      </c>
      <c r="F1534" s="8" t="n">
        <v>4.8</v>
      </c>
      <c r="G1534" s="8" t="n">
        <v>5</v>
      </c>
      <c r="H1534" s="9" t="n">
        <v>325314</v>
      </c>
      <c r="I1534" s="7" t="s">
        <v>46</v>
      </c>
      <c r="J1534" s="7" t="s">
        <v>38</v>
      </c>
      <c r="K1534" s="7" t="s">
        <v>39</v>
      </c>
      <c r="L1534" s="10" t="s">
        <v>680</v>
      </c>
      <c r="M1534" s="7" t="s">
        <v>6463</v>
      </c>
      <c r="N1534" s="8" t="n">
        <v>0</v>
      </c>
      <c r="O1534" s="8" t="n">
        <v>0</v>
      </c>
      <c r="P1534" s="8" t="n">
        <v>0</v>
      </c>
      <c r="Q1534" s="8" t="n">
        <v>0</v>
      </c>
      <c r="R1534" s="13" t="n">
        <v>0</v>
      </c>
      <c r="S1534" s="13" t="n">
        <v>0</v>
      </c>
      <c r="T1534" s="13"/>
      <c r="U1534" s="11" t="n">
        <f aca="false">O1534*4 + P1534*2 + MAX(0,N1534-O1534-P1534)*1 + Q1534*0.2 + R1534*2 + S1534*1 + IF(T1534="",0,IF(T1534&lt;=10,8,IF(T1534&lt;=50,6,IF(T1534&lt;=100,4,2))))</f>
        <v>0</v>
      </c>
      <c r="V1534" s="7"/>
      <c r="W1534" s="7"/>
      <c r="X1534" s="13"/>
      <c r="Y1534" s="13" t="s">
        <v>6464</v>
      </c>
    </row>
    <row r="1535" customFormat="false" ht="15.75" hidden="false" customHeight="true" outlineLevel="0" collapsed="false">
      <c r="A1535" s="7" t="s">
        <v>6465</v>
      </c>
      <c r="B1535" s="8" t="n">
        <v>2010</v>
      </c>
      <c r="C1535" s="8" t="s">
        <v>176</v>
      </c>
      <c r="D1535" s="8" t="n">
        <v>124</v>
      </c>
      <c r="E1535" s="7" t="s">
        <v>6466</v>
      </c>
      <c r="F1535" s="8" t="n">
        <v>5.1</v>
      </c>
      <c r="G1535" s="8" t="n">
        <v>5</v>
      </c>
      <c r="H1535" s="9" t="n">
        <v>284672</v>
      </c>
      <c r="I1535" s="7" t="s">
        <v>46</v>
      </c>
      <c r="J1535" s="7" t="s">
        <v>112</v>
      </c>
      <c r="K1535" s="7" t="s">
        <v>39</v>
      </c>
      <c r="L1535" s="10" t="s">
        <v>587</v>
      </c>
      <c r="M1535" s="7" t="s">
        <v>6467</v>
      </c>
      <c r="N1535" s="8" t="n">
        <v>0</v>
      </c>
      <c r="O1535" s="8" t="n">
        <v>0</v>
      </c>
      <c r="P1535" s="8" t="n">
        <v>0</v>
      </c>
      <c r="Q1535" s="8" t="n">
        <v>0</v>
      </c>
      <c r="R1535" s="13" t="n">
        <v>0</v>
      </c>
      <c r="S1535" s="13" t="n">
        <v>0</v>
      </c>
      <c r="T1535" s="13"/>
      <c r="U1535" s="11" t="n">
        <f aca="false">O1535*4 + P1535*2 + MAX(0,N1535-O1535-P1535)*1 + Q1535*0.2 + R1535*2 + S1535*1 + IF(T1535="",0,IF(T1535&lt;=10,8,IF(T1535&lt;=50,6,IF(T1535&lt;=100,4,2))))</f>
        <v>0</v>
      </c>
      <c r="V1535" s="7"/>
      <c r="W1535" s="7"/>
      <c r="X1535" s="13"/>
      <c r="Y1535" s="13" t="s">
        <v>6468</v>
      </c>
    </row>
    <row r="1536" customFormat="false" ht="15.75" hidden="false" customHeight="true" outlineLevel="0" collapsed="false">
      <c r="A1536" s="7" t="s">
        <v>6469</v>
      </c>
      <c r="B1536" s="8" t="n">
        <v>2012</v>
      </c>
      <c r="C1536" s="8" t="s">
        <v>176</v>
      </c>
      <c r="D1536" s="8" t="n">
        <v>136</v>
      </c>
      <c r="E1536" s="7" t="s">
        <v>5630</v>
      </c>
      <c r="F1536" s="8" t="n">
        <v>7</v>
      </c>
      <c r="G1536" s="8" t="n">
        <v>4</v>
      </c>
      <c r="H1536" s="9" t="n">
        <v>781359</v>
      </c>
      <c r="I1536" s="7" t="s">
        <v>46</v>
      </c>
      <c r="J1536" s="7" t="s">
        <v>111</v>
      </c>
      <c r="K1536" s="7" t="s">
        <v>5160</v>
      </c>
      <c r="L1536" s="10" t="s">
        <v>1895</v>
      </c>
      <c r="M1536" s="7" t="s">
        <v>6470</v>
      </c>
      <c r="N1536" s="8" t="n">
        <v>0</v>
      </c>
      <c r="O1536" s="8" t="n">
        <v>0</v>
      </c>
      <c r="P1536" s="8" t="n">
        <v>0</v>
      </c>
      <c r="Q1536" s="8" t="n">
        <v>0</v>
      </c>
      <c r="R1536" s="13" t="n">
        <v>0</v>
      </c>
      <c r="S1536" s="13" t="n">
        <v>0</v>
      </c>
      <c r="T1536" s="13"/>
      <c r="U1536" s="11" t="n">
        <f aca="false">O1536*4 + P1536*2 + MAX(0,N1536-O1536-P1536)*1 + Q1536*0.2 + R1536*2 + S1536*1 + IF(T1536="",0,IF(T1536&lt;=10,8,IF(T1536&lt;=50,6,IF(T1536&lt;=100,4,2))))</f>
        <v>0</v>
      </c>
      <c r="V1536" s="7"/>
      <c r="W1536" s="7"/>
      <c r="X1536" s="13"/>
      <c r="Y1536" s="13" t="s">
        <v>6471</v>
      </c>
    </row>
    <row r="1537" customFormat="false" ht="15.75" hidden="false" customHeight="true" outlineLevel="0" collapsed="false">
      <c r="A1537" s="7" t="s">
        <v>6472</v>
      </c>
      <c r="B1537" s="8" t="n">
        <v>1999</v>
      </c>
      <c r="C1537" s="8" t="s">
        <v>26</v>
      </c>
      <c r="D1537" s="8" t="n">
        <v>122</v>
      </c>
      <c r="E1537" s="7" t="s">
        <v>2244</v>
      </c>
      <c r="F1537" s="8" t="n">
        <v>8.3</v>
      </c>
      <c r="G1537" s="8" t="n">
        <v>8</v>
      </c>
      <c r="H1537" s="9" t="n">
        <v>1285523</v>
      </c>
      <c r="I1537" s="7" t="s">
        <v>46</v>
      </c>
      <c r="J1537" s="7" t="s">
        <v>47</v>
      </c>
      <c r="K1537" s="7" t="s">
        <v>251</v>
      </c>
      <c r="L1537" s="10"/>
      <c r="M1537" s="7" t="s">
        <v>6473</v>
      </c>
      <c r="N1537" s="8" t="n">
        <v>5</v>
      </c>
      <c r="O1537" s="8" t="n">
        <v>1</v>
      </c>
      <c r="P1537" s="8" t="n">
        <v>1</v>
      </c>
      <c r="Q1537" s="8" t="n">
        <v>8</v>
      </c>
      <c r="R1537" s="8" t="n">
        <v>0</v>
      </c>
      <c r="S1537" s="8" t="n">
        <v>1</v>
      </c>
      <c r="T1537" s="8"/>
      <c r="U1537" s="11" t="n">
        <f aca="false">O1537*4 + P1537*2 + MAX(0,N1537-O1537-P1537)*1 + Q1537*0.2 + R1537*2 + S1537*1 + IF(T1537="",0,IF(T1537&lt;=10,8,IF(T1537&lt;=50,6,IF(T1537&lt;=100,4,2))))</f>
        <v>11.6</v>
      </c>
      <c r="V1537" s="7"/>
      <c r="W1537" s="7"/>
      <c r="X1537" s="13"/>
      <c r="Y1537" s="13" t="s">
        <v>6474</v>
      </c>
    </row>
    <row r="1538" customFormat="false" ht="15.75" hidden="false" customHeight="true" outlineLevel="0" collapsed="false">
      <c r="A1538" s="7" t="s">
        <v>6475</v>
      </c>
      <c r="B1538" s="8" t="n">
        <v>2011</v>
      </c>
      <c r="C1538" s="8" t="s">
        <v>176</v>
      </c>
      <c r="D1538" s="8" t="n">
        <v>117</v>
      </c>
      <c r="E1538" s="7" t="s">
        <v>6476</v>
      </c>
      <c r="F1538" s="8" t="n">
        <v>5</v>
      </c>
      <c r="G1538" s="8" t="n">
        <v>6</v>
      </c>
      <c r="H1538" s="9" t="n">
        <v>275922</v>
      </c>
      <c r="I1538" s="7" t="s">
        <v>46</v>
      </c>
      <c r="J1538" s="7" t="s">
        <v>38</v>
      </c>
      <c r="K1538" s="7" t="s">
        <v>39</v>
      </c>
      <c r="L1538" s="10" t="s">
        <v>680</v>
      </c>
      <c r="M1538" s="7" t="s">
        <v>6477</v>
      </c>
      <c r="N1538" s="8" t="n">
        <v>0</v>
      </c>
      <c r="O1538" s="8" t="n">
        <v>0</v>
      </c>
      <c r="P1538" s="8" t="n">
        <v>0</v>
      </c>
      <c r="Q1538" s="8" t="n">
        <v>0</v>
      </c>
      <c r="R1538" s="13" t="n">
        <v>0</v>
      </c>
      <c r="S1538" s="13" t="n">
        <v>0</v>
      </c>
      <c r="T1538" s="13"/>
      <c r="U1538" s="11" t="n">
        <f aca="false">O1538*4 + P1538*2 + MAX(0,N1538-O1538-P1538)*1 + Q1538*0.2 + R1538*2 + S1538*1 + IF(T1538="",0,IF(T1538&lt;=10,8,IF(T1538&lt;=50,6,IF(T1538&lt;=100,4,2))))</f>
        <v>0</v>
      </c>
      <c r="V1538" s="7"/>
      <c r="W1538" s="7"/>
      <c r="X1538" s="13"/>
      <c r="Y1538" s="13" t="s">
        <v>6478</v>
      </c>
    </row>
    <row r="1539" customFormat="false" ht="15.75" hidden="false" customHeight="true" outlineLevel="0" collapsed="false">
      <c r="A1539" s="7" t="s">
        <v>6479</v>
      </c>
      <c r="B1539" s="8" t="n">
        <v>2012</v>
      </c>
      <c r="C1539" s="8" t="s">
        <v>176</v>
      </c>
      <c r="D1539" s="8" t="n">
        <v>115</v>
      </c>
      <c r="E1539" s="7" t="s">
        <v>6476</v>
      </c>
      <c r="F1539" s="8" t="n">
        <v>5.6</v>
      </c>
      <c r="G1539" s="8" t="n">
        <v>6</v>
      </c>
      <c r="H1539" s="9" t="n">
        <v>284877</v>
      </c>
      <c r="I1539" s="7" t="s">
        <v>46</v>
      </c>
      <c r="J1539" s="7" t="s">
        <v>38</v>
      </c>
      <c r="K1539" s="7" t="s">
        <v>39</v>
      </c>
      <c r="L1539" s="10" t="s">
        <v>680</v>
      </c>
      <c r="M1539" s="7" t="s">
        <v>6480</v>
      </c>
      <c r="N1539" s="8" t="n">
        <v>0</v>
      </c>
      <c r="O1539" s="8" t="n">
        <v>0</v>
      </c>
      <c r="P1539" s="8" t="n">
        <v>0</v>
      </c>
      <c r="Q1539" s="8" t="n">
        <v>0</v>
      </c>
      <c r="R1539" s="13" t="n">
        <v>0</v>
      </c>
      <c r="S1539" s="13" t="n">
        <v>0</v>
      </c>
      <c r="T1539" s="13"/>
      <c r="U1539" s="11" t="n">
        <f aca="false">O1539*4 + P1539*2 + MAX(0,N1539-O1539-P1539)*1 + Q1539*0.2 + R1539*2 + S1539*1 + IF(T1539="",0,IF(T1539&lt;=10,8,IF(T1539&lt;=50,6,IF(T1539&lt;=100,4,2))))</f>
        <v>0</v>
      </c>
      <c r="V1539" s="7"/>
      <c r="W1539" s="7"/>
      <c r="X1539" s="13"/>
      <c r="Y1539" s="13" t="s">
        <v>6481</v>
      </c>
    </row>
    <row r="1540" customFormat="false" ht="15.75" hidden="false" customHeight="true" outlineLevel="0" collapsed="false">
      <c r="A1540" s="7" t="s">
        <v>6482</v>
      </c>
      <c r="B1540" s="8" t="n">
        <v>2012</v>
      </c>
      <c r="C1540" s="8" t="s">
        <v>176</v>
      </c>
      <c r="D1540" s="8" t="n">
        <v>99</v>
      </c>
      <c r="E1540" s="7" t="s">
        <v>6483</v>
      </c>
      <c r="F1540" s="8" t="n">
        <v>6.4</v>
      </c>
      <c r="G1540" s="8" t="n">
        <v>5</v>
      </c>
      <c r="H1540" s="9" t="n">
        <v>60219</v>
      </c>
      <c r="I1540" s="7" t="s">
        <v>46</v>
      </c>
      <c r="J1540" s="7" t="s">
        <v>90</v>
      </c>
      <c r="K1540" s="7" t="s">
        <v>29</v>
      </c>
      <c r="L1540" s="10" t="s">
        <v>161</v>
      </c>
      <c r="M1540" s="10" t="s">
        <v>6484</v>
      </c>
      <c r="N1540" s="8" t="n">
        <v>0</v>
      </c>
      <c r="O1540" s="8" t="n">
        <v>0</v>
      </c>
      <c r="P1540" s="8" t="n">
        <v>0</v>
      </c>
      <c r="Q1540" s="8" t="n">
        <v>0</v>
      </c>
      <c r="R1540" s="13" t="n">
        <v>0</v>
      </c>
      <c r="S1540" s="13" t="n">
        <v>0</v>
      </c>
      <c r="T1540" s="13"/>
      <c r="U1540" s="11" t="n">
        <f aca="false">O1540*4 + P1540*2 + MAX(0,N1540-O1540-P1540)*1 + Q1540*0.2 + R1540*2 + S1540*1 + IF(T1540="",0,IF(T1540&lt;=10,8,IF(T1540&lt;=50,6,IF(T1540&lt;=100,4,2))))</f>
        <v>0</v>
      </c>
      <c r="V1540" s="7"/>
      <c r="W1540" s="7"/>
      <c r="X1540" s="13"/>
      <c r="Y1540" s="13" t="s">
        <v>6485</v>
      </c>
    </row>
    <row r="1541" customFormat="false" ht="15.75" hidden="false" customHeight="true" outlineLevel="0" collapsed="false">
      <c r="A1541" s="7" t="s">
        <v>6486</v>
      </c>
      <c r="B1541" s="8" t="n">
        <v>2012</v>
      </c>
      <c r="C1541" s="8" t="s">
        <v>176</v>
      </c>
      <c r="D1541" s="8" t="n">
        <v>92</v>
      </c>
      <c r="E1541" s="7" t="s">
        <v>6487</v>
      </c>
      <c r="F1541" s="8" t="n">
        <v>5.9</v>
      </c>
      <c r="G1541" s="8" t="n">
        <v>3</v>
      </c>
      <c r="H1541" s="9" t="n">
        <v>66238</v>
      </c>
      <c r="I1541" s="7" t="s">
        <v>5720</v>
      </c>
      <c r="J1541" s="7" t="s">
        <v>147</v>
      </c>
      <c r="K1541" s="7" t="s">
        <v>125</v>
      </c>
      <c r="L1541" s="10" t="s">
        <v>1401</v>
      </c>
      <c r="M1541" s="10" t="s">
        <v>6488</v>
      </c>
      <c r="N1541" s="8" t="n">
        <v>0</v>
      </c>
      <c r="O1541" s="8" t="n">
        <v>0</v>
      </c>
      <c r="P1541" s="8" t="n">
        <v>0</v>
      </c>
      <c r="Q1541" s="8" t="n">
        <v>0</v>
      </c>
      <c r="R1541" s="13" t="n">
        <v>0</v>
      </c>
      <c r="S1541" s="13" t="n">
        <v>0</v>
      </c>
      <c r="T1541" s="13"/>
      <c r="U1541" s="11" t="n">
        <f aca="false">O1541*4 + P1541*2 + MAX(0,N1541-O1541-P1541)*1 + Q1541*0.2 + R1541*2 + S1541*1 + IF(T1541="",0,IF(T1541&lt;=10,8,IF(T1541&lt;=50,6,IF(T1541&lt;=100,4,2))))</f>
        <v>0</v>
      </c>
      <c r="V1541" s="7"/>
      <c r="W1541" s="7"/>
      <c r="X1541" s="13"/>
      <c r="Y1541" s="13" t="s">
        <v>6489</v>
      </c>
    </row>
    <row r="1542" customFormat="false" ht="15.75" hidden="false" customHeight="true" outlineLevel="0" collapsed="false">
      <c r="A1542" s="7" t="s">
        <v>6490</v>
      </c>
      <c r="B1542" s="8" t="n">
        <v>2004</v>
      </c>
      <c r="C1542" s="8" t="s">
        <v>35</v>
      </c>
      <c r="D1542" s="8" t="n">
        <v>109</v>
      </c>
      <c r="E1542" s="7" t="s">
        <v>6491</v>
      </c>
      <c r="F1542" s="8" t="n">
        <v>6</v>
      </c>
      <c r="G1542" s="8" t="n">
        <v>7</v>
      </c>
      <c r="H1542" s="9" t="n">
        <v>198607</v>
      </c>
      <c r="I1542" s="7" t="s">
        <v>46</v>
      </c>
      <c r="J1542" s="7" t="s">
        <v>30</v>
      </c>
      <c r="K1542" s="7" t="s">
        <v>54</v>
      </c>
      <c r="L1542" s="10" t="s">
        <v>238</v>
      </c>
      <c r="M1542" s="10" t="s">
        <v>6492</v>
      </c>
      <c r="N1542" s="8" t="n">
        <v>0</v>
      </c>
      <c r="O1542" s="8" t="n">
        <v>0</v>
      </c>
      <c r="P1542" s="8" t="n">
        <v>0</v>
      </c>
      <c r="Q1542" s="8" t="n">
        <v>0</v>
      </c>
      <c r="R1542" s="13" t="n">
        <v>0</v>
      </c>
      <c r="S1542" s="13" t="n">
        <v>0</v>
      </c>
      <c r="T1542" s="13"/>
      <c r="U1542" s="11" t="n">
        <f aca="false">O1542*4 + P1542*2 + MAX(0,N1542-O1542-P1542)*1 + Q1542*0.2 + R1542*2 + S1542*1 + IF(T1542="",0,IF(T1542&lt;=10,8,IF(T1542&lt;=50,6,IF(T1542&lt;=100,4,2))))</f>
        <v>0</v>
      </c>
      <c r="V1542" s="7"/>
      <c r="W1542" s="7"/>
      <c r="X1542" s="13"/>
      <c r="Y1542" s="13" t="s">
        <v>6493</v>
      </c>
    </row>
    <row r="1543" customFormat="false" ht="15.75" hidden="false" customHeight="true" outlineLevel="0" collapsed="false">
      <c r="A1543" s="7" t="s">
        <v>6494</v>
      </c>
      <c r="B1543" s="8" t="n">
        <v>2013</v>
      </c>
      <c r="C1543" s="8" t="s">
        <v>176</v>
      </c>
      <c r="D1543" s="8" t="n">
        <v>88</v>
      </c>
      <c r="E1543" s="7" t="s">
        <v>6495</v>
      </c>
      <c r="F1543" s="8" t="n">
        <v>6.1</v>
      </c>
      <c r="G1543" s="8" t="n">
        <v>5</v>
      </c>
      <c r="H1543" s="9" t="n">
        <v>227840</v>
      </c>
      <c r="I1543" s="7" t="s">
        <v>895</v>
      </c>
      <c r="J1543" s="7" t="s">
        <v>147</v>
      </c>
      <c r="K1543" s="7" t="s">
        <v>38</v>
      </c>
      <c r="L1543" s="10" t="s">
        <v>187</v>
      </c>
      <c r="M1543" s="10" t="s">
        <v>6496</v>
      </c>
      <c r="N1543" s="8" t="n">
        <v>0</v>
      </c>
      <c r="O1543" s="8" t="n">
        <v>0</v>
      </c>
      <c r="P1543" s="8" t="n">
        <v>0</v>
      </c>
      <c r="Q1543" s="8" t="n">
        <v>0</v>
      </c>
      <c r="R1543" s="13" t="n">
        <v>0</v>
      </c>
      <c r="S1543" s="13" t="n">
        <v>0</v>
      </c>
      <c r="T1543" s="13"/>
      <c r="U1543" s="11" t="n">
        <f aca="false">O1543*4 + P1543*2 + MAX(0,N1543-O1543-P1543)*1 + Q1543*0.2 + R1543*2 + S1543*1 + IF(T1543="",0,IF(T1543&lt;=10,8,IF(T1543&lt;=50,6,IF(T1543&lt;=100,4,2))))</f>
        <v>0</v>
      </c>
      <c r="V1543" s="7"/>
      <c r="W1543" s="7"/>
      <c r="X1543" s="13"/>
      <c r="Y1543" s="13" t="s">
        <v>6497</v>
      </c>
    </row>
    <row r="1544" customFormat="false" ht="15.75" hidden="false" customHeight="true" outlineLevel="0" collapsed="false">
      <c r="A1544" s="7" t="s">
        <v>6498</v>
      </c>
      <c r="B1544" s="8" t="n">
        <v>2000</v>
      </c>
      <c r="C1544" s="8" t="s">
        <v>35</v>
      </c>
      <c r="D1544" s="8" t="n">
        <v>98</v>
      </c>
      <c r="E1544" s="7" t="s">
        <v>6499</v>
      </c>
      <c r="F1544" s="8" t="n">
        <v>6.7</v>
      </c>
      <c r="G1544" s="8" t="n">
        <v>7</v>
      </c>
      <c r="H1544" s="9" t="n">
        <v>339344</v>
      </c>
      <c r="I1544" s="7" t="s">
        <v>46</v>
      </c>
      <c r="J1544" s="7" t="s">
        <v>147</v>
      </c>
      <c r="K1544" s="7" t="s">
        <v>131</v>
      </c>
      <c r="L1544" s="10" t="s">
        <v>972</v>
      </c>
      <c r="M1544" s="7" t="s">
        <v>6500</v>
      </c>
      <c r="N1544" s="8" t="n">
        <v>0</v>
      </c>
      <c r="O1544" s="8" t="n">
        <v>0</v>
      </c>
      <c r="P1544" s="8" t="n">
        <v>0</v>
      </c>
      <c r="Q1544" s="8" t="n">
        <v>0</v>
      </c>
      <c r="R1544" s="13" t="n">
        <v>0</v>
      </c>
      <c r="S1544" s="13" t="n">
        <v>0</v>
      </c>
      <c r="T1544" s="13"/>
      <c r="U1544" s="11" t="n">
        <f aca="false">O1544*4 + P1544*2 + MAX(0,N1544-O1544-P1544)*1 + Q1544*0.2 + R1544*2 + S1544*1 + IF(T1544="",0,IF(T1544&lt;=10,8,IF(T1544&lt;=50,6,IF(T1544&lt;=100,4,2))))</f>
        <v>0</v>
      </c>
      <c r="V1544" s="7"/>
      <c r="W1544" s="7"/>
      <c r="X1544" s="13"/>
      <c r="Y1544" s="13" t="s">
        <v>6501</v>
      </c>
    </row>
    <row r="1545" customFormat="false" ht="15.75" hidden="false" customHeight="true" outlineLevel="0" collapsed="false">
      <c r="A1545" s="7" t="s">
        <v>6502</v>
      </c>
      <c r="B1545" s="8" t="n">
        <v>2011</v>
      </c>
      <c r="C1545" s="8" t="s">
        <v>176</v>
      </c>
      <c r="D1545" s="8" t="n">
        <v>110</v>
      </c>
      <c r="E1545" s="7" t="s">
        <v>2044</v>
      </c>
      <c r="F1545" s="8" t="n">
        <v>6.1</v>
      </c>
      <c r="G1545" s="8" t="n">
        <v>6</v>
      </c>
      <c r="H1545" s="9" t="n">
        <v>262581</v>
      </c>
      <c r="I1545" s="7" t="s">
        <v>46</v>
      </c>
      <c r="J1545" s="7" t="s">
        <v>38</v>
      </c>
      <c r="K1545" s="7" t="s">
        <v>852</v>
      </c>
      <c r="L1545" s="10" t="s">
        <v>238</v>
      </c>
      <c r="M1545" s="7" t="s">
        <v>6503</v>
      </c>
      <c r="N1545" s="8" t="n">
        <v>0</v>
      </c>
      <c r="O1545" s="8" t="n">
        <v>0</v>
      </c>
      <c r="P1545" s="8" t="n">
        <v>0</v>
      </c>
      <c r="Q1545" s="8" t="n">
        <v>0</v>
      </c>
      <c r="R1545" s="13" t="n">
        <v>0</v>
      </c>
      <c r="S1545" s="13" t="n">
        <v>0</v>
      </c>
      <c r="T1545" s="13"/>
      <c r="U1545" s="11" t="n">
        <f aca="false">O1545*4 + P1545*2 + MAX(0,N1545-O1545-P1545)*1 + Q1545*0.2 + R1545*2 + S1545*1 + IF(T1545="",0,IF(T1545&lt;=10,8,IF(T1545&lt;=50,6,IF(T1545&lt;=100,4,2))))</f>
        <v>0</v>
      </c>
      <c r="V1545" s="7"/>
      <c r="W1545" s="7"/>
      <c r="X1545" s="13"/>
      <c r="Y1545" s="13" t="s">
        <v>6504</v>
      </c>
    </row>
    <row r="1546" customFormat="false" ht="15.75" hidden="false" customHeight="true" outlineLevel="0" collapsed="false">
      <c r="A1546" s="7" t="s">
        <v>6505</v>
      </c>
      <c r="B1546" s="8" t="n">
        <v>2010</v>
      </c>
      <c r="C1546" s="8" t="s">
        <v>176</v>
      </c>
      <c r="D1546" s="8" t="n">
        <v>125</v>
      </c>
      <c r="E1546" s="7" t="s">
        <v>2665</v>
      </c>
      <c r="F1546" s="8" t="n">
        <v>6.8</v>
      </c>
      <c r="G1546" s="8" t="n">
        <v>6</v>
      </c>
      <c r="H1546" s="9" t="n">
        <v>389052</v>
      </c>
      <c r="I1546" s="7" t="s">
        <v>46</v>
      </c>
      <c r="J1546" s="7" t="s">
        <v>111</v>
      </c>
      <c r="K1546" s="7" t="s">
        <v>852</v>
      </c>
      <c r="L1546" s="10" t="s">
        <v>177</v>
      </c>
      <c r="M1546" s="7" t="s">
        <v>6506</v>
      </c>
      <c r="N1546" s="8" t="n">
        <v>0</v>
      </c>
      <c r="O1546" s="8" t="n">
        <v>0</v>
      </c>
      <c r="P1546" s="8" t="n">
        <v>0</v>
      </c>
      <c r="Q1546" s="8" t="n">
        <v>1</v>
      </c>
      <c r="R1546" s="8" t="n">
        <v>0</v>
      </c>
      <c r="S1546" s="8" t="n">
        <v>0</v>
      </c>
      <c r="T1546" s="13"/>
      <c r="U1546" s="11" t="n">
        <f aca="false">O1546*4 + P1546*2 + MAX(0,N1546-O1546-P1546)*1 + Q1546*0.2 + R1546*2 + S1546*1 + IF(T1546="",0,IF(T1546&lt;=10,8,IF(T1546&lt;=50,6,IF(T1546&lt;=100,4,2))))</f>
        <v>0.2</v>
      </c>
      <c r="V1546" s="7"/>
      <c r="W1546" s="7"/>
      <c r="X1546" s="13"/>
      <c r="Y1546" s="13" t="s">
        <v>6507</v>
      </c>
    </row>
    <row r="1547" customFormat="false" ht="15.75" hidden="false" customHeight="true" outlineLevel="0" collapsed="false">
      <c r="A1547" s="7" t="s">
        <v>6508</v>
      </c>
      <c r="B1547" s="8" t="n">
        <v>2012</v>
      </c>
      <c r="C1547" s="8" t="s">
        <v>176</v>
      </c>
      <c r="D1547" s="8" t="n">
        <v>88</v>
      </c>
      <c r="E1547" s="7" t="s">
        <v>5909</v>
      </c>
      <c r="F1547" s="8" t="n">
        <v>4.7</v>
      </c>
      <c r="G1547" s="8" t="n">
        <v>2</v>
      </c>
      <c r="H1547" s="9" t="n">
        <v>74586</v>
      </c>
      <c r="I1547" s="7" t="s">
        <v>46</v>
      </c>
      <c r="J1547" s="7" t="s">
        <v>147</v>
      </c>
      <c r="K1547" s="7" t="s">
        <v>125</v>
      </c>
      <c r="L1547" s="10" t="s">
        <v>192</v>
      </c>
      <c r="M1547" s="10" t="s">
        <v>6509</v>
      </c>
      <c r="N1547" s="8" t="n">
        <v>0</v>
      </c>
      <c r="O1547" s="8" t="n">
        <v>0</v>
      </c>
      <c r="P1547" s="8" t="n">
        <v>0</v>
      </c>
      <c r="Q1547" s="8" t="n">
        <v>0</v>
      </c>
      <c r="R1547" s="13" t="n">
        <v>0</v>
      </c>
      <c r="S1547" s="13" t="n">
        <v>0</v>
      </c>
      <c r="T1547" s="13"/>
      <c r="U1547" s="11" t="n">
        <f aca="false">O1547*4 + P1547*2 + MAX(0,N1547-O1547-P1547)*1 + Q1547*0.2 + R1547*2 + S1547*1 + IF(T1547="",0,IF(T1547&lt;=10,8,IF(T1547&lt;=50,6,IF(T1547&lt;=100,4,2))))</f>
        <v>0</v>
      </c>
      <c r="V1547" s="7"/>
      <c r="W1547" s="7"/>
      <c r="X1547" s="13"/>
      <c r="Y1547" s="13" t="s">
        <v>6510</v>
      </c>
    </row>
    <row r="1548" customFormat="false" ht="15.75" hidden="false" customHeight="true" outlineLevel="0" collapsed="false">
      <c r="A1548" s="7" t="s">
        <v>6511</v>
      </c>
      <c r="B1548" s="8" t="n">
        <v>2013</v>
      </c>
      <c r="C1548" s="8" t="s">
        <v>176</v>
      </c>
      <c r="D1548" s="8" t="n">
        <v>100</v>
      </c>
      <c r="E1548" s="7" t="s">
        <v>2294</v>
      </c>
      <c r="F1548" s="8" t="n">
        <v>5.9</v>
      </c>
      <c r="G1548" s="8" t="n">
        <v>4</v>
      </c>
      <c r="H1548" s="9" t="n">
        <v>367238</v>
      </c>
      <c r="I1548" s="7" t="s">
        <v>46</v>
      </c>
      <c r="J1548" s="7" t="s">
        <v>30</v>
      </c>
      <c r="K1548" s="7" t="s">
        <v>54</v>
      </c>
      <c r="L1548" s="10" t="s">
        <v>2295</v>
      </c>
      <c r="M1548" s="7" t="s">
        <v>6512</v>
      </c>
      <c r="N1548" s="8" t="n">
        <v>0</v>
      </c>
      <c r="O1548" s="8" t="n">
        <v>0</v>
      </c>
      <c r="P1548" s="8" t="n">
        <v>0</v>
      </c>
      <c r="Q1548" s="8" t="n">
        <v>0</v>
      </c>
      <c r="R1548" s="13" t="n">
        <v>0</v>
      </c>
      <c r="S1548" s="13" t="n">
        <v>0</v>
      </c>
      <c r="T1548" s="13"/>
      <c r="U1548" s="11" t="n">
        <f aca="false">O1548*4 + P1548*2 + MAX(0,N1548-O1548-P1548)*1 + Q1548*0.2 + R1548*2 + S1548*1 + IF(T1548="",0,IF(T1548&lt;=10,8,IF(T1548&lt;=50,6,IF(T1548&lt;=100,4,2))))</f>
        <v>0</v>
      </c>
      <c r="V1548" s="7"/>
      <c r="W1548" s="7"/>
      <c r="X1548" s="13"/>
      <c r="Y1548" s="13" t="s">
        <v>6513</v>
      </c>
    </row>
    <row r="1549" customFormat="false" ht="15.75" hidden="false" customHeight="true" outlineLevel="0" collapsed="false">
      <c r="A1549" s="7" t="s">
        <v>6514</v>
      </c>
      <c r="B1549" s="8" t="n">
        <v>1985</v>
      </c>
      <c r="C1549" s="8" t="s">
        <v>109</v>
      </c>
      <c r="D1549" s="8" t="n">
        <v>131</v>
      </c>
      <c r="E1549" s="7" t="s">
        <v>6515</v>
      </c>
      <c r="F1549" s="8" t="n">
        <v>6.3</v>
      </c>
      <c r="G1549" s="8" t="n">
        <v>3</v>
      </c>
      <c r="H1549" s="9" t="n">
        <v>113683</v>
      </c>
      <c r="I1549" s="7" t="s">
        <v>6516</v>
      </c>
      <c r="J1549" s="7" t="s">
        <v>131</v>
      </c>
      <c r="K1549" s="7" t="s">
        <v>112</v>
      </c>
      <c r="L1549" s="10"/>
      <c r="M1549" s="10" t="s">
        <v>6517</v>
      </c>
      <c r="N1549" s="8" t="n">
        <v>0</v>
      </c>
      <c r="O1549" s="8" t="n">
        <v>0</v>
      </c>
      <c r="P1549" s="8" t="n">
        <v>0</v>
      </c>
      <c r="Q1549" s="8" t="n">
        <v>0</v>
      </c>
      <c r="R1549" s="13" t="n">
        <v>0</v>
      </c>
      <c r="S1549" s="13" t="n">
        <v>0</v>
      </c>
      <c r="T1549" s="13"/>
      <c r="U1549" s="11" t="n">
        <f aca="false">O1549*4 + P1549*2 + MAX(0,N1549-O1549-P1549)*1 + Q1549*0.2 + R1549*2 + S1549*1 + IF(T1549="",0,IF(T1549&lt;=10,8,IF(T1549&lt;=50,6,IF(T1549&lt;=100,4,2))))</f>
        <v>0</v>
      </c>
      <c r="V1549" s="7"/>
      <c r="W1549" s="7"/>
      <c r="X1549" s="13"/>
      <c r="Y1549" s="13" t="s">
        <v>6518</v>
      </c>
    </row>
    <row r="1550" customFormat="false" ht="15.75" hidden="false" customHeight="true" outlineLevel="0" collapsed="false">
      <c r="A1550" s="7" t="s">
        <v>6519</v>
      </c>
      <c r="B1550" s="8" t="n">
        <v>2012</v>
      </c>
      <c r="C1550" s="8" t="s">
        <v>176</v>
      </c>
      <c r="D1550" s="8" t="n">
        <v>89</v>
      </c>
      <c r="E1550" s="7" t="s">
        <v>6520</v>
      </c>
      <c r="F1550" s="8" t="n">
        <v>5.3</v>
      </c>
      <c r="G1550" s="8" t="n">
        <v>3</v>
      </c>
      <c r="H1550" s="9" t="n">
        <v>13022</v>
      </c>
      <c r="I1550" s="7" t="s">
        <v>46</v>
      </c>
      <c r="J1550" s="7" t="s">
        <v>47</v>
      </c>
      <c r="K1550" s="7" t="s">
        <v>54</v>
      </c>
      <c r="L1550" s="10"/>
      <c r="M1550" s="10" t="s">
        <v>6521</v>
      </c>
      <c r="N1550" s="8" t="n">
        <v>0</v>
      </c>
      <c r="O1550" s="8" t="n">
        <v>0</v>
      </c>
      <c r="P1550" s="8" t="n">
        <v>0</v>
      </c>
      <c r="Q1550" s="8" t="n">
        <v>0</v>
      </c>
      <c r="R1550" s="13" t="n">
        <v>0</v>
      </c>
      <c r="S1550" s="13" t="n">
        <v>0</v>
      </c>
      <c r="T1550" s="13"/>
      <c r="U1550" s="11" t="n">
        <f aca="false">O1550*4 + P1550*2 + MAX(0,N1550-O1550-P1550)*1 + Q1550*0.2 + R1550*2 + S1550*1 + IF(T1550="",0,IF(T1550&lt;=10,8,IF(T1550&lt;=50,6,IF(T1550&lt;=100,4,2))))</f>
        <v>0</v>
      </c>
      <c r="V1550" s="7"/>
      <c r="W1550" s="7"/>
      <c r="X1550" s="13"/>
      <c r="Y1550" s="13" t="s">
        <v>6522</v>
      </c>
    </row>
    <row r="1551" customFormat="false" ht="15.75" hidden="false" customHeight="true" outlineLevel="0" collapsed="false">
      <c r="A1551" s="7" t="s">
        <v>6523</v>
      </c>
      <c r="B1551" s="8" t="n">
        <v>2010</v>
      </c>
      <c r="C1551" s="8" t="s">
        <v>176</v>
      </c>
      <c r="D1551" s="8" t="n">
        <v>95</v>
      </c>
      <c r="E1551" s="7" t="s">
        <v>6524</v>
      </c>
      <c r="F1551" s="8" t="n">
        <v>7.6</v>
      </c>
      <c r="G1551" s="8" t="n">
        <v>7</v>
      </c>
      <c r="H1551" s="9" t="n">
        <v>638981</v>
      </c>
      <c r="I1551" s="7" t="s">
        <v>46</v>
      </c>
      <c r="J1551" s="7" t="s">
        <v>579</v>
      </c>
      <c r="K1551" s="7" t="s">
        <v>39</v>
      </c>
      <c r="L1551" s="10" t="s">
        <v>210</v>
      </c>
      <c r="M1551" s="7" t="s">
        <v>6525</v>
      </c>
      <c r="N1551" s="8" t="n">
        <v>0</v>
      </c>
      <c r="O1551" s="8" t="n">
        <v>0</v>
      </c>
      <c r="P1551" s="8" t="n">
        <v>0</v>
      </c>
      <c r="Q1551" s="8" t="n">
        <v>0</v>
      </c>
      <c r="R1551" s="13" t="n">
        <v>0</v>
      </c>
      <c r="S1551" s="13" t="n">
        <v>0</v>
      </c>
      <c r="T1551" s="13"/>
      <c r="U1551" s="11" t="n">
        <f aca="false">O1551*4 + P1551*2 + MAX(0,N1551-O1551-P1551)*1 + Q1551*0.2 + R1551*2 + S1551*1 + IF(T1551="",0,IF(T1551&lt;=10,8,IF(T1551&lt;=50,6,IF(T1551&lt;=100,4,2))))</f>
        <v>0</v>
      </c>
      <c r="V1551" s="7"/>
      <c r="W1551" s="7"/>
      <c r="X1551" s="13"/>
      <c r="Y1551" s="13" t="s">
        <v>6526</v>
      </c>
    </row>
    <row r="1552" customFormat="false" ht="15.75" hidden="false" customHeight="true" outlineLevel="0" collapsed="false">
      <c r="A1552" s="7" t="s">
        <v>6527</v>
      </c>
      <c r="B1552" s="8" t="n">
        <v>2004</v>
      </c>
      <c r="C1552" s="8" t="s">
        <v>35</v>
      </c>
      <c r="D1552" s="8" t="n">
        <v>115</v>
      </c>
      <c r="E1552" s="7" t="s">
        <v>1530</v>
      </c>
      <c r="F1552" s="8" t="n">
        <v>6.4</v>
      </c>
      <c r="G1552" s="8" t="n">
        <v>6</v>
      </c>
      <c r="H1552" s="9" t="n">
        <v>303058</v>
      </c>
      <c r="I1552" s="7" t="s">
        <v>46</v>
      </c>
      <c r="J1552" s="7" t="s">
        <v>29</v>
      </c>
      <c r="K1552" s="7" t="s">
        <v>30</v>
      </c>
      <c r="L1552" s="10"/>
      <c r="M1552" s="7" t="s">
        <v>6528</v>
      </c>
      <c r="N1552" s="8" t="n">
        <v>0</v>
      </c>
      <c r="O1552" s="8" t="n">
        <v>0</v>
      </c>
      <c r="P1552" s="8" t="n">
        <v>0</v>
      </c>
      <c r="Q1552" s="8" t="n">
        <v>0</v>
      </c>
      <c r="R1552" s="13" t="n">
        <v>0</v>
      </c>
      <c r="S1552" s="13" t="n">
        <v>0</v>
      </c>
      <c r="T1552" s="13"/>
      <c r="U1552" s="11" t="n">
        <f aca="false">O1552*4 + P1552*2 + MAX(0,N1552-O1552-P1552)*1 + Q1552*0.2 + R1552*2 + S1552*1 + IF(T1552="",0,IF(T1552&lt;=10,8,IF(T1552&lt;=50,6,IF(T1552&lt;=100,4,2))))</f>
        <v>0</v>
      </c>
      <c r="V1552" s="7"/>
      <c r="W1552" s="7"/>
      <c r="X1552" s="13"/>
      <c r="Y1552" s="13" t="s">
        <v>6529</v>
      </c>
    </row>
    <row r="1553" customFormat="false" ht="15.75" hidden="false" customHeight="true" outlineLevel="0" collapsed="false">
      <c r="A1553" s="7" t="s">
        <v>6530</v>
      </c>
      <c r="B1553" s="8" t="n">
        <v>2012</v>
      </c>
      <c r="C1553" s="8" t="s">
        <v>176</v>
      </c>
      <c r="D1553" s="8" t="n">
        <v>86</v>
      </c>
      <c r="E1553" s="7" t="s">
        <v>6531</v>
      </c>
      <c r="F1553" s="8" t="n">
        <v>5.1</v>
      </c>
      <c r="G1553" s="8" t="n">
        <v>4</v>
      </c>
      <c r="H1553" s="9" t="n">
        <v>70956</v>
      </c>
      <c r="I1553" s="7" t="s">
        <v>46</v>
      </c>
      <c r="J1553" s="7" t="s">
        <v>147</v>
      </c>
      <c r="K1553" s="7" t="s">
        <v>125</v>
      </c>
      <c r="L1553" s="10"/>
      <c r="M1553" s="10" t="s">
        <v>6532</v>
      </c>
      <c r="N1553" s="8" t="n">
        <v>0</v>
      </c>
      <c r="O1553" s="8" t="n">
        <v>0</v>
      </c>
      <c r="P1553" s="8" t="n">
        <v>0</v>
      </c>
      <c r="Q1553" s="8" t="n">
        <v>0</v>
      </c>
      <c r="R1553" s="13" t="n">
        <v>0</v>
      </c>
      <c r="S1553" s="13" t="n">
        <v>0</v>
      </c>
      <c r="T1553" s="13"/>
      <c r="U1553" s="11" t="n">
        <f aca="false">O1553*4 + P1553*2 + MAX(0,N1553-O1553-P1553)*1 + Q1553*0.2 + R1553*2 + S1553*1 + IF(T1553="",0,IF(T1553&lt;=10,8,IF(T1553&lt;=50,6,IF(T1553&lt;=100,4,2))))</f>
        <v>0</v>
      </c>
      <c r="V1553" s="7"/>
      <c r="W1553" s="7"/>
      <c r="X1553" s="13"/>
      <c r="Y1553" s="13" t="s">
        <v>6533</v>
      </c>
    </row>
    <row r="1554" customFormat="false" ht="15.75" hidden="false" customHeight="true" outlineLevel="0" collapsed="false">
      <c r="A1554" s="7" t="s">
        <v>6534</v>
      </c>
      <c r="B1554" s="8" t="n">
        <v>2010</v>
      </c>
      <c r="C1554" s="8" t="s">
        <v>176</v>
      </c>
      <c r="D1554" s="8" t="n">
        <v>107</v>
      </c>
      <c r="E1554" s="7" t="s">
        <v>569</v>
      </c>
      <c r="F1554" s="8" t="n">
        <v>5.5</v>
      </c>
      <c r="G1554" s="8" t="n">
        <v>5</v>
      </c>
      <c r="H1554" s="9" t="n">
        <v>92786</v>
      </c>
      <c r="I1554" s="7" t="s">
        <v>46</v>
      </c>
      <c r="J1554" s="7" t="s">
        <v>112</v>
      </c>
      <c r="K1554" s="7" t="s">
        <v>54</v>
      </c>
      <c r="L1554" s="10" t="s">
        <v>6276</v>
      </c>
      <c r="M1554" s="10" t="s">
        <v>6535</v>
      </c>
      <c r="N1554" s="8" t="n">
        <v>0</v>
      </c>
      <c r="O1554" s="8" t="n">
        <v>0</v>
      </c>
      <c r="P1554" s="8" t="n">
        <v>0</v>
      </c>
      <c r="Q1554" s="8" t="n">
        <v>0</v>
      </c>
      <c r="R1554" s="13" t="n">
        <v>0</v>
      </c>
      <c r="S1554" s="13" t="n">
        <v>0</v>
      </c>
      <c r="T1554" s="13"/>
      <c r="U1554" s="11" t="n">
        <f aca="false">O1554*4 + P1554*2 + MAX(0,N1554-O1554-P1554)*1 + Q1554*0.2 + R1554*2 + S1554*1 + IF(T1554="",0,IF(T1554&lt;=10,8,IF(T1554&lt;=50,6,IF(T1554&lt;=100,4,2))))</f>
        <v>0</v>
      </c>
      <c r="V1554" s="7"/>
      <c r="W1554" s="7"/>
      <c r="X1554" s="13"/>
      <c r="Y1554" s="13" t="s">
        <v>6536</v>
      </c>
    </row>
    <row r="1555" customFormat="false" ht="15.75" hidden="false" customHeight="true" outlineLevel="0" collapsed="false">
      <c r="A1555" s="7" t="s">
        <v>6537</v>
      </c>
      <c r="B1555" s="8" t="n">
        <v>2001</v>
      </c>
      <c r="C1555" s="8" t="s">
        <v>35</v>
      </c>
      <c r="D1555" s="8" t="n">
        <v>100</v>
      </c>
      <c r="E1555" s="7" t="s">
        <v>6538</v>
      </c>
      <c r="F1555" s="8" t="n">
        <v>7.2</v>
      </c>
      <c r="G1555" s="8" t="n">
        <v>6</v>
      </c>
      <c r="H1555" s="9" t="n">
        <v>101384</v>
      </c>
      <c r="I1555" s="7" t="s">
        <v>46</v>
      </c>
      <c r="J1555" s="7" t="s">
        <v>131</v>
      </c>
      <c r="K1555" s="7" t="s">
        <v>54</v>
      </c>
      <c r="L1555" s="10"/>
      <c r="M1555" s="10" t="s">
        <v>6539</v>
      </c>
      <c r="N1555" s="8" t="n">
        <v>0</v>
      </c>
      <c r="O1555" s="8" t="n">
        <v>0</v>
      </c>
      <c r="P1555" s="8" t="n">
        <v>0</v>
      </c>
      <c r="Q1555" s="8" t="n">
        <v>0</v>
      </c>
      <c r="R1555" s="13" t="n">
        <v>0</v>
      </c>
      <c r="S1555" s="13" t="n">
        <v>0</v>
      </c>
      <c r="T1555" s="13"/>
      <c r="U1555" s="11" t="n">
        <f aca="false">O1555*4 + P1555*2 + MAX(0,N1555-O1555-P1555)*1 + Q1555*0.2 + R1555*2 + S1555*1 + IF(T1555="",0,IF(T1555&lt;=10,8,IF(T1555&lt;=50,6,IF(T1555&lt;=100,4,2))))</f>
        <v>0</v>
      </c>
      <c r="V1555" s="7"/>
      <c r="W1555" s="7"/>
      <c r="X1555" s="13"/>
      <c r="Y1555" s="13" t="s">
        <v>6540</v>
      </c>
    </row>
    <row r="1556" customFormat="false" ht="15.75" hidden="false" customHeight="true" outlineLevel="0" collapsed="false">
      <c r="A1556" s="7" t="s">
        <v>6541</v>
      </c>
      <c r="B1556" s="8" t="n">
        <v>2012</v>
      </c>
      <c r="C1556" s="8" t="s">
        <v>176</v>
      </c>
      <c r="D1556" s="8" t="n">
        <v>85</v>
      </c>
      <c r="E1556" s="7" t="s">
        <v>1530</v>
      </c>
      <c r="F1556" s="8" t="n">
        <v>6.1</v>
      </c>
      <c r="G1556" s="8" t="n">
        <v>5</v>
      </c>
      <c r="H1556" s="9" t="n">
        <v>143099</v>
      </c>
      <c r="I1556" s="7" t="s">
        <v>46</v>
      </c>
      <c r="J1556" s="7" t="s">
        <v>30</v>
      </c>
      <c r="K1556" s="7"/>
      <c r="L1556" s="10" t="s">
        <v>238</v>
      </c>
      <c r="M1556" s="10" t="s">
        <v>6542</v>
      </c>
      <c r="N1556" s="8" t="n">
        <v>0</v>
      </c>
      <c r="O1556" s="8" t="n">
        <v>0</v>
      </c>
      <c r="P1556" s="8" t="n">
        <v>0</v>
      </c>
      <c r="Q1556" s="8" t="n">
        <v>0</v>
      </c>
      <c r="R1556" s="13" t="n">
        <v>0</v>
      </c>
      <c r="S1556" s="13" t="n">
        <v>0</v>
      </c>
      <c r="T1556" s="13"/>
      <c r="U1556" s="11" t="n">
        <f aca="false">O1556*4 + P1556*2 + MAX(0,N1556-O1556-P1556)*1 + Q1556*0.2 + R1556*2 + S1556*1 + IF(T1556="",0,IF(T1556&lt;=10,8,IF(T1556&lt;=50,6,IF(T1556&lt;=100,4,2))))</f>
        <v>0</v>
      </c>
      <c r="V1556" s="7"/>
      <c r="W1556" s="7"/>
      <c r="X1556" s="13"/>
      <c r="Y1556" s="13" t="s">
        <v>6543</v>
      </c>
    </row>
    <row r="1557" customFormat="false" ht="15.75" hidden="false" customHeight="true" outlineLevel="0" collapsed="false">
      <c r="A1557" s="7" t="s">
        <v>6544</v>
      </c>
      <c r="B1557" s="8" t="n">
        <v>2012</v>
      </c>
      <c r="C1557" s="8" t="s">
        <v>176</v>
      </c>
      <c r="D1557" s="8" t="n">
        <v>91</v>
      </c>
      <c r="E1557" s="7" t="s">
        <v>5280</v>
      </c>
      <c r="F1557" s="8" t="n">
        <v>6.5</v>
      </c>
      <c r="G1557" s="8" t="n">
        <v>5</v>
      </c>
      <c r="H1557" s="9" t="n">
        <v>122894</v>
      </c>
      <c r="I1557" s="7" t="s">
        <v>46</v>
      </c>
      <c r="J1557" s="7" t="s">
        <v>131</v>
      </c>
      <c r="K1557" s="7" t="s">
        <v>112</v>
      </c>
      <c r="L1557" s="10"/>
      <c r="M1557" s="10" t="s">
        <v>6545</v>
      </c>
      <c r="N1557" s="8" t="n">
        <v>0</v>
      </c>
      <c r="O1557" s="8" t="n">
        <v>0</v>
      </c>
      <c r="P1557" s="8" t="n">
        <v>0</v>
      </c>
      <c r="Q1557" s="8" t="n">
        <v>0</v>
      </c>
      <c r="R1557" s="13" t="n">
        <v>0</v>
      </c>
      <c r="S1557" s="13" t="n">
        <v>0</v>
      </c>
      <c r="T1557" s="13"/>
      <c r="U1557" s="11" t="n">
        <f aca="false">O1557*4 + P1557*2 + MAX(0,N1557-O1557-P1557)*1 + Q1557*0.2 + R1557*2 + S1557*1 + IF(T1557="",0,IF(T1557&lt;=10,8,IF(T1557&lt;=50,6,IF(T1557&lt;=100,4,2))))</f>
        <v>0</v>
      </c>
      <c r="V1557" s="7"/>
      <c r="W1557" s="7"/>
      <c r="X1557" s="13"/>
      <c r="Y1557" s="13" t="s">
        <v>6546</v>
      </c>
    </row>
    <row r="1558" customFormat="false" ht="15.75" hidden="false" customHeight="true" outlineLevel="0" collapsed="false">
      <c r="A1558" s="7" t="s">
        <v>6547</v>
      </c>
      <c r="B1558" s="8" t="n">
        <v>2004</v>
      </c>
      <c r="C1558" s="8" t="s">
        <v>35</v>
      </c>
      <c r="D1558" s="8" t="n">
        <v>125</v>
      </c>
      <c r="E1558" s="7" t="s">
        <v>489</v>
      </c>
      <c r="F1558" s="8" t="n">
        <v>6.5</v>
      </c>
      <c r="G1558" s="8" t="n">
        <v>4</v>
      </c>
      <c r="H1558" s="9" t="n">
        <v>440277</v>
      </c>
      <c r="I1558" s="7" t="s">
        <v>46</v>
      </c>
      <c r="J1558" s="7" t="s">
        <v>131</v>
      </c>
      <c r="K1558" s="7" t="s">
        <v>54</v>
      </c>
      <c r="L1558" s="10" t="s">
        <v>69</v>
      </c>
      <c r="M1558" s="7" t="s">
        <v>6548</v>
      </c>
      <c r="N1558" s="8" t="n">
        <v>0</v>
      </c>
      <c r="O1558" s="8" t="n">
        <v>0</v>
      </c>
      <c r="P1558" s="8" t="n">
        <v>0</v>
      </c>
      <c r="Q1558" s="8" t="n">
        <v>0</v>
      </c>
      <c r="R1558" s="13" t="n">
        <v>0</v>
      </c>
      <c r="S1558" s="13" t="n">
        <v>0</v>
      </c>
      <c r="T1558" s="13"/>
      <c r="U1558" s="11" t="n">
        <f aca="false">O1558*4 + P1558*2 + MAX(0,N1558-O1558-P1558)*1 + Q1558*0.2 + R1558*2 + S1558*1 + IF(T1558="",0,IF(T1558&lt;=10,8,IF(T1558&lt;=50,6,IF(T1558&lt;=100,4,2))))</f>
        <v>0</v>
      </c>
      <c r="V1558" s="7"/>
      <c r="W1558" s="7"/>
      <c r="X1558" s="13"/>
      <c r="Y1558" s="13" t="s">
        <v>6549</v>
      </c>
    </row>
    <row r="1559" customFormat="false" ht="15.75" hidden="false" customHeight="true" outlineLevel="0" collapsed="false">
      <c r="A1559" s="7" t="s">
        <v>6550</v>
      </c>
      <c r="B1559" s="8" t="n">
        <v>2003</v>
      </c>
      <c r="C1559" s="8" t="s">
        <v>35</v>
      </c>
      <c r="D1559" s="8" t="n">
        <v>154</v>
      </c>
      <c r="E1559" s="7" t="s">
        <v>1653</v>
      </c>
      <c r="F1559" s="8" t="n">
        <v>7.8</v>
      </c>
      <c r="G1559" s="8" t="n">
        <v>8</v>
      </c>
      <c r="H1559" s="9" t="n">
        <v>508021</v>
      </c>
      <c r="I1559" s="7" t="s">
        <v>6551</v>
      </c>
      <c r="J1559" s="7" t="s">
        <v>112</v>
      </c>
      <c r="K1559" s="7" t="s">
        <v>47</v>
      </c>
      <c r="L1559" s="10" t="s">
        <v>2195</v>
      </c>
      <c r="M1559" s="7" t="s">
        <v>6552</v>
      </c>
      <c r="N1559" s="8" t="n">
        <v>0</v>
      </c>
      <c r="O1559" s="8" t="n">
        <v>0</v>
      </c>
      <c r="P1559" s="8" t="n">
        <v>0</v>
      </c>
      <c r="Q1559" s="8" t="n">
        <v>4</v>
      </c>
      <c r="R1559" s="8" t="n">
        <v>0</v>
      </c>
      <c r="S1559" s="8" t="n">
        <v>0</v>
      </c>
      <c r="T1559" s="13"/>
      <c r="U1559" s="11" t="n">
        <f aca="false">O1559*4 + P1559*2 + MAX(0,N1559-O1559-P1559)*1 + Q1559*0.2 + R1559*2 + S1559*1 + IF(T1559="",0,IF(T1559&lt;=10,8,IF(T1559&lt;=50,6,IF(T1559&lt;=100,4,2))))</f>
        <v>0.8</v>
      </c>
      <c r="V1559" s="7"/>
      <c r="W1559" s="7"/>
      <c r="X1559" s="13"/>
      <c r="Y1559" s="13" t="s">
        <v>6553</v>
      </c>
    </row>
    <row r="1560" customFormat="false" ht="15.75" hidden="false" customHeight="true" outlineLevel="0" collapsed="false">
      <c r="A1560" s="7" t="s">
        <v>6554</v>
      </c>
      <c r="B1560" s="8" t="n">
        <v>2010</v>
      </c>
      <c r="C1560" s="8" t="s">
        <v>176</v>
      </c>
      <c r="D1560" s="8" t="n">
        <v>124</v>
      </c>
      <c r="E1560" s="7" t="s">
        <v>5676</v>
      </c>
      <c r="F1560" s="8" t="n">
        <v>6.9</v>
      </c>
      <c r="G1560" s="8" t="n">
        <v>6</v>
      </c>
      <c r="H1560" s="9" t="n">
        <v>951238</v>
      </c>
      <c r="I1560" s="7" t="s">
        <v>46</v>
      </c>
      <c r="J1560" s="7" t="s">
        <v>111</v>
      </c>
      <c r="K1560" s="7" t="s">
        <v>5160</v>
      </c>
      <c r="L1560" s="10" t="s">
        <v>177</v>
      </c>
      <c r="M1560" s="7" t="s">
        <v>6555</v>
      </c>
      <c r="N1560" s="8" t="n">
        <v>0</v>
      </c>
      <c r="O1560" s="8" t="n">
        <v>0</v>
      </c>
      <c r="P1560" s="8" t="n">
        <v>0</v>
      </c>
      <c r="Q1560" s="8" t="n">
        <v>1</v>
      </c>
      <c r="R1560" s="8" t="n">
        <v>0</v>
      </c>
      <c r="S1560" s="8" t="n">
        <v>0</v>
      </c>
      <c r="T1560" s="8"/>
      <c r="U1560" s="11" t="n">
        <f aca="false">O1560*4 + P1560*2 + MAX(0,N1560-O1560-P1560)*1 + Q1560*0.2 + R1560*2 + S1560*1 + IF(T1560="",0,IF(T1560&lt;=10,8,IF(T1560&lt;=50,6,IF(T1560&lt;=100,4,2))))</f>
        <v>0.2</v>
      </c>
      <c r="V1560" s="7"/>
      <c r="W1560" s="7"/>
      <c r="X1560" s="13"/>
      <c r="Y1560" s="13" t="s">
        <v>6556</v>
      </c>
    </row>
    <row r="1561" customFormat="false" ht="15.75" hidden="false" customHeight="true" outlineLevel="0" collapsed="false">
      <c r="A1561" s="7" t="s">
        <v>6557</v>
      </c>
      <c r="B1561" s="8" t="n">
        <v>2012</v>
      </c>
      <c r="C1561" s="8" t="s">
        <v>176</v>
      </c>
      <c r="D1561" s="8" t="n">
        <v>95</v>
      </c>
      <c r="E1561" s="7" t="s">
        <v>6266</v>
      </c>
      <c r="F1561" s="8" t="n">
        <v>5.8</v>
      </c>
      <c r="G1561" s="8" t="n">
        <v>3</v>
      </c>
      <c r="H1561" s="9" t="n">
        <v>41786</v>
      </c>
      <c r="I1561" s="7" t="s">
        <v>46</v>
      </c>
      <c r="J1561" s="7" t="s">
        <v>30</v>
      </c>
      <c r="K1561" s="7" t="s">
        <v>47</v>
      </c>
      <c r="L1561" s="10" t="s">
        <v>238</v>
      </c>
      <c r="M1561" s="10" t="s">
        <v>6558</v>
      </c>
      <c r="N1561" s="8" t="n">
        <v>0</v>
      </c>
      <c r="O1561" s="8" t="n">
        <v>0</v>
      </c>
      <c r="P1561" s="8" t="n">
        <v>0</v>
      </c>
      <c r="Q1561" s="8" t="n">
        <v>0</v>
      </c>
      <c r="R1561" s="13" t="n">
        <v>0</v>
      </c>
      <c r="S1561" s="13" t="n">
        <v>0</v>
      </c>
      <c r="T1561" s="13"/>
      <c r="U1561" s="11" t="n">
        <f aca="false">O1561*4 + P1561*2 + MAX(0,N1561-O1561-P1561)*1 + Q1561*0.2 + R1561*2 + S1561*1 + IF(T1561="",0,IF(T1561&lt;=10,8,IF(T1561&lt;=50,6,IF(T1561&lt;=100,4,2))))</f>
        <v>0</v>
      </c>
      <c r="V1561" s="7"/>
      <c r="W1561" s="7"/>
      <c r="X1561" s="13"/>
      <c r="Y1561" s="13" t="s">
        <v>6559</v>
      </c>
    </row>
    <row r="1562" customFormat="false" ht="15.75" hidden="false" customHeight="true" outlineLevel="0" collapsed="false">
      <c r="A1562" s="7" t="s">
        <v>6560</v>
      </c>
      <c r="B1562" s="8" t="n">
        <v>2009</v>
      </c>
      <c r="C1562" s="8" t="s">
        <v>35</v>
      </c>
      <c r="D1562" s="8" t="n">
        <v>97</v>
      </c>
      <c r="E1562" s="7" t="s">
        <v>2621</v>
      </c>
      <c r="F1562" s="8" t="n">
        <v>5.8</v>
      </c>
      <c r="G1562" s="8" t="n">
        <v>5</v>
      </c>
      <c r="H1562" s="9" t="n">
        <v>43511</v>
      </c>
      <c r="I1562" s="7" t="s">
        <v>46</v>
      </c>
      <c r="J1562" s="7" t="s">
        <v>29</v>
      </c>
      <c r="K1562" s="7" t="s">
        <v>30</v>
      </c>
      <c r="L1562" s="10"/>
      <c r="M1562" s="10" t="s">
        <v>6561</v>
      </c>
      <c r="N1562" s="8" t="n">
        <v>0</v>
      </c>
      <c r="O1562" s="8" t="n">
        <v>0</v>
      </c>
      <c r="P1562" s="8" t="n">
        <v>0</v>
      </c>
      <c r="Q1562" s="8" t="n">
        <v>0</v>
      </c>
      <c r="R1562" s="13" t="n">
        <v>0</v>
      </c>
      <c r="S1562" s="13" t="n">
        <v>0</v>
      </c>
      <c r="T1562" s="13"/>
      <c r="U1562" s="11" t="n">
        <f aca="false">O1562*4 + P1562*2 + MAX(0,N1562-O1562-P1562)*1 + Q1562*0.2 + R1562*2 + S1562*1 + IF(T1562="",0,IF(T1562&lt;=10,8,IF(T1562&lt;=50,6,IF(T1562&lt;=100,4,2))))</f>
        <v>0</v>
      </c>
      <c r="V1562" s="7"/>
      <c r="W1562" s="7"/>
      <c r="X1562" s="13"/>
      <c r="Y1562" s="13" t="s">
        <v>6562</v>
      </c>
    </row>
    <row r="1563" customFormat="false" ht="15.75" hidden="false" customHeight="true" outlineLevel="0" collapsed="false">
      <c r="A1563" s="7" t="s">
        <v>6563</v>
      </c>
      <c r="B1563" s="8" t="n">
        <v>2012</v>
      </c>
      <c r="C1563" s="8" t="s">
        <v>176</v>
      </c>
      <c r="D1563" s="8" t="n">
        <v>105</v>
      </c>
      <c r="E1563" s="7" t="s">
        <v>5272</v>
      </c>
      <c r="F1563" s="8" t="n">
        <v>5.9</v>
      </c>
      <c r="G1563" s="8" t="n">
        <v>3</v>
      </c>
      <c r="H1563" s="9" t="n">
        <v>169060</v>
      </c>
      <c r="I1563" s="7" t="s">
        <v>46</v>
      </c>
      <c r="J1563" s="7" t="s">
        <v>147</v>
      </c>
      <c r="K1563" s="7" t="s">
        <v>38</v>
      </c>
      <c r="L1563" s="10" t="s">
        <v>177</v>
      </c>
      <c r="M1563" s="10" t="s">
        <v>6564</v>
      </c>
      <c r="N1563" s="8" t="n">
        <v>0</v>
      </c>
      <c r="O1563" s="8" t="n">
        <v>0</v>
      </c>
      <c r="P1563" s="8" t="n">
        <v>0</v>
      </c>
      <c r="Q1563" s="8" t="n">
        <v>0</v>
      </c>
      <c r="R1563" s="13" t="n">
        <v>0</v>
      </c>
      <c r="S1563" s="13" t="n">
        <v>0</v>
      </c>
      <c r="T1563" s="13"/>
      <c r="U1563" s="11" t="n">
        <f aca="false">O1563*4 + P1563*2 + MAX(0,N1563-O1563-P1563)*1 + Q1563*0.2 + R1563*2 + S1563*1 + IF(T1563="",0,IF(T1563&lt;=10,8,IF(T1563&lt;=50,6,IF(T1563&lt;=100,4,2))))</f>
        <v>0</v>
      </c>
      <c r="V1563" s="7"/>
      <c r="W1563" s="7"/>
      <c r="X1563" s="13"/>
      <c r="Y1563" s="13" t="s">
        <v>6565</v>
      </c>
    </row>
    <row r="1564" customFormat="false" ht="15.75" hidden="false" customHeight="true" outlineLevel="0" collapsed="false">
      <c r="A1564" s="7" t="s">
        <v>6566</v>
      </c>
      <c r="B1564" s="8" t="n">
        <v>2013</v>
      </c>
      <c r="C1564" s="8" t="s">
        <v>176</v>
      </c>
      <c r="D1564" s="8" t="n">
        <v>130</v>
      </c>
      <c r="E1564" s="7" t="s">
        <v>5534</v>
      </c>
      <c r="F1564" s="8" t="n">
        <v>7.1</v>
      </c>
      <c r="G1564" s="8" t="n">
        <v>6</v>
      </c>
      <c r="H1564" s="9" t="n">
        <v>978081</v>
      </c>
      <c r="I1564" s="7" t="s">
        <v>2276</v>
      </c>
      <c r="J1564" s="7" t="s">
        <v>111</v>
      </c>
      <c r="K1564" s="7" t="s">
        <v>5160</v>
      </c>
      <c r="L1564" s="10" t="s">
        <v>177</v>
      </c>
      <c r="M1564" s="7" t="s">
        <v>6567</v>
      </c>
      <c r="N1564" s="8" t="n">
        <v>0</v>
      </c>
      <c r="O1564" s="8" t="n">
        <v>0</v>
      </c>
      <c r="P1564" s="8" t="n">
        <v>0</v>
      </c>
      <c r="Q1564" s="8" t="n">
        <v>1</v>
      </c>
      <c r="R1564" s="8" t="n">
        <v>0</v>
      </c>
      <c r="S1564" s="8" t="n">
        <v>0</v>
      </c>
      <c r="T1564" s="8"/>
      <c r="U1564" s="11" t="n">
        <f aca="false">O1564*4 + P1564*2 + MAX(0,N1564-O1564-P1564)*1 + Q1564*0.2 + R1564*2 + S1564*1 + IF(T1564="",0,IF(T1564&lt;=10,8,IF(T1564&lt;=50,6,IF(T1564&lt;=100,4,2))))</f>
        <v>0.2</v>
      </c>
      <c r="V1564" s="7"/>
      <c r="W1564" s="7"/>
      <c r="X1564" s="13"/>
      <c r="Y1564" s="13" t="s">
        <v>6568</v>
      </c>
    </row>
    <row r="1565" customFormat="false" ht="15.75" hidden="false" customHeight="true" outlineLevel="0" collapsed="false">
      <c r="A1565" s="7" t="s">
        <v>6569</v>
      </c>
      <c r="B1565" s="8" t="n">
        <v>1998</v>
      </c>
      <c r="C1565" s="8" t="s">
        <v>26</v>
      </c>
      <c r="D1565" s="8" t="n">
        <v>106</v>
      </c>
      <c r="E1565" s="7" t="s">
        <v>783</v>
      </c>
      <c r="F1565" s="8" t="n">
        <v>7.1</v>
      </c>
      <c r="G1565" s="8" t="n">
        <v>7</v>
      </c>
      <c r="H1565" s="9" t="n">
        <v>4591</v>
      </c>
      <c r="I1565" s="7" t="s">
        <v>232</v>
      </c>
      <c r="J1565" s="7" t="s">
        <v>111</v>
      </c>
      <c r="K1565" s="7" t="s">
        <v>38</v>
      </c>
      <c r="L1565" s="10" t="s">
        <v>447</v>
      </c>
      <c r="M1565" s="10" t="s">
        <v>6570</v>
      </c>
      <c r="N1565" s="8" t="n">
        <v>0</v>
      </c>
      <c r="O1565" s="8" t="n">
        <v>0</v>
      </c>
      <c r="P1565" s="8" t="n">
        <v>0</v>
      </c>
      <c r="Q1565" s="8" t="n">
        <v>0</v>
      </c>
      <c r="R1565" s="13" t="n">
        <v>0</v>
      </c>
      <c r="S1565" s="13" t="n">
        <v>0</v>
      </c>
      <c r="T1565" s="13"/>
      <c r="U1565" s="11" t="n">
        <f aca="false">O1565*4 + P1565*2 + MAX(0,N1565-O1565-P1565)*1 + Q1565*0.2 + R1565*2 + S1565*1 + IF(T1565="",0,IF(T1565&lt;=10,8,IF(T1565&lt;=50,6,IF(T1565&lt;=100,4,2))))</f>
        <v>0</v>
      </c>
      <c r="V1565" s="7"/>
      <c r="W1565" s="7"/>
      <c r="X1565" s="13"/>
      <c r="Y1565" s="13" t="s">
        <v>6571</v>
      </c>
    </row>
    <row r="1566" customFormat="false" ht="15.75" hidden="false" customHeight="true" outlineLevel="0" collapsed="false">
      <c r="A1566" s="7" t="s">
        <v>6572</v>
      </c>
      <c r="B1566" s="8" t="n">
        <v>2008</v>
      </c>
      <c r="C1566" s="8" t="s">
        <v>35</v>
      </c>
      <c r="D1566" s="8" t="n">
        <v>90</v>
      </c>
      <c r="E1566" s="7" t="s">
        <v>6573</v>
      </c>
      <c r="F1566" s="8" t="n">
        <v>5.9</v>
      </c>
      <c r="G1566" s="8" t="n">
        <v>4</v>
      </c>
      <c r="H1566" s="9" t="n">
        <v>91653</v>
      </c>
      <c r="I1566" s="7" t="s">
        <v>6574</v>
      </c>
      <c r="J1566" s="7" t="s">
        <v>147</v>
      </c>
      <c r="K1566" s="7" t="s">
        <v>131</v>
      </c>
      <c r="L1566" s="10"/>
      <c r="M1566" s="10" t="s">
        <v>6575</v>
      </c>
      <c r="N1566" s="8" t="n">
        <v>0</v>
      </c>
      <c r="O1566" s="8" t="n">
        <v>0</v>
      </c>
      <c r="P1566" s="8" t="n">
        <v>0</v>
      </c>
      <c r="Q1566" s="8" t="n">
        <v>0</v>
      </c>
      <c r="R1566" s="13" t="n">
        <v>0</v>
      </c>
      <c r="S1566" s="13" t="n">
        <v>0</v>
      </c>
      <c r="T1566" s="13"/>
      <c r="U1566" s="11" t="n">
        <f aca="false">O1566*4 + P1566*2 + MAX(0,N1566-O1566-P1566)*1 + Q1566*0.2 + R1566*2 + S1566*1 + IF(T1566="",0,IF(T1566&lt;=10,8,IF(T1566&lt;=50,6,IF(T1566&lt;=100,4,2))))</f>
        <v>0</v>
      </c>
      <c r="V1566" s="7"/>
      <c r="W1566" s="7"/>
      <c r="X1566" s="13"/>
      <c r="Y1566" s="13" t="s">
        <v>6576</v>
      </c>
    </row>
    <row r="1567" customFormat="false" ht="15.75" hidden="false" customHeight="true" outlineLevel="0" collapsed="false">
      <c r="A1567" s="7" t="s">
        <v>6577</v>
      </c>
      <c r="B1567" s="8" t="n">
        <v>2009</v>
      </c>
      <c r="C1567" s="8" t="s">
        <v>35</v>
      </c>
      <c r="D1567" s="8" t="n">
        <v>90</v>
      </c>
      <c r="E1567" s="7" t="s">
        <v>6578</v>
      </c>
      <c r="F1567" s="8" t="n">
        <v>4.6</v>
      </c>
      <c r="G1567" s="8" t="n">
        <v>2</v>
      </c>
      <c r="H1567" s="9" t="n">
        <v>20954</v>
      </c>
      <c r="I1567" s="7" t="s">
        <v>46</v>
      </c>
      <c r="J1567" s="7" t="s">
        <v>147</v>
      </c>
      <c r="K1567" s="7" t="s">
        <v>125</v>
      </c>
      <c r="L1567" s="10" t="s">
        <v>161</v>
      </c>
      <c r="M1567" s="10" t="s">
        <v>6579</v>
      </c>
      <c r="N1567" s="8" t="n">
        <v>0</v>
      </c>
      <c r="O1567" s="8" t="n">
        <v>0</v>
      </c>
      <c r="P1567" s="8" t="n">
        <v>0</v>
      </c>
      <c r="Q1567" s="8" t="n">
        <v>0</v>
      </c>
      <c r="R1567" s="13" t="n">
        <v>0</v>
      </c>
      <c r="S1567" s="13" t="n">
        <v>0</v>
      </c>
      <c r="T1567" s="13"/>
      <c r="U1567" s="11" t="n">
        <f aca="false">O1567*4 + P1567*2 + MAX(0,N1567-O1567-P1567)*1 + Q1567*0.2 + R1567*2 + S1567*1 + IF(T1567="",0,IF(T1567&lt;=10,8,IF(T1567&lt;=50,6,IF(T1567&lt;=100,4,2))))</f>
        <v>0</v>
      </c>
      <c r="V1567" s="7"/>
      <c r="W1567" s="7"/>
      <c r="X1567" s="13"/>
      <c r="Y1567" s="13" t="s">
        <v>6580</v>
      </c>
    </row>
    <row r="1568" customFormat="false" ht="15.75" hidden="false" customHeight="true" outlineLevel="0" collapsed="false">
      <c r="A1568" s="7" t="s">
        <v>6581</v>
      </c>
      <c r="B1568" s="8" t="n">
        <v>1995</v>
      </c>
      <c r="C1568" s="8" t="s">
        <v>26</v>
      </c>
      <c r="D1568" s="8" t="n">
        <v>81</v>
      </c>
      <c r="E1568" s="7" t="s">
        <v>6582</v>
      </c>
      <c r="F1568" s="8" t="n">
        <v>8.3</v>
      </c>
      <c r="G1568" s="8" t="n">
        <v>8</v>
      </c>
      <c r="H1568" s="9" t="n">
        <v>1193215</v>
      </c>
      <c r="I1568" s="7" t="s">
        <v>46</v>
      </c>
      <c r="J1568" s="7" t="s">
        <v>579</v>
      </c>
      <c r="K1568" s="7" t="s">
        <v>39</v>
      </c>
      <c r="L1568" s="10" t="s">
        <v>177</v>
      </c>
      <c r="M1568" s="7" t="s">
        <v>6583</v>
      </c>
      <c r="N1568" s="8" t="n">
        <v>1</v>
      </c>
      <c r="O1568" s="8" t="n">
        <v>0</v>
      </c>
      <c r="P1568" s="8" t="n">
        <v>0</v>
      </c>
      <c r="Q1568" s="8" t="n">
        <v>4</v>
      </c>
      <c r="R1568" s="8" t="n">
        <v>0</v>
      </c>
      <c r="S1568" s="8" t="n">
        <v>0</v>
      </c>
      <c r="T1568" s="8"/>
      <c r="U1568" s="11" t="n">
        <f aca="false">O1568*4 + P1568*2 + MAX(0,N1568-O1568-P1568)*1 + Q1568*0.2 + R1568*2 + S1568*1 + IF(T1568="",0,IF(T1568&lt;=10,8,IF(T1568&lt;=50,6,IF(T1568&lt;=100,4,2))))</f>
        <v>1.8</v>
      </c>
      <c r="V1568" s="7"/>
      <c r="W1568" s="7"/>
      <c r="X1568" s="13"/>
      <c r="Y1568" s="13" t="s">
        <v>6584</v>
      </c>
    </row>
    <row r="1569" customFormat="false" ht="15.75" hidden="false" customHeight="true" outlineLevel="0" collapsed="false">
      <c r="A1569" s="7" t="s">
        <v>6585</v>
      </c>
      <c r="B1569" s="8" t="n">
        <v>1999</v>
      </c>
      <c r="C1569" s="8" t="s">
        <v>26</v>
      </c>
      <c r="D1569" s="8" t="n">
        <v>92</v>
      </c>
      <c r="E1569" s="7" t="s">
        <v>6586</v>
      </c>
      <c r="F1569" s="8" t="n">
        <v>7.9</v>
      </c>
      <c r="G1569" s="8" t="n">
        <v>8</v>
      </c>
      <c r="H1569" s="9" t="n">
        <v>681118</v>
      </c>
      <c r="I1569" s="7" t="s">
        <v>46</v>
      </c>
      <c r="J1569" s="7" t="s">
        <v>579</v>
      </c>
      <c r="K1569" s="7" t="s">
        <v>39</v>
      </c>
      <c r="L1569" s="10" t="s">
        <v>177</v>
      </c>
      <c r="M1569" s="7" t="s">
        <v>6587</v>
      </c>
      <c r="N1569" s="8" t="n">
        <v>0</v>
      </c>
      <c r="O1569" s="8" t="n">
        <v>0</v>
      </c>
      <c r="P1569" s="8" t="n">
        <v>0</v>
      </c>
      <c r="Q1569" s="8" t="n">
        <v>1</v>
      </c>
      <c r="R1569" s="8" t="n">
        <v>0</v>
      </c>
      <c r="S1569" s="8" t="n">
        <v>1</v>
      </c>
      <c r="T1569" s="13"/>
      <c r="U1569" s="11" t="n">
        <f aca="false">O1569*4 + P1569*2 + MAX(0,N1569-O1569-P1569)*1 + Q1569*0.2 + R1569*2 + S1569*1 + IF(T1569="",0,IF(T1569&lt;=10,8,IF(T1569&lt;=50,6,IF(T1569&lt;=100,4,2))))</f>
        <v>1.2</v>
      </c>
      <c r="V1569" s="7"/>
      <c r="W1569" s="7"/>
      <c r="X1569" s="13"/>
      <c r="Y1569" s="13" t="s">
        <v>6588</v>
      </c>
    </row>
    <row r="1570" customFormat="false" ht="15.75" hidden="false" customHeight="true" outlineLevel="0" collapsed="false">
      <c r="A1570" s="7" t="s">
        <v>6589</v>
      </c>
      <c r="B1570" s="8" t="n">
        <v>2003</v>
      </c>
      <c r="C1570" s="8" t="s">
        <v>35</v>
      </c>
      <c r="D1570" s="8" t="n">
        <v>97</v>
      </c>
      <c r="E1570" s="7" t="s">
        <v>6590</v>
      </c>
      <c r="F1570" s="8" t="n">
        <v>5.8</v>
      </c>
      <c r="G1570" s="8" t="n">
        <v>5</v>
      </c>
      <c r="H1570" s="9" t="n">
        <v>137122</v>
      </c>
      <c r="I1570" s="7" t="s">
        <v>6591</v>
      </c>
      <c r="J1570" s="7" t="s">
        <v>147</v>
      </c>
      <c r="K1570" s="7"/>
      <c r="L1570" s="10"/>
      <c r="M1570" s="10" t="s">
        <v>6592</v>
      </c>
      <c r="N1570" s="8" t="n">
        <v>0</v>
      </c>
      <c r="O1570" s="8" t="n">
        <v>0</v>
      </c>
      <c r="P1570" s="8" t="n">
        <v>0</v>
      </c>
      <c r="Q1570" s="8" t="n">
        <v>0</v>
      </c>
      <c r="R1570" s="13" t="n">
        <v>0</v>
      </c>
      <c r="S1570" s="13" t="n">
        <v>0</v>
      </c>
      <c r="T1570" s="13"/>
      <c r="U1570" s="11" t="n">
        <f aca="false">O1570*4 + P1570*2 + MAX(0,N1570-O1570-P1570)*1 + Q1570*0.2 + R1570*2 + S1570*1 + IF(T1570="",0,IF(T1570&lt;=10,8,IF(T1570&lt;=50,6,IF(T1570&lt;=100,4,2))))</f>
        <v>0</v>
      </c>
      <c r="V1570" s="7"/>
      <c r="W1570" s="7"/>
      <c r="X1570" s="13"/>
      <c r="Y1570" s="13" t="s">
        <v>6593</v>
      </c>
    </row>
    <row r="1571" customFormat="false" ht="15.75" hidden="false" customHeight="true" outlineLevel="0" collapsed="false">
      <c r="A1571" s="7" t="s">
        <v>6594</v>
      </c>
      <c r="B1571" s="8" t="n">
        <v>2010</v>
      </c>
      <c r="C1571" s="8" t="s">
        <v>176</v>
      </c>
      <c r="D1571" s="8" t="n">
        <v>95</v>
      </c>
      <c r="E1571" s="7" t="s">
        <v>6595</v>
      </c>
      <c r="F1571" s="8" t="n">
        <v>5.2</v>
      </c>
      <c r="G1571" s="8" t="n">
        <v>6</v>
      </c>
      <c r="H1571" s="9" t="n">
        <v>115727</v>
      </c>
      <c r="I1571" s="7" t="s">
        <v>46</v>
      </c>
      <c r="J1571" s="7" t="s">
        <v>147</v>
      </c>
      <c r="K1571" s="7" t="s">
        <v>54</v>
      </c>
      <c r="L1571" s="10" t="s">
        <v>6596</v>
      </c>
      <c r="M1571" s="10" t="s">
        <v>6597</v>
      </c>
      <c r="N1571" s="8" t="n">
        <v>0</v>
      </c>
      <c r="O1571" s="8" t="n">
        <v>0</v>
      </c>
      <c r="P1571" s="8" t="n">
        <v>0</v>
      </c>
      <c r="Q1571" s="8" t="n">
        <v>0</v>
      </c>
      <c r="R1571" s="13" t="n">
        <v>0</v>
      </c>
      <c r="S1571" s="13" t="n">
        <v>0</v>
      </c>
      <c r="T1571" s="13"/>
      <c r="U1571" s="11" t="n">
        <f aca="false">O1571*4 + P1571*2 + MAX(0,N1571-O1571-P1571)*1 + Q1571*0.2 + R1571*2 + S1571*1 + IF(T1571="",0,IF(T1571&lt;=10,8,IF(T1571&lt;=50,6,IF(T1571&lt;=100,4,2))))</f>
        <v>0</v>
      </c>
      <c r="V1571" s="7"/>
      <c r="W1571" s="7"/>
      <c r="X1571" s="13"/>
      <c r="Y1571" s="13" t="s">
        <v>6598</v>
      </c>
    </row>
    <row r="1572" customFormat="false" ht="15.75" hidden="false" customHeight="true" outlineLevel="0" collapsed="false">
      <c r="A1572" s="7" t="s">
        <v>6599</v>
      </c>
      <c r="B1572" s="8" t="n">
        <v>2009</v>
      </c>
      <c r="C1572" s="8" t="s">
        <v>35</v>
      </c>
      <c r="D1572" s="8" t="n">
        <v>97</v>
      </c>
      <c r="E1572" s="7" t="s">
        <v>6600</v>
      </c>
      <c r="F1572" s="8" t="n">
        <v>5.5</v>
      </c>
      <c r="G1572" s="8" t="n">
        <v>5</v>
      </c>
      <c r="H1572" s="9" t="n">
        <v>127684</v>
      </c>
      <c r="I1572" s="7" t="s">
        <v>46</v>
      </c>
      <c r="J1572" s="7" t="s">
        <v>147</v>
      </c>
      <c r="K1572" s="7" t="s">
        <v>125</v>
      </c>
      <c r="L1572" s="10" t="s">
        <v>5259</v>
      </c>
      <c r="M1572" s="10" t="s">
        <v>6601</v>
      </c>
      <c r="N1572" s="8" t="n">
        <v>0</v>
      </c>
      <c r="O1572" s="8" t="n">
        <v>0</v>
      </c>
      <c r="P1572" s="8" t="n">
        <v>0</v>
      </c>
      <c r="Q1572" s="8" t="n">
        <v>0</v>
      </c>
      <c r="R1572" s="13" t="n">
        <v>0</v>
      </c>
      <c r="S1572" s="13" t="n">
        <v>0</v>
      </c>
      <c r="T1572" s="13"/>
      <c r="U1572" s="11" t="n">
        <f aca="false">O1572*4 + P1572*2 + MAX(0,N1572-O1572-P1572)*1 + Q1572*0.2 + R1572*2 + S1572*1 + IF(T1572="",0,IF(T1572&lt;=10,8,IF(T1572&lt;=50,6,IF(T1572&lt;=100,4,2))))</f>
        <v>0</v>
      </c>
      <c r="V1572" s="7"/>
      <c r="W1572" s="7"/>
      <c r="X1572" s="13"/>
      <c r="Y1572" s="13" t="s">
        <v>6602</v>
      </c>
    </row>
    <row r="1573" customFormat="false" ht="15.75" hidden="false" customHeight="true" outlineLevel="0" collapsed="false">
      <c r="A1573" s="7" t="s">
        <v>6603</v>
      </c>
      <c r="B1573" s="8" t="n">
        <v>1999</v>
      </c>
      <c r="C1573" s="8" t="s">
        <v>26</v>
      </c>
      <c r="D1573" s="8" t="n">
        <v>106</v>
      </c>
      <c r="E1573" s="7" t="s">
        <v>6128</v>
      </c>
      <c r="F1573" s="8" t="n">
        <v>4.9</v>
      </c>
      <c r="G1573" s="8" t="n">
        <v>6</v>
      </c>
      <c r="H1573" s="9" t="n">
        <v>174286</v>
      </c>
      <c r="I1573" s="7" t="s">
        <v>46</v>
      </c>
      <c r="J1573" s="7" t="s">
        <v>111</v>
      </c>
      <c r="K1573" s="7" t="s">
        <v>112</v>
      </c>
      <c r="L1573" s="10"/>
      <c r="M1573" s="10" t="s">
        <v>6604</v>
      </c>
      <c r="N1573" s="8" t="n">
        <v>0</v>
      </c>
      <c r="O1573" s="8" t="n">
        <v>0</v>
      </c>
      <c r="P1573" s="8" t="n">
        <v>0</v>
      </c>
      <c r="Q1573" s="8" t="n">
        <v>0</v>
      </c>
      <c r="R1573" s="13" t="n">
        <v>0</v>
      </c>
      <c r="S1573" s="13" t="n">
        <v>0</v>
      </c>
      <c r="T1573" s="13"/>
      <c r="U1573" s="11" t="n">
        <f aca="false">O1573*4 + P1573*2 + MAX(0,N1573-O1573-P1573)*1 + Q1573*0.2 + R1573*2 + S1573*1 + IF(T1573="",0,IF(T1573&lt;=10,8,IF(T1573&lt;=50,6,IF(T1573&lt;=100,4,2))))</f>
        <v>0</v>
      </c>
      <c r="V1573" s="7"/>
      <c r="W1573" s="7"/>
      <c r="X1573" s="13"/>
      <c r="Y1573" s="13" t="s">
        <v>6605</v>
      </c>
    </row>
    <row r="1574" customFormat="false" ht="15.75" hidden="false" customHeight="true" outlineLevel="0" collapsed="false">
      <c r="A1574" s="7" t="s">
        <v>6606</v>
      </c>
      <c r="B1574" s="8" t="n">
        <v>2006</v>
      </c>
      <c r="C1574" s="8" t="s">
        <v>35</v>
      </c>
      <c r="D1574" s="8" t="n">
        <v>154</v>
      </c>
      <c r="E1574" s="7" t="s">
        <v>2484</v>
      </c>
      <c r="F1574" s="8" t="n">
        <v>6.1</v>
      </c>
      <c r="G1574" s="8" t="n">
        <v>5</v>
      </c>
      <c r="H1574" s="9" t="n">
        <v>304402</v>
      </c>
      <c r="I1574" s="7" t="s">
        <v>46</v>
      </c>
      <c r="J1574" s="7" t="s">
        <v>111</v>
      </c>
      <c r="K1574" s="7" t="s">
        <v>112</v>
      </c>
      <c r="L1574" s="10" t="s">
        <v>636</v>
      </c>
      <c r="M1574" s="7" t="s">
        <v>6607</v>
      </c>
      <c r="N1574" s="8" t="n">
        <v>0</v>
      </c>
      <c r="O1574" s="8" t="n">
        <v>0</v>
      </c>
      <c r="P1574" s="8" t="n">
        <v>0</v>
      </c>
      <c r="Q1574" s="8" t="n">
        <v>1</v>
      </c>
      <c r="R1574" s="8" t="n">
        <v>0</v>
      </c>
      <c r="S1574" s="8" t="n">
        <v>0</v>
      </c>
      <c r="T1574" s="13"/>
      <c r="U1574" s="11" t="n">
        <f aca="false">O1574*4 + P1574*2 + MAX(0,N1574-O1574-P1574)*1 + Q1574*0.2 + R1574*2 + S1574*1 + IF(T1574="",0,IF(T1574&lt;=10,8,IF(T1574&lt;=50,6,IF(T1574&lt;=100,4,2))))</f>
        <v>0.2</v>
      </c>
      <c r="V1574" s="7"/>
      <c r="W1574" s="7"/>
      <c r="X1574" s="13"/>
      <c r="Y1574" s="13" t="s">
        <v>6608</v>
      </c>
    </row>
    <row r="1575" customFormat="false" ht="15.75" hidden="false" customHeight="true" outlineLevel="0" collapsed="false">
      <c r="A1575" s="7" t="s">
        <v>6609</v>
      </c>
      <c r="B1575" s="8" t="n">
        <v>2011</v>
      </c>
      <c r="C1575" s="8" t="s">
        <v>176</v>
      </c>
      <c r="D1575" s="8" t="n">
        <v>136</v>
      </c>
      <c r="E1575" s="7" t="s">
        <v>6610</v>
      </c>
      <c r="F1575" s="8" t="n">
        <v>6.6</v>
      </c>
      <c r="G1575" s="8" t="n">
        <v>6</v>
      </c>
      <c r="H1575" s="9" t="n">
        <v>612573</v>
      </c>
      <c r="I1575" s="7" t="s">
        <v>46</v>
      </c>
      <c r="J1575" s="7" t="s">
        <v>38</v>
      </c>
      <c r="K1575" s="7" t="s">
        <v>112</v>
      </c>
      <c r="L1575" s="10" t="s">
        <v>177</v>
      </c>
      <c r="M1575" s="7" t="s">
        <v>6611</v>
      </c>
      <c r="N1575" s="8" t="n">
        <v>0</v>
      </c>
      <c r="O1575" s="8" t="n">
        <v>0</v>
      </c>
      <c r="P1575" s="8" t="n">
        <v>0</v>
      </c>
      <c r="Q1575" s="8" t="n">
        <v>0</v>
      </c>
      <c r="R1575" s="13" t="n">
        <v>0</v>
      </c>
      <c r="S1575" s="13" t="n">
        <v>0</v>
      </c>
      <c r="T1575" s="13"/>
      <c r="U1575" s="11" t="n">
        <f aca="false">O1575*4 + P1575*2 + MAX(0,N1575-O1575-P1575)*1 + Q1575*0.2 + R1575*2 + S1575*1 + IF(T1575="",0,IF(T1575&lt;=10,8,IF(T1575&lt;=50,6,IF(T1575&lt;=100,4,2))))</f>
        <v>0</v>
      </c>
      <c r="V1575" s="7"/>
      <c r="W1575" s="7"/>
      <c r="X1575" s="13"/>
      <c r="Y1575" s="13" t="s">
        <v>6612</v>
      </c>
    </row>
    <row r="1576" customFormat="false" ht="15.75" hidden="false" customHeight="true" outlineLevel="0" collapsed="false">
      <c r="A1576" s="7" t="s">
        <v>6613</v>
      </c>
      <c r="B1576" s="8" t="n">
        <v>2007</v>
      </c>
      <c r="C1576" s="8" t="s">
        <v>35</v>
      </c>
      <c r="D1576" s="8" t="n">
        <v>169</v>
      </c>
      <c r="E1576" s="7" t="s">
        <v>2032</v>
      </c>
      <c r="F1576" s="8" t="n">
        <v>7.2</v>
      </c>
      <c r="G1576" s="8" t="n">
        <v>7</v>
      </c>
      <c r="H1576" s="9" t="n">
        <v>750559</v>
      </c>
      <c r="I1576" s="7" t="s">
        <v>46</v>
      </c>
      <c r="J1576" s="7" t="s">
        <v>38</v>
      </c>
      <c r="K1576" s="7" t="s">
        <v>112</v>
      </c>
      <c r="L1576" s="10" t="s">
        <v>177</v>
      </c>
      <c r="M1576" s="7" t="s">
        <v>6614</v>
      </c>
      <c r="N1576" s="8" t="n">
        <v>0</v>
      </c>
      <c r="O1576" s="8" t="n">
        <v>0</v>
      </c>
      <c r="P1576" s="8" t="n">
        <v>0</v>
      </c>
      <c r="Q1576" s="8" t="n">
        <v>2</v>
      </c>
      <c r="R1576" s="8" t="n">
        <v>0</v>
      </c>
      <c r="S1576" s="8" t="n">
        <v>0</v>
      </c>
      <c r="T1576" s="13"/>
      <c r="U1576" s="11" t="n">
        <f aca="false">O1576*4 + P1576*2 + MAX(0,N1576-O1576-P1576)*1 + Q1576*0.2 + R1576*2 + S1576*1 + IF(T1576="",0,IF(T1576&lt;=10,8,IF(T1576&lt;=50,6,IF(T1576&lt;=100,4,2))))</f>
        <v>0.4</v>
      </c>
      <c r="V1576" s="7"/>
      <c r="W1576" s="7"/>
      <c r="X1576" s="13"/>
      <c r="Y1576" s="13" t="s">
        <v>6615</v>
      </c>
    </row>
    <row r="1577" customFormat="false" ht="15.75" hidden="false" customHeight="true" outlineLevel="0" collapsed="false">
      <c r="A1577" s="7" t="s">
        <v>6616</v>
      </c>
      <c r="B1577" s="8" t="n">
        <v>1996</v>
      </c>
      <c r="C1577" s="8" t="s">
        <v>26</v>
      </c>
      <c r="D1577" s="8" t="n">
        <v>98</v>
      </c>
      <c r="E1577" s="7" t="s">
        <v>6617</v>
      </c>
      <c r="F1577" s="8" t="n">
        <v>7</v>
      </c>
      <c r="G1577" s="8" t="n">
        <v>6</v>
      </c>
      <c r="H1577" s="9" t="n">
        <v>198071</v>
      </c>
      <c r="I1577" s="7" t="s">
        <v>46</v>
      </c>
      <c r="J1577" s="7" t="s">
        <v>38</v>
      </c>
      <c r="K1577" s="7" t="s">
        <v>259</v>
      </c>
      <c r="L1577" s="10" t="s">
        <v>1936</v>
      </c>
      <c r="M1577" s="10" t="s">
        <v>6618</v>
      </c>
      <c r="N1577" s="8" t="n">
        <v>0</v>
      </c>
      <c r="O1577" s="8" t="n">
        <v>0</v>
      </c>
      <c r="P1577" s="8" t="n">
        <v>0</v>
      </c>
      <c r="Q1577" s="8" t="n">
        <v>0</v>
      </c>
      <c r="R1577" s="13" t="n">
        <v>0</v>
      </c>
      <c r="S1577" s="13" t="n">
        <v>0</v>
      </c>
      <c r="T1577" s="13"/>
      <c r="U1577" s="11" t="n">
        <f aca="false">O1577*4 + P1577*2 + MAX(0,N1577-O1577-P1577)*1 + Q1577*0.2 + R1577*2 + S1577*1 + IF(T1577="",0,IF(T1577&lt;=10,8,IF(T1577&lt;=50,6,IF(T1577&lt;=100,4,2))))</f>
        <v>0</v>
      </c>
      <c r="V1577" s="7"/>
      <c r="W1577" s="7"/>
      <c r="X1577" s="13"/>
      <c r="Y1577" s="13" t="s">
        <v>6619</v>
      </c>
    </row>
    <row r="1578" customFormat="false" ht="15.75" hidden="false" customHeight="true" outlineLevel="0" collapsed="false">
      <c r="A1578" s="7" t="s">
        <v>6620</v>
      </c>
      <c r="B1578" s="8" t="n">
        <v>2005</v>
      </c>
      <c r="C1578" s="8" t="s">
        <v>35</v>
      </c>
      <c r="D1578" s="8" t="n">
        <v>100</v>
      </c>
      <c r="E1578" s="7" t="s">
        <v>6621</v>
      </c>
      <c r="F1578" s="8" t="n">
        <v>5.4</v>
      </c>
      <c r="G1578" s="8" t="n">
        <v>4</v>
      </c>
      <c r="H1578" s="9" t="n">
        <v>1311</v>
      </c>
      <c r="I1578" s="7" t="s">
        <v>232</v>
      </c>
      <c r="J1578" s="7" t="s">
        <v>30</v>
      </c>
      <c r="K1578" s="7"/>
      <c r="L1578" s="10" t="s">
        <v>610</v>
      </c>
      <c r="M1578" s="10" t="s">
        <v>6622</v>
      </c>
      <c r="N1578" s="8" t="n">
        <v>0</v>
      </c>
      <c r="O1578" s="8" t="n">
        <v>0</v>
      </c>
      <c r="P1578" s="8" t="n">
        <v>0</v>
      </c>
      <c r="Q1578" s="8" t="n">
        <v>0</v>
      </c>
      <c r="R1578" s="13" t="n">
        <v>0</v>
      </c>
      <c r="S1578" s="13" t="n">
        <v>0</v>
      </c>
      <c r="T1578" s="13"/>
      <c r="U1578" s="11" t="n">
        <f aca="false">O1578*4 + P1578*2 + MAX(0,N1578-O1578-P1578)*1 + Q1578*0.2 + R1578*2 + S1578*1 + IF(T1578="",0,IF(T1578&lt;=10,8,IF(T1578&lt;=50,6,IF(T1578&lt;=100,4,2))))</f>
        <v>0</v>
      </c>
      <c r="V1578" s="7"/>
      <c r="W1578" s="7"/>
      <c r="X1578" s="13"/>
      <c r="Y1578" s="13" t="s">
        <v>6623</v>
      </c>
    </row>
    <row r="1579" customFormat="false" ht="15.75" hidden="false" customHeight="true" outlineLevel="0" collapsed="false">
      <c r="A1579" s="7" t="s">
        <v>6624</v>
      </c>
      <c r="B1579" s="8" t="n">
        <v>2011</v>
      </c>
      <c r="C1579" s="8" t="s">
        <v>176</v>
      </c>
      <c r="D1579" s="8" t="n">
        <v>100</v>
      </c>
      <c r="E1579" s="7" t="s">
        <v>2411</v>
      </c>
      <c r="F1579" s="8" t="n">
        <v>7.5</v>
      </c>
      <c r="G1579" s="8" t="n">
        <v>6</v>
      </c>
      <c r="H1579" s="9" t="n">
        <v>112098</v>
      </c>
      <c r="I1579" s="7" t="s">
        <v>6625</v>
      </c>
      <c r="J1579" s="7" t="s">
        <v>131</v>
      </c>
      <c r="K1579" s="7" t="s">
        <v>54</v>
      </c>
      <c r="L1579" s="10" t="s">
        <v>6626</v>
      </c>
      <c r="M1579" s="10" t="s">
        <v>6627</v>
      </c>
      <c r="N1579" s="8" t="n">
        <v>0</v>
      </c>
      <c r="O1579" s="8" t="n">
        <v>0</v>
      </c>
      <c r="P1579" s="8" t="n">
        <v>0</v>
      </c>
      <c r="Q1579" s="8" t="n">
        <v>0</v>
      </c>
      <c r="R1579" s="13" t="n">
        <v>0</v>
      </c>
      <c r="S1579" s="13" t="n">
        <v>0</v>
      </c>
      <c r="T1579" s="13"/>
      <c r="U1579" s="11" t="n">
        <f aca="false">O1579*4 + P1579*2 + MAX(0,N1579-O1579-P1579)*1 + Q1579*0.2 + R1579*2 + S1579*1 + IF(T1579="",0,IF(T1579&lt;=10,8,IF(T1579&lt;=50,6,IF(T1579&lt;=100,4,2))))</f>
        <v>0</v>
      </c>
      <c r="V1579" s="7"/>
      <c r="W1579" s="7"/>
      <c r="X1579" s="13"/>
      <c r="Y1579" s="13" t="s">
        <v>6628</v>
      </c>
    </row>
    <row r="1580" customFormat="false" ht="15.75" hidden="false" customHeight="true" outlineLevel="0" collapsed="false">
      <c r="A1580" s="7" t="s">
        <v>6629</v>
      </c>
      <c r="B1580" s="8" t="n">
        <v>1994</v>
      </c>
      <c r="C1580" s="8" t="s">
        <v>26</v>
      </c>
      <c r="D1580" s="8" t="n">
        <v>102</v>
      </c>
      <c r="E1580" s="7" t="s">
        <v>1156</v>
      </c>
      <c r="F1580" s="8" t="n">
        <v>7.5</v>
      </c>
      <c r="G1580" s="8" t="n">
        <v>6</v>
      </c>
      <c r="H1580" s="9" t="n">
        <v>232833</v>
      </c>
      <c r="I1580" s="7" t="s">
        <v>46</v>
      </c>
      <c r="J1580" s="7" t="s">
        <v>112</v>
      </c>
      <c r="K1580" s="7" t="s">
        <v>54</v>
      </c>
      <c r="L1580" s="10" t="s">
        <v>205</v>
      </c>
      <c r="M1580" s="10" t="s">
        <v>6630</v>
      </c>
      <c r="N1580" s="8" t="n">
        <v>0</v>
      </c>
      <c r="O1580" s="8" t="n">
        <v>0</v>
      </c>
      <c r="P1580" s="8" t="n">
        <v>0</v>
      </c>
      <c r="Q1580" s="8" t="n">
        <v>0</v>
      </c>
      <c r="R1580" s="13" t="n">
        <v>0</v>
      </c>
      <c r="S1580" s="13" t="n">
        <v>0</v>
      </c>
      <c r="T1580" s="13"/>
      <c r="U1580" s="11" t="n">
        <f aca="false">O1580*4 + P1580*2 + MAX(0,N1580-O1580-P1580)*1 + Q1580*0.2 + R1580*2 + S1580*1 + IF(T1580="",0,IF(T1580&lt;=10,8,IF(T1580&lt;=50,6,IF(T1580&lt;=100,4,2))))</f>
        <v>0</v>
      </c>
      <c r="V1580" s="7"/>
      <c r="W1580" s="7"/>
      <c r="X1580" s="13"/>
      <c r="Y1580" s="13" t="s">
        <v>6631</v>
      </c>
    </row>
    <row r="1581" customFormat="false" ht="15.75" hidden="false" customHeight="true" outlineLevel="0" collapsed="false">
      <c r="A1581" s="7" t="s">
        <v>6632</v>
      </c>
      <c r="B1581" s="8" t="n">
        <v>2000</v>
      </c>
      <c r="C1581" s="8" t="s">
        <v>35</v>
      </c>
      <c r="D1581" s="8" t="n">
        <v>104</v>
      </c>
      <c r="E1581" s="7" t="s">
        <v>2484</v>
      </c>
      <c r="F1581" s="8" t="n">
        <v>7.3</v>
      </c>
      <c r="G1581" s="8" t="n">
        <v>6</v>
      </c>
      <c r="H1581" s="9" t="n">
        <v>698356</v>
      </c>
      <c r="I1581" s="7" t="s">
        <v>46</v>
      </c>
      <c r="J1581" s="7" t="s">
        <v>111</v>
      </c>
      <c r="K1581" s="7" t="s">
        <v>5160</v>
      </c>
      <c r="L1581" s="10" t="s">
        <v>177</v>
      </c>
      <c r="M1581" s="7" t="s">
        <v>6633</v>
      </c>
      <c r="N1581" s="8" t="n">
        <v>0</v>
      </c>
      <c r="O1581" s="8" t="n">
        <v>0</v>
      </c>
      <c r="P1581" s="8" t="n">
        <v>0</v>
      </c>
      <c r="Q1581" s="8" t="n">
        <v>0</v>
      </c>
      <c r="R1581" s="13" t="n">
        <v>0</v>
      </c>
      <c r="S1581" s="13" t="n">
        <v>0</v>
      </c>
      <c r="T1581" s="13"/>
      <c r="U1581" s="11" t="n">
        <f aca="false">O1581*4 + P1581*2 + MAX(0,N1581-O1581-P1581)*1 + Q1581*0.2 + R1581*2 + S1581*1 + IF(T1581="",0,IF(T1581&lt;=10,8,IF(T1581&lt;=50,6,IF(T1581&lt;=100,4,2))))</f>
        <v>0</v>
      </c>
      <c r="V1581" s="7"/>
      <c r="W1581" s="7"/>
      <c r="X1581" s="13"/>
      <c r="Y1581" s="13" t="s">
        <v>6634</v>
      </c>
    </row>
    <row r="1582" customFormat="false" ht="15.75" hidden="false" customHeight="true" outlineLevel="0" collapsed="false">
      <c r="A1582" s="7" t="s">
        <v>6635</v>
      </c>
      <c r="B1582" s="8" t="n">
        <v>2003</v>
      </c>
      <c r="C1582" s="8" t="s">
        <v>35</v>
      </c>
      <c r="D1582" s="8" t="n">
        <v>134</v>
      </c>
      <c r="E1582" s="7" t="s">
        <v>2484</v>
      </c>
      <c r="F1582" s="8" t="n">
        <v>7.4</v>
      </c>
      <c r="G1582" s="8" t="n">
        <v>6</v>
      </c>
      <c r="H1582" s="9" t="n">
        <v>615545</v>
      </c>
      <c r="I1582" s="7" t="s">
        <v>46</v>
      </c>
      <c r="J1582" s="7" t="s">
        <v>111</v>
      </c>
      <c r="K1582" s="7" t="s">
        <v>131</v>
      </c>
      <c r="L1582" s="10" t="s">
        <v>6636</v>
      </c>
      <c r="M1582" s="7" t="s">
        <v>6637</v>
      </c>
      <c r="N1582" s="8" t="n">
        <v>0</v>
      </c>
      <c r="O1582" s="8" t="n">
        <v>0</v>
      </c>
      <c r="P1582" s="8" t="n">
        <v>0</v>
      </c>
      <c r="Q1582" s="8" t="n">
        <v>0</v>
      </c>
      <c r="R1582" s="13" t="n">
        <v>0</v>
      </c>
      <c r="S1582" s="13" t="n">
        <v>0</v>
      </c>
      <c r="T1582" s="13"/>
      <c r="U1582" s="11" t="n">
        <f aca="false">O1582*4 + P1582*2 + MAX(0,N1582-O1582-P1582)*1 + Q1582*0.2 + R1582*2 + S1582*1 + IF(T1582="",0,IF(T1582&lt;=10,8,IF(T1582&lt;=50,6,IF(T1582&lt;=100,4,2))))</f>
        <v>0</v>
      </c>
      <c r="V1582" s="7"/>
      <c r="W1582" s="7"/>
      <c r="X1582" s="13"/>
      <c r="Y1582" s="13" t="s">
        <v>6638</v>
      </c>
    </row>
    <row r="1583" customFormat="false" ht="15.75" hidden="false" customHeight="true" outlineLevel="0" collapsed="false">
      <c r="A1583" s="7" t="s">
        <v>6639</v>
      </c>
      <c r="B1583" s="8" t="n">
        <v>2013</v>
      </c>
      <c r="C1583" s="8" t="s">
        <v>176</v>
      </c>
      <c r="D1583" s="8" t="n">
        <v>86</v>
      </c>
      <c r="E1583" s="7" t="s">
        <v>6640</v>
      </c>
      <c r="F1583" s="8" t="n">
        <v>3.6</v>
      </c>
      <c r="G1583" s="8" t="n">
        <v>4</v>
      </c>
      <c r="H1583" s="9" t="n">
        <v>87013</v>
      </c>
      <c r="I1583" s="7" t="s">
        <v>46</v>
      </c>
      <c r="J1583" s="7" t="s">
        <v>147</v>
      </c>
      <c r="K1583" s="7" t="s">
        <v>2022</v>
      </c>
      <c r="L1583" s="10" t="s">
        <v>113</v>
      </c>
      <c r="M1583" s="10" t="s">
        <v>6641</v>
      </c>
      <c r="N1583" s="8" t="n">
        <v>0</v>
      </c>
      <c r="O1583" s="8" t="n">
        <v>0</v>
      </c>
      <c r="P1583" s="8" t="n">
        <v>0</v>
      </c>
      <c r="Q1583" s="8" t="n">
        <v>0</v>
      </c>
      <c r="R1583" s="13" t="n">
        <v>0</v>
      </c>
      <c r="S1583" s="13" t="n">
        <v>0</v>
      </c>
      <c r="T1583" s="13"/>
      <c r="U1583" s="11" t="n">
        <f aca="false">O1583*4 + P1583*2 + MAX(0,N1583-O1583-P1583)*1 + Q1583*0.2 + R1583*2 + S1583*1 + IF(T1583="",0,IF(T1583&lt;=10,8,IF(T1583&lt;=50,6,IF(T1583&lt;=100,4,2))))</f>
        <v>0</v>
      </c>
      <c r="V1583" s="7"/>
      <c r="W1583" s="7"/>
      <c r="X1583" s="13"/>
      <c r="Y1583" s="13" t="s">
        <v>6642</v>
      </c>
    </row>
    <row r="1584" customFormat="false" ht="15.75" hidden="false" customHeight="true" outlineLevel="0" collapsed="false">
      <c r="A1584" s="7" t="s">
        <v>6643</v>
      </c>
      <c r="B1584" s="8" t="n">
        <v>2006</v>
      </c>
      <c r="C1584" s="8" t="s">
        <v>35</v>
      </c>
      <c r="D1584" s="8" t="n">
        <v>104</v>
      </c>
      <c r="E1584" s="7" t="s">
        <v>5334</v>
      </c>
      <c r="F1584" s="8" t="n">
        <v>6.6</v>
      </c>
      <c r="G1584" s="8" t="n">
        <v>6</v>
      </c>
      <c r="H1584" s="9" t="n">
        <v>576673</v>
      </c>
      <c r="I1584" s="7" t="s">
        <v>6644</v>
      </c>
      <c r="J1584" s="7" t="s">
        <v>111</v>
      </c>
      <c r="K1584" s="7" t="s">
        <v>112</v>
      </c>
      <c r="L1584" s="10" t="s">
        <v>177</v>
      </c>
      <c r="M1584" s="7" t="s">
        <v>6645</v>
      </c>
      <c r="N1584" s="8" t="n">
        <v>0</v>
      </c>
      <c r="O1584" s="8" t="n">
        <v>0</v>
      </c>
      <c r="P1584" s="8" t="n">
        <v>0</v>
      </c>
      <c r="Q1584" s="8" t="n">
        <v>0</v>
      </c>
      <c r="R1584" s="13" t="n">
        <v>0</v>
      </c>
      <c r="S1584" s="13" t="n">
        <v>0</v>
      </c>
      <c r="T1584" s="13"/>
      <c r="U1584" s="11" t="n">
        <f aca="false">O1584*4 + P1584*2 + MAX(0,N1584-O1584-P1584)*1 + Q1584*0.2 + R1584*2 + S1584*1 + IF(T1584="",0,IF(T1584&lt;=10,8,IF(T1584&lt;=50,6,IF(T1584&lt;=100,4,2))))</f>
        <v>0</v>
      </c>
      <c r="V1584" s="7"/>
      <c r="W1584" s="7"/>
      <c r="X1584" s="13"/>
      <c r="Y1584" s="13" t="s">
        <v>6646</v>
      </c>
    </row>
    <row r="1585" customFormat="false" ht="15.75" hidden="false" customHeight="true" outlineLevel="0" collapsed="false">
      <c r="A1585" s="7" t="s">
        <v>6647</v>
      </c>
      <c r="B1585" s="8" t="n">
        <v>2013</v>
      </c>
      <c r="C1585" s="8" t="s">
        <v>176</v>
      </c>
      <c r="D1585" s="8" t="n">
        <v>143</v>
      </c>
      <c r="E1585" s="7" t="s">
        <v>5724</v>
      </c>
      <c r="F1585" s="8" t="n">
        <v>7.2</v>
      </c>
      <c r="G1585" s="8" t="n">
        <v>8</v>
      </c>
      <c r="H1585" s="9" t="n">
        <v>647674</v>
      </c>
      <c r="I1585" s="7" t="s">
        <v>5319</v>
      </c>
      <c r="J1585" s="7" t="s">
        <v>29</v>
      </c>
      <c r="K1585" s="7" t="s">
        <v>47</v>
      </c>
      <c r="L1585" s="10" t="s">
        <v>113</v>
      </c>
      <c r="M1585" s="7" t="s">
        <v>6648</v>
      </c>
      <c r="N1585" s="8" t="n">
        <v>2</v>
      </c>
      <c r="O1585" s="8" t="n">
        <v>0</v>
      </c>
      <c r="P1585" s="8" t="n">
        <v>0</v>
      </c>
      <c r="Q1585" s="8" t="n">
        <v>2</v>
      </c>
      <c r="R1585" s="8" t="n">
        <v>0</v>
      </c>
      <c r="S1585" s="8" t="n">
        <v>0</v>
      </c>
      <c r="T1585" s="13"/>
      <c r="U1585" s="11" t="n">
        <f aca="false">O1585*4 + P1585*2 + MAX(0,N1585-O1585-P1585)*1 + Q1585*0.2 + R1585*2 + S1585*1 + IF(T1585="",0,IF(T1585&lt;=10,8,IF(T1585&lt;=50,6,IF(T1585&lt;=100,4,2))))</f>
        <v>2.4</v>
      </c>
      <c r="V1585" s="7"/>
      <c r="W1585" s="7"/>
      <c r="X1585" s="13"/>
      <c r="Y1585" s="13" t="s">
        <v>6649</v>
      </c>
    </row>
    <row r="1586" customFormat="false" ht="15.75" hidden="false" customHeight="true" outlineLevel="0" collapsed="false">
      <c r="A1586" s="7" t="s">
        <v>6650</v>
      </c>
      <c r="B1586" s="8" t="n">
        <v>2012</v>
      </c>
      <c r="C1586" s="8" t="s">
        <v>176</v>
      </c>
      <c r="D1586" s="8" t="n">
        <v>138</v>
      </c>
      <c r="E1586" s="7" t="s">
        <v>327</v>
      </c>
      <c r="F1586" s="8" t="n">
        <v>7.3</v>
      </c>
      <c r="G1586" s="8" t="n">
        <v>7</v>
      </c>
      <c r="H1586" s="9" t="n">
        <v>399885</v>
      </c>
      <c r="I1586" s="7" t="s">
        <v>46</v>
      </c>
      <c r="J1586" s="7" t="s">
        <v>131</v>
      </c>
      <c r="K1586" s="7" t="s">
        <v>47</v>
      </c>
      <c r="L1586" s="10" t="s">
        <v>210</v>
      </c>
      <c r="M1586" s="7" t="s">
        <v>6651</v>
      </c>
      <c r="N1586" s="8" t="n">
        <v>0</v>
      </c>
      <c r="O1586" s="8" t="n">
        <v>0</v>
      </c>
      <c r="P1586" s="8" t="n">
        <v>0</v>
      </c>
      <c r="Q1586" s="8" t="n">
        <v>2</v>
      </c>
      <c r="R1586" s="8" t="n">
        <v>0</v>
      </c>
      <c r="S1586" s="8" t="n">
        <v>0</v>
      </c>
      <c r="T1586" s="13"/>
      <c r="U1586" s="11" t="n">
        <f aca="false">O1586*4 + P1586*2 + MAX(0,N1586-O1586-P1586)*1 + Q1586*0.2 + R1586*2 + S1586*1 + IF(T1586="",0,IF(T1586&lt;=10,8,IF(T1586&lt;=50,6,IF(T1586&lt;=100,4,2))))</f>
        <v>0.4</v>
      </c>
      <c r="V1586" s="7"/>
      <c r="W1586" s="7"/>
      <c r="X1586" s="13"/>
      <c r="Y1586" s="13" t="s">
        <v>6652</v>
      </c>
    </row>
    <row r="1587" customFormat="false" ht="15.75" hidden="false" customHeight="true" outlineLevel="0" collapsed="false">
      <c r="A1587" s="7" t="s">
        <v>6653</v>
      </c>
      <c r="B1587" s="8" t="n">
        <v>2000</v>
      </c>
      <c r="C1587" s="8" t="s">
        <v>35</v>
      </c>
      <c r="D1587" s="8" t="n">
        <v>88</v>
      </c>
      <c r="E1587" s="7" t="s">
        <v>6491</v>
      </c>
      <c r="F1587" s="8" t="n">
        <v>6.3</v>
      </c>
      <c r="G1587" s="8" t="n">
        <v>8</v>
      </c>
      <c r="H1587" s="9" t="n">
        <v>333363</v>
      </c>
      <c r="I1587" s="7" t="s">
        <v>46</v>
      </c>
      <c r="J1587" s="7" t="s">
        <v>30</v>
      </c>
      <c r="K1587" s="7" t="s">
        <v>1005</v>
      </c>
      <c r="L1587" s="10" t="s">
        <v>6654</v>
      </c>
      <c r="M1587" s="7" t="s">
        <v>6655</v>
      </c>
      <c r="N1587" s="8" t="n">
        <v>0</v>
      </c>
      <c r="O1587" s="8" t="n">
        <v>0</v>
      </c>
      <c r="P1587" s="8" t="n">
        <v>0</v>
      </c>
      <c r="Q1587" s="8" t="n">
        <v>0</v>
      </c>
      <c r="R1587" s="13" t="n">
        <v>0</v>
      </c>
      <c r="S1587" s="13" t="n">
        <v>0</v>
      </c>
      <c r="T1587" s="13"/>
      <c r="U1587" s="11" t="n">
        <f aca="false">O1587*4 + P1587*2 + MAX(0,N1587-O1587-P1587)*1 + Q1587*0.2 + R1587*2 + S1587*1 + IF(T1587="",0,IF(T1587&lt;=10,8,IF(T1587&lt;=50,6,IF(T1587&lt;=100,4,2))))</f>
        <v>0</v>
      </c>
      <c r="V1587" s="7"/>
      <c r="W1587" s="7"/>
      <c r="X1587" s="13"/>
      <c r="Y1587" s="13" t="s">
        <v>6656</v>
      </c>
    </row>
    <row r="1588" customFormat="false" ht="15.75" hidden="false" customHeight="true" outlineLevel="0" collapsed="false">
      <c r="A1588" s="7" t="s">
        <v>6657</v>
      </c>
      <c r="B1588" s="8" t="n">
        <v>1998</v>
      </c>
      <c r="C1588" s="8" t="s">
        <v>26</v>
      </c>
      <c r="D1588" s="8" t="n">
        <v>119</v>
      </c>
      <c r="E1588" s="7" t="s">
        <v>6060</v>
      </c>
      <c r="F1588" s="8" t="n">
        <v>7.1</v>
      </c>
      <c r="G1588" s="8" t="n">
        <v>7</v>
      </c>
      <c r="H1588" s="9" t="n">
        <v>350371</v>
      </c>
      <c r="I1588" s="7" t="s">
        <v>46</v>
      </c>
      <c r="J1588" s="7" t="s">
        <v>29</v>
      </c>
      <c r="K1588" s="7" t="s">
        <v>30</v>
      </c>
      <c r="L1588" s="10" t="s">
        <v>177</v>
      </c>
      <c r="M1588" s="7" t="s">
        <v>6658</v>
      </c>
      <c r="N1588" s="8" t="n">
        <v>0</v>
      </c>
      <c r="O1588" s="8" t="n">
        <v>0</v>
      </c>
      <c r="P1588" s="8" t="n">
        <v>0</v>
      </c>
      <c r="Q1588" s="8" t="n">
        <v>0</v>
      </c>
      <c r="R1588" s="13" t="n">
        <v>0</v>
      </c>
      <c r="S1588" s="13" t="n">
        <v>0</v>
      </c>
      <c r="T1588" s="13"/>
      <c r="U1588" s="11" t="n">
        <f aca="false">O1588*4 + P1588*2 + MAX(0,N1588-O1588-P1588)*1 + Q1588*0.2 + R1588*2 + S1588*1 + IF(T1588="",0,IF(T1588&lt;=10,8,IF(T1588&lt;=50,6,IF(T1588&lt;=100,4,2))))</f>
        <v>0</v>
      </c>
      <c r="V1588" s="7"/>
      <c r="W1588" s="7"/>
      <c r="X1588" s="13"/>
      <c r="Y1588" s="13" t="s">
        <v>6659</v>
      </c>
    </row>
    <row r="1589" customFormat="false" ht="15.75" hidden="false" customHeight="true" outlineLevel="0" collapsed="false">
      <c r="A1589" s="7" t="s">
        <v>6660</v>
      </c>
      <c r="B1589" s="8" t="n">
        <v>2012</v>
      </c>
      <c r="C1589" s="8" t="s">
        <v>176</v>
      </c>
      <c r="D1589" s="8" t="n">
        <v>84</v>
      </c>
      <c r="E1589" s="7" t="s">
        <v>6661</v>
      </c>
      <c r="F1589" s="8" t="n">
        <v>7</v>
      </c>
      <c r="G1589" s="8" t="n">
        <v>6</v>
      </c>
      <c r="H1589" s="9" t="n">
        <v>279369</v>
      </c>
      <c r="I1589" s="7" t="s">
        <v>46</v>
      </c>
      <c r="J1589" s="7" t="s">
        <v>111</v>
      </c>
      <c r="K1589" s="7" t="s">
        <v>5933</v>
      </c>
      <c r="L1589" s="10" t="s">
        <v>177</v>
      </c>
      <c r="M1589" s="7" t="s">
        <v>6662</v>
      </c>
      <c r="N1589" s="8" t="n">
        <v>0</v>
      </c>
      <c r="O1589" s="8" t="n">
        <v>0</v>
      </c>
      <c r="P1589" s="8" t="n">
        <v>0</v>
      </c>
      <c r="Q1589" s="8" t="n">
        <v>0</v>
      </c>
      <c r="R1589" s="13" t="n">
        <v>0</v>
      </c>
      <c r="S1589" s="13" t="n">
        <v>0</v>
      </c>
      <c r="T1589" s="13"/>
      <c r="U1589" s="11" t="n">
        <f aca="false">O1589*4 + P1589*2 + MAX(0,N1589-O1589-P1589)*1 + Q1589*0.2 + R1589*2 + S1589*1 + IF(T1589="",0,IF(T1589&lt;=10,8,IF(T1589&lt;=50,6,IF(T1589&lt;=100,4,2))))</f>
        <v>0</v>
      </c>
      <c r="V1589" s="7"/>
      <c r="W1589" s="7"/>
      <c r="X1589" s="13"/>
      <c r="Y1589" s="13" t="s">
        <v>6663</v>
      </c>
    </row>
    <row r="1590" customFormat="false" ht="15.75" hidden="false" customHeight="true" outlineLevel="0" collapsed="false">
      <c r="A1590" s="7" t="s">
        <v>6664</v>
      </c>
      <c r="B1590" s="8" t="n">
        <v>2001</v>
      </c>
      <c r="C1590" s="8" t="s">
        <v>35</v>
      </c>
      <c r="D1590" s="8" t="n">
        <v>183</v>
      </c>
      <c r="E1590" s="7" t="s">
        <v>5578</v>
      </c>
      <c r="F1590" s="8" t="n">
        <v>6.3</v>
      </c>
      <c r="G1590" s="8" t="n">
        <v>8</v>
      </c>
      <c r="H1590" s="9" t="n">
        <v>371899</v>
      </c>
      <c r="I1590" s="7" t="s">
        <v>46</v>
      </c>
      <c r="J1590" s="7" t="s">
        <v>112</v>
      </c>
      <c r="K1590" s="7" t="s">
        <v>1810</v>
      </c>
      <c r="L1590" s="10" t="s">
        <v>1890</v>
      </c>
      <c r="M1590" s="7" t="s">
        <v>6665</v>
      </c>
      <c r="N1590" s="8" t="n">
        <v>1</v>
      </c>
      <c r="O1590" s="8" t="n">
        <v>0</v>
      </c>
      <c r="P1590" s="8" t="n">
        <v>0</v>
      </c>
      <c r="Q1590" s="8" t="n">
        <v>4</v>
      </c>
      <c r="R1590" s="8" t="n">
        <v>0</v>
      </c>
      <c r="S1590" s="8" t="n">
        <v>0</v>
      </c>
      <c r="T1590" s="13"/>
      <c r="U1590" s="11" t="n">
        <f aca="false">O1590*4 + P1590*2 + MAX(0,N1590-O1590-P1590)*1 + Q1590*0.2 + R1590*2 + S1590*1 + IF(T1590="",0,IF(T1590&lt;=10,8,IF(T1590&lt;=50,6,IF(T1590&lt;=100,4,2))))</f>
        <v>1.8</v>
      </c>
      <c r="V1590" s="7"/>
      <c r="W1590" s="7"/>
      <c r="X1590" s="13"/>
      <c r="Y1590" s="13" t="s">
        <v>6666</v>
      </c>
    </row>
    <row r="1591" customFormat="false" ht="15.75" hidden="false" customHeight="true" outlineLevel="0" collapsed="false">
      <c r="A1591" s="7" t="s">
        <v>6667</v>
      </c>
      <c r="B1591" s="8" t="n">
        <v>2013</v>
      </c>
      <c r="C1591" s="8" t="s">
        <v>176</v>
      </c>
      <c r="D1591" s="8" t="n">
        <v>100</v>
      </c>
      <c r="E1591" s="7" t="s">
        <v>1894</v>
      </c>
      <c r="F1591" s="8" t="n">
        <v>4.8</v>
      </c>
      <c r="G1591" s="8" t="n">
        <v>4</v>
      </c>
      <c r="H1591" s="9" t="n">
        <v>217508</v>
      </c>
      <c r="I1591" s="7" t="s">
        <v>46</v>
      </c>
      <c r="J1591" s="7" t="s">
        <v>112</v>
      </c>
      <c r="K1591" s="7" t="s">
        <v>953</v>
      </c>
      <c r="L1591" s="10"/>
      <c r="M1591" s="10" t="s">
        <v>6668</v>
      </c>
      <c r="N1591" s="8" t="n">
        <v>0</v>
      </c>
      <c r="O1591" s="8" t="n">
        <v>0</v>
      </c>
      <c r="P1591" s="8" t="n">
        <v>0</v>
      </c>
      <c r="Q1591" s="8" t="n">
        <v>0</v>
      </c>
      <c r="R1591" s="13" t="n">
        <v>0</v>
      </c>
      <c r="S1591" s="13" t="n">
        <v>0</v>
      </c>
      <c r="T1591" s="13"/>
      <c r="U1591" s="11" t="n">
        <f aca="false">O1591*4 + P1591*2 + MAX(0,N1591-O1591-P1591)*1 + Q1591*0.2 + R1591*2 + S1591*1 + IF(T1591="",0,IF(T1591&lt;=10,8,IF(T1591&lt;=50,6,IF(T1591&lt;=100,4,2))))</f>
        <v>0</v>
      </c>
      <c r="V1591" s="7"/>
      <c r="W1591" s="7"/>
      <c r="X1591" s="13"/>
      <c r="Y1591" s="13" t="s">
        <v>6669</v>
      </c>
    </row>
    <row r="1592" customFormat="false" ht="15.75" hidden="false" customHeight="true" outlineLevel="0" collapsed="false">
      <c r="A1592" s="7" t="s">
        <v>6670</v>
      </c>
      <c r="B1592" s="8" t="n">
        <v>2013</v>
      </c>
      <c r="C1592" s="8" t="s">
        <v>176</v>
      </c>
      <c r="D1592" s="8" t="n">
        <v>131</v>
      </c>
      <c r="E1592" s="7" t="s">
        <v>5640</v>
      </c>
      <c r="F1592" s="8" t="n">
        <v>6.3</v>
      </c>
      <c r="G1592" s="8" t="n">
        <v>5</v>
      </c>
      <c r="H1592" s="9" t="n">
        <v>250228</v>
      </c>
      <c r="I1592" s="7" t="s">
        <v>46</v>
      </c>
      <c r="J1592" s="7" t="s">
        <v>131</v>
      </c>
      <c r="K1592" s="7" t="s">
        <v>112</v>
      </c>
      <c r="L1592" s="10" t="s">
        <v>210</v>
      </c>
      <c r="M1592" s="10" t="s">
        <v>6671</v>
      </c>
      <c r="N1592" s="8" t="n">
        <v>0</v>
      </c>
      <c r="O1592" s="8" t="n">
        <v>0</v>
      </c>
      <c r="P1592" s="8" t="n">
        <v>0</v>
      </c>
      <c r="Q1592" s="8" t="n">
        <v>0</v>
      </c>
      <c r="R1592" s="13" t="n">
        <v>0</v>
      </c>
      <c r="S1592" s="13" t="n">
        <v>0</v>
      </c>
      <c r="T1592" s="13"/>
      <c r="U1592" s="11" t="n">
        <f aca="false">O1592*4 + P1592*2 + MAX(0,N1592-O1592-P1592)*1 + Q1592*0.2 + R1592*2 + S1592*1 + IF(T1592="",0,IF(T1592&lt;=10,8,IF(T1592&lt;=50,6,IF(T1592&lt;=100,4,2))))</f>
        <v>0</v>
      </c>
      <c r="V1592" s="7"/>
      <c r="W1592" s="7"/>
      <c r="X1592" s="13"/>
      <c r="Y1592" s="13" t="s">
        <v>6672</v>
      </c>
    </row>
    <row r="1593" customFormat="false" ht="15.75" hidden="false" customHeight="true" outlineLevel="0" collapsed="false">
      <c r="A1593" s="7" t="s">
        <v>6673</v>
      </c>
      <c r="B1593" s="8" t="n">
        <v>1995</v>
      </c>
      <c r="C1593" s="8" t="s">
        <v>26</v>
      </c>
      <c r="D1593" s="8" t="n">
        <v>98</v>
      </c>
      <c r="E1593" s="7" t="s">
        <v>6045</v>
      </c>
      <c r="F1593" s="8" t="n">
        <v>8.1</v>
      </c>
      <c r="G1593" s="8" t="n">
        <v>8</v>
      </c>
      <c r="H1593" s="9" t="n">
        <v>230225</v>
      </c>
      <c r="I1593" s="7" t="s">
        <v>219</v>
      </c>
      <c r="J1593" s="7" t="s">
        <v>47</v>
      </c>
      <c r="K1593" s="7" t="s">
        <v>54</v>
      </c>
      <c r="L1593" s="10" t="s">
        <v>205</v>
      </c>
      <c r="M1593" s="10" t="s">
        <v>6674</v>
      </c>
      <c r="N1593" s="8" t="n">
        <v>0</v>
      </c>
      <c r="O1593" s="8" t="n">
        <v>0</v>
      </c>
      <c r="P1593" s="8" t="n">
        <v>0</v>
      </c>
      <c r="Q1593" s="8" t="n">
        <v>0</v>
      </c>
      <c r="R1593" s="13" t="n">
        <v>0</v>
      </c>
      <c r="S1593" s="13" t="n">
        <v>0</v>
      </c>
      <c r="T1593" s="13"/>
      <c r="U1593" s="11" t="n">
        <f aca="false">O1593*4 + P1593*2 + MAX(0,N1593-O1593-P1593)*1 + Q1593*0.2 + R1593*2 + S1593*1 + IF(T1593="",0,IF(T1593&lt;=10,8,IF(T1593&lt;=50,6,IF(T1593&lt;=100,4,2))))</f>
        <v>0</v>
      </c>
      <c r="V1593" s="7"/>
      <c r="W1593" s="7"/>
      <c r="X1593" s="13"/>
      <c r="Y1593" s="13" t="s">
        <v>6675</v>
      </c>
    </row>
    <row r="1594" customFormat="false" ht="15.75" hidden="false" customHeight="true" outlineLevel="0" collapsed="false">
      <c r="A1594" s="7" t="s">
        <v>6676</v>
      </c>
      <c r="B1594" s="8" t="n">
        <v>2007</v>
      </c>
      <c r="C1594" s="8" t="s">
        <v>35</v>
      </c>
      <c r="D1594" s="8" t="n">
        <v>124</v>
      </c>
      <c r="E1594" s="7" t="s">
        <v>2372</v>
      </c>
      <c r="F1594" s="8" t="n">
        <v>7.2</v>
      </c>
      <c r="G1594" s="8" t="n">
        <v>6</v>
      </c>
      <c r="H1594" s="9" t="n">
        <v>378342</v>
      </c>
      <c r="I1594" s="7" t="s">
        <v>46</v>
      </c>
      <c r="J1594" s="7" t="s">
        <v>131</v>
      </c>
      <c r="K1594" s="7" t="s">
        <v>112</v>
      </c>
      <c r="L1594" s="10" t="s">
        <v>192</v>
      </c>
      <c r="M1594" s="7" t="s">
        <v>6677</v>
      </c>
      <c r="N1594" s="8" t="n">
        <v>0</v>
      </c>
      <c r="O1594" s="8" t="n">
        <v>0</v>
      </c>
      <c r="P1594" s="8" t="n">
        <v>0</v>
      </c>
      <c r="Q1594" s="8" t="n">
        <v>0</v>
      </c>
      <c r="R1594" s="13" t="n">
        <v>0</v>
      </c>
      <c r="S1594" s="13" t="n">
        <v>0</v>
      </c>
      <c r="T1594" s="13"/>
      <c r="U1594" s="11" t="n">
        <f aca="false">O1594*4 + P1594*2 + MAX(0,N1594-O1594-P1594)*1 + Q1594*0.2 + R1594*2 + S1594*1 + IF(T1594="",0,IF(T1594&lt;=10,8,IF(T1594&lt;=50,6,IF(T1594&lt;=100,4,2))))</f>
        <v>0</v>
      </c>
      <c r="V1594" s="7"/>
      <c r="W1594" s="7"/>
      <c r="X1594" s="13"/>
      <c r="Y1594" s="13" t="s">
        <v>6678</v>
      </c>
    </row>
    <row r="1595" customFormat="false" ht="15.75" hidden="false" customHeight="true" outlineLevel="0" collapsed="false">
      <c r="A1595" s="7" t="s">
        <v>6679</v>
      </c>
      <c r="B1595" s="8" t="n">
        <v>2012</v>
      </c>
      <c r="C1595" s="8" t="s">
        <v>176</v>
      </c>
      <c r="D1595" s="8" t="n">
        <v>122</v>
      </c>
      <c r="E1595" s="7" t="s">
        <v>704</v>
      </c>
      <c r="F1595" s="8" t="n">
        <v>7.7</v>
      </c>
      <c r="G1595" s="8" t="n">
        <v>7</v>
      </c>
      <c r="H1595" s="9" t="n">
        <v>776512</v>
      </c>
      <c r="I1595" s="7" t="s">
        <v>46</v>
      </c>
      <c r="J1595" s="7" t="s">
        <v>29</v>
      </c>
      <c r="K1595" s="7" t="s">
        <v>30</v>
      </c>
      <c r="L1595" s="10" t="s">
        <v>161</v>
      </c>
      <c r="M1595" s="7" t="s">
        <v>6680</v>
      </c>
      <c r="N1595" s="8" t="n">
        <v>1</v>
      </c>
      <c r="O1595" s="8" t="n">
        <v>0</v>
      </c>
      <c r="P1595" s="8" t="n">
        <v>0</v>
      </c>
      <c r="Q1595" s="8" t="n">
        <v>8</v>
      </c>
      <c r="R1595" s="8" t="n">
        <v>0</v>
      </c>
      <c r="S1595" s="8" t="n">
        <v>0</v>
      </c>
      <c r="T1595" s="13"/>
      <c r="U1595" s="11" t="n">
        <f aca="false">O1595*4 + P1595*2 + MAX(0,N1595-O1595-P1595)*1 + Q1595*0.2 + R1595*2 + S1595*1 + IF(T1595="",0,IF(T1595&lt;=10,8,IF(T1595&lt;=50,6,IF(T1595&lt;=100,4,2))))</f>
        <v>2.6</v>
      </c>
      <c r="V1595" s="7"/>
      <c r="W1595" s="7"/>
      <c r="X1595" s="13"/>
      <c r="Y1595" s="13" t="s">
        <v>6681</v>
      </c>
    </row>
    <row r="1596" customFormat="false" ht="15.75" hidden="false" customHeight="true" outlineLevel="0" collapsed="false">
      <c r="A1596" s="7" t="s">
        <v>6682</v>
      </c>
      <c r="B1596" s="8" t="n">
        <v>2009</v>
      </c>
      <c r="C1596" s="8" t="s">
        <v>35</v>
      </c>
      <c r="D1596" s="8" t="n">
        <v>101</v>
      </c>
      <c r="E1596" s="7" t="s">
        <v>6683</v>
      </c>
      <c r="F1596" s="8" t="n">
        <v>5.5</v>
      </c>
      <c r="G1596" s="8" t="n">
        <v>6</v>
      </c>
      <c r="H1596" s="9" t="n">
        <v>65575</v>
      </c>
      <c r="I1596" s="7" t="s">
        <v>46</v>
      </c>
      <c r="J1596" s="7" t="s">
        <v>147</v>
      </c>
      <c r="K1596" s="7" t="s">
        <v>125</v>
      </c>
      <c r="L1596" s="10" t="s">
        <v>161</v>
      </c>
      <c r="M1596" s="10" t="s">
        <v>6684</v>
      </c>
      <c r="N1596" s="8" t="n">
        <v>0</v>
      </c>
      <c r="O1596" s="8" t="n">
        <v>0</v>
      </c>
      <c r="P1596" s="8" t="n">
        <v>0</v>
      </c>
      <c r="Q1596" s="8" t="n">
        <v>0</v>
      </c>
      <c r="R1596" s="13" t="n">
        <v>0</v>
      </c>
      <c r="S1596" s="13" t="n">
        <v>0</v>
      </c>
      <c r="T1596" s="13"/>
      <c r="U1596" s="11" t="n">
        <f aca="false">O1596*4 + P1596*2 + MAX(0,N1596-O1596-P1596)*1 + Q1596*0.2 + R1596*2 + S1596*1 + IF(T1596="",0,IF(T1596&lt;=10,8,IF(T1596&lt;=50,6,IF(T1596&lt;=100,4,2))))</f>
        <v>0</v>
      </c>
      <c r="V1596" s="7"/>
      <c r="W1596" s="7"/>
      <c r="X1596" s="13"/>
      <c r="Y1596" s="13" t="s">
        <v>6685</v>
      </c>
    </row>
    <row r="1597" customFormat="false" ht="15.75" hidden="false" customHeight="true" outlineLevel="0" collapsed="false">
      <c r="A1597" s="7" t="s">
        <v>6686</v>
      </c>
      <c r="B1597" s="8" t="n">
        <v>2007</v>
      </c>
      <c r="C1597" s="8" t="s">
        <v>35</v>
      </c>
      <c r="D1597" s="8" t="n">
        <v>99</v>
      </c>
      <c r="E1597" s="7" t="s">
        <v>6600</v>
      </c>
      <c r="F1597" s="8" t="n">
        <v>5.4</v>
      </c>
      <c r="G1597" s="8" t="n">
        <v>4</v>
      </c>
      <c r="H1597" s="9" t="n">
        <v>47859</v>
      </c>
      <c r="I1597" s="7" t="s">
        <v>46</v>
      </c>
      <c r="J1597" s="7" t="s">
        <v>112</v>
      </c>
      <c r="K1597" s="7" t="s">
        <v>39</v>
      </c>
      <c r="L1597" s="10" t="s">
        <v>6687</v>
      </c>
      <c r="M1597" s="10" t="s">
        <v>6688</v>
      </c>
      <c r="N1597" s="8" t="n">
        <v>0</v>
      </c>
      <c r="O1597" s="8" t="n">
        <v>0</v>
      </c>
      <c r="P1597" s="8" t="n">
        <v>0</v>
      </c>
      <c r="Q1597" s="8" t="n">
        <v>0</v>
      </c>
      <c r="R1597" s="13" t="n">
        <v>0</v>
      </c>
      <c r="S1597" s="13" t="n">
        <v>0</v>
      </c>
      <c r="T1597" s="13"/>
      <c r="U1597" s="11" t="n">
        <f aca="false">O1597*4 + P1597*2 + MAX(0,N1597-O1597-P1597)*1 + Q1597*0.2 + R1597*2 + S1597*1 + IF(T1597="",0,IF(T1597&lt;=10,8,IF(T1597&lt;=50,6,IF(T1597&lt;=100,4,2))))</f>
        <v>0</v>
      </c>
      <c r="V1597" s="7"/>
      <c r="W1597" s="7"/>
      <c r="X1597" s="13"/>
      <c r="Y1597" s="13" t="s">
        <v>6689</v>
      </c>
    </row>
    <row r="1598" customFormat="false" ht="15.75" hidden="false" customHeight="true" outlineLevel="0" collapsed="false">
      <c r="A1598" s="7" t="s">
        <v>6690</v>
      </c>
      <c r="B1598" s="8" t="n">
        <v>1999</v>
      </c>
      <c r="C1598" s="8" t="s">
        <v>26</v>
      </c>
      <c r="D1598" s="8" t="n">
        <v>102</v>
      </c>
      <c r="E1598" s="7" t="s">
        <v>1026</v>
      </c>
      <c r="F1598" s="8" t="n">
        <v>6.6</v>
      </c>
      <c r="G1598" s="8" t="n">
        <v>8</v>
      </c>
      <c r="H1598" s="9" t="n">
        <v>140149</v>
      </c>
      <c r="I1598" s="7" t="s">
        <v>46</v>
      </c>
      <c r="J1598" s="7" t="s">
        <v>112</v>
      </c>
      <c r="K1598" s="7" t="s">
        <v>453</v>
      </c>
      <c r="L1598" s="10" t="s">
        <v>552</v>
      </c>
      <c r="M1598" s="10" t="s">
        <v>6691</v>
      </c>
      <c r="N1598" s="8" t="n">
        <v>0</v>
      </c>
      <c r="O1598" s="8" t="n">
        <v>0</v>
      </c>
      <c r="P1598" s="8" t="n">
        <v>0</v>
      </c>
      <c r="Q1598" s="8" t="n">
        <v>0</v>
      </c>
      <c r="R1598" s="13" t="n">
        <v>0</v>
      </c>
      <c r="S1598" s="13" t="n">
        <v>0</v>
      </c>
      <c r="T1598" s="13"/>
      <c r="U1598" s="11" t="n">
        <f aca="false">O1598*4 + P1598*2 + MAX(0,N1598-O1598-P1598)*1 + Q1598*0.2 + R1598*2 + S1598*1 + IF(T1598="",0,IF(T1598&lt;=10,8,IF(T1598&lt;=50,6,IF(T1598&lt;=100,4,2))))</f>
        <v>0</v>
      </c>
      <c r="V1598" s="7"/>
      <c r="W1598" s="7"/>
      <c r="X1598" s="13"/>
      <c r="Y1598" s="13" t="s">
        <v>6692</v>
      </c>
    </row>
    <row r="1599" customFormat="false" ht="15.75" hidden="false" customHeight="true" outlineLevel="0" collapsed="false">
      <c r="A1599" s="7" t="s">
        <v>6693</v>
      </c>
      <c r="B1599" s="8" t="n">
        <v>2013</v>
      </c>
      <c r="C1599" s="8" t="s">
        <v>176</v>
      </c>
      <c r="D1599" s="8" t="n">
        <v>104</v>
      </c>
      <c r="E1599" s="7" t="s">
        <v>6694</v>
      </c>
      <c r="F1599" s="8" t="n">
        <v>7.2</v>
      </c>
      <c r="G1599" s="8" t="n">
        <v>7</v>
      </c>
      <c r="H1599" s="9" t="n">
        <v>429466</v>
      </c>
      <c r="I1599" s="7" t="s">
        <v>46</v>
      </c>
      <c r="J1599" s="7" t="s">
        <v>579</v>
      </c>
      <c r="K1599" s="7" t="s">
        <v>39</v>
      </c>
      <c r="L1599" s="10" t="s">
        <v>177</v>
      </c>
      <c r="M1599" s="7" t="s">
        <v>6695</v>
      </c>
      <c r="N1599" s="8" t="n">
        <v>0</v>
      </c>
      <c r="O1599" s="8" t="n">
        <v>0</v>
      </c>
      <c r="P1599" s="8" t="n">
        <v>0</v>
      </c>
      <c r="Q1599" s="8" t="n">
        <v>0</v>
      </c>
      <c r="R1599" s="13" t="n">
        <v>0</v>
      </c>
      <c r="S1599" s="13" t="n">
        <v>0</v>
      </c>
      <c r="T1599" s="13"/>
      <c r="U1599" s="11" t="n">
        <f aca="false">O1599*4 + P1599*2 + MAX(0,N1599-O1599-P1599)*1 + Q1599*0.2 + R1599*2 + S1599*1 + IF(T1599="",0,IF(T1599&lt;=10,8,IF(T1599&lt;=50,6,IF(T1599&lt;=100,4,2))))</f>
        <v>0</v>
      </c>
      <c r="V1599" s="7"/>
      <c r="W1599" s="7"/>
      <c r="X1599" s="13"/>
      <c r="Y1599" s="13" t="s">
        <v>6696</v>
      </c>
    </row>
    <row r="1600" customFormat="false" ht="15.75" hidden="false" customHeight="true" outlineLevel="0" collapsed="false">
      <c r="A1600" s="7" t="s">
        <v>6697</v>
      </c>
      <c r="B1600" s="8" t="n">
        <v>2002</v>
      </c>
      <c r="C1600" s="8" t="s">
        <v>35</v>
      </c>
      <c r="D1600" s="8" t="n">
        <v>116</v>
      </c>
      <c r="E1600" s="7" t="s">
        <v>1699</v>
      </c>
      <c r="F1600" s="8" t="n">
        <v>5.6</v>
      </c>
      <c r="G1600" s="8" t="n">
        <v>6</v>
      </c>
      <c r="H1600" s="9" t="n">
        <v>50937</v>
      </c>
      <c r="I1600" s="7" t="s">
        <v>46</v>
      </c>
      <c r="J1600" s="7" t="s">
        <v>131</v>
      </c>
      <c r="K1600" s="7" t="s">
        <v>112</v>
      </c>
      <c r="L1600" s="10" t="s">
        <v>552</v>
      </c>
      <c r="M1600" s="10" t="s">
        <v>6698</v>
      </c>
      <c r="N1600" s="8" t="n">
        <v>0</v>
      </c>
      <c r="O1600" s="8" t="n">
        <v>0</v>
      </c>
      <c r="P1600" s="8" t="n">
        <v>0</v>
      </c>
      <c r="Q1600" s="8" t="n">
        <v>0</v>
      </c>
      <c r="R1600" s="13" t="n">
        <v>0</v>
      </c>
      <c r="S1600" s="13" t="n">
        <v>0</v>
      </c>
      <c r="T1600" s="13"/>
      <c r="U1600" s="11" t="n">
        <f aca="false">O1600*4 + P1600*2 + MAX(0,N1600-O1600-P1600)*1 + Q1600*0.2 + R1600*2 + S1600*1 + IF(T1600="",0,IF(T1600&lt;=10,8,IF(T1600&lt;=50,6,IF(T1600&lt;=100,4,2))))</f>
        <v>0</v>
      </c>
      <c r="V1600" s="7"/>
      <c r="W1600" s="7"/>
      <c r="X1600" s="13"/>
      <c r="Y1600" s="13" t="s">
        <v>6699</v>
      </c>
    </row>
    <row r="1601" customFormat="false" ht="15.75" hidden="false" customHeight="true" outlineLevel="0" collapsed="false">
      <c r="A1601" s="7" t="s">
        <v>6700</v>
      </c>
      <c r="B1601" s="8" t="n">
        <v>2012</v>
      </c>
      <c r="C1601" s="8" t="s">
        <v>176</v>
      </c>
      <c r="D1601" s="8" t="n">
        <v>97</v>
      </c>
      <c r="E1601" s="7" t="s">
        <v>6701</v>
      </c>
      <c r="F1601" s="8" t="n">
        <v>5.6</v>
      </c>
      <c r="G1601" s="8" t="n">
        <v>3</v>
      </c>
      <c r="H1601" s="9" t="n">
        <v>28724</v>
      </c>
      <c r="I1601" s="7" t="s">
        <v>6162</v>
      </c>
      <c r="J1601" s="7" t="s">
        <v>112</v>
      </c>
      <c r="K1601" s="7" t="s">
        <v>54</v>
      </c>
      <c r="L1601" s="10" t="s">
        <v>210</v>
      </c>
      <c r="M1601" s="10" t="s">
        <v>6702</v>
      </c>
      <c r="N1601" s="8" t="n">
        <v>0</v>
      </c>
      <c r="O1601" s="8" t="n">
        <v>0</v>
      </c>
      <c r="P1601" s="8" t="n">
        <v>0</v>
      </c>
      <c r="Q1601" s="8" t="n">
        <v>0</v>
      </c>
      <c r="R1601" s="13" t="n">
        <v>0</v>
      </c>
      <c r="S1601" s="13" t="n">
        <v>0</v>
      </c>
      <c r="T1601" s="13"/>
      <c r="U1601" s="11" t="n">
        <f aca="false">O1601*4 + P1601*2 + MAX(0,N1601-O1601-P1601)*1 + Q1601*0.2 + R1601*2 + S1601*1 + IF(T1601="",0,IF(T1601&lt;=10,8,IF(T1601&lt;=50,6,IF(T1601&lt;=100,4,2))))</f>
        <v>0</v>
      </c>
      <c r="V1601" s="7"/>
      <c r="W1601" s="7"/>
      <c r="X1601" s="13"/>
      <c r="Y1601" s="13" t="s">
        <v>6703</v>
      </c>
    </row>
    <row r="1602" customFormat="false" ht="15.75" hidden="false" customHeight="true" outlineLevel="0" collapsed="false">
      <c r="A1602" s="7" t="s">
        <v>6704</v>
      </c>
      <c r="B1602" s="8" t="n">
        <v>2006</v>
      </c>
      <c r="C1602" s="8" t="s">
        <v>35</v>
      </c>
      <c r="D1602" s="8" t="n">
        <v>125</v>
      </c>
      <c r="E1602" s="7" t="s">
        <v>6705</v>
      </c>
      <c r="F1602" s="8" t="n">
        <v>6.5</v>
      </c>
      <c r="G1602" s="8" t="n">
        <v>6</v>
      </c>
      <c r="H1602" s="9" t="n">
        <v>262552</v>
      </c>
      <c r="I1602" s="7" t="s">
        <v>6706</v>
      </c>
      <c r="J1602" s="7" t="s">
        <v>147</v>
      </c>
      <c r="K1602" s="7" t="s">
        <v>125</v>
      </c>
      <c r="L1602" s="10"/>
      <c r="M1602" s="7" t="s">
        <v>6707</v>
      </c>
      <c r="N1602" s="8" t="n">
        <v>0</v>
      </c>
      <c r="O1602" s="8" t="n">
        <v>0</v>
      </c>
      <c r="P1602" s="8" t="n">
        <v>0</v>
      </c>
      <c r="Q1602" s="8" t="n">
        <v>0</v>
      </c>
      <c r="R1602" s="13" t="n">
        <v>0</v>
      </c>
      <c r="S1602" s="13" t="n">
        <v>0</v>
      </c>
      <c r="T1602" s="13"/>
      <c r="U1602" s="11" t="n">
        <f aca="false">O1602*4 + P1602*2 + MAX(0,N1602-O1602-P1602)*1 + Q1602*0.2 + R1602*2 + S1602*1 + IF(T1602="",0,IF(T1602&lt;=10,8,IF(T1602&lt;=50,6,IF(T1602&lt;=100,4,2))))</f>
        <v>0</v>
      </c>
      <c r="V1602" s="7"/>
      <c r="W1602" s="7"/>
      <c r="X1602" s="13"/>
      <c r="Y1602" s="13" t="s">
        <v>6708</v>
      </c>
    </row>
    <row r="1603" customFormat="false" ht="15.75" hidden="false" customHeight="true" outlineLevel="0" collapsed="false">
      <c r="A1603" s="7" t="s">
        <v>6709</v>
      </c>
      <c r="B1603" s="8" t="n">
        <v>2013</v>
      </c>
      <c r="C1603" s="8" t="s">
        <v>176</v>
      </c>
      <c r="D1603" s="8" t="n">
        <v>85</v>
      </c>
      <c r="E1603" s="7" t="s">
        <v>6710</v>
      </c>
      <c r="F1603" s="8" t="n">
        <v>5.8</v>
      </c>
      <c r="G1603" s="8" t="n">
        <v>7</v>
      </c>
      <c r="H1603" s="9" t="n">
        <v>262678</v>
      </c>
      <c r="I1603" s="7" t="s">
        <v>2810</v>
      </c>
      <c r="J1603" s="7" t="s">
        <v>147</v>
      </c>
      <c r="K1603" s="7" t="s">
        <v>111</v>
      </c>
      <c r="L1603" s="10" t="s">
        <v>192</v>
      </c>
      <c r="M1603" s="7" t="s">
        <v>6711</v>
      </c>
      <c r="N1603" s="8" t="n">
        <v>0</v>
      </c>
      <c r="O1603" s="8" t="n">
        <v>0</v>
      </c>
      <c r="P1603" s="8" t="n">
        <v>0</v>
      </c>
      <c r="Q1603" s="8" t="n">
        <v>0</v>
      </c>
      <c r="R1603" s="13" t="n">
        <v>0</v>
      </c>
      <c r="S1603" s="13" t="n">
        <v>0</v>
      </c>
      <c r="T1603" s="13"/>
      <c r="U1603" s="11" t="n">
        <f aca="false">O1603*4 + P1603*2 + MAX(0,N1603-O1603-P1603)*1 + Q1603*0.2 + R1603*2 + S1603*1 + IF(T1603="",0,IF(T1603&lt;=10,8,IF(T1603&lt;=50,6,IF(T1603&lt;=100,4,2))))</f>
        <v>0</v>
      </c>
      <c r="V1603" s="7"/>
      <c r="W1603" s="7"/>
      <c r="X1603" s="13"/>
      <c r="Y1603" s="13" t="s">
        <v>6712</v>
      </c>
    </row>
    <row r="1604" customFormat="false" ht="15.75" hidden="false" customHeight="true" outlineLevel="0" collapsed="false">
      <c r="A1604" s="7" t="s">
        <v>6713</v>
      </c>
      <c r="B1604" s="8" t="n">
        <v>2009</v>
      </c>
      <c r="C1604" s="8" t="s">
        <v>35</v>
      </c>
      <c r="D1604" s="8" t="n">
        <v>132</v>
      </c>
      <c r="E1604" s="7" t="s">
        <v>2372</v>
      </c>
      <c r="F1604" s="8" t="n">
        <v>6.7</v>
      </c>
      <c r="G1604" s="8" t="n">
        <v>7</v>
      </c>
      <c r="H1604" s="9" t="n">
        <v>69098</v>
      </c>
      <c r="I1604" s="7" t="s">
        <v>46</v>
      </c>
      <c r="J1604" s="7" t="s">
        <v>131</v>
      </c>
      <c r="K1604" s="7" t="s">
        <v>54</v>
      </c>
      <c r="L1604" s="10" t="s">
        <v>5226</v>
      </c>
      <c r="M1604" s="10" t="s">
        <v>6714</v>
      </c>
      <c r="N1604" s="8" t="n">
        <v>0</v>
      </c>
      <c r="O1604" s="8" t="n">
        <v>0</v>
      </c>
      <c r="P1604" s="8" t="n">
        <v>0</v>
      </c>
      <c r="Q1604" s="8" t="n">
        <v>0</v>
      </c>
      <c r="R1604" s="13" t="n">
        <v>0</v>
      </c>
      <c r="S1604" s="13" t="n">
        <v>0</v>
      </c>
      <c r="T1604" s="13"/>
      <c r="U1604" s="11" t="n">
        <f aca="false">O1604*4 + P1604*2 + MAX(0,N1604-O1604-P1604)*1 + Q1604*0.2 + R1604*2 + S1604*1 + IF(T1604="",0,IF(T1604&lt;=10,8,IF(T1604&lt;=50,6,IF(T1604&lt;=100,4,2))))</f>
        <v>0</v>
      </c>
      <c r="V1604" s="7"/>
      <c r="W1604" s="7"/>
      <c r="X1604" s="13"/>
      <c r="Y1604" s="13" t="s">
        <v>6715</v>
      </c>
    </row>
    <row r="1605" customFormat="false" ht="15.75" hidden="false" customHeight="true" outlineLevel="0" collapsed="false">
      <c r="A1605" s="7" t="s">
        <v>6716</v>
      </c>
      <c r="B1605" s="8" t="n">
        <v>2013</v>
      </c>
      <c r="C1605" s="8" t="s">
        <v>176</v>
      </c>
      <c r="D1605" s="8" t="n">
        <v>98</v>
      </c>
      <c r="E1605" s="7" t="s">
        <v>6717</v>
      </c>
      <c r="F1605" s="8" t="n">
        <v>6.8</v>
      </c>
      <c r="G1605" s="8" t="n">
        <v>6</v>
      </c>
      <c r="H1605" s="9" t="n">
        <v>256538</v>
      </c>
      <c r="I1605" s="7" t="s">
        <v>1111</v>
      </c>
      <c r="J1605" s="7" t="s">
        <v>147</v>
      </c>
      <c r="K1605" s="7" t="s">
        <v>112</v>
      </c>
      <c r="L1605" s="10" t="s">
        <v>847</v>
      </c>
      <c r="M1605" s="7" t="s">
        <v>6718</v>
      </c>
      <c r="N1605" s="8" t="n">
        <v>0</v>
      </c>
      <c r="O1605" s="8" t="n">
        <v>0</v>
      </c>
      <c r="P1605" s="8" t="n">
        <v>0</v>
      </c>
      <c r="Q1605" s="8" t="n">
        <v>0</v>
      </c>
      <c r="R1605" s="13" t="n">
        <v>0</v>
      </c>
      <c r="S1605" s="13" t="n">
        <v>0</v>
      </c>
      <c r="T1605" s="13"/>
      <c r="U1605" s="11" t="n">
        <f aca="false">O1605*4 + P1605*2 + MAX(0,N1605-O1605-P1605)*1 + Q1605*0.2 + R1605*2 + S1605*1 + IF(T1605="",0,IF(T1605&lt;=10,8,IF(T1605&lt;=50,6,IF(T1605&lt;=100,4,2))))</f>
        <v>0</v>
      </c>
      <c r="V1605" s="7"/>
      <c r="W1605" s="7"/>
      <c r="X1605" s="13"/>
      <c r="Y1605" s="13" t="s">
        <v>6719</v>
      </c>
    </row>
    <row r="1606" customFormat="false" ht="15.75" hidden="false" customHeight="true" outlineLevel="0" collapsed="false">
      <c r="A1606" s="7" t="s">
        <v>6720</v>
      </c>
      <c r="B1606" s="8" t="n">
        <v>2013</v>
      </c>
      <c r="C1606" s="8" t="s">
        <v>176</v>
      </c>
      <c r="D1606" s="8" t="n">
        <v>128</v>
      </c>
      <c r="E1606" s="7" t="s">
        <v>6721</v>
      </c>
      <c r="F1606" s="8" t="n">
        <v>6</v>
      </c>
      <c r="G1606" s="8" t="n">
        <v>6</v>
      </c>
      <c r="H1606" s="9" t="n">
        <v>107948</v>
      </c>
      <c r="I1606" s="7" t="s">
        <v>46</v>
      </c>
      <c r="J1606" s="7" t="s">
        <v>47</v>
      </c>
      <c r="K1606" s="7" t="s">
        <v>48</v>
      </c>
      <c r="L1606" s="10"/>
      <c r="M1606" s="10" t="s">
        <v>6722</v>
      </c>
      <c r="N1606" s="8" t="n">
        <v>0</v>
      </c>
      <c r="O1606" s="8" t="n">
        <v>0</v>
      </c>
      <c r="P1606" s="8" t="n">
        <v>0</v>
      </c>
      <c r="Q1606" s="8" t="n">
        <v>0</v>
      </c>
      <c r="R1606" s="13" t="n">
        <v>0</v>
      </c>
      <c r="S1606" s="13" t="n">
        <v>0</v>
      </c>
      <c r="T1606" s="13"/>
      <c r="U1606" s="11" t="n">
        <f aca="false">O1606*4 + P1606*2 + MAX(0,N1606-O1606-P1606)*1 + Q1606*0.2 + R1606*2 + S1606*1 + IF(T1606="",0,IF(T1606&lt;=10,8,IF(T1606&lt;=50,6,IF(T1606&lt;=100,4,2))))</f>
        <v>0</v>
      </c>
      <c r="V1606" s="7"/>
      <c r="W1606" s="7"/>
      <c r="X1606" s="13"/>
      <c r="Y1606" s="13" t="s">
        <v>6723</v>
      </c>
    </row>
    <row r="1607" customFormat="false" ht="15.75" hidden="false" customHeight="true" outlineLevel="0" collapsed="false">
      <c r="A1607" s="7" t="s">
        <v>6724</v>
      </c>
      <c r="B1607" s="8" t="n">
        <v>2010</v>
      </c>
      <c r="C1607" s="8" t="s">
        <v>176</v>
      </c>
      <c r="D1607" s="8" t="n">
        <v>100</v>
      </c>
      <c r="E1607" s="7" t="s">
        <v>6725</v>
      </c>
      <c r="F1607" s="8" t="n">
        <v>6.5</v>
      </c>
      <c r="G1607" s="8" t="n">
        <v>6</v>
      </c>
      <c r="H1607" s="9" t="n">
        <v>344260</v>
      </c>
      <c r="I1607" s="7" t="s">
        <v>46</v>
      </c>
      <c r="J1607" s="7" t="s">
        <v>131</v>
      </c>
      <c r="K1607" s="7" t="s">
        <v>245</v>
      </c>
      <c r="L1607" s="10"/>
      <c r="M1607" s="7" t="s">
        <v>6726</v>
      </c>
      <c r="N1607" s="8" t="n">
        <v>0</v>
      </c>
      <c r="O1607" s="8" t="n">
        <v>0</v>
      </c>
      <c r="P1607" s="8" t="n">
        <v>0</v>
      </c>
      <c r="Q1607" s="8" t="n">
        <v>1</v>
      </c>
      <c r="R1607" s="8" t="n">
        <v>0</v>
      </c>
      <c r="S1607" s="8" t="n">
        <v>0</v>
      </c>
      <c r="T1607" s="13"/>
      <c r="U1607" s="11" t="n">
        <f aca="false">O1607*4 + P1607*2 + MAX(0,N1607-O1607-P1607)*1 + Q1607*0.2 + R1607*2 + S1607*1 + IF(T1607="",0,IF(T1607&lt;=10,8,IF(T1607&lt;=50,6,IF(T1607&lt;=100,4,2))))</f>
        <v>0.2</v>
      </c>
      <c r="V1607" s="7"/>
      <c r="W1607" s="7"/>
      <c r="X1607" s="13"/>
      <c r="Y1607" s="13" t="s">
        <v>6727</v>
      </c>
    </row>
    <row r="1608" customFormat="false" ht="15.75" hidden="false" customHeight="true" outlineLevel="0" collapsed="false">
      <c r="A1608" s="7" t="s">
        <v>6728</v>
      </c>
      <c r="B1608" s="8" t="n">
        <v>2012</v>
      </c>
      <c r="C1608" s="8" t="s">
        <v>176</v>
      </c>
      <c r="D1608" s="8" t="n">
        <v>100</v>
      </c>
      <c r="E1608" s="7" t="s">
        <v>6729</v>
      </c>
      <c r="F1608" s="8" t="n">
        <v>5.4</v>
      </c>
      <c r="G1608" s="8" t="n">
        <v>4</v>
      </c>
      <c r="H1608" s="9" t="n">
        <v>1909</v>
      </c>
      <c r="I1608" s="7" t="s">
        <v>232</v>
      </c>
      <c r="J1608" s="7" t="s">
        <v>112</v>
      </c>
      <c r="K1608" s="7" t="s">
        <v>47</v>
      </c>
      <c r="L1608" s="10" t="s">
        <v>6730</v>
      </c>
      <c r="M1608" s="10" t="s">
        <v>6731</v>
      </c>
      <c r="N1608" s="8" t="n">
        <v>0</v>
      </c>
      <c r="O1608" s="8" t="n">
        <v>0</v>
      </c>
      <c r="P1608" s="8" t="n">
        <v>0</v>
      </c>
      <c r="Q1608" s="8" t="n">
        <v>0</v>
      </c>
      <c r="R1608" s="13" t="n">
        <v>0</v>
      </c>
      <c r="S1608" s="13" t="n">
        <v>0</v>
      </c>
      <c r="T1608" s="13"/>
      <c r="U1608" s="11" t="n">
        <f aca="false">O1608*4 + P1608*2 + MAX(0,N1608-O1608-P1608)*1 + Q1608*0.2 + R1608*2 + S1608*1 + IF(T1608="",0,IF(T1608&lt;=10,8,IF(T1608&lt;=50,6,IF(T1608&lt;=100,4,2))))</f>
        <v>0</v>
      </c>
      <c r="V1608" s="7"/>
      <c r="W1608" s="7"/>
      <c r="X1608" s="13"/>
      <c r="Y1608" s="13" t="s">
        <v>6732</v>
      </c>
    </row>
    <row r="1609" customFormat="false" ht="15.75" hidden="false" customHeight="true" outlineLevel="0" collapsed="false">
      <c r="A1609" s="7" t="s">
        <v>6733</v>
      </c>
      <c r="B1609" s="8" t="n">
        <v>1990</v>
      </c>
      <c r="C1609" s="8" t="s">
        <v>26</v>
      </c>
      <c r="D1609" s="8" t="n">
        <v>89</v>
      </c>
      <c r="E1609" s="7" t="s">
        <v>6734</v>
      </c>
      <c r="F1609" s="8" t="n">
        <v>5.7</v>
      </c>
      <c r="G1609" s="8" t="n">
        <v>5</v>
      </c>
      <c r="H1609" s="9" t="n">
        <v>23449</v>
      </c>
      <c r="I1609" s="7" t="s">
        <v>2168</v>
      </c>
      <c r="J1609" s="7" t="s">
        <v>112</v>
      </c>
      <c r="K1609" s="7" t="s">
        <v>54</v>
      </c>
      <c r="L1609" s="10" t="s">
        <v>187</v>
      </c>
      <c r="M1609" s="10" t="s">
        <v>6735</v>
      </c>
      <c r="N1609" s="8" t="n">
        <v>0</v>
      </c>
      <c r="O1609" s="8" t="n">
        <v>0</v>
      </c>
      <c r="P1609" s="8" t="n">
        <v>0</v>
      </c>
      <c r="Q1609" s="8" t="n">
        <v>0</v>
      </c>
      <c r="R1609" s="13" t="n">
        <v>0</v>
      </c>
      <c r="S1609" s="13" t="n">
        <v>0</v>
      </c>
      <c r="T1609" s="13"/>
      <c r="U1609" s="11" t="n">
        <f aca="false">O1609*4 + P1609*2 + MAX(0,N1609-O1609-P1609)*1 + Q1609*0.2 + R1609*2 + S1609*1 + IF(T1609="",0,IF(T1609&lt;=10,8,IF(T1609&lt;=50,6,IF(T1609&lt;=100,4,2))))</f>
        <v>0</v>
      </c>
      <c r="V1609" s="7"/>
      <c r="W1609" s="7"/>
      <c r="X1609" s="13"/>
      <c r="Y1609" s="13" t="s">
        <v>6736</v>
      </c>
    </row>
    <row r="1610" customFormat="false" ht="15.75" hidden="false" customHeight="true" outlineLevel="0" collapsed="false">
      <c r="A1610" s="7" t="s">
        <v>6737</v>
      </c>
      <c r="B1610" s="8" t="n">
        <v>2011</v>
      </c>
      <c r="C1610" s="8" t="s">
        <v>176</v>
      </c>
      <c r="D1610" s="8" t="n">
        <v>98</v>
      </c>
      <c r="E1610" s="7" t="s">
        <v>6738</v>
      </c>
      <c r="F1610" s="8" t="n">
        <v>7</v>
      </c>
      <c r="G1610" s="8" t="n">
        <v>5</v>
      </c>
      <c r="H1610" s="9" t="n">
        <v>16546</v>
      </c>
      <c r="I1610" s="7" t="s">
        <v>6162</v>
      </c>
      <c r="J1610" s="7" t="s">
        <v>112</v>
      </c>
      <c r="K1610" s="7" t="s">
        <v>54</v>
      </c>
      <c r="L1610" s="10"/>
      <c r="M1610" s="10" t="s">
        <v>6739</v>
      </c>
      <c r="N1610" s="8" t="n">
        <v>0</v>
      </c>
      <c r="O1610" s="8" t="n">
        <v>0</v>
      </c>
      <c r="P1610" s="8" t="n">
        <v>0</v>
      </c>
      <c r="Q1610" s="8" t="n">
        <v>0</v>
      </c>
      <c r="R1610" s="13" t="n">
        <v>0</v>
      </c>
      <c r="S1610" s="13" t="n">
        <v>0</v>
      </c>
      <c r="T1610" s="13"/>
      <c r="U1610" s="11" t="n">
        <f aca="false">O1610*4 + P1610*2 + MAX(0,N1610-O1610-P1610)*1 + Q1610*0.2 + R1610*2 + S1610*1 + IF(T1610="",0,IF(T1610&lt;=10,8,IF(T1610&lt;=50,6,IF(T1610&lt;=100,4,2))))</f>
        <v>0</v>
      </c>
      <c r="V1610" s="7"/>
      <c r="W1610" s="7"/>
      <c r="X1610" s="13"/>
      <c r="Y1610" s="13" t="s">
        <v>6740</v>
      </c>
    </row>
    <row r="1611" customFormat="false" ht="15.75" hidden="false" customHeight="true" outlineLevel="0" collapsed="false">
      <c r="A1611" s="7" t="s">
        <v>6741</v>
      </c>
      <c r="B1611" s="8" t="n">
        <v>1998</v>
      </c>
      <c r="C1611" s="8" t="s">
        <v>26</v>
      </c>
      <c r="D1611" s="8" t="n">
        <v>83</v>
      </c>
      <c r="E1611" s="7" t="s">
        <v>6742</v>
      </c>
      <c r="F1611" s="8" t="n">
        <v>6.5</v>
      </c>
      <c r="G1611" s="8" t="n">
        <v>6</v>
      </c>
      <c r="H1611" s="9" t="n">
        <v>171966</v>
      </c>
      <c r="I1611" s="7" t="s">
        <v>46</v>
      </c>
      <c r="J1611" s="7" t="s">
        <v>579</v>
      </c>
      <c r="K1611" s="7" t="s">
        <v>39</v>
      </c>
      <c r="L1611" s="10"/>
      <c r="M1611" s="10" t="s">
        <v>6743</v>
      </c>
      <c r="N1611" s="8" t="n">
        <v>0</v>
      </c>
      <c r="O1611" s="8" t="n">
        <v>0</v>
      </c>
      <c r="P1611" s="8" t="n">
        <v>0</v>
      </c>
      <c r="Q1611" s="8" t="n">
        <v>0</v>
      </c>
      <c r="R1611" s="13" t="n">
        <v>0</v>
      </c>
      <c r="S1611" s="13" t="n">
        <v>0</v>
      </c>
      <c r="T1611" s="13"/>
      <c r="U1611" s="11" t="n">
        <f aca="false">O1611*4 + P1611*2 + MAX(0,N1611-O1611-P1611)*1 + Q1611*0.2 + R1611*2 + S1611*1 + IF(T1611="",0,IF(T1611&lt;=10,8,IF(T1611&lt;=50,6,IF(T1611&lt;=100,4,2))))</f>
        <v>0</v>
      </c>
      <c r="V1611" s="7"/>
      <c r="W1611" s="7"/>
      <c r="X1611" s="13"/>
      <c r="Y1611" s="13" t="s">
        <v>6744</v>
      </c>
    </row>
    <row r="1612" customFormat="false" ht="15.75" hidden="false" customHeight="true" outlineLevel="0" collapsed="false">
      <c r="A1612" s="7" t="s">
        <v>6745</v>
      </c>
      <c r="B1612" s="8" t="n">
        <v>1998</v>
      </c>
      <c r="C1612" s="8" t="s">
        <v>26</v>
      </c>
      <c r="D1612" s="8" t="n">
        <v>95</v>
      </c>
      <c r="E1612" s="7" t="s">
        <v>6746</v>
      </c>
      <c r="F1612" s="8" t="n">
        <v>7.2</v>
      </c>
      <c r="G1612" s="8" t="n">
        <v>7</v>
      </c>
      <c r="H1612" s="9" t="n">
        <v>340207</v>
      </c>
      <c r="I1612" s="7" t="s">
        <v>46</v>
      </c>
      <c r="J1612" s="7" t="s">
        <v>579</v>
      </c>
      <c r="K1612" s="7" t="s">
        <v>39</v>
      </c>
      <c r="L1612" s="10" t="s">
        <v>177</v>
      </c>
      <c r="M1612" s="7" t="s">
        <v>6747</v>
      </c>
      <c r="N1612" s="8" t="n">
        <v>0</v>
      </c>
      <c r="O1612" s="8" t="n">
        <v>0</v>
      </c>
      <c r="P1612" s="8" t="n">
        <v>0</v>
      </c>
      <c r="Q1612" s="8" t="n">
        <v>1</v>
      </c>
      <c r="R1612" s="8" t="n">
        <v>0</v>
      </c>
      <c r="S1612" s="8" t="n">
        <v>0</v>
      </c>
      <c r="T1612" s="13"/>
      <c r="U1612" s="11" t="n">
        <f aca="false">O1612*4 + P1612*2 + MAX(0,N1612-O1612-P1612)*1 + Q1612*0.2 + R1612*2 + S1612*1 + IF(T1612="",0,IF(T1612&lt;=10,8,IF(T1612&lt;=50,6,IF(T1612&lt;=100,4,2))))</f>
        <v>0.2</v>
      </c>
      <c r="V1612" s="7"/>
      <c r="W1612" s="7"/>
      <c r="X1612" s="13"/>
      <c r="Y1612" s="13" t="s">
        <v>6748</v>
      </c>
    </row>
    <row r="1613" customFormat="false" ht="15.75" hidden="false" customHeight="true" outlineLevel="0" collapsed="false">
      <c r="A1613" s="7" t="s">
        <v>6749</v>
      </c>
      <c r="B1613" s="8" t="n">
        <v>2013</v>
      </c>
      <c r="C1613" s="8" t="s">
        <v>176</v>
      </c>
      <c r="D1613" s="8" t="n">
        <v>109</v>
      </c>
      <c r="E1613" s="7" t="s">
        <v>5776</v>
      </c>
      <c r="F1613" s="8" t="n">
        <v>6.6</v>
      </c>
      <c r="G1613" s="8" t="n">
        <v>7</v>
      </c>
      <c r="H1613" s="9" t="n">
        <v>494075</v>
      </c>
      <c r="I1613" s="7" t="s">
        <v>46</v>
      </c>
      <c r="J1613" s="7" t="s">
        <v>111</v>
      </c>
      <c r="K1613" s="7" t="s">
        <v>953</v>
      </c>
      <c r="L1613" s="10" t="s">
        <v>210</v>
      </c>
      <c r="M1613" s="7" t="s">
        <v>6750</v>
      </c>
      <c r="N1613" s="8" t="n">
        <v>0</v>
      </c>
      <c r="O1613" s="8" t="n">
        <v>0</v>
      </c>
      <c r="P1613" s="8" t="n">
        <v>0</v>
      </c>
      <c r="Q1613" s="8" t="n">
        <v>0</v>
      </c>
      <c r="R1613" s="13" t="n">
        <v>0</v>
      </c>
      <c r="S1613" s="13" t="n">
        <v>0</v>
      </c>
      <c r="T1613" s="13"/>
      <c r="U1613" s="11" t="n">
        <f aca="false">O1613*4 + P1613*2 + MAX(0,N1613-O1613-P1613)*1 + Q1613*0.2 + R1613*2 + S1613*1 + IF(T1613="",0,IF(T1613&lt;=10,8,IF(T1613&lt;=50,6,IF(T1613&lt;=100,4,2))))</f>
        <v>0</v>
      </c>
      <c r="V1613" s="7"/>
      <c r="W1613" s="7"/>
      <c r="X1613" s="13"/>
      <c r="Y1613" s="13" t="s">
        <v>6751</v>
      </c>
    </row>
    <row r="1614" customFormat="false" ht="15.75" hidden="false" customHeight="true" outlineLevel="0" collapsed="false">
      <c r="A1614" s="7" t="s">
        <v>6752</v>
      </c>
      <c r="B1614" s="8" t="n">
        <v>2007</v>
      </c>
      <c r="C1614" s="8" t="s">
        <v>35</v>
      </c>
      <c r="D1614" s="8" t="n">
        <v>99</v>
      </c>
      <c r="E1614" s="7" t="s">
        <v>6753</v>
      </c>
      <c r="F1614" s="8" t="n">
        <v>4.8</v>
      </c>
      <c r="G1614" s="8" t="n">
        <v>3</v>
      </c>
      <c r="H1614" s="9" t="n">
        <v>16263</v>
      </c>
      <c r="I1614" s="7" t="s">
        <v>46</v>
      </c>
      <c r="J1614" s="7" t="s">
        <v>39</v>
      </c>
      <c r="K1614" s="7" t="s">
        <v>259</v>
      </c>
      <c r="L1614" s="10" t="s">
        <v>6754</v>
      </c>
      <c r="M1614" s="10" t="s">
        <v>6755</v>
      </c>
      <c r="N1614" s="8" t="n">
        <v>0</v>
      </c>
      <c r="O1614" s="8" t="n">
        <v>0</v>
      </c>
      <c r="P1614" s="8" t="n">
        <v>0</v>
      </c>
      <c r="Q1614" s="8" t="n">
        <v>0</v>
      </c>
      <c r="R1614" s="13" t="n">
        <v>0</v>
      </c>
      <c r="S1614" s="13" t="n">
        <v>0</v>
      </c>
      <c r="T1614" s="13"/>
      <c r="U1614" s="11" t="n">
        <f aca="false">O1614*4 + P1614*2 + MAX(0,N1614-O1614-P1614)*1 + Q1614*0.2 + R1614*2 + S1614*1 + IF(T1614="",0,IF(T1614&lt;=10,8,IF(T1614&lt;=50,6,IF(T1614&lt;=100,4,2))))</f>
        <v>0</v>
      </c>
      <c r="V1614" s="7"/>
      <c r="W1614" s="7"/>
      <c r="X1614" s="13"/>
      <c r="Y1614" s="13" t="s">
        <v>6756</v>
      </c>
    </row>
    <row r="1615" customFormat="false" ht="15.75" hidden="false" customHeight="true" outlineLevel="0" collapsed="false">
      <c r="A1615" s="7" t="s">
        <v>6757</v>
      </c>
      <c r="B1615" s="8" t="n">
        <v>2011</v>
      </c>
      <c r="C1615" s="8" t="s">
        <v>176</v>
      </c>
      <c r="D1615" s="8" t="n">
        <v>100</v>
      </c>
      <c r="E1615" s="7" t="s">
        <v>5970</v>
      </c>
      <c r="F1615" s="8" t="n">
        <v>5.4</v>
      </c>
      <c r="G1615" s="8" t="n">
        <v>3</v>
      </c>
      <c r="H1615" s="9" t="n">
        <v>21950</v>
      </c>
      <c r="I1615" s="7" t="s">
        <v>6758</v>
      </c>
      <c r="J1615" s="7" t="s">
        <v>147</v>
      </c>
      <c r="K1615" s="7" t="s">
        <v>38</v>
      </c>
      <c r="L1615" s="10"/>
      <c r="M1615" s="10" t="s">
        <v>6759</v>
      </c>
      <c r="N1615" s="8" t="n">
        <v>0</v>
      </c>
      <c r="O1615" s="8" t="n">
        <v>0</v>
      </c>
      <c r="P1615" s="8" t="n">
        <v>0</v>
      </c>
      <c r="Q1615" s="8" t="n">
        <v>0</v>
      </c>
      <c r="R1615" s="13" t="n">
        <v>0</v>
      </c>
      <c r="S1615" s="13" t="n">
        <v>0</v>
      </c>
      <c r="T1615" s="13"/>
      <c r="U1615" s="11" t="n">
        <f aca="false">O1615*4 + P1615*2 + MAX(0,N1615-O1615-P1615)*1 + Q1615*0.2 + R1615*2 + S1615*1 + IF(T1615="",0,IF(T1615&lt;=10,8,IF(T1615&lt;=50,6,IF(T1615&lt;=100,4,2))))</f>
        <v>0</v>
      </c>
      <c r="V1615" s="7"/>
      <c r="W1615" s="7"/>
      <c r="X1615" s="13"/>
      <c r="Y1615" s="13" t="s">
        <v>6760</v>
      </c>
    </row>
    <row r="1616" customFormat="false" ht="15.75" hidden="false" customHeight="true" outlineLevel="0" collapsed="false">
      <c r="A1616" s="7" t="s">
        <v>6761</v>
      </c>
      <c r="B1616" s="8" t="n">
        <v>2013</v>
      </c>
      <c r="C1616" s="8" t="s">
        <v>176</v>
      </c>
      <c r="D1616" s="8" t="n">
        <v>112</v>
      </c>
      <c r="E1616" s="7" t="s">
        <v>2158</v>
      </c>
      <c r="F1616" s="8" t="n">
        <v>7.5</v>
      </c>
      <c r="G1616" s="8" t="n">
        <v>9</v>
      </c>
      <c r="H1616" s="9" t="n">
        <v>630142</v>
      </c>
      <c r="I1616" s="7" t="s">
        <v>46</v>
      </c>
      <c r="J1616" s="7" t="s">
        <v>147</v>
      </c>
      <c r="K1616" s="7" t="s">
        <v>125</v>
      </c>
      <c r="L1616" s="10" t="s">
        <v>6762</v>
      </c>
      <c r="M1616" s="7" t="s">
        <v>6763</v>
      </c>
      <c r="N1616" s="8" t="n">
        <v>0</v>
      </c>
      <c r="O1616" s="8" t="n">
        <v>0</v>
      </c>
      <c r="P1616" s="8" t="n">
        <v>0</v>
      </c>
      <c r="Q1616" s="8" t="n">
        <v>0</v>
      </c>
      <c r="R1616" s="13" t="n">
        <v>0</v>
      </c>
      <c r="S1616" s="13" t="n">
        <v>0</v>
      </c>
      <c r="T1616" s="13"/>
      <c r="U1616" s="11" t="n">
        <f aca="false">O1616*4 + P1616*2 + MAX(0,N1616-O1616-P1616)*1 + Q1616*0.2 + R1616*2 + S1616*1 + IF(T1616="",0,IF(T1616&lt;=10,8,IF(T1616&lt;=50,6,IF(T1616&lt;=100,4,2))))</f>
        <v>0</v>
      </c>
      <c r="V1616" s="7"/>
      <c r="W1616" s="7"/>
      <c r="X1616" s="13"/>
      <c r="Y1616" s="13" t="s">
        <v>6764</v>
      </c>
    </row>
    <row r="1617" customFormat="false" ht="15.75" hidden="false" customHeight="true" outlineLevel="0" collapsed="false">
      <c r="A1617" s="7" t="s">
        <v>6765</v>
      </c>
      <c r="B1617" s="8" t="n">
        <v>2013</v>
      </c>
      <c r="C1617" s="8" t="s">
        <v>176</v>
      </c>
      <c r="D1617" s="8" t="n">
        <v>98</v>
      </c>
      <c r="E1617" s="7" t="s">
        <v>6524</v>
      </c>
      <c r="F1617" s="8" t="n">
        <v>7.3</v>
      </c>
      <c r="G1617" s="8" t="n">
        <v>7</v>
      </c>
      <c r="H1617" s="9" t="n">
        <v>464124</v>
      </c>
      <c r="I1617" s="7" t="s">
        <v>46</v>
      </c>
      <c r="J1617" s="7" t="s">
        <v>579</v>
      </c>
      <c r="K1617" s="7" t="s">
        <v>39</v>
      </c>
      <c r="L1617" s="10" t="s">
        <v>210</v>
      </c>
      <c r="M1617" s="7" t="s">
        <v>6766</v>
      </c>
      <c r="N1617" s="8" t="n">
        <v>0</v>
      </c>
      <c r="O1617" s="8" t="n">
        <v>0</v>
      </c>
      <c r="P1617" s="8" t="n">
        <v>0</v>
      </c>
      <c r="Q1617" s="8" t="n">
        <v>2</v>
      </c>
      <c r="R1617" s="8" t="n">
        <v>0</v>
      </c>
      <c r="S1617" s="8" t="n">
        <v>0</v>
      </c>
      <c r="T1617" s="13"/>
      <c r="U1617" s="11" t="n">
        <f aca="false">O1617*4 + P1617*2 + MAX(0,N1617-O1617-P1617)*1 + Q1617*0.2 + R1617*2 + S1617*1 + IF(T1617="",0,IF(T1617&lt;=10,8,IF(T1617&lt;=50,6,IF(T1617&lt;=100,4,2))))</f>
        <v>0.4</v>
      </c>
      <c r="V1617" s="7"/>
      <c r="W1617" s="7"/>
      <c r="X1617" s="13"/>
      <c r="Y1617" s="13" t="s">
        <v>6767</v>
      </c>
    </row>
    <row r="1618" customFormat="false" ht="15.75" hidden="false" customHeight="true" outlineLevel="0" collapsed="false">
      <c r="A1618" s="7" t="s">
        <v>6768</v>
      </c>
      <c r="B1618" s="8" t="n">
        <v>2007</v>
      </c>
      <c r="C1618" s="8" t="s">
        <v>35</v>
      </c>
      <c r="D1618" s="8" t="n">
        <v>96</v>
      </c>
      <c r="E1618" s="7" t="s">
        <v>6027</v>
      </c>
      <c r="F1618" s="8" t="n">
        <v>5.5</v>
      </c>
      <c r="G1618" s="8" t="n">
        <v>5</v>
      </c>
      <c r="H1618" s="9" t="n">
        <v>163973</v>
      </c>
      <c r="I1618" s="7" t="s">
        <v>46</v>
      </c>
      <c r="J1618" s="7" t="s">
        <v>38</v>
      </c>
      <c r="K1618" s="7" t="s">
        <v>259</v>
      </c>
      <c r="L1618" s="10"/>
      <c r="M1618" s="10" t="s">
        <v>6769</v>
      </c>
      <c r="N1618" s="8" t="n">
        <v>0</v>
      </c>
      <c r="O1618" s="8" t="n">
        <v>0</v>
      </c>
      <c r="P1618" s="8" t="n">
        <v>0</v>
      </c>
      <c r="Q1618" s="8" t="n">
        <v>0</v>
      </c>
      <c r="R1618" s="13" t="n">
        <v>0</v>
      </c>
      <c r="S1618" s="13" t="n">
        <v>0</v>
      </c>
      <c r="T1618" s="13"/>
      <c r="U1618" s="11" t="n">
        <f aca="false">O1618*4 + P1618*2 + MAX(0,N1618-O1618-P1618)*1 + Q1618*0.2 + R1618*2 + S1618*1 + IF(T1618="",0,IF(T1618&lt;=10,8,IF(T1618&lt;=50,6,IF(T1618&lt;=100,4,2))))</f>
        <v>0</v>
      </c>
      <c r="V1618" s="7"/>
      <c r="W1618" s="7"/>
      <c r="X1618" s="13"/>
      <c r="Y1618" s="13" t="s">
        <v>6770</v>
      </c>
    </row>
    <row r="1619" customFormat="false" ht="15.75" hidden="false" customHeight="true" outlineLevel="0" collapsed="false">
      <c r="A1619" s="7" t="s">
        <v>6771</v>
      </c>
      <c r="B1619" s="8" t="n">
        <v>2013</v>
      </c>
      <c r="C1619" s="8" t="s">
        <v>176</v>
      </c>
      <c r="D1619" s="8" t="n">
        <v>92</v>
      </c>
      <c r="E1619" s="7" t="s">
        <v>6772</v>
      </c>
      <c r="F1619" s="8" t="n">
        <v>5.7</v>
      </c>
      <c r="G1619" s="8" t="n">
        <v>5</v>
      </c>
      <c r="H1619" s="9" t="n">
        <v>53289</v>
      </c>
      <c r="I1619" s="7" t="s">
        <v>46</v>
      </c>
      <c r="J1619" s="7" t="s">
        <v>579</v>
      </c>
      <c r="K1619" s="7" t="s">
        <v>39</v>
      </c>
      <c r="L1619" s="10" t="s">
        <v>177</v>
      </c>
      <c r="M1619" s="10" t="s">
        <v>6773</v>
      </c>
      <c r="N1619" s="8" t="n">
        <v>0</v>
      </c>
      <c r="O1619" s="8" t="n">
        <v>0</v>
      </c>
      <c r="P1619" s="8" t="n">
        <v>0</v>
      </c>
      <c r="Q1619" s="8" t="n">
        <v>0</v>
      </c>
      <c r="R1619" s="13" t="n">
        <v>0</v>
      </c>
      <c r="S1619" s="13" t="n">
        <v>0</v>
      </c>
      <c r="T1619" s="13"/>
      <c r="U1619" s="11" t="n">
        <f aca="false">O1619*4 + P1619*2 + MAX(0,N1619-O1619-P1619)*1 + Q1619*0.2 + R1619*2 + S1619*1 + IF(T1619="",0,IF(T1619&lt;=10,8,IF(T1619&lt;=50,6,IF(T1619&lt;=100,4,2))))</f>
        <v>0</v>
      </c>
      <c r="V1619" s="7"/>
      <c r="W1619" s="7"/>
      <c r="X1619" s="13"/>
      <c r="Y1619" s="13" t="s">
        <v>6774</v>
      </c>
    </row>
    <row r="1620" customFormat="false" ht="15.75" hidden="false" customHeight="true" outlineLevel="0" collapsed="false">
      <c r="A1620" s="7" t="s">
        <v>6775</v>
      </c>
      <c r="B1620" s="8" t="n">
        <v>2013</v>
      </c>
      <c r="C1620" s="8" t="s">
        <v>176</v>
      </c>
      <c r="D1620" s="8" t="n">
        <v>103</v>
      </c>
      <c r="E1620" s="7" t="s">
        <v>6776</v>
      </c>
      <c r="F1620" s="8" t="n">
        <v>6.5</v>
      </c>
      <c r="G1620" s="8" t="n">
        <v>6</v>
      </c>
      <c r="H1620" s="9" t="n">
        <v>301419</v>
      </c>
      <c r="I1620" s="7" t="s">
        <v>153</v>
      </c>
      <c r="J1620" s="7" t="s">
        <v>112</v>
      </c>
      <c r="K1620" s="7" t="s">
        <v>54</v>
      </c>
      <c r="L1620" s="10" t="s">
        <v>238</v>
      </c>
      <c r="M1620" s="7" t="s">
        <v>6777</v>
      </c>
      <c r="N1620" s="8" t="n">
        <v>0</v>
      </c>
      <c r="O1620" s="8" t="n">
        <v>0</v>
      </c>
      <c r="P1620" s="8" t="n">
        <v>0</v>
      </c>
      <c r="Q1620" s="8" t="n">
        <v>0</v>
      </c>
      <c r="R1620" s="13" t="n">
        <v>0</v>
      </c>
      <c r="S1620" s="13" t="n">
        <v>0</v>
      </c>
      <c r="T1620" s="13"/>
      <c r="U1620" s="11" t="n">
        <f aca="false">O1620*4 + P1620*2 + MAX(0,N1620-O1620-P1620)*1 + Q1620*0.2 + R1620*2 + S1620*1 + IF(T1620="",0,IF(T1620&lt;=10,8,IF(T1620&lt;=50,6,IF(T1620&lt;=100,4,2))))</f>
        <v>0</v>
      </c>
      <c r="V1620" s="7"/>
      <c r="W1620" s="7"/>
      <c r="X1620" s="13"/>
      <c r="Y1620" s="13" t="s">
        <v>6778</v>
      </c>
    </row>
    <row r="1621" customFormat="false" ht="15.75" hidden="false" customHeight="true" outlineLevel="0" collapsed="false">
      <c r="A1621" s="7" t="s">
        <v>6779</v>
      </c>
      <c r="B1621" s="8" t="n">
        <v>2013</v>
      </c>
      <c r="C1621" s="8" t="s">
        <v>176</v>
      </c>
      <c r="D1621" s="8" t="n">
        <v>107</v>
      </c>
      <c r="E1621" s="7" t="s">
        <v>5487</v>
      </c>
      <c r="F1621" s="8" t="n">
        <v>6.6</v>
      </c>
      <c r="G1621" s="8" t="n">
        <v>5</v>
      </c>
      <c r="H1621" s="9" t="n">
        <v>458121</v>
      </c>
      <c r="I1621" s="7" t="s">
        <v>46</v>
      </c>
      <c r="J1621" s="7" t="s">
        <v>38</v>
      </c>
      <c r="K1621" s="7" t="s">
        <v>39</v>
      </c>
      <c r="L1621" s="10" t="s">
        <v>210</v>
      </c>
      <c r="M1621" s="7" t="s">
        <v>6780</v>
      </c>
      <c r="N1621" s="8" t="n">
        <v>0</v>
      </c>
      <c r="O1621" s="8" t="n">
        <v>0</v>
      </c>
      <c r="P1621" s="8" t="n">
        <v>0</v>
      </c>
      <c r="Q1621" s="8" t="n">
        <v>0</v>
      </c>
      <c r="R1621" s="13" t="n">
        <v>0</v>
      </c>
      <c r="S1621" s="13" t="n">
        <v>0</v>
      </c>
      <c r="T1621" s="13"/>
      <c r="U1621" s="11" t="n">
        <f aca="false">O1621*4 + P1621*2 + MAX(0,N1621-O1621-P1621)*1 + Q1621*0.2 + R1621*2 + S1621*1 + IF(T1621="",0,IF(T1621&lt;=10,8,IF(T1621&lt;=50,6,IF(T1621&lt;=100,4,2))))</f>
        <v>0</v>
      </c>
      <c r="V1621" s="7"/>
      <c r="W1621" s="7"/>
      <c r="X1621" s="13"/>
      <c r="Y1621" s="13" t="s">
        <v>6781</v>
      </c>
    </row>
    <row r="1622" customFormat="false" ht="15.75" hidden="false" customHeight="true" outlineLevel="0" collapsed="false">
      <c r="A1622" s="7" t="s">
        <v>6782</v>
      </c>
      <c r="B1622" s="8" t="n">
        <v>1986</v>
      </c>
      <c r="C1622" s="8" t="s">
        <v>109</v>
      </c>
      <c r="D1622" s="8" t="n">
        <v>130</v>
      </c>
      <c r="E1622" s="7" t="s">
        <v>1557</v>
      </c>
      <c r="F1622" s="8" t="n">
        <v>7.7</v>
      </c>
      <c r="G1622" s="8" t="n">
        <v>6</v>
      </c>
      <c r="H1622" s="9" t="n">
        <v>128071</v>
      </c>
      <c r="I1622" s="7" t="s">
        <v>4582</v>
      </c>
      <c r="J1622" s="7" t="s">
        <v>131</v>
      </c>
      <c r="K1622" s="7" t="s">
        <v>125</v>
      </c>
      <c r="L1622" s="10" t="s">
        <v>6783</v>
      </c>
      <c r="M1622" s="10" t="s">
        <v>6784</v>
      </c>
      <c r="N1622" s="8" t="n">
        <v>0</v>
      </c>
      <c r="O1622" s="8" t="n">
        <v>0</v>
      </c>
      <c r="P1622" s="8" t="n">
        <v>0</v>
      </c>
      <c r="Q1622" s="8" t="n">
        <v>0</v>
      </c>
      <c r="R1622" s="13" t="n">
        <v>0</v>
      </c>
      <c r="S1622" s="13" t="n">
        <v>0</v>
      </c>
      <c r="T1622" s="13"/>
      <c r="U1622" s="11" t="n">
        <f aca="false">O1622*4 + P1622*2 + MAX(0,N1622-O1622-P1622)*1 + Q1622*0.2 + R1622*2 + S1622*1 + IF(T1622="",0,IF(T1622&lt;=10,8,IF(T1622&lt;=50,6,IF(T1622&lt;=100,4,2))))</f>
        <v>0</v>
      </c>
      <c r="V1622" s="7"/>
      <c r="W1622" s="7"/>
      <c r="X1622" s="13"/>
      <c r="Y1622" s="13" t="s">
        <v>6785</v>
      </c>
    </row>
    <row r="1623" customFormat="false" ht="15.75" hidden="false" customHeight="true" outlineLevel="0" collapsed="false">
      <c r="A1623" s="7" t="s">
        <v>6786</v>
      </c>
      <c r="B1623" s="8" t="n">
        <v>1989</v>
      </c>
      <c r="C1623" s="8" t="s">
        <v>109</v>
      </c>
      <c r="D1623" s="8" t="n">
        <v>110</v>
      </c>
      <c r="E1623" s="7" t="s">
        <v>1680</v>
      </c>
      <c r="F1623" s="8" t="n">
        <v>7.4</v>
      </c>
      <c r="G1623" s="8" t="n">
        <v>9</v>
      </c>
      <c r="H1623" s="9" t="n">
        <v>4656</v>
      </c>
      <c r="I1623" s="7" t="s">
        <v>232</v>
      </c>
      <c r="J1623" s="7" t="s">
        <v>38</v>
      </c>
      <c r="K1623" s="7" t="s">
        <v>30</v>
      </c>
      <c r="L1623" s="10" t="s">
        <v>6787</v>
      </c>
      <c r="M1623" s="10" t="s">
        <v>6788</v>
      </c>
      <c r="N1623" s="8" t="n">
        <v>0</v>
      </c>
      <c r="O1623" s="8" t="n">
        <v>0</v>
      </c>
      <c r="P1623" s="8" t="n">
        <v>0</v>
      </c>
      <c r="Q1623" s="8" t="n">
        <v>0</v>
      </c>
      <c r="R1623" s="13" t="n">
        <v>0</v>
      </c>
      <c r="S1623" s="13" t="n">
        <v>0</v>
      </c>
      <c r="T1623" s="13"/>
      <c r="U1623" s="11" t="n">
        <f aca="false">O1623*4 + P1623*2 + MAX(0,N1623-O1623-P1623)*1 + Q1623*0.2 + R1623*2 + S1623*1 + IF(T1623="",0,IF(T1623&lt;=10,8,IF(T1623&lt;=50,6,IF(T1623&lt;=100,4,2))))</f>
        <v>0</v>
      </c>
      <c r="V1623" s="7"/>
      <c r="W1623" s="7"/>
      <c r="X1623" s="13"/>
      <c r="Y1623" s="13" t="s">
        <v>6789</v>
      </c>
    </row>
    <row r="1624" customFormat="false" ht="15.75" hidden="false" customHeight="true" outlineLevel="0" collapsed="false">
      <c r="A1624" s="7" t="s">
        <v>6790</v>
      </c>
      <c r="B1624" s="8" t="n">
        <v>2007</v>
      </c>
      <c r="C1624" s="8" t="s">
        <v>35</v>
      </c>
      <c r="D1624" s="8" t="n">
        <v>105</v>
      </c>
      <c r="E1624" s="7" t="s">
        <v>825</v>
      </c>
      <c r="F1624" s="8" t="n">
        <v>7.4</v>
      </c>
      <c r="G1624" s="8" t="n">
        <v>6</v>
      </c>
      <c r="H1624" s="9" t="n">
        <v>171420</v>
      </c>
      <c r="I1624" s="7" t="s">
        <v>3897</v>
      </c>
      <c r="J1624" s="7" t="s">
        <v>147</v>
      </c>
      <c r="K1624" s="7" t="s">
        <v>125</v>
      </c>
      <c r="L1624" s="10" t="s">
        <v>972</v>
      </c>
      <c r="M1624" s="10" t="s">
        <v>6791</v>
      </c>
      <c r="N1624" s="8" t="n">
        <v>0</v>
      </c>
      <c r="O1624" s="8" t="n">
        <v>0</v>
      </c>
      <c r="P1624" s="8" t="n">
        <v>0</v>
      </c>
      <c r="Q1624" s="8" t="n">
        <v>0</v>
      </c>
      <c r="R1624" s="13" t="n">
        <v>0</v>
      </c>
      <c r="S1624" s="13" t="n">
        <v>0</v>
      </c>
      <c r="T1624" s="13"/>
      <c r="U1624" s="11" t="n">
        <f aca="false">O1624*4 + P1624*2 + MAX(0,N1624-O1624-P1624)*1 + Q1624*0.2 + R1624*2 + S1624*1 + IF(T1624="",0,IF(T1624&lt;=10,8,IF(T1624&lt;=50,6,IF(T1624&lt;=100,4,2))))</f>
        <v>0</v>
      </c>
      <c r="V1624" s="7"/>
      <c r="W1624" s="7"/>
      <c r="X1624" s="13"/>
      <c r="Y1624" s="13" t="s">
        <v>6792</v>
      </c>
    </row>
    <row r="1625" customFormat="false" ht="15.75" hidden="false" customHeight="true" outlineLevel="0" collapsed="false">
      <c r="A1625" s="7" t="s">
        <v>6793</v>
      </c>
      <c r="B1625" s="8" t="n">
        <v>2009</v>
      </c>
      <c r="C1625" s="8" t="s">
        <v>35</v>
      </c>
      <c r="D1625" s="8" t="n">
        <v>93</v>
      </c>
      <c r="E1625" s="7" t="s">
        <v>6794</v>
      </c>
      <c r="F1625" s="8" t="n">
        <v>4.7</v>
      </c>
      <c r="G1625" s="8" t="n">
        <v>4</v>
      </c>
      <c r="H1625" s="9" t="n">
        <v>52429</v>
      </c>
      <c r="I1625" s="7" t="s">
        <v>46</v>
      </c>
      <c r="J1625" s="7" t="s">
        <v>30</v>
      </c>
      <c r="K1625" s="7"/>
      <c r="L1625" s="10"/>
      <c r="M1625" s="10" t="s">
        <v>6795</v>
      </c>
      <c r="N1625" s="8" t="n">
        <v>0</v>
      </c>
      <c r="O1625" s="8" t="n">
        <v>0</v>
      </c>
      <c r="P1625" s="8" t="n">
        <v>0</v>
      </c>
      <c r="Q1625" s="8" t="n">
        <v>0</v>
      </c>
      <c r="R1625" s="13" t="n">
        <v>0</v>
      </c>
      <c r="S1625" s="13" t="n">
        <v>0</v>
      </c>
      <c r="T1625" s="13"/>
      <c r="U1625" s="11" t="n">
        <f aca="false">O1625*4 + P1625*2 + MAX(0,N1625-O1625-P1625)*1 + Q1625*0.2 + R1625*2 + S1625*1 + IF(T1625="",0,IF(T1625&lt;=10,8,IF(T1625&lt;=50,6,IF(T1625&lt;=100,4,2))))</f>
        <v>0</v>
      </c>
      <c r="V1625" s="7"/>
      <c r="W1625" s="7"/>
      <c r="X1625" s="13"/>
      <c r="Y1625" s="13" t="s">
        <v>6796</v>
      </c>
    </row>
    <row r="1626" customFormat="false" ht="15.75" hidden="false" customHeight="true" outlineLevel="0" collapsed="false">
      <c r="A1626" s="7" t="s">
        <v>6797</v>
      </c>
      <c r="B1626" s="8" t="n">
        <v>2008</v>
      </c>
      <c r="C1626" s="8" t="s">
        <v>35</v>
      </c>
      <c r="D1626" s="8" t="n">
        <v>112</v>
      </c>
      <c r="E1626" s="7" t="s">
        <v>5561</v>
      </c>
      <c r="F1626" s="8" t="n">
        <v>5.3</v>
      </c>
      <c r="G1626" s="8" t="n">
        <v>4</v>
      </c>
      <c r="H1626" s="9" t="n">
        <v>181611</v>
      </c>
      <c r="I1626" s="7" t="s">
        <v>2011</v>
      </c>
      <c r="J1626" s="7" t="s">
        <v>38</v>
      </c>
      <c r="K1626" s="7" t="s">
        <v>112</v>
      </c>
      <c r="L1626" s="10" t="s">
        <v>6798</v>
      </c>
      <c r="M1626" s="10" t="s">
        <v>6799</v>
      </c>
      <c r="N1626" s="8" t="n">
        <v>0</v>
      </c>
      <c r="O1626" s="8" t="n">
        <v>0</v>
      </c>
      <c r="P1626" s="8" t="n">
        <v>0</v>
      </c>
      <c r="Q1626" s="8" t="n">
        <v>0</v>
      </c>
      <c r="R1626" s="13" t="n">
        <v>0</v>
      </c>
      <c r="S1626" s="13" t="n">
        <v>0</v>
      </c>
      <c r="T1626" s="13"/>
      <c r="U1626" s="11" t="n">
        <f aca="false">O1626*4 + P1626*2 + MAX(0,N1626-O1626-P1626)*1 + Q1626*0.2 + R1626*2 + S1626*1 + IF(T1626="",0,IF(T1626&lt;=10,8,IF(T1626&lt;=50,6,IF(T1626&lt;=100,4,2))))</f>
        <v>0</v>
      </c>
      <c r="V1626" s="7"/>
      <c r="W1626" s="7"/>
      <c r="X1626" s="13"/>
      <c r="Y1626" s="13" t="s">
        <v>6800</v>
      </c>
    </row>
    <row r="1627" customFormat="false" ht="15.75" hidden="false" customHeight="true" outlineLevel="0" collapsed="false">
      <c r="A1627" s="7" t="s">
        <v>6801</v>
      </c>
      <c r="B1627" s="8" t="n">
        <v>2013</v>
      </c>
      <c r="C1627" s="8" t="s">
        <v>176</v>
      </c>
      <c r="D1627" s="8" t="n">
        <v>100</v>
      </c>
      <c r="E1627" s="7" t="s">
        <v>6802</v>
      </c>
      <c r="F1627" s="8" t="n">
        <v>6.2</v>
      </c>
      <c r="G1627" s="8" t="n">
        <v>3</v>
      </c>
      <c r="H1627" s="9" t="n">
        <v>201854</v>
      </c>
      <c r="I1627" s="7" t="s">
        <v>6803</v>
      </c>
      <c r="J1627" s="7" t="s">
        <v>147</v>
      </c>
      <c r="K1627" s="7" t="s">
        <v>38</v>
      </c>
      <c r="L1627" s="10"/>
      <c r="M1627" s="10" t="s">
        <v>6804</v>
      </c>
      <c r="N1627" s="8" t="n">
        <v>0</v>
      </c>
      <c r="O1627" s="8" t="n">
        <v>0</v>
      </c>
      <c r="P1627" s="8" t="n">
        <v>0</v>
      </c>
      <c r="Q1627" s="8" t="n">
        <v>0</v>
      </c>
      <c r="R1627" s="13" t="n">
        <v>0</v>
      </c>
      <c r="S1627" s="13" t="n">
        <v>0</v>
      </c>
      <c r="T1627" s="13"/>
      <c r="U1627" s="11" t="n">
        <f aca="false">O1627*4 + P1627*2 + MAX(0,N1627-O1627-P1627)*1 + Q1627*0.2 + R1627*2 + S1627*1 + IF(T1627="",0,IF(T1627&lt;=10,8,IF(T1627&lt;=50,6,IF(T1627&lt;=100,4,2))))</f>
        <v>0</v>
      </c>
      <c r="V1627" s="7"/>
      <c r="W1627" s="7"/>
      <c r="X1627" s="13"/>
      <c r="Y1627" s="13" t="s">
        <v>6805</v>
      </c>
    </row>
    <row r="1628" customFormat="false" ht="15.75" hidden="false" customHeight="true" outlineLevel="0" collapsed="false">
      <c r="A1628" s="7" t="s">
        <v>6806</v>
      </c>
      <c r="B1628" s="8" t="n">
        <v>2011</v>
      </c>
      <c r="C1628" s="8" t="s">
        <v>176</v>
      </c>
      <c r="D1628" s="8" t="n">
        <v>127</v>
      </c>
      <c r="E1628" s="7" t="s">
        <v>6807</v>
      </c>
      <c r="F1628" s="8" t="n">
        <v>7.3</v>
      </c>
      <c r="G1628" s="8" t="n">
        <v>8</v>
      </c>
      <c r="H1628" s="9" t="n">
        <v>16406</v>
      </c>
      <c r="I1628" s="7" t="s">
        <v>219</v>
      </c>
      <c r="J1628" s="7" t="s">
        <v>47</v>
      </c>
      <c r="K1628" s="7" t="s">
        <v>54</v>
      </c>
      <c r="L1628" s="10" t="s">
        <v>113</v>
      </c>
      <c r="M1628" s="10" t="s">
        <v>6808</v>
      </c>
      <c r="N1628" s="8" t="n">
        <v>0</v>
      </c>
      <c r="O1628" s="8" t="n">
        <v>0</v>
      </c>
      <c r="P1628" s="8" t="n">
        <v>0</v>
      </c>
      <c r="Q1628" s="8" t="n">
        <v>0</v>
      </c>
      <c r="R1628" s="13" t="n">
        <v>0</v>
      </c>
      <c r="S1628" s="13" t="n">
        <v>0</v>
      </c>
      <c r="T1628" s="13"/>
      <c r="U1628" s="11" t="n">
        <f aca="false">O1628*4 + P1628*2 + MAX(0,N1628-O1628-P1628)*1 + Q1628*0.2 + R1628*2 + S1628*1 + IF(T1628="",0,IF(T1628&lt;=10,8,IF(T1628&lt;=50,6,IF(T1628&lt;=100,4,2))))</f>
        <v>0</v>
      </c>
      <c r="V1628" s="7"/>
      <c r="W1628" s="7"/>
      <c r="X1628" s="13"/>
      <c r="Y1628" s="13" t="s">
        <v>6809</v>
      </c>
    </row>
    <row r="1629" customFormat="false" ht="15.75" hidden="false" customHeight="true" outlineLevel="0" collapsed="false">
      <c r="A1629" s="7" t="s">
        <v>6810</v>
      </c>
      <c r="B1629" s="8" t="n">
        <v>2009</v>
      </c>
      <c r="C1629" s="8" t="s">
        <v>35</v>
      </c>
      <c r="D1629" s="8" t="n">
        <v>106</v>
      </c>
      <c r="E1629" s="7" t="s">
        <v>911</v>
      </c>
      <c r="F1629" s="8" t="n">
        <v>6.4</v>
      </c>
      <c r="G1629" s="8" t="n">
        <v>5</v>
      </c>
      <c r="H1629" s="9" t="n">
        <v>218476</v>
      </c>
      <c r="I1629" s="7" t="s">
        <v>46</v>
      </c>
      <c r="J1629" s="7" t="s">
        <v>131</v>
      </c>
      <c r="K1629" s="7" t="s">
        <v>54</v>
      </c>
      <c r="L1629" s="10" t="s">
        <v>6811</v>
      </c>
      <c r="M1629" s="10" t="s">
        <v>6812</v>
      </c>
      <c r="N1629" s="8" t="n">
        <v>0</v>
      </c>
      <c r="O1629" s="8" t="n">
        <v>0</v>
      </c>
      <c r="P1629" s="8" t="n">
        <v>0</v>
      </c>
      <c r="Q1629" s="8" t="n">
        <v>0</v>
      </c>
      <c r="R1629" s="13" t="n">
        <v>0</v>
      </c>
      <c r="S1629" s="13" t="n">
        <v>0</v>
      </c>
      <c r="T1629" s="13"/>
      <c r="U1629" s="11" t="n">
        <f aca="false">O1629*4 + P1629*2 + MAX(0,N1629-O1629-P1629)*1 + Q1629*0.2 + R1629*2 + S1629*1 + IF(T1629="",0,IF(T1629&lt;=10,8,IF(T1629&lt;=50,6,IF(T1629&lt;=100,4,2))))</f>
        <v>0</v>
      </c>
      <c r="V1629" s="7"/>
      <c r="W1629" s="7"/>
      <c r="X1629" s="13"/>
      <c r="Y1629" s="13" t="s">
        <v>6813</v>
      </c>
    </row>
    <row r="1630" customFormat="false" ht="15.75" hidden="false" customHeight="true" outlineLevel="0" collapsed="false">
      <c r="A1630" s="7" t="s">
        <v>6814</v>
      </c>
      <c r="B1630" s="8" t="n">
        <v>2013</v>
      </c>
      <c r="C1630" s="8" t="s">
        <v>176</v>
      </c>
      <c r="D1630" s="8" t="n">
        <v>124</v>
      </c>
      <c r="E1630" s="7" t="s">
        <v>2665</v>
      </c>
      <c r="F1630" s="8" t="n">
        <v>7</v>
      </c>
      <c r="G1630" s="8" t="n">
        <v>5</v>
      </c>
      <c r="H1630" s="9" t="n">
        <v>589448</v>
      </c>
      <c r="I1630" s="7" t="s">
        <v>46</v>
      </c>
      <c r="J1630" s="7" t="s">
        <v>111</v>
      </c>
      <c r="K1630" s="7" t="s">
        <v>3973</v>
      </c>
      <c r="L1630" s="10"/>
      <c r="M1630" s="7" t="s">
        <v>6815</v>
      </c>
      <c r="N1630" s="8" t="n">
        <v>0</v>
      </c>
      <c r="O1630" s="8" t="n">
        <v>0</v>
      </c>
      <c r="P1630" s="8" t="n">
        <v>0</v>
      </c>
      <c r="Q1630" s="8" t="n">
        <v>0</v>
      </c>
      <c r="R1630" s="13" t="n">
        <v>0</v>
      </c>
      <c r="S1630" s="13" t="n">
        <v>0</v>
      </c>
      <c r="T1630" s="13"/>
      <c r="U1630" s="11" t="n">
        <f aca="false">O1630*4 + P1630*2 + MAX(0,N1630-O1630-P1630)*1 + Q1630*0.2 + R1630*2 + S1630*1 + IF(T1630="",0,IF(T1630&lt;=10,8,IF(T1630&lt;=50,6,IF(T1630&lt;=100,4,2))))</f>
        <v>0</v>
      </c>
      <c r="V1630" s="7"/>
      <c r="W1630" s="7"/>
      <c r="X1630" s="13"/>
      <c r="Y1630" s="13" t="s">
        <v>6816</v>
      </c>
    </row>
    <row r="1631" customFormat="false" ht="15.75" hidden="false" customHeight="true" outlineLevel="0" collapsed="false">
      <c r="A1631" s="7" t="s">
        <v>6817</v>
      </c>
      <c r="B1631" s="8" t="n">
        <v>2013</v>
      </c>
      <c r="C1631" s="8" t="s">
        <v>176</v>
      </c>
      <c r="D1631" s="8" t="n">
        <v>98</v>
      </c>
      <c r="E1631" s="7" t="s">
        <v>6818</v>
      </c>
      <c r="F1631" s="8" t="n">
        <v>7.1</v>
      </c>
      <c r="G1631" s="8" t="n">
        <v>6</v>
      </c>
      <c r="H1631" s="9" t="n">
        <v>254145</v>
      </c>
      <c r="I1631" s="7" t="s">
        <v>46</v>
      </c>
      <c r="J1631" s="7" t="s">
        <v>579</v>
      </c>
      <c r="K1631" s="7" t="s">
        <v>39</v>
      </c>
      <c r="L1631" s="10" t="s">
        <v>6819</v>
      </c>
      <c r="M1631" s="10" t="s">
        <v>6820</v>
      </c>
      <c r="N1631" s="8" t="n">
        <v>0</v>
      </c>
      <c r="O1631" s="8" t="n">
        <v>0</v>
      </c>
      <c r="P1631" s="8" t="n">
        <v>0</v>
      </c>
      <c r="Q1631" s="8" t="n">
        <v>1</v>
      </c>
      <c r="R1631" s="8" t="n">
        <v>0</v>
      </c>
      <c r="S1631" s="8" t="n">
        <v>0</v>
      </c>
      <c r="T1631" s="13"/>
      <c r="U1631" s="11" t="n">
        <f aca="false">O1631*4 + P1631*2 + MAX(0,N1631-O1631-P1631)*1 + Q1631*0.2 + R1631*2 + S1631*1 + IF(T1631="",0,IF(T1631&lt;=10,8,IF(T1631&lt;=50,6,IF(T1631&lt;=100,4,2))))</f>
        <v>0.2</v>
      </c>
      <c r="V1631" s="7"/>
      <c r="W1631" s="7"/>
      <c r="X1631" s="13"/>
      <c r="Y1631" s="13" t="s">
        <v>6821</v>
      </c>
    </row>
    <row r="1632" customFormat="false" ht="15.75" hidden="false" customHeight="true" outlineLevel="0" collapsed="false">
      <c r="A1632" s="7" t="s">
        <v>6822</v>
      </c>
      <c r="B1632" s="8" t="n">
        <v>2005</v>
      </c>
      <c r="C1632" s="8" t="s">
        <v>35</v>
      </c>
      <c r="D1632" s="8" t="n">
        <v>116</v>
      </c>
      <c r="E1632" s="7" t="s">
        <v>5869</v>
      </c>
      <c r="F1632" s="8" t="n">
        <v>7.1</v>
      </c>
      <c r="G1632" s="8" t="n">
        <v>7</v>
      </c>
      <c r="H1632" s="9" t="n">
        <v>506221</v>
      </c>
      <c r="I1632" s="7" t="s">
        <v>46</v>
      </c>
      <c r="J1632" s="7" t="s">
        <v>29</v>
      </c>
      <c r="K1632" s="7" t="s">
        <v>30</v>
      </c>
      <c r="L1632" s="10" t="s">
        <v>5389</v>
      </c>
      <c r="M1632" s="7" t="s">
        <v>6823</v>
      </c>
      <c r="N1632" s="8" t="n">
        <v>0</v>
      </c>
      <c r="O1632" s="8" t="n">
        <v>0</v>
      </c>
      <c r="P1632" s="8" t="n">
        <v>0</v>
      </c>
      <c r="Q1632" s="8" t="n">
        <v>0</v>
      </c>
      <c r="R1632" s="13" t="n">
        <v>0</v>
      </c>
      <c r="S1632" s="13" t="n">
        <v>0</v>
      </c>
      <c r="T1632" s="13"/>
      <c r="U1632" s="11" t="n">
        <f aca="false">O1632*4 + P1632*2 + MAX(0,N1632-O1632-P1632)*1 + Q1632*0.2 + R1632*2 + S1632*1 + IF(T1632="",0,IF(T1632&lt;=10,8,IF(T1632&lt;=50,6,IF(T1632&lt;=100,4,2))))</f>
        <v>0</v>
      </c>
      <c r="V1632" s="7"/>
      <c r="W1632" s="7"/>
      <c r="X1632" s="13"/>
      <c r="Y1632" s="13" t="s">
        <v>6824</v>
      </c>
    </row>
    <row r="1633" customFormat="false" ht="15.75" hidden="false" customHeight="true" outlineLevel="0" collapsed="false">
      <c r="A1633" s="7" t="s">
        <v>6825</v>
      </c>
      <c r="B1633" s="8" t="n">
        <v>2001</v>
      </c>
      <c r="C1633" s="8" t="s">
        <v>35</v>
      </c>
      <c r="D1633" s="8" t="n">
        <v>83</v>
      </c>
      <c r="E1633" s="7" t="s">
        <v>6491</v>
      </c>
      <c r="F1633" s="8" t="n">
        <v>5.4</v>
      </c>
      <c r="G1633" s="8" t="n">
        <v>8</v>
      </c>
      <c r="H1633" s="9" t="n">
        <v>199353</v>
      </c>
      <c r="I1633" s="7" t="s">
        <v>2168</v>
      </c>
      <c r="J1633" s="7" t="s">
        <v>147</v>
      </c>
      <c r="K1633" s="7" t="s">
        <v>1685</v>
      </c>
      <c r="L1633" s="10" t="s">
        <v>6654</v>
      </c>
      <c r="M1633" s="10" t="s">
        <v>6826</v>
      </c>
      <c r="N1633" s="8" t="n">
        <v>0</v>
      </c>
      <c r="O1633" s="8" t="n">
        <v>0</v>
      </c>
      <c r="P1633" s="8" t="n">
        <v>0</v>
      </c>
      <c r="Q1633" s="8" t="n">
        <v>0</v>
      </c>
      <c r="R1633" s="13" t="n">
        <v>0</v>
      </c>
      <c r="S1633" s="13" t="n">
        <v>0</v>
      </c>
      <c r="T1633" s="13"/>
      <c r="U1633" s="11" t="n">
        <f aca="false">O1633*4 + P1633*2 + MAX(0,N1633-O1633-P1633)*1 + Q1633*0.2 + R1633*2 + S1633*1 + IF(T1633="",0,IF(T1633&lt;=10,8,IF(T1633&lt;=50,6,IF(T1633&lt;=100,4,2))))</f>
        <v>0</v>
      </c>
      <c r="V1633" s="7"/>
      <c r="W1633" s="7"/>
      <c r="X1633" s="13"/>
      <c r="Y1633" s="13" t="s">
        <v>6827</v>
      </c>
    </row>
    <row r="1634" customFormat="false" ht="15.75" hidden="false" customHeight="true" outlineLevel="0" collapsed="false">
      <c r="A1634" s="7" t="s">
        <v>6828</v>
      </c>
      <c r="B1634" s="8" t="n">
        <v>2003</v>
      </c>
      <c r="C1634" s="8" t="s">
        <v>35</v>
      </c>
      <c r="D1634" s="8" t="n">
        <v>84</v>
      </c>
      <c r="E1634" s="7" t="s">
        <v>6829</v>
      </c>
      <c r="F1634" s="8" t="n">
        <v>5.6</v>
      </c>
      <c r="G1634" s="8" t="n">
        <v>9</v>
      </c>
      <c r="H1634" s="9" t="n">
        <v>176622</v>
      </c>
      <c r="I1634" s="7" t="s">
        <v>46</v>
      </c>
      <c r="J1634" s="7" t="s">
        <v>30</v>
      </c>
      <c r="K1634" s="7"/>
      <c r="L1634" s="10" t="s">
        <v>6654</v>
      </c>
      <c r="M1634" s="10" t="s">
        <v>6830</v>
      </c>
      <c r="N1634" s="8" t="n">
        <v>0</v>
      </c>
      <c r="O1634" s="8" t="n">
        <v>0</v>
      </c>
      <c r="P1634" s="8" t="n">
        <v>0</v>
      </c>
      <c r="Q1634" s="8" t="n">
        <v>0</v>
      </c>
      <c r="R1634" s="13" t="n">
        <v>0</v>
      </c>
      <c r="S1634" s="13" t="n">
        <v>0</v>
      </c>
      <c r="T1634" s="13"/>
      <c r="U1634" s="11" t="n">
        <f aca="false">O1634*4 + P1634*2 + MAX(0,N1634-O1634-P1634)*1 + Q1634*0.2 + R1634*2 + S1634*1 + IF(T1634="",0,IF(T1634&lt;=10,8,IF(T1634&lt;=50,6,IF(T1634&lt;=100,4,2))))</f>
        <v>0</v>
      </c>
      <c r="V1634" s="7"/>
      <c r="W1634" s="7"/>
      <c r="X1634" s="13"/>
      <c r="Y1634" s="13" t="s">
        <v>6831</v>
      </c>
    </row>
    <row r="1635" customFormat="false" ht="15.75" hidden="false" customHeight="true" outlineLevel="0" collapsed="false">
      <c r="A1635" s="7" t="s">
        <v>6832</v>
      </c>
      <c r="B1635" s="8" t="n">
        <v>2006</v>
      </c>
      <c r="C1635" s="8" t="s">
        <v>35</v>
      </c>
      <c r="D1635" s="8" t="n">
        <v>83</v>
      </c>
      <c r="E1635" s="7" t="s">
        <v>6829</v>
      </c>
      <c r="F1635" s="8" t="n">
        <v>5.1</v>
      </c>
      <c r="G1635" s="8" t="n">
        <v>6</v>
      </c>
      <c r="H1635" s="9" t="n">
        <v>143199</v>
      </c>
      <c r="I1635" s="7" t="s">
        <v>46</v>
      </c>
      <c r="J1635" s="7" t="s">
        <v>30</v>
      </c>
      <c r="K1635" s="7" t="s">
        <v>6007</v>
      </c>
      <c r="L1635" s="10" t="s">
        <v>177</v>
      </c>
      <c r="M1635" s="10" t="s">
        <v>6833</v>
      </c>
      <c r="N1635" s="8" t="n">
        <v>0</v>
      </c>
      <c r="O1635" s="8" t="n">
        <v>0</v>
      </c>
      <c r="P1635" s="8" t="n">
        <v>0</v>
      </c>
      <c r="Q1635" s="8" t="n">
        <v>0</v>
      </c>
      <c r="R1635" s="13" t="n">
        <v>0</v>
      </c>
      <c r="S1635" s="13" t="n">
        <v>0</v>
      </c>
      <c r="T1635" s="13"/>
      <c r="U1635" s="11" t="n">
        <f aca="false">O1635*4 + P1635*2 + MAX(0,N1635-O1635-P1635)*1 + Q1635*0.2 + R1635*2 + S1635*1 + IF(T1635="",0,IF(T1635&lt;=10,8,IF(T1635&lt;=50,6,IF(T1635&lt;=100,4,2))))</f>
        <v>0</v>
      </c>
      <c r="V1635" s="7"/>
      <c r="W1635" s="7"/>
      <c r="X1635" s="13"/>
      <c r="Y1635" s="13" t="s">
        <v>6834</v>
      </c>
    </row>
    <row r="1636" customFormat="false" ht="15.75" hidden="false" customHeight="true" outlineLevel="0" collapsed="false">
      <c r="A1636" s="7" t="s">
        <v>6835</v>
      </c>
      <c r="B1636" s="8" t="n">
        <v>2006</v>
      </c>
      <c r="C1636" s="8" t="s">
        <v>35</v>
      </c>
      <c r="D1636" s="8" t="n">
        <v>118</v>
      </c>
      <c r="E1636" s="7" t="s">
        <v>6836</v>
      </c>
      <c r="F1636" s="8" t="n">
        <v>6.6</v>
      </c>
      <c r="G1636" s="8" t="n">
        <v>4</v>
      </c>
      <c r="H1636" s="9" t="n">
        <v>27610</v>
      </c>
      <c r="I1636" s="7" t="s">
        <v>46</v>
      </c>
      <c r="J1636" s="7" t="s">
        <v>90</v>
      </c>
      <c r="K1636" s="7" t="s">
        <v>47</v>
      </c>
      <c r="L1636" s="10"/>
      <c r="M1636" s="10" t="s">
        <v>6837</v>
      </c>
      <c r="N1636" s="8" t="n">
        <v>0</v>
      </c>
      <c r="O1636" s="8" t="n">
        <v>0</v>
      </c>
      <c r="P1636" s="8" t="n">
        <v>0</v>
      </c>
      <c r="Q1636" s="8" t="n">
        <v>0</v>
      </c>
      <c r="R1636" s="13" t="n">
        <v>0</v>
      </c>
      <c r="S1636" s="13" t="n">
        <v>0</v>
      </c>
      <c r="T1636" s="13"/>
      <c r="U1636" s="11" t="n">
        <f aca="false">O1636*4 + P1636*2 + MAX(0,N1636-O1636-P1636)*1 + Q1636*0.2 + R1636*2 + S1636*1 + IF(T1636="",0,IF(T1636&lt;=10,8,IF(T1636&lt;=50,6,IF(T1636&lt;=100,4,2))))</f>
        <v>0</v>
      </c>
      <c r="V1636" s="7"/>
      <c r="W1636" s="7"/>
      <c r="X1636" s="13"/>
      <c r="Y1636" s="13" t="s">
        <v>6838</v>
      </c>
    </row>
    <row r="1637" customFormat="false" ht="15.75" hidden="false" customHeight="true" outlineLevel="0" collapsed="false">
      <c r="A1637" s="7" t="s">
        <v>6839</v>
      </c>
      <c r="B1637" s="8" t="n">
        <v>1984</v>
      </c>
      <c r="C1637" s="8" t="s">
        <v>109</v>
      </c>
      <c r="D1637" s="8" t="n">
        <v>114</v>
      </c>
      <c r="E1637" s="7" t="s">
        <v>6840</v>
      </c>
      <c r="F1637" s="8" t="n">
        <v>6.4</v>
      </c>
      <c r="G1637" s="8" t="n">
        <v>4</v>
      </c>
      <c r="H1637" s="9" t="n">
        <v>69343</v>
      </c>
      <c r="I1637" s="7" t="s">
        <v>46</v>
      </c>
      <c r="J1637" s="7" t="s">
        <v>131</v>
      </c>
      <c r="K1637" s="7" t="s">
        <v>112</v>
      </c>
      <c r="L1637" s="10" t="s">
        <v>113</v>
      </c>
      <c r="M1637" s="10" t="s">
        <v>6841</v>
      </c>
      <c r="N1637" s="8" t="n">
        <v>0</v>
      </c>
      <c r="O1637" s="8" t="n">
        <v>0</v>
      </c>
      <c r="P1637" s="8" t="n">
        <v>0</v>
      </c>
      <c r="Q1637" s="8" t="n">
        <v>0</v>
      </c>
      <c r="R1637" s="13" t="n">
        <v>0</v>
      </c>
      <c r="S1637" s="13" t="n">
        <v>0</v>
      </c>
      <c r="T1637" s="13"/>
      <c r="U1637" s="11" t="n">
        <f aca="false">O1637*4 + P1637*2 + MAX(0,N1637-O1637-P1637)*1 + Q1637*0.2 + R1637*2 + S1637*1 + IF(T1637="",0,IF(T1637&lt;=10,8,IF(T1637&lt;=50,6,IF(T1637&lt;=100,4,2))))</f>
        <v>0</v>
      </c>
      <c r="V1637" s="7"/>
      <c r="W1637" s="7"/>
      <c r="X1637" s="13"/>
      <c r="Y1637" s="13" t="s">
        <v>6842</v>
      </c>
    </row>
    <row r="1638" customFormat="false" ht="15.75" hidden="false" customHeight="true" outlineLevel="0" collapsed="false">
      <c r="A1638" s="7" t="s">
        <v>6843</v>
      </c>
      <c r="B1638" s="8" t="n">
        <v>2001</v>
      </c>
      <c r="C1638" s="8" t="s">
        <v>35</v>
      </c>
      <c r="D1638" s="8" t="n">
        <v>115</v>
      </c>
      <c r="E1638" s="7" t="s">
        <v>6844</v>
      </c>
      <c r="F1638" s="8" t="n">
        <v>6.4</v>
      </c>
      <c r="G1638" s="8" t="n">
        <v>4</v>
      </c>
      <c r="H1638" s="9" t="n">
        <v>184876</v>
      </c>
      <c r="I1638" s="7" t="s">
        <v>46</v>
      </c>
      <c r="J1638" s="7" t="s">
        <v>29</v>
      </c>
      <c r="K1638" s="7" t="s">
        <v>259</v>
      </c>
      <c r="L1638" s="10" t="s">
        <v>177</v>
      </c>
      <c r="M1638" s="10" t="s">
        <v>6845</v>
      </c>
      <c r="N1638" s="8" t="n">
        <v>0</v>
      </c>
      <c r="O1638" s="8" t="n">
        <v>0</v>
      </c>
      <c r="P1638" s="8" t="n">
        <v>0</v>
      </c>
      <c r="Q1638" s="8" t="n">
        <v>0</v>
      </c>
      <c r="R1638" s="13" t="n">
        <v>0</v>
      </c>
      <c r="S1638" s="13" t="n">
        <v>0</v>
      </c>
      <c r="T1638" s="13"/>
      <c r="U1638" s="11" t="n">
        <f aca="false">O1638*4 + P1638*2 + MAX(0,N1638-O1638-P1638)*1 + Q1638*0.2 + R1638*2 + S1638*1 + IF(T1638="",0,IF(T1638&lt;=10,8,IF(T1638&lt;=50,6,IF(T1638&lt;=100,4,2))))</f>
        <v>0</v>
      </c>
      <c r="V1638" s="7"/>
      <c r="W1638" s="7"/>
      <c r="X1638" s="13"/>
      <c r="Y1638" s="13" t="s">
        <v>6846</v>
      </c>
    </row>
    <row r="1639" customFormat="false" ht="15.75" hidden="false" customHeight="true" outlineLevel="0" collapsed="false">
      <c r="A1639" s="7" t="s">
        <v>6847</v>
      </c>
      <c r="B1639" s="8" t="n">
        <v>2003</v>
      </c>
      <c r="C1639" s="8" t="s">
        <v>35</v>
      </c>
      <c r="D1639" s="8" t="n">
        <v>105</v>
      </c>
      <c r="E1639" s="7" t="s">
        <v>6064</v>
      </c>
      <c r="F1639" s="8" t="n">
        <v>5.6</v>
      </c>
      <c r="G1639" s="8" t="n">
        <v>6</v>
      </c>
      <c r="H1639" s="9" t="n">
        <v>41417</v>
      </c>
      <c r="I1639" s="7" t="s">
        <v>46</v>
      </c>
      <c r="J1639" s="7" t="s">
        <v>30</v>
      </c>
      <c r="K1639" s="7"/>
      <c r="L1639" s="10" t="s">
        <v>177</v>
      </c>
      <c r="M1639" s="10" t="s">
        <v>6848</v>
      </c>
      <c r="N1639" s="8" t="n">
        <v>0</v>
      </c>
      <c r="O1639" s="8" t="n">
        <v>0</v>
      </c>
      <c r="P1639" s="8" t="n">
        <v>0</v>
      </c>
      <c r="Q1639" s="8" t="n">
        <v>0</v>
      </c>
      <c r="R1639" s="13" t="n">
        <v>0</v>
      </c>
      <c r="S1639" s="13" t="n">
        <v>0</v>
      </c>
      <c r="T1639" s="13"/>
      <c r="U1639" s="11" t="n">
        <f aca="false">O1639*4 + P1639*2 + MAX(0,N1639-O1639-P1639)*1 + Q1639*0.2 + R1639*2 + S1639*1 + IF(T1639="",0,IF(T1639&lt;=10,8,IF(T1639&lt;=50,6,IF(T1639&lt;=100,4,2))))</f>
        <v>0</v>
      </c>
      <c r="V1639" s="7"/>
      <c r="W1639" s="7"/>
      <c r="X1639" s="13"/>
      <c r="Y1639" s="13" t="s">
        <v>6849</v>
      </c>
    </row>
    <row r="1640" customFormat="false" ht="15.75" hidden="false" customHeight="true" outlineLevel="0" collapsed="false">
      <c r="A1640" s="7" t="s">
        <v>6850</v>
      </c>
      <c r="B1640" s="8" t="n">
        <v>2011</v>
      </c>
      <c r="C1640" s="8" t="s">
        <v>176</v>
      </c>
      <c r="D1640" s="8" t="n">
        <v>92</v>
      </c>
      <c r="E1640" s="7" t="s">
        <v>5603</v>
      </c>
      <c r="F1640" s="8" t="n">
        <v>5.7</v>
      </c>
      <c r="G1640" s="8" t="n">
        <v>4</v>
      </c>
      <c r="H1640" s="9" t="n">
        <v>224256</v>
      </c>
      <c r="I1640" s="7" t="s">
        <v>46</v>
      </c>
      <c r="J1640" s="7" t="s">
        <v>29</v>
      </c>
      <c r="K1640" s="7" t="s">
        <v>30</v>
      </c>
      <c r="L1640" s="10" t="s">
        <v>83</v>
      </c>
      <c r="M1640" s="10" t="s">
        <v>6851</v>
      </c>
      <c r="N1640" s="8" t="n">
        <v>0</v>
      </c>
      <c r="O1640" s="8" t="n">
        <v>0</v>
      </c>
      <c r="P1640" s="8" t="n">
        <v>0</v>
      </c>
      <c r="Q1640" s="8" t="n">
        <v>0</v>
      </c>
      <c r="R1640" s="13" t="n">
        <v>0</v>
      </c>
      <c r="S1640" s="13" t="n">
        <v>0</v>
      </c>
      <c r="T1640" s="13"/>
      <c r="U1640" s="11" t="n">
        <f aca="false">O1640*4 + P1640*2 + MAX(0,N1640-O1640-P1640)*1 + Q1640*0.2 + R1640*2 + S1640*1 + IF(T1640="",0,IF(T1640&lt;=10,8,IF(T1640&lt;=50,6,IF(T1640&lt;=100,4,2))))</f>
        <v>0</v>
      </c>
      <c r="V1640" s="7"/>
      <c r="W1640" s="7"/>
      <c r="X1640" s="13"/>
      <c r="Y1640" s="13" t="s">
        <v>6852</v>
      </c>
    </row>
    <row r="1641" customFormat="false" ht="15.75" hidden="false" customHeight="true" outlineLevel="0" collapsed="false">
      <c r="A1641" s="7" t="s">
        <v>6853</v>
      </c>
      <c r="B1641" s="8" t="n">
        <v>2006</v>
      </c>
      <c r="C1641" s="8" t="s">
        <v>35</v>
      </c>
      <c r="D1641" s="8" t="n">
        <v>93</v>
      </c>
      <c r="E1641" s="7" t="s">
        <v>6854</v>
      </c>
      <c r="F1641" s="8" t="n">
        <v>5.7</v>
      </c>
      <c r="G1641" s="8" t="n">
        <v>3</v>
      </c>
      <c r="H1641" s="9" t="n">
        <v>39228</v>
      </c>
      <c r="I1641" s="7" t="s">
        <v>6855</v>
      </c>
      <c r="J1641" s="7" t="s">
        <v>112</v>
      </c>
      <c r="K1641" s="7" t="s">
        <v>132</v>
      </c>
      <c r="L1641" s="10"/>
      <c r="M1641" s="10" t="s">
        <v>6856</v>
      </c>
      <c r="N1641" s="8" t="n">
        <v>0</v>
      </c>
      <c r="O1641" s="8" t="n">
        <v>0</v>
      </c>
      <c r="P1641" s="8" t="n">
        <v>0</v>
      </c>
      <c r="Q1641" s="8" t="n">
        <v>0</v>
      </c>
      <c r="R1641" s="13" t="n">
        <v>0</v>
      </c>
      <c r="S1641" s="13" t="n">
        <v>0</v>
      </c>
      <c r="T1641" s="13"/>
      <c r="U1641" s="11" t="n">
        <f aca="false">O1641*4 + P1641*2 + MAX(0,N1641-O1641-P1641)*1 + Q1641*0.2 + R1641*2 + S1641*1 + IF(T1641="",0,IF(T1641&lt;=10,8,IF(T1641&lt;=50,6,IF(T1641&lt;=100,4,2))))</f>
        <v>0</v>
      </c>
      <c r="V1641" s="7"/>
      <c r="W1641" s="7"/>
      <c r="X1641" s="13"/>
      <c r="Y1641" s="13" t="s">
        <v>6857</v>
      </c>
    </row>
    <row r="1642" customFormat="false" ht="15.75" hidden="false" customHeight="true" outlineLevel="0" collapsed="false">
      <c r="A1642" s="7" t="s">
        <v>6858</v>
      </c>
      <c r="B1642" s="8" t="n">
        <v>1970</v>
      </c>
      <c r="C1642" s="8" t="s">
        <v>61</v>
      </c>
      <c r="D1642" s="8" t="n">
        <v>78</v>
      </c>
      <c r="E1642" s="7" t="s">
        <v>6859</v>
      </c>
      <c r="F1642" s="8" t="n">
        <v>7.1</v>
      </c>
      <c r="G1642" s="8" t="n">
        <v>7</v>
      </c>
      <c r="H1642" s="9" t="n">
        <v>126379</v>
      </c>
      <c r="I1642" s="7" t="s">
        <v>46</v>
      </c>
      <c r="J1642" s="7" t="s">
        <v>579</v>
      </c>
      <c r="K1642" s="7" t="s">
        <v>39</v>
      </c>
      <c r="L1642" s="10" t="s">
        <v>177</v>
      </c>
      <c r="M1642" s="10" t="s">
        <v>6860</v>
      </c>
      <c r="N1642" s="8" t="n">
        <v>0</v>
      </c>
      <c r="O1642" s="8" t="n">
        <v>0</v>
      </c>
      <c r="P1642" s="8" t="n">
        <v>0</v>
      </c>
      <c r="Q1642" s="8" t="n">
        <v>0</v>
      </c>
      <c r="R1642" s="13" t="n">
        <v>0</v>
      </c>
      <c r="S1642" s="13" t="n">
        <v>0</v>
      </c>
      <c r="T1642" s="13"/>
      <c r="U1642" s="11" t="n">
        <f aca="false">O1642*4 + P1642*2 + MAX(0,N1642-O1642-P1642)*1 + Q1642*0.2 + R1642*2 + S1642*1 + IF(T1642="",0,IF(T1642&lt;=10,8,IF(T1642&lt;=50,6,IF(T1642&lt;=100,4,2))))</f>
        <v>0</v>
      </c>
      <c r="V1642" s="7"/>
      <c r="W1642" s="7"/>
      <c r="X1642" s="13"/>
      <c r="Y1642" s="13" t="s">
        <v>6861</v>
      </c>
    </row>
    <row r="1643" customFormat="false" ht="15.75" hidden="false" customHeight="true" outlineLevel="0" collapsed="false">
      <c r="A1643" s="7" t="s">
        <v>6862</v>
      </c>
      <c r="B1643" s="8" t="n">
        <v>1967</v>
      </c>
      <c r="C1643" s="8" t="s">
        <v>122</v>
      </c>
      <c r="D1643" s="8" t="n">
        <v>78</v>
      </c>
      <c r="E1643" s="7" t="s">
        <v>6859</v>
      </c>
      <c r="F1643" s="8" t="n">
        <v>7.6</v>
      </c>
      <c r="G1643" s="8" t="n">
        <v>8</v>
      </c>
      <c r="H1643" s="9" t="n">
        <v>214919</v>
      </c>
      <c r="I1643" s="7" t="s">
        <v>46</v>
      </c>
      <c r="J1643" s="7" t="s">
        <v>579</v>
      </c>
      <c r="K1643" s="7" t="s">
        <v>39</v>
      </c>
      <c r="L1643" s="10" t="s">
        <v>177</v>
      </c>
      <c r="M1643" s="7" t="s">
        <v>6863</v>
      </c>
      <c r="N1643" s="8" t="n">
        <v>0</v>
      </c>
      <c r="O1643" s="8" t="n">
        <v>0</v>
      </c>
      <c r="P1643" s="8" t="n">
        <v>0</v>
      </c>
      <c r="Q1643" s="8" t="n">
        <v>1</v>
      </c>
      <c r="R1643" s="8" t="n">
        <v>0</v>
      </c>
      <c r="S1643" s="8" t="n">
        <v>0</v>
      </c>
      <c r="T1643" s="13"/>
      <c r="U1643" s="11" t="n">
        <f aca="false">O1643*4 + P1643*2 + MAX(0,N1643-O1643-P1643)*1 + Q1643*0.2 + R1643*2 + S1643*1 + IF(T1643="",0,IF(T1643&lt;=10,8,IF(T1643&lt;=50,6,IF(T1643&lt;=100,4,2))))</f>
        <v>0.2</v>
      </c>
      <c r="V1643" s="7"/>
      <c r="W1643" s="7"/>
      <c r="X1643" s="13"/>
      <c r="Y1643" s="13" t="s">
        <v>6864</v>
      </c>
    </row>
    <row r="1644" customFormat="false" ht="15.75" hidden="false" customHeight="true" outlineLevel="0" collapsed="false">
      <c r="A1644" s="7" t="s">
        <v>6865</v>
      </c>
      <c r="B1644" s="8" t="n">
        <v>1961</v>
      </c>
      <c r="C1644" s="8" t="s">
        <v>122</v>
      </c>
      <c r="D1644" s="8" t="n">
        <v>79</v>
      </c>
      <c r="E1644" s="7" t="s">
        <v>6866</v>
      </c>
      <c r="F1644" s="8" t="n">
        <v>7.3</v>
      </c>
      <c r="G1644" s="8" t="n">
        <v>6</v>
      </c>
      <c r="H1644" s="9" t="n">
        <v>198200</v>
      </c>
      <c r="I1644" s="7" t="s">
        <v>46</v>
      </c>
      <c r="J1644" s="7" t="s">
        <v>579</v>
      </c>
      <c r="K1644" s="7" t="s">
        <v>39</v>
      </c>
      <c r="L1644" s="10" t="s">
        <v>177</v>
      </c>
      <c r="M1644" s="10" t="s">
        <v>6867</v>
      </c>
      <c r="N1644" s="8" t="n">
        <v>0</v>
      </c>
      <c r="O1644" s="8" t="n">
        <v>0</v>
      </c>
      <c r="P1644" s="8" t="n">
        <v>0</v>
      </c>
      <c r="Q1644" s="8" t="n">
        <v>0</v>
      </c>
      <c r="R1644" s="13" t="n">
        <v>0</v>
      </c>
      <c r="S1644" s="13" t="n">
        <v>0</v>
      </c>
      <c r="T1644" s="13"/>
      <c r="U1644" s="11" t="n">
        <f aca="false">O1644*4 + P1644*2 + MAX(0,N1644-O1644-P1644)*1 + Q1644*0.2 + R1644*2 + S1644*1 + IF(T1644="",0,IF(T1644&lt;=10,8,IF(T1644&lt;=50,6,IF(T1644&lt;=100,4,2))))</f>
        <v>0</v>
      </c>
      <c r="V1644" s="7"/>
      <c r="W1644" s="7"/>
      <c r="X1644" s="13"/>
      <c r="Y1644" s="13" t="s">
        <v>6868</v>
      </c>
    </row>
    <row r="1645" customFormat="false" ht="15.75" hidden="false" customHeight="true" outlineLevel="0" collapsed="false">
      <c r="A1645" s="7" t="s">
        <v>6869</v>
      </c>
      <c r="B1645" s="8" t="n">
        <v>2005</v>
      </c>
      <c r="C1645" s="8" t="s">
        <v>35</v>
      </c>
      <c r="D1645" s="8" t="n">
        <v>76</v>
      </c>
      <c r="E1645" s="7" t="s">
        <v>6870</v>
      </c>
      <c r="F1645" s="8" t="n">
        <v>5.5</v>
      </c>
      <c r="G1645" s="8" t="n">
        <v>5</v>
      </c>
      <c r="H1645" s="9" t="n">
        <v>26061</v>
      </c>
      <c r="I1645" s="7" t="s">
        <v>280</v>
      </c>
      <c r="J1645" s="7" t="s">
        <v>579</v>
      </c>
      <c r="K1645" s="7" t="s">
        <v>39</v>
      </c>
      <c r="L1645" s="10"/>
      <c r="M1645" s="10" t="s">
        <v>6871</v>
      </c>
      <c r="N1645" s="8" t="n">
        <v>0</v>
      </c>
      <c r="O1645" s="8" t="n">
        <v>0</v>
      </c>
      <c r="P1645" s="8" t="n">
        <v>0</v>
      </c>
      <c r="Q1645" s="8" t="n">
        <v>0</v>
      </c>
      <c r="R1645" s="13" t="n">
        <v>0</v>
      </c>
      <c r="S1645" s="13" t="n">
        <v>0</v>
      </c>
      <c r="T1645" s="13"/>
      <c r="U1645" s="11" t="n">
        <f aca="false">O1645*4 + P1645*2 + MAX(0,N1645-O1645-P1645)*1 + Q1645*0.2 + R1645*2 + S1645*1 + IF(T1645="",0,IF(T1645&lt;=10,8,IF(T1645&lt;=50,6,IF(T1645&lt;=100,4,2))))</f>
        <v>0</v>
      </c>
      <c r="V1645" s="7"/>
      <c r="W1645" s="7"/>
      <c r="X1645" s="13"/>
      <c r="Y1645" s="13" t="s">
        <v>6872</v>
      </c>
    </row>
    <row r="1646" customFormat="false" ht="15.75" hidden="false" customHeight="true" outlineLevel="0" collapsed="false">
      <c r="A1646" s="7" t="s">
        <v>6873</v>
      </c>
      <c r="B1646" s="8" t="n">
        <v>2008</v>
      </c>
      <c r="C1646" s="8" t="s">
        <v>35</v>
      </c>
      <c r="D1646" s="8" t="n">
        <v>88</v>
      </c>
      <c r="E1646" s="7" t="s">
        <v>2153</v>
      </c>
      <c r="F1646" s="8" t="n">
        <v>6.1</v>
      </c>
      <c r="G1646" s="8" t="n">
        <v>4</v>
      </c>
      <c r="H1646" s="9" t="n">
        <v>339192</v>
      </c>
      <c r="I1646" s="7" t="s">
        <v>2168</v>
      </c>
      <c r="J1646" s="7" t="s">
        <v>111</v>
      </c>
      <c r="K1646" s="7" t="s">
        <v>591</v>
      </c>
      <c r="L1646" s="10" t="s">
        <v>2616</v>
      </c>
      <c r="M1646" s="7" t="s">
        <v>6874</v>
      </c>
      <c r="N1646" s="8" t="n">
        <v>0</v>
      </c>
      <c r="O1646" s="8" t="n">
        <v>0</v>
      </c>
      <c r="P1646" s="8" t="n">
        <v>0</v>
      </c>
      <c r="Q1646" s="8" t="n">
        <v>0</v>
      </c>
      <c r="R1646" s="13" t="n">
        <v>0</v>
      </c>
      <c r="S1646" s="13" t="n">
        <v>0</v>
      </c>
      <c r="T1646" s="13"/>
      <c r="U1646" s="11" t="n">
        <f aca="false">O1646*4 + P1646*2 + MAX(0,N1646-O1646-P1646)*1 + Q1646*0.2 + R1646*2 + S1646*1 + IF(T1646="",0,IF(T1646&lt;=10,8,IF(T1646&lt;=50,6,IF(T1646&lt;=100,4,2))))</f>
        <v>0</v>
      </c>
      <c r="V1646" s="7"/>
      <c r="W1646" s="7"/>
      <c r="X1646" s="13"/>
      <c r="Y1646" s="13" t="s">
        <v>6875</v>
      </c>
    </row>
    <row r="1647" customFormat="false" ht="15.75" hidden="false" customHeight="true" outlineLevel="0" collapsed="false">
      <c r="A1647" s="7" t="s">
        <v>6876</v>
      </c>
      <c r="B1647" s="8" t="n">
        <v>2005</v>
      </c>
      <c r="C1647" s="8" t="s">
        <v>35</v>
      </c>
      <c r="D1647" s="8" t="n">
        <v>99</v>
      </c>
      <c r="E1647" s="7" t="s">
        <v>5958</v>
      </c>
      <c r="F1647" s="8" t="n">
        <v>7.2</v>
      </c>
      <c r="G1647" s="8" t="n">
        <v>5</v>
      </c>
      <c r="H1647" s="9" t="n">
        <v>275839</v>
      </c>
      <c r="I1647" s="7" t="s">
        <v>280</v>
      </c>
      <c r="J1647" s="7" t="s">
        <v>147</v>
      </c>
      <c r="K1647" s="7" t="s">
        <v>131</v>
      </c>
      <c r="L1647" s="10" t="s">
        <v>6877</v>
      </c>
      <c r="M1647" s="7" t="s">
        <v>6878</v>
      </c>
      <c r="N1647" s="8" t="n">
        <v>0</v>
      </c>
      <c r="O1647" s="8" t="n">
        <v>0</v>
      </c>
      <c r="P1647" s="8" t="n">
        <v>0</v>
      </c>
      <c r="Q1647" s="8" t="n">
        <v>0</v>
      </c>
      <c r="R1647" s="13" t="n">
        <v>0</v>
      </c>
      <c r="S1647" s="13" t="n">
        <v>0</v>
      </c>
      <c r="T1647" s="13"/>
      <c r="U1647" s="11" t="n">
        <f aca="false">O1647*4 + P1647*2 + MAX(0,N1647-O1647-P1647)*1 + Q1647*0.2 + R1647*2 + S1647*1 + IF(T1647="",0,IF(T1647&lt;=10,8,IF(T1647&lt;=50,6,IF(T1647&lt;=100,4,2))))</f>
        <v>0</v>
      </c>
      <c r="V1647" s="7"/>
      <c r="W1647" s="7"/>
      <c r="X1647" s="13"/>
      <c r="Y1647" s="13" t="s">
        <v>6879</v>
      </c>
    </row>
    <row r="1648" customFormat="false" ht="15.75" hidden="false" customHeight="true" outlineLevel="0" collapsed="false">
      <c r="A1648" s="7" t="s">
        <v>6880</v>
      </c>
      <c r="B1648" s="8" t="n">
        <v>1998</v>
      </c>
      <c r="C1648" s="8" t="s">
        <v>26</v>
      </c>
      <c r="D1648" s="8" t="n">
        <v>120</v>
      </c>
      <c r="E1648" s="7" t="s">
        <v>6881</v>
      </c>
      <c r="F1648" s="8" t="n">
        <v>7.1</v>
      </c>
      <c r="G1648" s="8" t="n">
        <v>7</v>
      </c>
      <c r="H1648" s="9" t="n">
        <v>334129</v>
      </c>
      <c r="I1648" s="7" t="s">
        <v>46</v>
      </c>
      <c r="J1648" s="7" t="s">
        <v>147</v>
      </c>
      <c r="K1648" s="7" t="s">
        <v>5160</v>
      </c>
      <c r="L1648" s="10" t="s">
        <v>238</v>
      </c>
      <c r="M1648" s="7" t="s">
        <v>6882</v>
      </c>
      <c r="N1648" s="8" t="n">
        <v>0</v>
      </c>
      <c r="O1648" s="8" t="n">
        <v>0</v>
      </c>
      <c r="P1648" s="8" t="n">
        <v>0</v>
      </c>
      <c r="Q1648" s="8" t="n">
        <v>0</v>
      </c>
      <c r="R1648" s="13" t="n">
        <v>0</v>
      </c>
      <c r="S1648" s="13" t="n">
        <v>0</v>
      </c>
      <c r="T1648" s="13"/>
      <c r="U1648" s="11" t="n">
        <f aca="false">O1648*4 + P1648*2 + MAX(0,N1648-O1648-P1648)*1 + Q1648*0.2 + R1648*2 + S1648*1 + IF(T1648="",0,IF(T1648&lt;=10,8,IF(T1648&lt;=50,6,IF(T1648&lt;=100,4,2))))</f>
        <v>0</v>
      </c>
      <c r="V1648" s="7"/>
      <c r="W1648" s="7"/>
      <c r="X1648" s="13"/>
      <c r="Y1648" s="13" t="s">
        <v>6883</v>
      </c>
    </row>
    <row r="1649" customFormat="false" ht="15.75" hidden="false" customHeight="true" outlineLevel="0" collapsed="false">
      <c r="A1649" s="7" t="s">
        <v>6884</v>
      </c>
      <c r="B1649" s="8" t="n">
        <v>2004</v>
      </c>
      <c r="C1649" s="8" t="s">
        <v>35</v>
      </c>
      <c r="D1649" s="8" t="n">
        <v>113</v>
      </c>
      <c r="E1649" s="7" t="s">
        <v>6885</v>
      </c>
      <c r="F1649" s="8" t="n">
        <v>5.8</v>
      </c>
      <c r="G1649" s="8" t="n">
        <v>5</v>
      </c>
      <c r="H1649" s="9" t="n">
        <v>202704</v>
      </c>
      <c r="I1649" s="7" t="s">
        <v>46</v>
      </c>
      <c r="J1649" s="7" t="s">
        <v>147</v>
      </c>
      <c r="K1649" s="7" t="s">
        <v>5160</v>
      </c>
      <c r="L1649" s="10" t="s">
        <v>6886</v>
      </c>
      <c r="M1649" s="10" t="s">
        <v>6887</v>
      </c>
      <c r="N1649" s="8" t="n">
        <v>0</v>
      </c>
      <c r="O1649" s="8" t="n">
        <v>0</v>
      </c>
      <c r="P1649" s="8" t="n">
        <v>0</v>
      </c>
      <c r="Q1649" s="8" t="n">
        <v>0</v>
      </c>
      <c r="R1649" s="13" t="n">
        <v>0</v>
      </c>
      <c r="S1649" s="13" t="n">
        <v>0</v>
      </c>
      <c r="T1649" s="13"/>
      <c r="U1649" s="11" t="n">
        <f aca="false">O1649*4 + P1649*2 + MAX(0,N1649-O1649-P1649)*1 + Q1649*0.2 + R1649*2 + S1649*1 + IF(T1649="",0,IF(T1649&lt;=10,8,IF(T1649&lt;=50,6,IF(T1649&lt;=100,4,2))))</f>
        <v>0</v>
      </c>
      <c r="V1649" s="7"/>
      <c r="W1649" s="7"/>
      <c r="X1649" s="13"/>
      <c r="Y1649" s="13" t="s">
        <v>6888</v>
      </c>
    </row>
    <row r="1650" customFormat="false" ht="15.75" hidden="false" customHeight="true" outlineLevel="0" collapsed="false">
      <c r="A1650" s="7" t="s">
        <v>6889</v>
      </c>
      <c r="B1650" s="8" t="n">
        <v>2008</v>
      </c>
      <c r="C1650" s="8" t="s">
        <v>35</v>
      </c>
      <c r="D1650" s="8" t="n">
        <v>120</v>
      </c>
      <c r="E1650" s="7" t="s">
        <v>1657</v>
      </c>
      <c r="F1650" s="8" t="n">
        <v>7</v>
      </c>
      <c r="G1650" s="8" t="n">
        <v>6</v>
      </c>
      <c r="H1650" s="9" t="n">
        <v>299922</v>
      </c>
      <c r="I1650" s="7" t="s">
        <v>2011</v>
      </c>
      <c r="J1650" s="7" t="s">
        <v>38</v>
      </c>
      <c r="K1650" s="7" t="s">
        <v>112</v>
      </c>
      <c r="L1650" s="10"/>
      <c r="M1650" s="7" t="s">
        <v>6890</v>
      </c>
      <c r="N1650" s="8" t="n">
        <v>0</v>
      </c>
      <c r="O1650" s="8" t="n">
        <v>0</v>
      </c>
      <c r="P1650" s="8" t="n">
        <v>0</v>
      </c>
      <c r="Q1650" s="8" t="n">
        <v>1</v>
      </c>
      <c r="R1650" s="8" t="n">
        <v>0</v>
      </c>
      <c r="S1650" s="8" t="n">
        <v>0</v>
      </c>
      <c r="T1650" s="13"/>
      <c r="U1650" s="11" t="n">
        <f aca="false">O1650*4 + P1650*2 + MAX(0,N1650-O1650-P1650)*1 + Q1650*0.2 + R1650*2 + S1650*1 + IF(T1650="",0,IF(T1650&lt;=10,8,IF(T1650&lt;=50,6,IF(T1650&lt;=100,4,2))))</f>
        <v>0.2</v>
      </c>
      <c r="V1650" s="7"/>
      <c r="W1650" s="7"/>
      <c r="X1650" s="13"/>
      <c r="Y1650" s="13" t="s">
        <v>6891</v>
      </c>
    </row>
    <row r="1651" customFormat="false" ht="15.75" hidden="false" customHeight="true" outlineLevel="0" collapsed="false">
      <c r="A1651" s="7" t="s">
        <v>6892</v>
      </c>
      <c r="B1651" s="8" t="n">
        <v>1998</v>
      </c>
      <c r="C1651" s="8" t="s">
        <v>26</v>
      </c>
      <c r="D1651" s="8" t="n">
        <v>104</v>
      </c>
      <c r="E1651" s="7" t="s">
        <v>5467</v>
      </c>
      <c r="F1651" s="8" t="n">
        <v>6.6</v>
      </c>
      <c r="G1651" s="8" t="n">
        <v>5</v>
      </c>
      <c r="H1651" s="9" t="n">
        <v>148990</v>
      </c>
      <c r="I1651" s="7" t="s">
        <v>46</v>
      </c>
      <c r="J1651" s="7" t="s">
        <v>147</v>
      </c>
      <c r="K1651" s="7" t="s">
        <v>103</v>
      </c>
      <c r="L1651" s="10" t="s">
        <v>220</v>
      </c>
      <c r="M1651" s="10" t="s">
        <v>6893</v>
      </c>
      <c r="N1651" s="8" t="n">
        <v>0</v>
      </c>
      <c r="O1651" s="8" t="n">
        <v>0</v>
      </c>
      <c r="P1651" s="8" t="n">
        <v>0</v>
      </c>
      <c r="Q1651" s="8" t="n">
        <v>0</v>
      </c>
      <c r="R1651" s="13" t="n">
        <v>0</v>
      </c>
      <c r="S1651" s="13" t="n">
        <v>0</v>
      </c>
      <c r="T1651" s="13"/>
      <c r="U1651" s="11" t="n">
        <f aca="false">O1651*4 + P1651*2 + MAX(0,N1651-O1651-P1651)*1 + Q1651*0.2 + R1651*2 + S1651*1 + IF(T1651="",0,IF(T1651&lt;=10,8,IF(T1651&lt;=50,6,IF(T1651&lt;=100,4,2))))</f>
        <v>0</v>
      </c>
      <c r="V1651" s="7"/>
      <c r="W1651" s="7"/>
      <c r="X1651" s="13"/>
      <c r="Y1651" s="13" t="s">
        <v>6894</v>
      </c>
    </row>
    <row r="1652" customFormat="false" ht="15.75" hidden="false" customHeight="true" outlineLevel="0" collapsed="false">
      <c r="A1652" s="7" t="s">
        <v>6895</v>
      </c>
      <c r="B1652" s="8" t="n">
        <v>1999</v>
      </c>
      <c r="C1652" s="8" t="s">
        <v>26</v>
      </c>
      <c r="D1652" s="8" t="n">
        <v>124</v>
      </c>
      <c r="E1652" s="7" t="s">
        <v>6041</v>
      </c>
      <c r="F1652" s="8" t="n">
        <v>7.1</v>
      </c>
      <c r="G1652" s="8" t="n">
        <v>7</v>
      </c>
      <c r="H1652" s="9" t="n">
        <v>506775</v>
      </c>
      <c r="I1652" s="7" t="s">
        <v>46</v>
      </c>
      <c r="J1652" s="7" t="s">
        <v>38</v>
      </c>
      <c r="K1652" s="7" t="s">
        <v>112</v>
      </c>
      <c r="L1652" s="10" t="s">
        <v>6798</v>
      </c>
      <c r="M1652" s="7" t="s">
        <v>6896</v>
      </c>
      <c r="N1652" s="8" t="n">
        <v>0</v>
      </c>
      <c r="O1652" s="8" t="n">
        <v>0</v>
      </c>
      <c r="P1652" s="8" t="n">
        <v>0</v>
      </c>
      <c r="Q1652" s="8" t="n">
        <v>1</v>
      </c>
      <c r="R1652" s="8" t="n">
        <v>0</v>
      </c>
      <c r="S1652" s="8" t="n">
        <v>0</v>
      </c>
      <c r="T1652" s="13"/>
      <c r="U1652" s="11" t="n">
        <f aca="false">O1652*4 + P1652*2 + MAX(0,N1652-O1652-P1652)*1 + Q1652*0.2 + R1652*2 + S1652*1 + IF(T1652="",0,IF(T1652&lt;=10,8,IF(T1652&lt;=50,6,IF(T1652&lt;=100,4,2))))</f>
        <v>0.2</v>
      </c>
      <c r="V1652" s="7"/>
      <c r="W1652" s="7"/>
      <c r="X1652" s="13"/>
      <c r="Y1652" s="13" t="s">
        <v>6897</v>
      </c>
    </row>
    <row r="1653" customFormat="false" ht="15.75" hidden="false" customHeight="true" outlineLevel="0" collapsed="false">
      <c r="A1653" s="7" t="s">
        <v>6898</v>
      </c>
      <c r="B1653" s="8" t="n">
        <v>2005</v>
      </c>
      <c r="C1653" s="8" t="s">
        <v>35</v>
      </c>
      <c r="D1653" s="8" t="n">
        <v>110</v>
      </c>
      <c r="E1653" s="7" t="s">
        <v>6899</v>
      </c>
      <c r="F1653" s="8" t="n">
        <v>5.4</v>
      </c>
      <c r="G1653" s="8" t="n">
        <v>5</v>
      </c>
      <c r="H1653" s="9" t="n">
        <v>106499</v>
      </c>
      <c r="I1653" s="7" t="s">
        <v>46</v>
      </c>
      <c r="J1653" s="7" t="s">
        <v>147</v>
      </c>
      <c r="K1653" s="7" t="s">
        <v>125</v>
      </c>
      <c r="L1653" s="10" t="s">
        <v>2512</v>
      </c>
      <c r="M1653" s="10" t="s">
        <v>6900</v>
      </c>
      <c r="N1653" s="8" t="n">
        <v>0</v>
      </c>
      <c r="O1653" s="8" t="n">
        <v>0</v>
      </c>
      <c r="P1653" s="8" t="n">
        <v>0</v>
      </c>
      <c r="Q1653" s="8" t="n">
        <v>0</v>
      </c>
      <c r="R1653" s="13" t="n">
        <v>0</v>
      </c>
      <c r="S1653" s="13" t="n">
        <v>0</v>
      </c>
      <c r="T1653" s="13"/>
      <c r="U1653" s="11" t="n">
        <f aca="false">O1653*4 + P1653*2 + MAX(0,N1653-O1653-P1653)*1 + Q1653*0.2 + R1653*2 + S1653*1 + IF(T1653="",0,IF(T1653&lt;=10,8,IF(T1653&lt;=50,6,IF(T1653&lt;=100,4,2))))</f>
        <v>0</v>
      </c>
      <c r="V1653" s="7"/>
      <c r="W1653" s="7"/>
      <c r="X1653" s="13"/>
      <c r="Y1653" s="13" t="s">
        <v>6901</v>
      </c>
    </row>
    <row r="1654" customFormat="false" ht="15.75" hidden="false" customHeight="true" outlineLevel="0" collapsed="false">
      <c r="A1654" s="7" t="s">
        <v>6902</v>
      </c>
      <c r="B1654" s="8" t="n">
        <v>1992</v>
      </c>
      <c r="C1654" s="8" t="s">
        <v>26</v>
      </c>
      <c r="D1654" s="8" t="n">
        <v>90</v>
      </c>
      <c r="E1654" s="7" t="s">
        <v>6903</v>
      </c>
      <c r="F1654" s="8" t="n">
        <v>8</v>
      </c>
      <c r="G1654" s="8" t="n">
        <v>7</v>
      </c>
      <c r="H1654" s="9" t="n">
        <v>504166</v>
      </c>
      <c r="I1654" s="7" t="s">
        <v>46</v>
      </c>
      <c r="J1654" s="7" t="s">
        <v>579</v>
      </c>
      <c r="K1654" s="7" t="s">
        <v>90</v>
      </c>
      <c r="L1654" s="10" t="s">
        <v>177</v>
      </c>
      <c r="M1654" s="7" t="s">
        <v>6904</v>
      </c>
      <c r="N1654" s="8" t="n">
        <v>2</v>
      </c>
      <c r="O1654" s="8" t="n">
        <v>0</v>
      </c>
      <c r="P1654" s="8" t="n">
        <v>0</v>
      </c>
      <c r="Q1654" s="8" t="n">
        <v>5</v>
      </c>
      <c r="R1654" s="8" t="n">
        <v>0</v>
      </c>
      <c r="S1654" s="8" t="n">
        <v>0</v>
      </c>
      <c r="T1654" s="13"/>
      <c r="U1654" s="11" t="n">
        <f aca="false">O1654*4 + P1654*2 + MAX(0,N1654-O1654-P1654)*1 + Q1654*0.2 + R1654*2 + S1654*1 + IF(T1654="",0,IF(T1654&lt;=10,8,IF(T1654&lt;=50,6,IF(T1654&lt;=100,4,2))))</f>
        <v>3</v>
      </c>
      <c r="V1654" s="7"/>
      <c r="W1654" s="7"/>
      <c r="X1654" s="13"/>
      <c r="Y1654" s="13" t="s">
        <v>6905</v>
      </c>
    </row>
    <row r="1655" customFormat="false" ht="15.75" hidden="false" customHeight="true" outlineLevel="0" collapsed="false">
      <c r="A1655" s="7" t="s">
        <v>6906</v>
      </c>
      <c r="B1655" s="8" t="n">
        <v>2011</v>
      </c>
      <c r="C1655" s="8" t="s">
        <v>176</v>
      </c>
      <c r="D1655" s="8" t="n">
        <v>113</v>
      </c>
      <c r="E1655" s="7" t="s">
        <v>5326</v>
      </c>
      <c r="F1655" s="8" t="n">
        <v>6.8</v>
      </c>
      <c r="G1655" s="8" t="n">
        <v>7</v>
      </c>
      <c r="H1655" s="9" t="n">
        <v>277210</v>
      </c>
      <c r="I1655" s="7" t="s">
        <v>5093</v>
      </c>
      <c r="J1655" s="7" t="s">
        <v>131</v>
      </c>
      <c r="K1655" s="7" t="s">
        <v>125</v>
      </c>
      <c r="L1655" s="10" t="s">
        <v>6907</v>
      </c>
      <c r="M1655" s="7" t="s">
        <v>6908</v>
      </c>
      <c r="N1655" s="8" t="n">
        <v>0</v>
      </c>
      <c r="O1655" s="8" t="n">
        <v>0</v>
      </c>
      <c r="P1655" s="8" t="n">
        <v>0</v>
      </c>
      <c r="Q1655" s="8" t="n">
        <v>0</v>
      </c>
      <c r="R1655" s="13" t="n">
        <v>0</v>
      </c>
      <c r="S1655" s="13" t="n">
        <v>0</v>
      </c>
      <c r="T1655" s="13"/>
      <c r="U1655" s="11" t="n">
        <f aca="false">O1655*4 + P1655*2 + MAX(0,N1655-O1655-P1655)*1 + Q1655*0.2 + R1655*2 + S1655*1 + IF(T1655="",0,IF(T1655&lt;=10,8,IF(T1655&lt;=50,6,IF(T1655&lt;=100,4,2))))</f>
        <v>0</v>
      </c>
      <c r="V1655" s="7"/>
      <c r="W1655" s="7"/>
      <c r="X1655" s="13"/>
      <c r="Y1655" s="13" t="s">
        <v>6909</v>
      </c>
    </row>
    <row r="1656" customFormat="false" ht="15.75" hidden="false" customHeight="true" outlineLevel="0" collapsed="false">
      <c r="A1656" s="7" t="s">
        <v>6910</v>
      </c>
      <c r="B1656" s="8" t="n">
        <v>2003</v>
      </c>
      <c r="C1656" s="8" t="s">
        <v>35</v>
      </c>
      <c r="D1656" s="8" t="n">
        <v>92</v>
      </c>
      <c r="E1656" s="7" t="s">
        <v>6911</v>
      </c>
      <c r="F1656" s="8" t="n">
        <v>5.7</v>
      </c>
      <c r="G1656" s="8" t="n">
        <v>4</v>
      </c>
      <c r="H1656" s="9" t="n">
        <v>80045</v>
      </c>
      <c r="I1656" s="7" t="s">
        <v>46</v>
      </c>
      <c r="J1656" s="7" t="s">
        <v>30</v>
      </c>
      <c r="K1656" s="7" t="s">
        <v>259</v>
      </c>
      <c r="L1656" s="10" t="s">
        <v>238</v>
      </c>
      <c r="M1656" s="10" t="s">
        <v>6912</v>
      </c>
      <c r="N1656" s="8" t="n">
        <v>0</v>
      </c>
      <c r="O1656" s="8" t="n">
        <v>0</v>
      </c>
      <c r="P1656" s="8" t="n">
        <v>0</v>
      </c>
      <c r="Q1656" s="8" t="n">
        <v>0</v>
      </c>
      <c r="R1656" s="13" t="n">
        <v>0</v>
      </c>
      <c r="S1656" s="13" t="n">
        <v>0</v>
      </c>
      <c r="T1656" s="13"/>
      <c r="U1656" s="11" t="n">
        <f aca="false">O1656*4 + P1656*2 + MAX(0,N1656-O1656-P1656)*1 + Q1656*0.2 + R1656*2 + S1656*1 + IF(T1656="",0,IF(T1656&lt;=10,8,IF(T1656&lt;=50,6,IF(T1656&lt;=100,4,2))))</f>
        <v>0</v>
      </c>
      <c r="V1656" s="7"/>
      <c r="W1656" s="7"/>
      <c r="X1656" s="13"/>
      <c r="Y1656" s="13" t="s">
        <v>6913</v>
      </c>
    </row>
    <row r="1657" customFormat="false" ht="15.75" hidden="false" customHeight="true" outlineLevel="0" collapsed="false">
      <c r="A1657" s="7" t="s">
        <v>6914</v>
      </c>
      <c r="B1657" s="8" t="n">
        <v>2005</v>
      </c>
      <c r="C1657" s="8" t="s">
        <v>35</v>
      </c>
      <c r="D1657" s="8" t="n">
        <v>97</v>
      </c>
      <c r="E1657" s="7" t="s">
        <v>6915</v>
      </c>
      <c r="F1657" s="8" t="n">
        <v>5.2</v>
      </c>
      <c r="G1657" s="8" t="n">
        <v>3</v>
      </c>
      <c r="H1657" s="9" t="n">
        <v>44431</v>
      </c>
      <c r="I1657" s="7" t="s">
        <v>2011</v>
      </c>
      <c r="J1657" s="7" t="s">
        <v>147</v>
      </c>
      <c r="K1657" s="7" t="s">
        <v>111</v>
      </c>
      <c r="L1657" s="10"/>
      <c r="M1657" s="10" t="s">
        <v>6916</v>
      </c>
      <c r="N1657" s="8" t="n">
        <v>0</v>
      </c>
      <c r="O1657" s="8" t="n">
        <v>0</v>
      </c>
      <c r="P1657" s="8" t="n">
        <v>0</v>
      </c>
      <c r="Q1657" s="8" t="n">
        <v>0</v>
      </c>
      <c r="R1657" s="13" t="n">
        <v>0</v>
      </c>
      <c r="S1657" s="13" t="n">
        <v>0</v>
      </c>
      <c r="T1657" s="13"/>
      <c r="U1657" s="11" t="n">
        <f aca="false">O1657*4 + P1657*2 + MAX(0,N1657-O1657-P1657)*1 + Q1657*0.2 + R1657*2 + S1657*1 + IF(T1657="",0,IF(T1657&lt;=10,8,IF(T1657&lt;=50,6,IF(T1657&lt;=100,4,2))))</f>
        <v>0</v>
      </c>
      <c r="V1657" s="7"/>
      <c r="W1657" s="7"/>
      <c r="X1657" s="13"/>
      <c r="Y1657" s="13" t="s">
        <v>6917</v>
      </c>
    </row>
    <row r="1658" customFormat="false" ht="15.75" hidden="false" customHeight="true" outlineLevel="0" collapsed="false">
      <c r="A1658" s="7" t="s">
        <v>6918</v>
      </c>
      <c r="B1658" s="8" t="n">
        <v>2004</v>
      </c>
      <c r="C1658" s="8" t="s">
        <v>35</v>
      </c>
      <c r="D1658" s="8" t="n">
        <v>119</v>
      </c>
      <c r="E1658" s="7" t="s">
        <v>6919</v>
      </c>
      <c r="F1658" s="8" t="n">
        <v>6.6</v>
      </c>
      <c r="G1658" s="8" t="n">
        <v>5</v>
      </c>
      <c r="H1658" s="9" t="n">
        <v>253069</v>
      </c>
      <c r="I1658" s="7" t="s">
        <v>46</v>
      </c>
      <c r="J1658" s="7" t="s">
        <v>111</v>
      </c>
      <c r="K1658" s="7" t="s">
        <v>112</v>
      </c>
      <c r="L1658" s="10" t="s">
        <v>192</v>
      </c>
      <c r="M1658" s="10" t="s">
        <v>6920</v>
      </c>
      <c r="N1658" s="8" t="n">
        <v>0</v>
      </c>
      <c r="O1658" s="8" t="n">
        <v>0</v>
      </c>
      <c r="P1658" s="8" t="n">
        <v>0</v>
      </c>
      <c r="Q1658" s="8" t="n">
        <v>0</v>
      </c>
      <c r="R1658" s="13" t="n">
        <v>0</v>
      </c>
      <c r="S1658" s="13" t="n">
        <v>0</v>
      </c>
      <c r="T1658" s="13"/>
      <c r="U1658" s="11" t="n">
        <f aca="false">O1658*4 + P1658*2 + MAX(0,N1658-O1658-P1658)*1 + Q1658*0.2 + R1658*2 + S1658*1 + IF(T1658="",0,IF(T1658&lt;=10,8,IF(T1658&lt;=50,6,IF(T1658&lt;=100,4,2))))</f>
        <v>0</v>
      </c>
      <c r="V1658" s="7"/>
      <c r="W1658" s="7"/>
      <c r="X1658" s="13"/>
      <c r="Y1658" s="13" t="s">
        <v>6921</v>
      </c>
    </row>
    <row r="1659" customFormat="false" ht="15.75" hidden="false" customHeight="true" outlineLevel="0" collapsed="false">
      <c r="A1659" s="7" t="s">
        <v>6922</v>
      </c>
      <c r="B1659" s="8" t="n">
        <v>2002</v>
      </c>
      <c r="C1659" s="8" t="s">
        <v>35</v>
      </c>
      <c r="D1659" s="8" t="n">
        <v>86</v>
      </c>
      <c r="E1659" s="7" t="s">
        <v>6923</v>
      </c>
      <c r="F1659" s="8" t="n">
        <v>5.4</v>
      </c>
      <c r="G1659" s="8" t="n">
        <v>5</v>
      </c>
      <c r="H1659" s="9" t="n">
        <v>142980</v>
      </c>
      <c r="I1659" s="7" t="s">
        <v>46</v>
      </c>
      <c r="J1659" s="7" t="s">
        <v>39</v>
      </c>
      <c r="K1659" s="7" t="s">
        <v>259</v>
      </c>
      <c r="L1659" s="10"/>
      <c r="M1659" s="10" t="s">
        <v>6924</v>
      </c>
      <c r="N1659" s="8" t="n">
        <v>0</v>
      </c>
      <c r="O1659" s="8" t="n">
        <v>0</v>
      </c>
      <c r="P1659" s="8" t="n">
        <v>0</v>
      </c>
      <c r="Q1659" s="8" t="n">
        <v>0</v>
      </c>
      <c r="R1659" s="13" t="n">
        <v>0</v>
      </c>
      <c r="S1659" s="13" t="n">
        <v>0</v>
      </c>
      <c r="T1659" s="13"/>
      <c r="U1659" s="11" t="n">
        <f aca="false">O1659*4 + P1659*2 + MAX(0,N1659-O1659-P1659)*1 + Q1659*0.2 + R1659*2 + S1659*1 + IF(T1659="",0,IF(T1659&lt;=10,8,IF(T1659&lt;=50,6,IF(T1659&lt;=100,4,2))))</f>
        <v>0</v>
      </c>
      <c r="V1659" s="7"/>
      <c r="W1659" s="7"/>
      <c r="X1659" s="13"/>
      <c r="Y1659" s="13" t="s">
        <v>6925</v>
      </c>
    </row>
    <row r="1660" customFormat="false" ht="15.75" hidden="false" customHeight="true" outlineLevel="0" collapsed="false">
      <c r="A1660" s="7" t="s">
        <v>6926</v>
      </c>
      <c r="B1660" s="8" t="n">
        <v>2005</v>
      </c>
      <c r="C1660" s="8" t="s">
        <v>35</v>
      </c>
      <c r="D1660" s="8" t="n">
        <v>136</v>
      </c>
      <c r="E1660" s="7" t="s">
        <v>5578</v>
      </c>
      <c r="F1660" s="8" t="n">
        <v>6.8</v>
      </c>
      <c r="G1660" s="8" t="n">
        <v>6</v>
      </c>
      <c r="H1660" s="9" t="n">
        <v>343746</v>
      </c>
      <c r="I1660" s="7" t="s">
        <v>46</v>
      </c>
      <c r="J1660" s="7" t="s">
        <v>111</v>
      </c>
      <c r="K1660" s="7" t="s">
        <v>131</v>
      </c>
      <c r="L1660" s="10"/>
      <c r="M1660" s="7" t="s">
        <v>6927</v>
      </c>
      <c r="N1660" s="8" t="n">
        <v>0</v>
      </c>
      <c r="O1660" s="8" t="n">
        <v>0</v>
      </c>
      <c r="P1660" s="8" t="n">
        <v>0</v>
      </c>
      <c r="Q1660" s="8" t="n">
        <v>0</v>
      </c>
      <c r="R1660" s="13" t="n">
        <v>0</v>
      </c>
      <c r="S1660" s="13" t="n">
        <v>0</v>
      </c>
      <c r="T1660" s="13"/>
      <c r="U1660" s="11" t="n">
        <f aca="false">O1660*4 + P1660*2 + MAX(0,N1660-O1660-P1660)*1 + Q1660*0.2 + R1660*2 + S1660*1 + IF(T1660="",0,IF(T1660&lt;=10,8,IF(T1660&lt;=50,6,IF(T1660&lt;=100,4,2))))</f>
        <v>0</v>
      </c>
      <c r="V1660" s="7"/>
      <c r="W1660" s="7"/>
      <c r="X1660" s="13"/>
      <c r="Y1660" s="13" t="s">
        <v>6928</v>
      </c>
    </row>
    <row r="1661" customFormat="false" ht="15.75" hidden="false" customHeight="true" outlineLevel="0" collapsed="false">
      <c r="A1661" s="7" t="s">
        <v>6929</v>
      </c>
      <c r="B1661" s="8" t="n">
        <v>1995</v>
      </c>
      <c r="C1661" s="8" t="s">
        <v>26</v>
      </c>
      <c r="D1661" s="8" t="n">
        <v>119</v>
      </c>
      <c r="E1661" s="7" t="s">
        <v>5578</v>
      </c>
      <c r="F1661" s="8" t="n">
        <v>6.8</v>
      </c>
      <c r="G1661" s="8" t="n">
        <v>7</v>
      </c>
      <c r="H1661" s="9" t="n">
        <v>317947</v>
      </c>
      <c r="I1661" s="7" t="s">
        <v>46</v>
      </c>
      <c r="J1661" s="7" t="s">
        <v>112</v>
      </c>
      <c r="K1661" s="7" t="s">
        <v>54</v>
      </c>
      <c r="L1661" s="10" t="s">
        <v>238</v>
      </c>
      <c r="M1661" s="7" t="s">
        <v>6930</v>
      </c>
      <c r="N1661" s="8" t="n">
        <v>0</v>
      </c>
      <c r="O1661" s="8" t="n">
        <v>0</v>
      </c>
      <c r="P1661" s="8" t="n">
        <v>0</v>
      </c>
      <c r="Q1661" s="8" t="n">
        <v>0</v>
      </c>
      <c r="R1661" s="13" t="n">
        <v>0</v>
      </c>
      <c r="S1661" s="13" t="n">
        <v>0</v>
      </c>
      <c r="T1661" s="13"/>
      <c r="U1661" s="11" t="n">
        <f aca="false">O1661*4 + P1661*2 + MAX(0,N1661-O1661-P1661)*1 + Q1661*0.2 + R1661*2 + S1661*1 + IF(T1661="",0,IF(T1661&lt;=10,8,IF(T1661&lt;=50,6,IF(T1661&lt;=100,4,2))))</f>
        <v>0</v>
      </c>
      <c r="V1661" s="7"/>
      <c r="W1661" s="7"/>
      <c r="X1661" s="13"/>
      <c r="Y1661" s="13" t="s">
        <v>6931</v>
      </c>
    </row>
    <row r="1662" customFormat="false" ht="15.75" hidden="false" customHeight="true" outlineLevel="0" collapsed="false">
      <c r="A1662" s="7" t="s">
        <v>6932</v>
      </c>
      <c r="B1662" s="8" t="n">
        <v>2000</v>
      </c>
      <c r="C1662" s="8" t="s">
        <v>35</v>
      </c>
      <c r="D1662" s="8" t="n">
        <v>99</v>
      </c>
      <c r="E1662" s="7" t="s">
        <v>6923</v>
      </c>
      <c r="F1662" s="8" t="n">
        <v>5.3</v>
      </c>
      <c r="G1662" s="8" t="n">
        <v>5</v>
      </c>
      <c r="H1662" s="9" t="n">
        <v>96707</v>
      </c>
      <c r="I1662" s="7" t="s">
        <v>2011</v>
      </c>
      <c r="J1662" s="7" t="s">
        <v>112</v>
      </c>
      <c r="K1662" s="7" t="s">
        <v>54</v>
      </c>
      <c r="L1662" s="10" t="s">
        <v>5293</v>
      </c>
      <c r="M1662" s="10" t="s">
        <v>6933</v>
      </c>
      <c r="N1662" s="8" t="n">
        <v>0</v>
      </c>
      <c r="O1662" s="8" t="n">
        <v>0</v>
      </c>
      <c r="P1662" s="8" t="n">
        <v>0</v>
      </c>
      <c r="Q1662" s="8" t="n">
        <v>0</v>
      </c>
      <c r="R1662" s="13" t="n">
        <v>0</v>
      </c>
      <c r="S1662" s="13" t="n">
        <v>0</v>
      </c>
      <c r="T1662" s="13"/>
      <c r="U1662" s="11" t="n">
        <f aca="false">O1662*4 + P1662*2 + MAX(0,N1662-O1662-P1662)*1 + Q1662*0.2 + R1662*2 + S1662*1 + IF(T1662="",0,IF(T1662&lt;=10,8,IF(T1662&lt;=50,6,IF(T1662&lt;=100,4,2))))</f>
        <v>0</v>
      </c>
      <c r="V1662" s="7"/>
      <c r="W1662" s="7"/>
      <c r="X1662" s="13"/>
      <c r="Y1662" s="13" t="s">
        <v>6934</v>
      </c>
    </row>
    <row r="1663" customFormat="false" ht="15.75" hidden="false" customHeight="true" outlineLevel="0" collapsed="false">
      <c r="A1663" s="7" t="s">
        <v>6935</v>
      </c>
      <c r="B1663" s="8" t="n">
        <v>2003</v>
      </c>
      <c r="C1663" s="8" t="s">
        <v>35</v>
      </c>
      <c r="D1663" s="8" t="n">
        <v>88</v>
      </c>
      <c r="E1663" s="7" t="s">
        <v>5853</v>
      </c>
      <c r="F1663" s="8" t="n">
        <v>5.6</v>
      </c>
      <c r="G1663" s="8" t="n">
        <v>6</v>
      </c>
      <c r="H1663" s="9" t="n">
        <v>58025</v>
      </c>
      <c r="I1663" s="7" t="s">
        <v>46</v>
      </c>
      <c r="J1663" s="7" t="s">
        <v>112</v>
      </c>
      <c r="K1663" s="7" t="s">
        <v>54</v>
      </c>
      <c r="L1663" s="10"/>
      <c r="M1663" s="10" t="s">
        <v>6936</v>
      </c>
      <c r="N1663" s="8" t="n">
        <v>0</v>
      </c>
      <c r="O1663" s="8" t="n">
        <v>0</v>
      </c>
      <c r="P1663" s="8" t="n">
        <v>0</v>
      </c>
      <c r="Q1663" s="8" t="n">
        <v>0</v>
      </c>
      <c r="R1663" s="13" t="n">
        <v>0</v>
      </c>
      <c r="S1663" s="13" t="n">
        <v>0</v>
      </c>
      <c r="T1663" s="13"/>
      <c r="U1663" s="11" t="n">
        <f aca="false">O1663*4 + P1663*2 + MAX(0,N1663-O1663-P1663)*1 + Q1663*0.2 + R1663*2 + S1663*1 + IF(T1663="",0,IF(T1663&lt;=10,8,IF(T1663&lt;=50,6,IF(T1663&lt;=100,4,2))))</f>
        <v>0</v>
      </c>
      <c r="V1663" s="7"/>
      <c r="W1663" s="7"/>
      <c r="X1663" s="13"/>
      <c r="Y1663" s="13" t="s">
        <v>6937</v>
      </c>
    </row>
    <row r="1664" customFormat="false" ht="15.75" hidden="false" customHeight="true" outlineLevel="0" collapsed="false">
      <c r="A1664" s="7" t="s">
        <v>6938</v>
      </c>
      <c r="B1664" s="8" t="n">
        <v>2004</v>
      </c>
      <c r="C1664" s="8" t="s">
        <v>35</v>
      </c>
      <c r="D1664" s="8" t="n">
        <v>99</v>
      </c>
      <c r="E1664" s="7" t="s">
        <v>6939</v>
      </c>
      <c r="F1664" s="8" t="n">
        <v>6.8</v>
      </c>
      <c r="G1664" s="8" t="n">
        <v>6</v>
      </c>
      <c r="H1664" s="9" t="n">
        <v>419155</v>
      </c>
      <c r="I1664" s="7" t="s">
        <v>46</v>
      </c>
      <c r="J1664" s="7" t="s">
        <v>29</v>
      </c>
      <c r="K1664" s="7" t="s">
        <v>30</v>
      </c>
      <c r="L1664" s="10"/>
      <c r="M1664" s="7" t="s">
        <v>6940</v>
      </c>
      <c r="N1664" s="8" t="n">
        <v>0</v>
      </c>
      <c r="O1664" s="8" t="n">
        <v>0</v>
      </c>
      <c r="P1664" s="8" t="n">
        <v>0</v>
      </c>
      <c r="Q1664" s="8" t="n">
        <v>0</v>
      </c>
      <c r="R1664" s="13" t="n">
        <v>0</v>
      </c>
      <c r="S1664" s="13" t="n">
        <v>0</v>
      </c>
      <c r="T1664" s="13"/>
      <c r="U1664" s="11" t="n">
        <f aca="false">O1664*4 + P1664*2 + MAX(0,N1664-O1664-P1664)*1 + Q1664*0.2 + R1664*2 + S1664*1 + IF(T1664="",0,IF(T1664&lt;=10,8,IF(T1664&lt;=50,6,IF(T1664&lt;=100,4,2))))</f>
        <v>0</v>
      </c>
      <c r="V1664" s="7"/>
      <c r="W1664" s="7"/>
      <c r="X1664" s="13"/>
      <c r="Y1664" s="13" t="s">
        <v>6941</v>
      </c>
    </row>
    <row r="1665" customFormat="false" ht="15.75" hidden="false" customHeight="true" outlineLevel="0" collapsed="false">
      <c r="A1665" s="7" t="s">
        <v>6942</v>
      </c>
      <c r="B1665" s="8" t="n">
        <v>2011</v>
      </c>
      <c r="C1665" s="8" t="s">
        <v>176</v>
      </c>
      <c r="D1665" s="8" t="n">
        <v>126</v>
      </c>
      <c r="E1665" s="7" t="s">
        <v>165</v>
      </c>
      <c r="F1665" s="8" t="n">
        <v>7.5</v>
      </c>
      <c r="G1665" s="8" t="n">
        <v>6</v>
      </c>
      <c r="H1665" s="9" t="n">
        <v>350847</v>
      </c>
      <c r="I1665" s="7" t="s">
        <v>6943</v>
      </c>
      <c r="J1665" s="7" t="s">
        <v>39</v>
      </c>
      <c r="K1665" s="7" t="s">
        <v>259</v>
      </c>
      <c r="L1665" s="10"/>
      <c r="M1665" s="7" t="s">
        <v>6944</v>
      </c>
      <c r="N1665" s="8" t="n">
        <v>5</v>
      </c>
      <c r="O1665" s="8" t="n">
        <v>0</v>
      </c>
      <c r="P1665" s="8" t="n">
        <v>0</v>
      </c>
      <c r="Q1665" s="8" t="n">
        <v>11</v>
      </c>
      <c r="R1665" s="8" t="n">
        <v>0</v>
      </c>
      <c r="S1665" s="8" t="n">
        <v>0</v>
      </c>
      <c r="T1665" s="13"/>
      <c r="U1665" s="11" t="n">
        <f aca="false">O1665*4 + P1665*2 + MAX(0,N1665-O1665-P1665)*1 + Q1665*0.2 + R1665*2 + S1665*1 + IF(T1665="",0,IF(T1665&lt;=10,8,IF(T1665&lt;=50,6,IF(T1665&lt;=100,4,2))))</f>
        <v>7.2</v>
      </c>
      <c r="V1665" s="7"/>
      <c r="W1665" s="7"/>
      <c r="X1665" s="13"/>
      <c r="Y1665" s="13" t="s">
        <v>6945</v>
      </c>
    </row>
    <row r="1666" customFormat="false" ht="15.75" hidden="false" customHeight="true" outlineLevel="0" collapsed="false">
      <c r="A1666" s="7" t="s">
        <v>6946</v>
      </c>
      <c r="B1666" s="8" t="n">
        <v>1996</v>
      </c>
      <c r="C1666" s="8" t="s">
        <v>26</v>
      </c>
      <c r="D1666" s="8" t="n">
        <v>136</v>
      </c>
      <c r="E1666" s="7" t="s">
        <v>5578</v>
      </c>
      <c r="F1666" s="8" t="n">
        <v>7.4</v>
      </c>
      <c r="G1666" s="8" t="n">
        <v>7</v>
      </c>
      <c r="H1666" s="9" t="n">
        <v>383367</v>
      </c>
      <c r="I1666" s="7" t="s">
        <v>46</v>
      </c>
      <c r="J1666" s="7" t="s">
        <v>131</v>
      </c>
      <c r="K1666" s="7" t="s">
        <v>112</v>
      </c>
      <c r="L1666" s="10" t="s">
        <v>177</v>
      </c>
      <c r="M1666" s="7" t="s">
        <v>6947</v>
      </c>
      <c r="N1666" s="8" t="n">
        <v>0</v>
      </c>
      <c r="O1666" s="8" t="n">
        <v>0</v>
      </c>
      <c r="P1666" s="8" t="n">
        <v>0</v>
      </c>
      <c r="Q1666" s="8" t="n">
        <v>1</v>
      </c>
      <c r="R1666" s="8" t="n">
        <v>0</v>
      </c>
      <c r="S1666" s="8" t="n">
        <v>0</v>
      </c>
      <c r="T1666" s="13"/>
      <c r="U1666" s="11" t="n">
        <f aca="false">O1666*4 + P1666*2 + MAX(0,N1666-O1666-P1666)*1 + Q1666*0.2 + R1666*2 + S1666*1 + IF(T1666="",0,IF(T1666&lt;=10,8,IF(T1666&lt;=50,6,IF(T1666&lt;=100,4,2))))</f>
        <v>0.2</v>
      </c>
      <c r="V1666" s="7"/>
      <c r="W1666" s="7"/>
      <c r="X1666" s="13"/>
      <c r="Y1666" s="13" t="s">
        <v>6948</v>
      </c>
    </row>
    <row r="1667" customFormat="false" ht="15.75" hidden="false" customHeight="true" outlineLevel="0" collapsed="false">
      <c r="A1667" s="7" t="s">
        <v>6949</v>
      </c>
      <c r="B1667" s="8" t="n">
        <v>1961</v>
      </c>
      <c r="C1667" s="8" t="s">
        <v>122</v>
      </c>
      <c r="D1667" s="8" t="n">
        <v>105</v>
      </c>
      <c r="E1667" s="7" t="s">
        <v>6950</v>
      </c>
      <c r="F1667" s="8" t="n">
        <v>7.2</v>
      </c>
      <c r="G1667" s="8" t="n">
        <v>6</v>
      </c>
      <c r="H1667" s="9" t="n">
        <v>2148</v>
      </c>
      <c r="I1667" s="7" t="s">
        <v>6951</v>
      </c>
      <c r="J1667" s="7" t="s">
        <v>47</v>
      </c>
      <c r="K1667" s="7" t="s">
        <v>54</v>
      </c>
      <c r="L1667" s="10"/>
      <c r="M1667" s="10" t="s">
        <v>6952</v>
      </c>
      <c r="N1667" s="8" t="n">
        <v>0</v>
      </c>
      <c r="O1667" s="8" t="n">
        <v>0</v>
      </c>
      <c r="P1667" s="8" t="n">
        <v>0</v>
      </c>
      <c r="Q1667" s="8" t="n">
        <v>1</v>
      </c>
      <c r="R1667" s="8" t="n">
        <v>0</v>
      </c>
      <c r="S1667" s="8" t="n">
        <v>0</v>
      </c>
      <c r="T1667" s="13"/>
      <c r="U1667" s="11" t="n">
        <f aca="false">O1667*4 + P1667*2 + MAX(0,N1667-O1667-P1667)*1 + Q1667*0.2 + R1667*2 + S1667*1 + IF(T1667="",0,IF(T1667&lt;=10,8,IF(T1667&lt;=50,6,IF(T1667&lt;=100,4,2))))</f>
        <v>0.2</v>
      </c>
      <c r="V1667" s="7"/>
      <c r="W1667" s="7"/>
      <c r="X1667" s="13"/>
      <c r="Y1667" s="13" t="s">
        <v>6953</v>
      </c>
    </row>
    <row r="1668" customFormat="false" ht="15.75" hidden="false" customHeight="true" outlineLevel="0" collapsed="false">
      <c r="A1668" s="7" t="s">
        <v>6954</v>
      </c>
      <c r="B1668" s="8" t="n">
        <v>2013</v>
      </c>
      <c r="C1668" s="8" t="s">
        <v>176</v>
      </c>
      <c r="D1668" s="8" t="n">
        <v>115</v>
      </c>
      <c r="E1668" s="7" t="s">
        <v>5626</v>
      </c>
      <c r="F1668" s="8" t="n">
        <v>7.2</v>
      </c>
      <c r="G1668" s="8" t="n">
        <v>3</v>
      </c>
      <c r="H1668" s="9" t="n">
        <v>776329</v>
      </c>
      <c r="I1668" s="7" t="s">
        <v>994</v>
      </c>
      <c r="J1668" s="7" t="s">
        <v>131</v>
      </c>
      <c r="K1668" s="7" t="s">
        <v>54</v>
      </c>
      <c r="L1668" s="10" t="s">
        <v>5530</v>
      </c>
      <c r="M1668" s="7" t="s">
        <v>6955</v>
      </c>
      <c r="N1668" s="8" t="n">
        <v>0</v>
      </c>
      <c r="O1668" s="8" t="n">
        <v>0</v>
      </c>
      <c r="P1668" s="8" t="n">
        <v>0</v>
      </c>
      <c r="Q1668" s="8" t="n">
        <v>0</v>
      </c>
      <c r="R1668" s="13" t="n">
        <v>0</v>
      </c>
      <c r="S1668" s="13" t="n">
        <v>0</v>
      </c>
      <c r="T1668" s="13"/>
      <c r="U1668" s="11" t="n">
        <f aca="false">O1668*4 + P1668*2 + MAX(0,N1668-O1668-P1668)*1 + Q1668*0.2 + R1668*2 + S1668*1 + IF(T1668="",0,IF(T1668&lt;=10,8,IF(T1668&lt;=50,6,IF(T1668&lt;=100,4,2))))</f>
        <v>0</v>
      </c>
      <c r="V1668" s="7"/>
      <c r="W1668" s="7"/>
      <c r="X1668" s="13"/>
      <c r="Y1668" s="13" t="s">
        <v>6956</v>
      </c>
    </row>
    <row r="1669" customFormat="false" ht="15.75" hidden="false" customHeight="true" outlineLevel="0" collapsed="false">
      <c r="A1669" s="7" t="s">
        <v>6957</v>
      </c>
      <c r="B1669" s="8" t="n">
        <v>2011</v>
      </c>
      <c r="C1669" s="8" t="s">
        <v>176</v>
      </c>
      <c r="D1669" s="8" t="n">
        <v>104</v>
      </c>
      <c r="E1669" s="7" t="s">
        <v>4830</v>
      </c>
      <c r="F1669" s="8" t="n">
        <v>6.9</v>
      </c>
      <c r="G1669" s="8" t="n">
        <v>6</v>
      </c>
      <c r="H1669" s="9" t="n">
        <v>284508</v>
      </c>
      <c r="I1669" s="7" t="s">
        <v>153</v>
      </c>
      <c r="J1669" s="7" t="s">
        <v>111</v>
      </c>
      <c r="K1669" s="7" t="s">
        <v>2004</v>
      </c>
      <c r="L1669" s="10" t="s">
        <v>210</v>
      </c>
      <c r="M1669" s="7" t="s">
        <v>6958</v>
      </c>
      <c r="N1669" s="8" t="n">
        <v>0</v>
      </c>
      <c r="O1669" s="8" t="n">
        <v>0</v>
      </c>
      <c r="P1669" s="8" t="n">
        <v>0</v>
      </c>
      <c r="Q1669" s="8" t="n">
        <v>0</v>
      </c>
      <c r="R1669" s="13" t="n">
        <v>0</v>
      </c>
      <c r="S1669" s="13" t="n">
        <v>0</v>
      </c>
      <c r="T1669" s="13"/>
      <c r="U1669" s="11" t="n">
        <f aca="false">O1669*4 + P1669*2 + MAX(0,N1669-O1669-P1669)*1 + Q1669*0.2 + R1669*2 + S1669*1 + IF(T1669="",0,IF(T1669&lt;=10,8,IF(T1669&lt;=50,6,IF(T1669&lt;=100,4,2))))</f>
        <v>0</v>
      </c>
      <c r="V1669" s="7"/>
      <c r="W1669" s="7"/>
      <c r="X1669" s="13"/>
      <c r="Y1669" s="13" t="s">
        <v>6959</v>
      </c>
    </row>
    <row r="1670" customFormat="false" ht="15.75" hidden="false" customHeight="true" outlineLevel="0" collapsed="false">
      <c r="A1670" s="7" t="s">
        <v>6960</v>
      </c>
      <c r="B1670" s="8" t="n">
        <v>1991</v>
      </c>
      <c r="C1670" s="8" t="s">
        <v>26</v>
      </c>
      <c r="D1670" s="8" t="n">
        <v>101</v>
      </c>
      <c r="E1670" s="7" t="s">
        <v>6961</v>
      </c>
      <c r="F1670" s="8" t="n">
        <v>4.5</v>
      </c>
      <c r="G1670" s="8" t="n">
        <v>3</v>
      </c>
      <c r="H1670" s="9" t="n">
        <v>2921</v>
      </c>
      <c r="I1670" s="7" t="s">
        <v>2168</v>
      </c>
      <c r="J1670" s="7" t="s">
        <v>147</v>
      </c>
      <c r="K1670" s="7" t="s">
        <v>111</v>
      </c>
      <c r="L1670" s="10" t="s">
        <v>517</v>
      </c>
      <c r="M1670" s="10" t="s">
        <v>6962</v>
      </c>
      <c r="N1670" s="8" t="n">
        <v>0</v>
      </c>
      <c r="O1670" s="8" t="n">
        <v>0</v>
      </c>
      <c r="P1670" s="8" t="n">
        <v>0</v>
      </c>
      <c r="Q1670" s="8" t="n">
        <v>0</v>
      </c>
      <c r="R1670" s="13" t="n">
        <v>0</v>
      </c>
      <c r="S1670" s="13" t="n">
        <v>0</v>
      </c>
      <c r="T1670" s="13"/>
      <c r="U1670" s="11" t="n">
        <f aca="false">O1670*4 + P1670*2 + MAX(0,N1670-O1670-P1670)*1 + Q1670*0.2 + R1670*2 + S1670*1 + IF(T1670="",0,IF(T1670&lt;=10,8,IF(T1670&lt;=50,6,IF(T1670&lt;=100,4,2))))</f>
        <v>0</v>
      </c>
      <c r="V1670" s="7"/>
      <c r="W1670" s="7"/>
      <c r="X1670" s="13"/>
      <c r="Y1670" s="13" t="s">
        <v>6963</v>
      </c>
    </row>
    <row r="1671" customFormat="false" ht="15.75" hidden="false" customHeight="true" outlineLevel="0" collapsed="false">
      <c r="A1671" s="7" t="s">
        <v>6964</v>
      </c>
      <c r="B1671" s="8" t="n">
        <v>2000</v>
      </c>
      <c r="C1671" s="8" t="s">
        <v>35</v>
      </c>
      <c r="D1671" s="8" t="n">
        <v>114</v>
      </c>
      <c r="E1671" s="7" t="s">
        <v>6965</v>
      </c>
      <c r="F1671" s="8" t="n">
        <v>7.5</v>
      </c>
      <c r="G1671" s="8" t="n">
        <v>7</v>
      </c>
      <c r="H1671" s="9" t="n">
        <v>208471</v>
      </c>
      <c r="I1671" s="7" t="s">
        <v>124</v>
      </c>
      <c r="J1671" s="7" t="s">
        <v>131</v>
      </c>
      <c r="K1671" s="7" t="s">
        <v>112</v>
      </c>
      <c r="L1671" s="10" t="s">
        <v>374</v>
      </c>
      <c r="M1671" s="10" t="s">
        <v>6966</v>
      </c>
      <c r="N1671" s="8" t="n">
        <v>0</v>
      </c>
      <c r="O1671" s="8" t="n">
        <v>0</v>
      </c>
      <c r="P1671" s="8" t="n">
        <v>0</v>
      </c>
      <c r="Q1671" s="8" t="n">
        <v>0</v>
      </c>
      <c r="R1671" s="13" t="n">
        <v>0</v>
      </c>
      <c r="S1671" s="13" t="n">
        <v>0</v>
      </c>
      <c r="T1671" s="13"/>
      <c r="U1671" s="11" t="n">
        <f aca="false">O1671*4 + P1671*2 + MAX(0,N1671-O1671-P1671)*1 + Q1671*0.2 + R1671*2 + S1671*1 + IF(T1671="",0,IF(T1671&lt;=10,8,IF(T1671&lt;=50,6,IF(T1671&lt;=100,4,2))))</f>
        <v>0</v>
      </c>
      <c r="V1671" s="7"/>
      <c r="W1671" s="7"/>
      <c r="X1671" s="13"/>
      <c r="Y1671" s="13" t="s">
        <v>6967</v>
      </c>
    </row>
    <row r="1672" customFormat="false" ht="15.75" hidden="false" customHeight="true" outlineLevel="0" collapsed="false">
      <c r="A1672" s="7" t="s">
        <v>6968</v>
      </c>
      <c r="B1672" s="8" t="n">
        <v>1990</v>
      </c>
      <c r="C1672" s="8" t="s">
        <v>26</v>
      </c>
      <c r="D1672" s="8" t="n">
        <v>105</v>
      </c>
      <c r="E1672" s="7" t="s">
        <v>561</v>
      </c>
      <c r="F1672" s="8" t="n">
        <v>7.8</v>
      </c>
      <c r="G1672" s="8" t="n">
        <v>7</v>
      </c>
      <c r="H1672" s="9" t="n">
        <v>568827</v>
      </c>
      <c r="I1672" s="7" t="s">
        <v>46</v>
      </c>
      <c r="J1672" s="7" t="s">
        <v>38</v>
      </c>
      <c r="K1672" s="7" t="s">
        <v>29</v>
      </c>
      <c r="L1672" s="10" t="s">
        <v>40</v>
      </c>
      <c r="M1672" s="7" t="s">
        <v>6969</v>
      </c>
      <c r="N1672" s="8" t="n">
        <v>0</v>
      </c>
      <c r="O1672" s="8" t="n">
        <v>0</v>
      </c>
      <c r="P1672" s="8" t="n">
        <v>0</v>
      </c>
      <c r="Q1672" s="8" t="n">
        <v>1</v>
      </c>
      <c r="R1672" s="8" t="n">
        <v>0</v>
      </c>
      <c r="S1672" s="8" t="n">
        <v>0</v>
      </c>
      <c r="T1672" s="13"/>
      <c r="U1672" s="11" t="n">
        <f aca="false">O1672*4 + P1672*2 + MAX(0,N1672-O1672-P1672)*1 + Q1672*0.2 + R1672*2 + S1672*1 + IF(T1672="",0,IF(T1672&lt;=10,8,IF(T1672&lt;=50,6,IF(T1672&lt;=100,4,2))))</f>
        <v>0.2</v>
      </c>
      <c r="V1672" s="7"/>
      <c r="W1672" s="7"/>
      <c r="X1672" s="13"/>
      <c r="Y1672" s="13" t="s">
        <v>6970</v>
      </c>
    </row>
    <row r="1673" customFormat="false" ht="15.75" hidden="false" customHeight="true" outlineLevel="0" collapsed="false">
      <c r="A1673" s="7" t="s">
        <v>6971</v>
      </c>
      <c r="B1673" s="8" t="n">
        <v>2007</v>
      </c>
      <c r="C1673" s="8" t="s">
        <v>35</v>
      </c>
      <c r="D1673" s="8" t="n">
        <v>89</v>
      </c>
      <c r="E1673" s="7" t="s">
        <v>6972</v>
      </c>
      <c r="F1673" s="8" t="n">
        <v>6.6</v>
      </c>
      <c r="G1673" s="8" t="n">
        <v>6</v>
      </c>
      <c r="H1673" s="9" t="n">
        <v>24070</v>
      </c>
      <c r="I1673" s="7" t="s">
        <v>232</v>
      </c>
      <c r="J1673" s="7" t="s">
        <v>131</v>
      </c>
      <c r="K1673" s="7" t="s">
        <v>125</v>
      </c>
      <c r="L1673" s="10" t="s">
        <v>113</v>
      </c>
      <c r="M1673" s="10" t="s">
        <v>6973</v>
      </c>
      <c r="N1673" s="8" t="n">
        <v>0</v>
      </c>
      <c r="O1673" s="8" t="n">
        <v>0</v>
      </c>
      <c r="P1673" s="8" t="n">
        <v>0</v>
      </c>
      <c r="Q1673" s="8" t="n">
        <v>0</v>
      </c>
      <c r="R1673" s="13" t="n">
        <v>0</v>
      </c>
      <c r="S1673" s="13" t="n">
        <v>0</v>
      </c>
      <c r="T1673" s="13"/>
      <c r="U1673" s="11" t="n">
        <f aca="false">O1673*4 + P1673*2 + MAX(0,N1673-O1673-P1673)*1 + Q1673*0.2 + R1673*2 + S1673*1 + IF(T1673="",0,IF(T1673&lt;=10,8,IF(T1673&lt;=50,6,IF(T1673&lt;=100,4,2))))</f>
        <v>0</v>
      </c>
      <c r="V1673" s="7"/>
      <c r="W1673" s="7"/>
      <c r="X1673" s="13"/>
      <c r="Y1673" s="13" t="s">
        <v>6974</v>
      </c>
    </row>
    <row r="1674" customFormat="false" ht="15.75" hidden="false" customHeight="true" outlineLevel="0" collapsed="false">
      <c r="A1674" s="7" t="s">
        <v>6975</v>
      </c>
      <c r="B1674" s="8" t="n">
        <v>2006</v>
      </c>
      <c r="C1674" s="8" t="s">
        <v>35</v>
      </c>
      <c r="D1674" s="8" t="n">
        <v>149</v>
      </c>
      <c r="E1674" s="7" t="s">
        <v>172</v>
      </c>
      <c r="F1674" s="8" t="n">
        <v>6.7</v>
      </c>
      <c r="G1674" s="8" t="n">
        <v>7</v>
      </c>
      <c r="H1674" s="9" t="n">
        <v>489084</v>
      </c>
      <c r="I1674" s="7" t="s">
        <v>6976</v>
      </c>
      <c r="J1674" s="7" t="s">
        <v>131</v>
      </c>
      <c r="K1674" s="7" t="s">
        <v>125</v>
      </c>
      <c r="L1674" s="10" t="s">
        <v>210</v>
      </c>
      <c r="M1674" s="7" t="s">
        <v>6977</v>
      </c>
      <c r="N1674" s="8" t="n">
        <v>0</v>
      </c>
      <c r="O1674" s="8" t="n">
        <v>0</v>
      </c>
      <c r="P1674" s="8" t="n">
        <v>0</v>
      </c>
      <c r="Q1674" s="8" t="n">
        <v>0</v>
      </c>
      <c r="R1674" s="13" t="n">
        <v>0</v>
      </c>
      <c r="S1674" s="13" t="n">
        <v>0</v>
      </c>
      <c r="T1674" s="13"/>
      <c r="U1674" s="11" t="n">
        <f aca="false">O1674*4 + P1674*2 + MAX(0,N1674-O1674-P1674)*1 + Q1674*0.2 + R1674*2 + S1674*1 + IF(T1674="",0,IF(T1674&lt;=10,8,IF(T1674&lt;=50,6,IF(T1674&lt;=100,4,2))))</f>
        <v>0</v>
      </c>
      <c r="V1674" s="7"/>
      <c r="W1674" s="7"/>
      <c r="X1674" s="13"/>
      <c r="Y1674" s="13" t="s">
        <v>6978</v>
      </c>
    </row>
    <row r="1675" customFormat="false" ht="15.75" hidden="false" customHeight="true" outlineLevel="0" collapsed="false">
      <c r="A1675" s="7" t="s">
        <v>6979</v>
      </c>
      <c r="B1675" s="8" t="n">
        <v>2013</v>
      </c>
      <c r="C1675" s="8" t="s">
        <v>176</v>
      </c>
      <c r="D1675" s="8" t="n">
        <v>138</v>
      </c>
      <c r="E1675" s="7" t="s">
        <v>704</v>
      </c>
      <c r="F1675" s="8" t="n">
        <v>7.2</v>
      </c>
      <c r="G1675" s="8" t="n">
        <v>8</v>
      </c>
      <c r="H1675" s="9" t="n">
        <v>521053</v>
      </c>
      <c r="I1675" s="7" t="s">
        <v>46</v>
      </c>
      <c r="J1675" s="7" t="s">
        <v>47</v>
      </c>
      <c r="K1675" s="7" t="s">
        <v>54</v>
      </c>
      <c r="L1675" s="10" t="s">
        <v>113</v>
      </c>
      <c r="M1675" s="7" t="s">
        <v>6980</v>
      </c>
      <c r="N1675" s="8" t="n">
        <v>0</v>
      </c>
      <c r="O1675" s="8" t="n">
        <v>0</v>
      </c>
      <c r="P1675" s="8" t="n">
        <v>0</v>
      </c>
      <c r="Q1675" s="8" t="n">
        <v>10</v>
      </c>
      <c r="R1675" s="8" t="n">
        <v>0</v>
      </c>
      <c r="S1675" s="8" t="n">
        <v>1</v>
      </c>
      <c r="T1675" s="13"/>
      <c r="U1675" s="11" t="n">
        <f aca="false">O1675*4 + P1675*2 + MAX(0,N1675-O1675-P1675)*1 + Q1675*0.2 + R1675*2 + S1675*1 + IF(T1675="",0,IF(T1675&lt;=10,8,IF(T1675&lt;=50,6,IF(T1675&lt;=100,4,2))))</f>
        <v>3</v>
      </c>
      <c r="V1675" s="7"/>
      <c r="W1675" s="7"/>
      <c r="X1675" s="13"/>
      <c r="Y1675" s="13" t="s">
        <v>6981</v>
      </c>
    </row>
    <row r="1676" customFormat="false" ht="15.75" hidden="false" customHeight="true" outlineLevel="0" collapsed="false">
      <c r="A1676" s="7" t="s">
        <v>6982</v>
      </c>
      <c r="B1676" s="8" t="n">
        <v>2013</v>
      </c>
      <c r="C1676" s="8" t="s">
        <v>176</v>
      </c>
      <c r="D1676" s="8" t="n">
        <v>112</v>
      </c>
      <c r="E1676" s="7" t="s">
        <v>6983</v>
      </c>
      <c r="F1676" s="8" t="n">
        <v>6.4</v>
      </c>
      <c r="G1676" s="8" t="n">
        <v>5</v>
      </c>
      <c r="H1676" s="9" t="n">
        <v>16312</v>
      </c>
      <c r="I1676" s="7" t="s">
        <v>2721</v>
      </c>
      <c r="J1676" s="7" t="s">
        <v>112</v>
      </c>
      <c r="K1676" s="7" t="s">
        <v>39</v>
      </c>
      <c r="L1676" s="10" t="s">
        <v>6984</v>
      </c>
      <c r="M1676" s="10" t="s">
        <v>6985</v>
      </c>
      <c r="N1676" s="8" t="n">
        <v>0</v>
      </c>
      <c r="O1676" s="8" t="n">
        <v>0</v>
      </c>
      <c r="P1676" s="8" t="n">
        <v>0</v>
      </c>
      <c r="Q1676" s="8" t="n">
        <v>0</v>
      </c>
      <c r="R1676" s="13" t="n">
        <v>0</v>
      </c>
      <c r="S1676" s="13" t="n">
        <v>0</v>
      </c>
      <c r="T1676" s="13"/>
      <c r="U1676" s="11" t="n">
        <f aca="false">O1676*4 + P1676*2 + MAX(0,N1676-O1676-P1676)*1 + Q1676*0.2 + R1676*2 + S1676*1 + IF(T1676="",0,IF(T1676&lt;=10,8,IF(T1676&lt;=50,6,IF(T1676&lt;=100,4,2))))</f>
        <v>0</v>
      </c>
      <c r="V1676" s="7"/>
      <c r="W1676" s="7"/>
      <c r="X1676" s="13"/>
      <c r="Y1676" s="13" t="s">
        <v>6986</v>
      </c>
    </row>
    <row r="1677" customFormat="false" ht="15.75" hidden="false" customHeight="true" outlineLevel="0" collapsed="false">
      <c r="A1677" s="7" t="s">
        <v>6987</v>
      </c>
      <c r="B1677" s="8" t="n">
        <v>1992</v>
      </c>
      <c r="C1677" s="8" t="s">
        <v>26</v>
      </c>
      <c r="D1677" s="8" t="n">
        <v>112</v>
      </c>
      <c r="E1677" s="7" t="s">
        <v>770</v>
      </c>
      <c r="F1677" s="8" t="n">
        <v>7.6</v>
      </c>
      <c r="G1677" s="8" t="n">
        <v>8</v>
      </c>
      <c r="H1677" s="9" t="n">
        <v>208854</v>
      </c>
      <c r="I1677" s="7" t="s">
        <v>46</v>
      </c>
      <c r="J1677" s="7" t="s">
        <v>112</v>
      </c>
      <c r="K1677" s="7" t="s">
        <v>39</v>
      </c>
      <c r="L1677" s="10"/>
      <c r="M1677" s="10" t="s">
        <v>6988</v>
      </c>
      <c r="N1677" s="8" t="n">
        <v>1</v>
      </c>
      <c r="O1677" s="8" t="n">
        <v>0</v>
      </c>
      <c r="P1677" s="8" t="n">
        <v>0</v>
      </c>
      <c r="Q1677" s="8" t="n">
        <v>1</v>
      </c>
      <c r="R1677" s="8" t="n">
        <v>0</v>
      </c>
      <c r="S1677" s="8" t="n">
        <v>0</v>
      </c>
      <c r="T1677" s="13"/>
      <c r="U1677" s="11" t="n">
        <f aca="false">O1677*4 + P1677*2 + MAX(0,N1677-O1677-P1677)*1 + Q1677*0.2 + R1677*2 + S1677*1 + IF(T1677="",0,IF(T1677&lt;=10,8,IF(T1677&lt;=50,6,IF(T1677&lt;=100,4,2))))</f>
        <v>1.2</v>
      </c>
      <c r="V1677" s="7"/>
      <c r="W1677" s="7"/>
      <c r="X1677" s="13"/>
      <c r="Y1677" s="13" t="s">
        <v>6989</v>
      </c>
    </row>
    <row r="1678" customFormat="false" ht="15.75" hidden="false" customHeight="true" outlineLevel="0" collapsed="false">
      <c r="A1678" s="7" t="s">
        <v>6990</v>
      </c>
      <c r="B1678" s="8" t="n">
        <v>2013</v>
      </c>
      <c r="C1678" s="8" t="s">
        <v>176</v>
      </c>
      <c r="D1678" s="8" t="n">
        <v>116</v>
      </c>
      <c r="E1678" s="7" t="s">
        <v>661</v>
      </c>
      <c r="F1678" s="8" t="n">
        <v>7</v>
      </c>
      <c r="G1678" s="8" t="n">
        <v>7</v>
      </c>
      <c r="H1678" s="9" t="n">
        <v>791445</v>
      </c>
      <c r="I1678" s="7" t="s">
        <v>6991</v>
      </c>
      <c r="J1678" s="7" t="s">
        <v>147</v>
      </c>
      <c r="K1678" s="7" t="s">
        <v>112</v>
      </c>
      <c r="L1678" s="10"/>
      <c r="M1678" s="7" t="s">
        <v>6992</v>
      </c>
      <c r="N1678" s="8" t="n">
        <v>0</v>
      </c>
      <c r="O1678" s="8" t="n">
        <v>0</v>
      </c>
      <c r="P1678" s="8" t="n">
        <v>0</v>
      </c>
      <c r="Q1678" s="8" t="n">
        <v>0</v>
      </c>
      <c r="R1678" s="13" t="n">
        <v>0</v>
      </c>
      <c r="S1678" s="13" t="n">
        <v>0</v>
      </c>
      <c r="T1678" s="13"/>
      <c r="U1678" s="11" t="n">
        <f aca="false">O1678*4 + P1678*2 + MAX(0,N1678-O1678-P1678)*1 + Q1678*0.2 + R1678*2 + S1678*1 + IF(T1678="",0,IF(T1678&lt;=10,8,IF(T1678&lt;=50,6,IF(T1678&lt;=100,4,2))))</f>
        <v>0</v>
      </c>
      <c r="V1678" s="7"/>
      <c r="W1678" s="7"/>
      <c r="X1678" s="13"/>
      <c r="Y1678" s="13" t="s">
        <v>6993</v>
      </c>
    </row>
    <row r="1679" customFormat="false" ht="15.75" hidden="false" customHeight="true" outlineLevel="0" collapsed="false">
      <c r="A1679" s="7" t="s">
        <v>6994</v>
      </c>
      <c r="B1679" s="8" t="n">
        <v>2013</v>
      </c>
      <c r="C1679" s="8" t="s">
        <v>176</v>
      </c>
      <c r="D1679" s="8" t="n">
        <v>91</v>
      </c>
      <c r="E1679" s="7" t="s">
        <v>2324</v>
      </c>
      <c r="F1679" s="8" t="n">
        <v>7.7</v>
      </c>
      <c r="G1679" s="8" t="n">
        <v>7</v>
      </c>
      <c r="H1679" s="9" t="n">
        <v>904493</v>
      </c>
      <c r="I1679" s="7" t="s">
        <v>359</v>
      </c>
      <c r="J1679" s="7" t="s">
        <v>111</v>
      </c>
      <c r="K1679" s="7" t="s">
        <v>3973</v>
      </c>
      <c r="L1679" s="10" t="s">
        <v>507</v>
      </c>
      <c r="M1679" s="7" t="s">
        <v>6995</v>
      </c>
      <c r="N1679" s="8" t="n">
        <v>7</v>
      </c>
      <c r="O1679" s="8" t="n">
        <v>0</v>
      </c>
      <c r="P1679" s="8" t="n">
        <v>1</v>
      </c>
      <c r="Q1679" s="8" t="n">
        <v>10</v>
      </c>
      <c r="R1679" s="8" t="n">
        <v>0</v>
      </c>
      <c r="S1679" s="8" t="n">
        <v>0</v>
      </c>
      <c r="T1679" s="8"/>
      <c r="U1679" s="11" t="n">
        <f aca="false">O1679*4 + P1679*2 + MAX(0,N1679-O1679-P1679)*1 + Q1679*0.2 + R1679*2 + S1679*1 + IF(T1679="",0,IF(T1679&lt;=10,8,IF(T1679&lt;=50,6,IF(T1679&lt;=100,4,2))))</f>
        <v>10</v>
      </c>
      <c r="V1679" s="7"/>
      <c r="W1679" s="7"/>
      <c r="X1679" s="13"/>
      <c r="Y1679" s="13" t="s">
        <v>6996</v>
      </c>
    </row>
    <row r="1680" customFormat="false" ht="15.75" hidden="false" customHeight="true" outlineLevel="0" collapsed="false">
      <c r="A1680" s="7" t="s">
        <v>6997</v>
      </c>
      <c r="B1680" s="8" t="n">
        <v>1978</v>
      </c>
      <c r="C1680" s="8" t="s">
        <v>61</v>
      </c>
      <c r="D1680" s="8" t="n">
        <v>110</v>
      </c>
      <c r="E1680" s="7" t="s">
        <v>6998</v>
      </c>
      <c r="F1680" s="8" t="n">
        <v>7.2</v>
      </c>
      <c r="G1680" s="8" t="n">
        <v>8</v>
      </c>
      <c r="H1680" s="9" t="n">
        <v>328791</v>
      </c>
      <c r="I1680" s="7" t="s">
        <v>46</v>
      </c>
      <c r="J1680" s="7" t="s">
        <v>90</v>
      </c>
      <c r="K1680" s="7" t="s">
        <v>29</v>
      </c>
      <c r="L1680" s="10"/>
      <c r="M1680" s="7" t="s">
        <v>6999</v>
      </c>
      <c r="N1680" s="8" t="n">
        <v>0</v>
      </c>
      <c r="O1680" s="8" t="n">
        <v>0</v>
      </c>
      <c r="P1680" s="8" t="n">
        <v>0</v>
      </c>
      <c r="Q1680" s="8" t="n">
        <v>1</v>
      </c>
      <c r="R1680" s="8" t="n">
        <v>0</v>
      </c>
      <c r="S1680" s="8" t="n">
        <v>0</v>
      </c>
      <c r="T1680" s="13"/>
      <c r="U1680" s="11" t="n">
        <f aca="false">O1680*4 + P1680*2 + MAX(0,N1680-O1680-P1680)*1 + Q1680*0.2 + R1680*2 + S1680*1 + IF(T1680="",0,IF(T1680&lt;=10,8,IF(T1680&lt;=50,6,IF(T1680&lt;=100,4,2))))</f>
        <v>0.2</v>
      </c>
      <c r="V1680" s="7"/>
      <c r="W1680" s="7"/>
      <c r="X1680" s="13"/>
      <c r="Y1680" s="13" t="s">
        <v>7000</v>
      </c>
    </row>
    <row r="1681" customFormat="false" ht="15.75" hidden="false" customHeight="true" outlineLevel="0" collapsed="false">
      <c r="A1681" s="7" t="s">
        <v>7001</v>
      </c>
      <c r="B1681" s="8" t="n">
        <v>1977</v>
      </c>
      <c r="C1681" s="8" t="s">
        <v>61</v>
      </c>
      <c r="D1681" s="8" t="n">
        <v>119</v>
      </c>
      <c r="E1681" s="7" t="s">
        <v>7002</v>
      </c>
      <c r="F1681" s="8" t="n">
        <v>6.8</v>
      </c>
      <c r="G1681" s="8" t="n">
        <v>7</v>
      </c>
      <c r="H1681" s="9" t="n">
        <v>95551</v>
      </c>
      <c r="I1681" s="7" t="s">
        <v>46</v>
      </c>
      <c r="J1681" s="7" t="s">
        <v>90</v>
      </c>
      <c r="K1681" s="7" t="s">
        <v>47</v>
      </c>
      <c r="L1681" s="10"/>
      <c r="M1681" s="10" t="s">
        <v>7003</v>
      </c>
      <c r="N1681" s="8" t="n">
        <v>0</v>
      </c>
      <c r="O1681" s="8" t="n">
        <v>0</v>
      </c>
      <c r="P1681" s="8" t="n">
        <v>0</v>
      </c>
      <c r="Q1681" s="8" t="n">
        <v>1</v>
      </c>
      <c r="R1681" s="8" t="n">
        <v>0</v>
      </c>
      <c r="S1681" s="8" t="n">
        <v>0</v>
      </c>
      <c r="T1681" s="13"/>
      <c r="U1681" s="11" t="n">
        <f aca="false">O1681*4 + P1681*2 + MAX(0,N1681-O1681-P1681)*1 + Q1681*0.2 + R1681*2 + S1681*1 + IF(T1681="",0,IF(T1681&lt;=10,8,IF(T1681&lt;=50,6,IF(T1681&lt;=100,4,2))))</f>
        <v>0.2</v>
      </c>
      <c r="V1681" s="7"/>
      <c r="W1681" s="7"/>
      <c r="X1681" s="13"/>
      <c r="Y1681" s="13" t="s">
        <v>7004</v>
      </c>
    </row>
    <row r="1682" customFormat="false" ht="15.75" hidden="false" customHeight="true" outlineLevel="0" collapsed="false">
      <c r="A1682" s="7" t="s">
        <v>7005</v>
      </c>
      <c r="B1682" s="8" t="n">
        <v>2009</v>
      </c>
      <c r="C1682" s="8" t="s">
        <v>35</v>
      </c>
      <c r="D1682" s="8" t="n">
        <v>92</v>
      </c>
      <c r="E1682" s="7" t="s">
        <v>7006</v>
      </c>
      <c r="F1682" s="8" t="n">
        <v>4.6</v>
      </c>
      <c r="G1682" s="8" t="n">
        <v>4</v>
      </c>
      <c r="H1682" s="9" t="n">
        <v>32803</v>
      </c>
      <c r="I1682" s="7" t="s">
        <v>46</v>
      </c>
      <c r="J1682" s="7" t="s">
        <v>147</v>
      </c>
      <c r="K1682" s="7" t="s">
        <v>39</v>
      </c>
      <c r="L1682" s="10"/>
      <c r="M1682" s="10" t="s">
        <v>7007</v>
      </c>
      <c r="N1682" s="8" t="n">
        <v>0</v>
      </c>
      <c r="O1682" s="8" t="n">
        <v>0</v>
      </c>
      <c r="P1682" s="8" t="n">
        <v>0</v>
      </c>
      <c r="Q1682" s="8" t="n">
        <v>0</v>
      </c>
      <c r="R1682" s="13" t="n">
        <v>0</v>
      </c>
      <c r="S1682" s="13" t="n">
        <v>0</v>
      </c>
      <c r="T1682" s="13"/>
      <c r="U1682" s="11" t="n">
        <f aca="false">O1682*4 + P1682*2 + MAX(0,N1682-O1682-P1682)*1 + Q1682*0.2 + R1682*2 + S1682*1 + IF(T1682="",0,IF(T1682&lt;=10,8,IF(T1682&lt;=50,6,IF(T1682&lt;=100,4,2))))</f>
        <v>0</v>
      </c>
      <c r="V1682" s="7"/>
      <c r="W1682" s="7"/>
      <c r="X1682" s="13"/>
      <c r="Y1682" s="13" t="s">
        <v>7008</v>
      </c>
    </row>
    <row r="1683" customFormat="false" ht="15.75" hidden="false" customHeight="true" outlineLevel="0" collapsed="false">
      <c r="A1683" s="7" t="s">
        <v>7009</v>
      </c>
      <c r="B1683" s="8" t="n">
        <v>2013</v>
      </c>
      <c r="C1683" s="8" t="s">
        <v>176</v>
      </c>
      <c r="D1683" s="8" t="n">
        <v>98</v>
      </c>
      <c r="E1683" s="7" t="s">
        <v>7010</v>
      </c>
      <c r="F1683" s="8" t="n">
        <v>5.2</v>
      </c>
      <c r="G1683" s="8" t="n">
        <v>3</v>
      </c>
      <c r="H1683" s="9" t="n">
        <v>224032</v>
      </c>
      <c r="I1683" s="7" t="s">
        <v>46</v>
      </c>
      <c r="J1683" s="7" t="s">
        <v>131</v>
      </c>
      <c r="K1683" s="7" t="s">
        <v>112</v>
      </c>
      <c r="L1683" s="10" t="s">
        <v>177</v>
      </c>
      <c r="M1683" s="10" t="s">
        <v>7011</v>
      </c>
      <c r="N1683" s="8" t="n">
        <v>0</v>
      </c>
      <c r="O1683" s="8" t="n">
        <v>0</v>
      </c>
      <c r="P1683" s="8" t="n">
        <v>0</v>
      </c>
      <c r="Q1683" s="8" t="n">
        <v>0</v>
      </c>
      <c r="R1683" s="13" t="n">
        <v>0</v>
      </c>
      <c r="S1683" s="13" t="n">
        <v>0</v>
      </c>
      <c r="T1683" s="13"/>
      <c r="U1683" s="11" t="n">
        <f aca="false">O1683*4 + P1683*2 + MAX(0,N1683-O1683-P1683)*1 + Q1683*0.2 + R1683*2 + S1683*1 + IF(T1683="",0,IF(T1683&lt;=10,8,IF(T1683&lt;=50,6,IF(T1683&lt;=100,4,2))))</f>
        <v>0</v>
      </c>
      <c r="V1683" s="7"/>
      <c r="W1683" s="7"/>
      <c r="X1683" s="13"/>
      <c r="Y1683" s="13" t="s">
        <v>7012</v>
      </c>
    </row>
    <row r="1684" customFormat="false" ht="15.75" hidden="false" customHeight="true" outlineLevel="0" collapsed="false">
      <c r="A1684" s="7" t="s">
        <v>7013</v>
      </c>
      <c r="B1684" s="8" t="n">
        <v>2013</v>
      </c>
      <c r="C1684" s="8" t="s">
        <v>176</v>
      </c>
      <c r="D1684" s="8" t="n">
        <v>113</v>
      </c>
      <c r="E1684" s="7" t="s">
        <v>5715</v>
      </c>
      <c r="F1684" s="8" t="n">
        <v>6.7</v>
      </c>
      <c r="G1684" s="8" t="n">
        <v>6</v>
      </c>
      <c r="H1684" s="9" t="n">
        <v>229770</v>
      </c>
      <c r="I1684" s="7" t="s">
        <v>46</v>
      </c>
      <c r="J1684" s="7" t="s">
        <v>112</v>
      </c>
      <c r="K1684" s="7" t="s">
        <v>54</v>
      </c>
      <c r="L1684" s="10"/>
      <c r="M1684" s="10" t="s">
        <v>7014</v>
      </c>
      <c r="N1684" s="8" t="n">
        <v>0</v>
      </c>
      <c r="O1684" s="8" t="n">
        <v>0</v>
      </c>
      <c r="P1684" s="8" t="n">
        <v>0</v>
      </c>
      <c r="Q1684" s="8" t="n">
        <v>0</v>
      </c>
      <c r="R1684" s="13" t="n">
        <v>0</v>
      </c>
      <c r="S1684" s="13" t="n">
        <v>0</v>
      </c>
      <c r="T1684" s="13"/>
      <c r="U1684" s="11" t="n">
        <f aca="false">O1684*4 + P1684*2 + MAX(0,N1684-O1684-P1684)*1 + Q1684*0.2 + R1684*2 + S1684*1 + IF(T1684="",0,IF(T1684&lt;=10,8,IF(T1684&lt;=50,6,IF(T1684&lt;=100,4,2))))</f>
        <v>0</v>
      </c>
      <c r="V1684" s="7"/>
      <c r="W1684" s="7"/>
      <c r="X1684" s="13"/>
      <c r="Y1684" s="13" t="s">
        <v>7015</v>
      </c>
    </row>
    <row r="1685" customFormat="false" ht="15.75" hidden="false" customHeight="true" outlineLevel="0" collapsed="false">
      <c r="A1685" s="7" t="s">
        <v>7016</v>
      </c>
      <c r="B1685" s="8" t="n">
        <v>2012</v>
      </c>
      <c r="C1685" s="8" t="s">
        <v>176</v>
      </c>
      <c r="D1685" s="8" t="n">
        <v>140</v>
      </c>
      <c r="E1685" s="7" t="s">
        <v>7017</v>
      </c>
      <c r="F1685" s="8" t="n">
        <v>7.3</v>
      </c>
      <c r="G1685" s="8" t="n">
        <v>5</v>
      </c>
      <c r="H1685" s="9" t="n">
        <v>311836</v>
      </c>
      <c r="I1685" s="7"/>
      <c r="J1685" s="7" t="s">
        <v>47</v>
      </c>
      <c r="K1685" s="7" t="s">
        <v>54</v>
      </c>
      <c r="L1685" s="10"/>
      <c r="M1685" s="7" t="s">
        <v>7018</v>
      </c>
      <c r="N1685" s="8" t="n">
        <v>0</v>
      </c>
      <c r="O1685" s="8" t="n">
        <v>0</v>
      </c>
      <c r="P1685" s="8" t="n">
        <v>0</v>
      </c>
      <c r="Q1685" s="8" t="n">
        <v>0</v>
      </c>
      <c r="R1685" s="13" t="n">
        <v>0</v>
      </c>
      <c r="S1685" s="13" t="n">
        <v>0</v>
      </c>
      <c r="T1685" s="13"/>
      <c r="U1685" s="11" t="n">
        <f aca="false">O1685*4 + P1685*2 + MAX(0,N1685-O1685-P1685)*1 + Q1685*0.2 + R1685*2 + S1685*1 + IF(T1685="",0,IF(T1685&lt;=10,8,IF(T1685&lt;=50,6,IF(T1685&lt;=100,4,2))))</f>
        <v>0</v>
      </c>
      <c r="V1685" s="7"/>
      <c r="W1685" s="7"/>
      <c r="X1685" s="13"/>
      <c r="Y1685" s="13" t="s">
        <v>7019</v>
      </c>
    </row>
    <row r="1686" customFormat="false" ht="15.75" hidden="false" customHeight="true" outlineLevel="0" collapsed="false">
      <c r="A1686" s="7" t="s">
        <v>7020</v>
      </c>
      <c r="B1686" s="8" t="n">
        <v>2002</v>
      </c>
      <c r="C1686" s="8" t="s">
        <v>35</v>
      </c>
      <c r="D1686" s="8" t="n">
        <v>90</v>
      </c>
      <c r="E1686" s="7" t="s">
        <v>7021</v>
      </c>
      <c r="F1686" s="8" t="n">
        <v>5.9</v>
      </c>
      <c r="G1686" s="8" t="n">
        <v>6</v>
      </c>
      <c r="H1686" s="9" t="n">
        <v>8282</v>
      </c>
      <c r="I1686" s="7" t="s">
        <v>46</v>
      </c>
      <c r="J1686" s="7" t="s">
        <v>131</v>
      </c>
      <c r="K1686" s="7" t="s">
        <v>54</v>
      </c>
      <c r="L1686" s="10"/>
      <c r="M1686" s="10" t="s">
        <v>7022</v>
      </c>
      <c r="N1686" s="8" t="n">
        <v>0</v>
      </c>
      <c r="O1686" s="8" t="n">
        <v>0</v>
      </c>
      <c r="P1686" s="8" t="n">
        <v>0</v>
      </c>
      <c r="Q1686" s="8" t="n">
        <v>0</v>
      </c>
      <c r="R1686" s="13" t="n">
        <v>0</v>
      </c>
      <c r="S1686" s="13" t="n">
        <v>0</v>
      </c>
      <c r="T1686" s="13"/>
      <c r="U1686" s="11" t="n">
        <f aca="false">O1686*4 + P1686*2 + MAX(0,N1686-O1686-P1686)*1 + Q1686*0.2 + R1686*2 + S1686*1 + IF(T1686="",0,IF(T1686&lt;=10,8,IF(T1686&lt;=50,6,IF(T1686&lt;=100,4,2))))</f>
        <v>0</v>
      </c>
      <c r="V1686" s="7"/>
      <c r="W1686" s="7"/>
      <c r="X1686" s="13"/>
      <c r="Y1686" s="13" t="s">
        <v>7023</v>
      </c>
    </row>
    <row r="1687" customFormat="false" ht="15.75" hidden="false" customHeight="true" outlineLevel="0" collapsed="false">
      <c r="A1687" s="7" t="s">
        <v>7024</v>
      </c>
      <c r="B1687" s="8" t="n">
        <v>1988</v>
      </c>
      <c r="C1687" s="8" t="s">
        <v>109</v>
      </c>
      <c r="D1687" s="8" t="n">
        <v>133</v>
      </c>
      <c r="E1687" s="7" t="s">
        <v>694</v>
      </c>
      <c r="F1687" s="8" t="n">
        <v>8</v>
      </c>
      <c r="G1687" s="8" t="n">
        <v>7</v>
      </c>
      <c r="H1687" s="9" t="n">
        <v>588114</v>
      </c>
      <c r="I1687" s="7" t="s">
        <v>46</v>
      </c>
      <c r="J1687" s="7" t="s">
        <v>47</v>
      </c>
      <c r="K1687" s="7"/>
      <c r="L1687" s="10" t="s">
        <v>113</v>
      </c>
      <c r="M1687" s="7" t="s">
        <v>7025</v>
      </c>
      <c r="N1687" s="8" t="n">
        <v>4</v>
      </c>
      <c r="O1687" s="8" t="n">
        <v>1</v>
      </c>
      <c r="P1687" s="8" t="n">
        <v>1</v>
      </c>
      <c r="Q1687" s="8" t="n">
        <v>8</v>
      </c>
      <c r="R1687" s="8" t="n">
        <v>1</v>
      </c>
      <c r="S1687" s="8" t="n">
        <v>1</v>
      </c>
      <c r="T1687" s="13"/>
      <c r="U1687" s="11" t="n">
        <f aca="false">O1687*4 + P1687*2 + MAX(0,N1687-O1687-P1687)*1 + Q1687*0.2 + R1687*2 + S1687*1 + IF(T1687="",0,IF(T1687&lt;=10,8,IF(T1687&lt;=50,6,IF(T1687&lt;=100,4,2))))</f>
        <v>12.6</v>
      </c>
      <c r="V1687" s="7"/>
      <c r="W1687" s="7"/>
      <c r="X1687" s="13"/>
      <c r="Y1687" s="13" t="s">
        <v>7026</v>
      </c>
    </row>
    <row r="1688" customFormat="false" ht="15.75" hidden="false" customHeight="true" outlineLevel="0" collapsed="false">
      <c r="A1688" s="7" t="s">
        <v>7027</v>
      </c>
      <c r="B1688" s="8" t="n">
        <v>2014</v>
      </c>
      <c r="C1688" s="8" t="s">
        <v>176</v>
      </c>
      <c r="D1688" s="8" t="n">
        <v>98</v>
      </c>
      <c r="E1688" s="7" t="s">
        <v>7028</v>
      </c>
      <c r="F1688" s="8" t="n">
        <v>6.5</v>
      </c>
      <c r="G1688" s="8" t="n">
        <v>7</v>
      </c>
      <c r="H1688" s="9" t="n">
        <v>19932</v>
      </c>
      <c r="I1688" s="7" t="s">
        <v>232</v>
      </c>
      <c r="J1688" s="7" t="s">
        <v>29</v>
      </c>
      <c r="K1688" s="7" t="s">
        <v>30</v>
      </c>
      <c r="L1688" s="10" t="s">
        <v>636</v>
      </c>
      <c r="M1688" s="10" t="s">
        <v>7029</v>
      </c>
      <c r="N1688" s="8" t="n">
        <v>0</v>
      </c>
      <c r="O1688" s="8" t="n">
        <v>0</v>
      </c>
      <c r="P1688" s="8" t="n">
        <v>0</v>
      </c>
      <c r="Q1688" s="8" t="n">
        <v>0</v>
      </c>
      <c r="R1688" s="13" t="n">
        <v>0</v>
      </c>
      <c r="S1688" s="13" t="n">
        <v>0</v>
      </c>
      <c r="T1688" s="13"/>
      <c r="U1688" s="11" t="n">
        <f aca="false">O1688*4 + P1688*2 + MAX(0,N1688-O1688-P1688)*1 + Q1688*0.2 + R1688*2 + S1688*1 + IF(T1688="",0,IF(T1688&lt;=10,8,IF(T1688&lt;=50,6,IF(T1688&lt;=100,4,2))))</f>
        <v>0</v>
      </c>
      <c r="V1688" s="7"/>
      <c r="W1688" s="7"/>
      <c r="X1688" s="13"/>
      <c r="Y1688" s="13" t="s">
        <v>7030</v>
      </c>
    </row>
    <row r="1689" customFormat="false" ht="15.75" hidden="false" customHeight="true" outlineLevel="0" collapsed="false">
      <c r="A1689" s="7" t="s">
        <v>7031</v>
      </c>
      <c r="B1689" s="8" t="n">
        <v>1998</v>
      </c>
      <c r="C1689" s="8" t="s">
        <v>26</v>
      </c>
      <c r="D1689" s="8" t="n">
        <v>107</v>
      </c>
      <c r="E1689" s="7" t="s">
        <v>1196</v>
      </c>
      <c r="F1689" s="8" t="n">
        <v>8.1</v>
      </c>
      <c r="G1689" s="8" t="n">
        <v>7</v>
      </c>
      <c r="H1689" s="9" t="n">
        <v>652615</v>
      </c>
      <c r="I1689" s="7" t="s">
        <v>280</v>
      </c>
      <c r="J1689" s="7" t="s">
        <v>30</v>
      </c>
      <c r="K1689" s="7" t="s">
        <v>54</v>
      </c>
      <c r="L1689" s="10" t="s">
        <v>161</v>
      </c>
      <c r="M1689" s="7" t="s">
        <v>7032</v>
      </c>
      <c r="N1689" s="8" t="n">
        <v>0</v>
      </c>
      <c r="O1689" s="8" t="n">
        <v>0</v>
      </c>
      <c r="P1689" s="8" t="n">
        <v>0</v>
      </c>
      <c r="Q1689" s="8" t="n">
        <v>0</v>
      </c>
      <c r="R1689" s="13" t="n">
        <v>0</v>
      </c>
      <c r="S1689" s="13" t="n">
        <v>0</v>
      </c>
      <c r="T1689" s="13"/>
      <c r="U1689" s="11" t="n">
        <f aca="false">O1689*4 + P1689*2 + MAX(0,N1689-O1689-P1689)*1 + Q1689*0.2 + R1689*2 + S1689*1 + IF(T1689="",0,IF(T1689&lt;=10,8,IF(T1689&lt;=50,6,IF(T1689&lt;=100,4,2))))</f>
        <v>0</v>
      </c>
      <c r="V1689" s="7"/>
      <c r="W1689" s="7"/>
      <c r="X1689" s="13"/>
      <c r="Y1689" s="13" t="s">
        <v>7033</v>
      </c>
    </row>
    <row r="1690" customFormat="false" ht="15.75" hidden="false" customHeight="true" outlineLevel="0" collapsed="false">
      <c r="A1690" s="7" t="s">
        <v>7034</v>
      </c>
      <c r="B1690" s="8" t="n">
        <v>2013</v>
      </c>
      <c r="C1690" s="8" t="s">
        <v>176</v>
      </c>
      <c r="D1690" s="8" t="n">
        <v>94</v>
      </c>
      <c r="E1690" s="7" t="s">
        <v>7035</v>
      </c>
      <c r="F1690" s="8" t="n">
        <v>6.2</v>
      </c>
      <c r="G1690" s="8" t="n">
        <v>5</v>
      </c>
      <c r="H1690" s="9" t="n">
        <v>5974</v>
      </c>
      <c r="I1690" s="7" t="s">
        <v>232</v>
      </c>
      <c r="J1690" s="7" t="s">
        <v>29</v>
      </c>
      <c r="K1690" s="7" t="s">
        <v>30</v>
      </c>
      <c r="L1690" s="10" t="s">
        <v>5938</v>
      </c>
      <c r="M1690" s="10" t="s">
        <v>7036</v>
      </c>
      <c r="N1690" s="8" t="n">
        <v>0</v>
      </c>
      <c r="O1690" s="8" t="n">
        <v>0</v>
      </c>
      <c r="P1690" s="8" t="n">
        <v>0</v>
      </c>
      <c r="Q1690" s="8" t="n">
        <v>0</v>
      </c>
      <c r="R1690" s="13" t="n">
        <v>0</v>
      </c>
      <c r="S1690" s="13" t="n">
        <v>0</v>
      </c>
      <c r="T1690" s="13"/>
      <c r="U1690" s="11" t="n">
        <f aca="false">O1690*4 + P1690*2 + MAX(0,N1690-O1690-P1690)*1 + Q1690*0.2 + R1690*2 + S1690*1 + IF(T1690="",0,IF(T1690&lt;=10,8,IF(T1690&lt;=50,6,IF(T1690&lt;=100,4,2))))</f>
        <v>0</v>
      </c>
      <c r="V1690" s="7"/>
      <c r="W1690" s="7"/>
      <c r="X1690" s="13"/>
      <c r="Y1690" s="13" t="s">
        <v>7037</v>
      </c>
    </row>
    <row r="1691" customFormat="false" ht="15.75" hidden="false" customHeight="true" outlineLevel="0" collapsed="false">
      <c r="A1691" s="7" t="s">
        <v>7038</v>
      </c>
      <c r="B1691" s="8" t="n">
        <v>2012</v>
      </c>
      <c r="C1691" s="8" t="s">
        <v>176</v>
      </c>
      <c r="D1691" s="8" t="n">
        <v>109</v>
      </c>
      <c r="E1691" s="7" t="s">
        <v>5239</v>
      </c>
      <c r="F1691" s="8" t="n">
        <v>7.2</v>
      </c>
      <c r="G1691" s="8" t="n">
        <v>6</v>
      </c>
      <c r="H1691" s="9" t="n">
        <v>652978</v>
      </c>
      <c r="I1691" s="7" t="s">
        <v>46</v>
      </c>
      <c r="J1691" s="7" t="s">
        <v>112</v>
      </c>
      <c r="K1691" s="7" t="s">
        <v>54</v>
      </c>
      <c r="L1691" s="10" t="s">
        <v>187</v>
      </c>
      <c r="M1691" s="7" t="s">
        <v>7039</v>
      </c>
      <c r="N1691" s="8" t="n">
        <v>0</v>
      </c>
      <c r="O1691" s="8" t="n">
        <v>0</v>
      </c>
      <c r="P1691" s="8" t="n">
        <v>0</v>
      </c>
      <c r="Q1691" s="8" t="n">
        <v>0</v>
      </c>
      <c r="R1691" s="13" t="n">
        <v>0</v>
      </c>
      <c r="S1691" s="13" t="n">
        <v>0</v>
      </c>
      <c r="T1691" s="13"/>
      <c r="U1691" s="11" t="n">
        <f aca="false">O1691*4 + P1691*2 + MAX(0,N1691-O1691-P1691)*1 + Q1691*0.2 + R1691*2 + S1691*1 + IF(T1691="",0,IF(T1691&lt;=10,8,IF(T1691&lt;=50,6,IF(T1691&lt;=100,4,2))))</f>
        <v>0</v>
      </c>
      <c r="V1691" s="7"/>
      <c r="W1691" s="7"/>
      <c r="X1691" s="13"/>
      <c r="Y1691" s="13" t="s">
        <v>7040</v>
      </c>
    </row>
    <row r="1692" customFormat="false" ht="15.75" hidden="false" customHeight="true" outlineLevel="0" collapsed="false">
      <c r="A1692" s="7" t="s">
        <v>7041</v>
      </c>
      <c r="B1692" s="8" t="n">
        <v>2005</v>
      </c>
      <c r="C1692" s="8" t="s">
        <v>35</v>
      </c>
      <c r="D1692" s="8" t="n">
        <v>111</v>
      </c>
      <c r="E1692" s="7" t="s">
        <v>1196</v>
      </c>
      <c r="F1692" s="8" t="n">
        <v>6.3</v>
      </c>
      <c r="G1692" s="8" t="n">
        <v>5</v>
      </c>
      <c r="H1692" s="9" t="n">
        <v>109542</v>
      </c>
      <c r="I1692" s="7" t="s">
        <v>3107</v>
      </c>
      <c r="J1692" s="7" t="s">
        <v>112</v>
      </c>
      <c r="K1692" s="7" t="s">
        <v>54</v>
      </c>
      <c r="L1692" s="10" t="s">
        <v>7042</v>
      </c>
      <c r="M1692" s="10" t="s">
        <v>7043</v>
      </c>
      <c r="N1692" s="8" t="n">
        <v>0</v>
      </c>
      <c r="O1692" s="8" t="n">
        <v>0</v>
      </c>
      <c r="P1692" s="8" t="n">
        <v>0</v>
      </c>
      <c r="Q1692" s="8" t="n">
        <v>0</v>
      </c>
      <c r="R1692" s="13" t="n">
        <v>0</v>
      </c>
      <c r="S1692" s="13" t="n">
        <v>0</v>
      </c>
      <c r="T1692" s="13"/>
      <c r="U1692" s="11" t="n">
        <f aca="false">O1692*4 + P1692*2 + MAX(0,N1692-O1692-P1692)*1 + Q1692*0.2 + R1692*2 + S1692*1 + IF(T1692="",0,IF(T1692&lt;=10,8,IF(T1692&lt;=50,6,IF(T1692&lt;=100,4,2))))</f>
        <v>0</v>
      </c>
      <c r="V1692" s="7"/>
      <c r="W1692" s="7"/>
      <c r="X1692" s="13"/>
      <c r="Y1692" s="13" t="s">
        <v>7044</v>
      </c>
    </row>
    <row r="1693" customFormat="false" ht="15.75" hidden="false" customHeight="true" outlineLevel="0" collapsed="false">
      <c r="A1693" s="7" t="s">
        <v>7045</v>
      </c>
      <c r="B1693" s="8" t="n">
        <v>2013</v>
      </c>
      <c r="C1693" s="8" t="s">
        <v>176</v>
      </c>
      <c r="D1693" s="8" t="n">
        <v>114</v>
      </c>
      <c r="E1693" s="7" t="s">
        <v>5588</v>
      </c>
      <c r="F1693" s="8" t="n">
        <v>7.3</v>
      </c>
      <c r="G1693" s="8" t="n">
        <v>5</v>
      </c>
      <c r="H1693" s="9" t="n">
        <v>375791</v>
      </c>
      <c r="I1693" s="7" t="s">
        <v>46</v>
      </c>
      <c r="J1693" s="7" t="s">
        <v>39</v>
      </c>
      <c r="K1693" s="7" t="s">
        <v>30</v>
      </c>
      <c r="L1693" s="10" t="s">
        <v>177</v>
      </c>
      <c r="M1693" s="7" t="s">
        <v>7046</v>
      </c>
      <c r="N1693" s="8" t="n">
        <v>0</v>
      </c>
      <c r="O1693" s="8" t="n">
        <v>0</v>
      </c>
      <c r="P1693" s="8" t="n">
        <v>0</v>
      </c>
      <c r="Q1693" s="8" t="n">
        <v>0</v>
      </c>
      <c r="R1693" s="13" t="n">
        <v>0</v>
      </c>
      <c r="S1693" s="13" t="n">
        <v>0</v>
      </c>
      <c r="T1693" s="13"/>
      <c r="U1693" s="11" t="n">
        <f aca="false">O1693*4 + P1693*2 + MAX(0,N1693-O1693-P1693)*1 + Q1693*0.2 + R1693*2 + S1693*1 + IF(T1693="",0,IF(T1693&lt;=10,8,IF(T1693&lt;=50,6,IF(T1693&lt;=100,4,2))))</f>
        <v>0</v>
      </c>
      <c r="V1693" s="7"/>
      <c r="W1693" s="7"/>
      <c r="X1693" s="13"/>
      <c r="Y1693" s="13" t="s">
        <v>7047</v>
      </c>
    </row>
    <row r="1694" customFormat="false" ht="15.75" hidden="false" customHeight="true" outlineLevel="0" collapsed="false">
      <c r="A1694" s="7" t="s">
        <v>7048</v>
      </c>
      <c r="B1694" s="8" t="n">
        <v>2009</v>
      </c>
      <c r="C1694" s="8" t="s">
        <v>35</v>
      </c>
      <c r="D1694" s="8" t="n">
        <v>121</v>
      </c>
      <c r="E1694" s="7" t="s">
        <v>1156</v>
      </c>
      <c r="F1694" s="8" t="n">
        <v>6.2</v>
      </c>
      <c r="G1694" s="8" t="n">
        <v>5</v>
      </c>
      <c r="H1694" s="9" t="n">
        <v>263500</v>
      </c>
      <c r="I1694" s="7" t="s">
        <v>7049</v>
      </c>
      <c r="J1694" s="7" t="s">
        <v>111</v>
      </c>
      <c r="K1694" s="7" t="s">
        <v>125</v>
      </c>
      <c r="L1694" s="10"/>
      <c r="M1694" s="7" t="s">
        <v>7050</v>
      </c>
      <c r="N1694" s="8" t="n">
        <v>0</v>
      </c>
      <c r="O1694" s="8" t="n">
        <v>0</v>
      </c>
      <c r="P1694" s="8" t="n">
        <v>0</v>
      </c>
      <c r="Q1694" s="8" t="n">
        <v>0</v>
      </c>
      <c r="R1694" s="13" t="n">
        <v>0</v>
      </c>
      <c r="S1694" s="13" t="n">
        <v>0</v>
      </c>
      <c r="T1694" s="13"/>
      <c r="U1694" s="11" t="n">
        <f aca="false">O1694*4 + P1694*2 + MAX(0,N1694-O1694-P1694)*1 + Q1694*0.2 + R1694*2 + S1694*1 + IF(T1694="",0,IF(T1694&lt;=10,8,IF(T1694&lt;=50,6,IF(T1694&lt;=100,4,2))))</f>
        <v>0</v>
      </c>
      <c r="V1694" s="7"/>
      <c r="W1694" s="7"/>
      <c r="X1694" s="13"/>
      <c r="Y1694" s="13" t="s">
        <v>7051</v>
      </c>
    </row>
    <row r="1695" customFormat="false" ht="15.75" hidden="false" customHeight="true" outlineLevel="0" collapsed="false">
      <c r="A1695" s="7" t="s">
        <v>7052</v>
      </c>
      <c r="B1695" s="8" t="n">
        <v>2012</v>
      </c>
      <c r="C1695" s="8" t="s">
        <v>176</v>
      </c>
      <c r="D1695" s="8" t="n">
        <v>105</v>
      </c>
      <c r="E1695" s="7" t="s">
        <v>7053</v>
      </c>
      <c r="F1695" s="8" t="n">
        <v>6</v>
      </c>
      <c r="G1695" s="8" t="n">
        <v>5</v>
      </c>
      <c r="H1695" s="9" t="n">
        <v>27661</v>
      </c>
      <c r="I1695" s="7" t="s">
        <v>46</v>
      </c>
      <c r="J1695" s="7" t="s">
        <v>30</v>
      </c>
      <c r="K1695" s="7" t="s">
        <v>259</v>
      </c>
      <c r="L1695" s="10"/>
      <c r="M1695" s="10" t="s">
        <v>7054</v>
      </c>
      <c r="N1695" s="8" t="n">
        <v>0</v>
      </c>
      <c r="O1695" s="8" t="n">
        <v>0</v>
      </c>
      <c r="P1695" s="8" t="n">
        <v>0</v>
      </c>
      <c r="Q1695" s="8" t="n">
        <v>0</v>
      </c>
      <c r="R1695" s="13" t="n">
        <v>0</v>
      </c>
      <c r="S1695" s="13" t="n">
        <v>0</v>
      </c>
      <c r="T1695" s="13"/>
      <c r="U1695" s="11" t="n">
        <f aca="false">O1695*4 + P1695*2 + MAX(0,N1695-O1695-P1695)*1 + Q1695*0.2 + R1695*2 + S1695*1 + IF(T1695="",0,IF(T1695&lt;=10,8,IF(T1695&lt;=50,6,IF(T1695&lt;=100,4,2))))</f>
        <v>0</v>
      </c>
      <c r="V1695" s="7"/>
      <c r="W1695" s="7"/>
      <c r="X1695" s="13"/>
      <c r="Y1695" s="13" t="s">
        <v>7055</v>
      </c>
    </row>
    <row r="1696" customFormat="false" ht="15.75" hidden="false" customHeight="true" outlineLevel="0" collapsed="false">
      <c r="A1696" s="7" t="s">
        <v>7056</v>
      </c>
      <c r="B1696" s="8" t="n">
        <v>2012</v>
      </c>
      <c r="C1696" s="8" t="s">
        <v>176</v>
      </c>
      <c r="D1696" s="8" t="n">
        <v>115</v>
      </c>
      <c r="E1696" s="7" t="s">
        <v>7057</v>
      </c>
      <c r="F1696" s="8" t="n">
        <v>6.7</v>
      </c>
      <c r="G1696" s="8" t="n">
        <v>5</v>
      </c>
      <c r="H1696" s="9" t="n">
        <v>250592</v>
      </c>
      <c r="I1696" s="7" t="s">
        <v>46</v>
      </c>
      <c r="J1696" s="7" t="s">
        <v>131</v>
      </c>
      <c r="K1696" s="7" t="s">
        <v>112</v>
      </c>
      <c r="L1696" s="10" t="s">
        <v>2666</v>
      </c>
      <c r="M1696" s="10" t="s">
        <v>7058</v>
      </c>
      <c r="N1696" s="8" t="n">
        <v>0</v>
      </c>
      <c r="O1696" s="8" t="n">
        <v>0</v>
      </c>
      <c r="P1696" s="8" t="n">
        <v>0</v>
      </c>
      <c r="Q1696" s="8" t="n">
        <v>0</v>
      </c>
      <c r="R1696" s="13" t="n">
        <v>0</v>
      </c>
      <c r="S1696" s="13" t="n">
        <v>0</v>
      </c>
      <c r="T1696" s="13"/>
      <c r="U1696" s="11" t="n">
        <f aca="false">O1696*4 + P1696*2 + MAX(0,N1696-O1696-P1696)*1 + Q1696*0.2 + R1696*2 + S1696*1 + IF(T1696="",0,IF(T1696&lt;=10,8,IF(T1696&lt;=50,6,IF(T1696&lt;=100,4,2))))</f>
        <v>0</v>
      </c>
      <c r="V1696" s="7"/>
      <c r="W1696" s="7"/>
      <c r="X1696" s="13"/>
      <c r="Y1696" s="13" t="s">
        <v>7059</v>
      </c>
    </row>
    <row r="1697" customFormat="false" ht="15.75" hidden="false" customHeight="true" outlineLevel="0" collapsed="false">
      <c r="A1697" s="7" t="s">
        <v>7060</v>
      </c>
      <c r="B1697" s="8" t="n">
        <v>2012</v>
      </c>
      <c r="C1697" s="8" t="s">
        <v>176</v>
      </c>
      <c r="D1697" s="8" t="n">
        <v>111</v>
      </c>
      <c r="E1697" s="7" t="s">
        <v>7061</v>
      </c>
      <c r="F1697" s="8" t="n">
        <v>6.8</v>
      </c>
      <c r="G1697" s="8" t="n">
        <v>6</v>
      </c>
      <c r="H1697" s="9" t="n">
        <v>72573</v>
      </c>
      <c r="I1697" s="7" t="s">
        <v>46</v>
      </c>
      <c r="J1697" s="7" t="s">
        <v>29</v>
      </c>
      <c r="K1697" s="7" t="s">
        <v>75</v>
      </c>
      <c r="L1697" s="10"/>
      <c r="M1697" s="10" t="s">
        <v>7062</v>
      </c>
      <c r="N1697" s="8" t="n">
        <v>0</v>
      </c>
      <c r="O1697" s="8" t="n">
        <v>0</v>
      </c>
      <c r="P1697" s="8" t="n">
        <v>0</v>
      </c>
      <c r="Q1697" s="8" t="n">
        <v>0</v>
      </c>
      <c r="R1697" s="13" t="n">
        <v>0</v>
      </c>
      <c r="S1697" s="13" t="n">
        <v>0</v>
      </c>
      <c r="T1697" s="13"/>
      <c r="U1697" s="11" t="n">
        <f aca="false">O1697*4 + P1697*2 + MAX(0,N1697-O1697-P1697)*1 + Q1697*0.2 + R1697*2 + S1697*1 + IF(T1697="",0,IF(T1697&lt;=10,8,IF(T1697&lt;=50,6,IF(T1697&lt;=100,4,2))))</f>
        <v>0</v>
      </c>
      <c r="V1697" s="7"/>
      <c r="W1697" s="7"/>
      <c r="X1697" s="13"/>
      <c r="Y1697" s="13" t="s">
        <v>7063</v>
      </c>
    </row>
    <row r="1698" customFormat="false" ht="15.75" hidden="false" customHeight="true" outlineLevel="0" collapsed="false">
      <c r="A1698" s="7" t="s">
        <v>7064</v>
      </c>
      <c r="B1698" s="8" t="n">
        <v>2012</v>
      </c>
      <c r="C1698" s="8" t="s">
        <v>176</v>
      </c>
      <c r="D1698" s="8" t="n">
        <v>101</v>
      </c>
      <c r="E1698" s="7" t="s">
        <v>7065</v>
      </c>
      <c r="F1698" s="8" t="n">
        <v>7.7</v>
      </c>
      <c r="G1698" s="8" t="n">
        <v>7</v>
      </c>
      <c r="H1698" s="9" t="n">
        <v>503850</v>
      </c>
      <c r="I1698" s="7" t="s">
        <v>46</v>
      </c>
      <c r="J1698" s="7" t="s">
        <v>579</v>
      </c>
      <c r="K1698" s="7" t="s">
        <v>39</v>
      </c>
      <c r="L1698" s="10" t="s">
        <v>177</v>
      </c>
      <c r="M1698" s="7" t="s">
        <v>7066</v>
      </c>
      <c r="N1698" s="8" t="n">
        <v>0</v>
      </c>
      <c r="O1698" s="8" t="n">
        <v>0</v>
      </c>
      <c r="P1698" s="8" t="n">
        <v>0</v>
      </c>
      <c r="Q1698" s="8" t="n">
        <v>1</v>
      </c>
      <c r="R1698" s="8" t="n">
        <v>0</v>
      </c>
      <c r="S1698" s="8" t="n">
        <v>0</v>
      </c>
      <c r="T1698" s="13"/>
      <c r="U1698" s="11" t="n">
        <f aca="false">O1698*4 + P1698*2 + MAX(0,N1698-O1698-P1698)*1 + Q1698*0.2 + R1698*2 + S1698*1 + IF(T1698="",0,IF(T1698&lt;=10,8,IF(T1698&lt;=50,6,IF(T1698&lt;=100,4,2))))</f>
        <v>0.2</v>
      </c>
      <c r="V1698" s="7"/>
      <c r="W1698" s="7"/>
      <c r="X1698" s="13"/>
      <c r="Y1698" s="13" t="s">
        <v>7067</v>
      </c>
    </row>
    <row r="1699" customFormat="false" ht="15.75" hidden="false" customHeight="true" outlineLevel="0" collapsed="false">
      <c r="A1699" s="7" t="s">
        <v>7068</v>
      </c>
      <c r="B1699" s="8" t="n">
        <v>2013</v>
      </c>
      <c r="C1699" s="8" t="s">
        <v>176</v>
      </c>
      <c r="D1699" s="8" t="n">
        <v>102</v>
      </c>
      <c r="E1699" s="7" t="s">
        <v>7069</v>
      </c>
      <c r="F1699" s="8" t="n">
        <v>7.4</v>
      </c>
      <c r="G1699" s="8" t="n">
        <v>6</v>
      </c>
      <c r="H1699" s="9" t="n">
        <v>719419</v>
      </c>
      <c r="I1699" s="7" t="s">
        <v>46</v>
      </c>
      <c r="J1699" s="7" t="s">
        <v>579</v>
      </c>
      <c r="K1699" s="7" t="s">
        <v>39</v>
      </c>
      <c r="L1699" s="10" t="s">
        <v>177</v>
      </c>
      <c r="M1699" s="7" t="s">
        <v>7070</v>
      </c>
      <c r="N1699" s="8" t="n">
        <v>2</v>
      </c>
      <c r="O1699" s="8" t="n">
        <v>0</v>
      </c>
      <c r="P1699" s="8" t="n">
        <v>0</v>
      </c>
      <c r="Q1699" s="8" t="n">
        <v>2</v>
      </c>
      <c r="R1699" s="8" t="n">
        <v>0</v>
      </c>
      <c r="S1699" s="8" t="n">
        <v>0</v>
      </c>
      <c r="T1699" s="13"/>
      <c r="U1699" s="11" t="n">
        <f aca="false">O1699*4 + P1699*2 + MAX(0,N1699-O1699-P1699)*1 + Q1699*0.2 + R1699*2 + S1699*1 + IF(T1699="",0,IF(T1699&lt;=10,8,IF(T1699&lt;=50,6,IF(T1699&lt;=100,4,2))))</f>
        <v>2.4</v>
      </c>
      <c r="V1699" s="7"/>
      <c r="W1699" s="7"/>
      <c r="X1699" s="13"/>
      <c r="Y1699" s="13" t="s">
        <v>7071</v>
      </c>
    </row>
    <row r="1700" customFormat="false" ht="15.75" hidden="false" customHeight="true" outlineLevel="0" collapsed="false">
      <c r="A1700" s="7" t="s">
        <v>7072</v>
      </c>
      <c r="B1700" s="8" t="n">
        <v>2013</v>
      </c>
      <c r="C1700" s="8" t="s">
        <v>176</v>
      </c>
      <c r="D1700" s="8" t="n">
        <v>88</v>
      </c>
      <c r="E1700" s="7" t="s">
        <v>7073</v>
      </c>
      <c r="F1700" s="8" t="n">
        <v>5.8</v>
      </c>
      <c r="G1700" s="8" t="n">
        <v>4</v>
      </c>
      <c r="H1700" s="9" t="n">
        <v>6820</v>
      </c>
      <c r="I1700" s="7" t="s">
        <v>3426</v>
      </c>
      <c r="J1700" s="7" t="s">
        <v>131</v>
      </c>
      <c r="K1700" s="7" t="s">
        <v>54</v>
      </c>
      <c r="L1700" s="10"/>
      <c r="M1700" s="10" t="s">
        <v>7074</v>
      </c>
      <c r="N1700" s="8" t="n">
        <v>0</v>
      </c>
      <c r="O1700" s="8" t="n">
        <v>0</v>
      </c>
      <c r="P1700" s="8" t="n">
        <v>0</v>
      </c>
      <c r="Q1700" s="8" t="n">
        <v>0</v>
      </c>
      <c r="R1700" s="13" t="n">
        <v>0</v>
      </c>
      <c r="S1700" s="13" t="n">
        <v>0</v>
      </c>
      <c r="T1700" s="13"/>
      <c r="U1700" s="11" t="n">
        <f aca="false">O1700*4 + P1700*2 + MAX(0,N1700-O1700-P1700)*1 + Q1700*0.2 + R1700*2 + S1700*1 + IF(T1700="",0,IF(T1700&lt;=10,8,IF(T1700&lt;=50,6,IF(T1700&lt;=100,4,2))))</f>
        <v>0</v>
      </c>
      <c r="V1700" s="7"/>
      <c r="W1700" s="7"/>
      <c r="X1700" s="13"/>
      <c r="Y1700" s="13" t="s">
        <v>7075</v>
      </c>
    </row>
    <row r="1701" customFormat="false" ht="15.75" hidden="false" customHeight="true" outlineLevel="0" collapsed="false">
      <c r="A1701" s="7" t="s">
        <v>7076</v>
      </c>
      <c r="B1701" s="8" t="n">
        <v>2013</v>
      </c>
      <c r="C1701" s="8" t="s">
        <v>176</v>
      </c>
      <c r="D1701" s="8" t="n">
        <v>87</v>
      </c>
      <c r="E1701" s="7" t="s">
        <v>7077</v>
      </c>
      <c r="F1701" s="8" t="n">
        <v>4.7</v>
      </c>
      <c r="G1701" s="8" t="n">
        <v>2</v>
      </c>
      <c r="H1701" s="9" t="n">
        <v>2390</v>
      </c>
      <c r="I1701" s="7" t="s">
        <v>1111</v>
      </c>
      <c r="J1701" s="7" t="s">
        <v>131</v>
      </c>
      <c r="K1701" s="7" t="s">
        <v>125</v>
      </c>
      <c r="L1701" s="10" t="s">
        <v>526</v>
      </c>
      <c r="M1701" s="10" t="s">
        <v>7078</v>
      </c>
      <c r="N1701" s="8" t="n">
        <v>0</v>
      </c>
      <c r="O1701" s="8" t="n">
        <v>0</v>
      </c>
      <c r="P1701" s="8" t="n">
        <v>0</v>
      </c>
      <c r="Q1701" s="8" t="n">
        <v>0</v>
      </c>
      <c r="R1701" s="13" t="n">
        <v>0</v>
      </c>
      <c r="S1701" s="13" t="n">
        <v>0</v>
      </c>
      <c r="T1701" s="13"/>
      <c r="U1701" s="11" t="n">
        <f aca="false">O1701*4 + P1701*2 + MAX(0,N1701-O1701-P1701)*1 + Q1701*0.2 + R1701*2 + S1701*1 + IF(T1701="",0,IF(T1701&lt;=10,8,IF(T1701&lt;=50,6,IF(T1701&lt;=100,4,2))))</f>
        <v>0</v>
      </c>
      <c r="V1701" s="7"/>
      <c r="W1701" s="7"/>
      <c r="X1701" s="13"/>
      <c r="Y1701" s="13" t="s">
        <v>7079</v>
      </c>
    </row>
    <row r="1702" customFormat="false" ht="15.75" hidden="false" customHeight="true" outlineLevel="0" collapsed="false">
      <c r="A1702" s="7" t="s">
        <v>7080</v>
      </c>
      <c r="B1702" s="8" t="n">
        <v>2012</v>
      </c>
      <c r="C1702" s="8" t="s">
        <v>176</v>
      </c>
      <c r="D1702" s="8" t="n">
        <v>115</v>
      </c>
      <c r="E1702" s="7" t="s">
        <v>1160</v>
      </c>
      <c r="F1702" s="8" t="n">
        <v>8.3</v>
      </c>
      <c r="G1702" s="8" t="n">
        <v>6</v>
      </c>
      <c r="H1702" s="9" t="n">
        <v>415800</v>
      </c>
      <c r="I1702" s="7" t="s">
        <v>2555</v>
      </c>
      <c r="J1702" s="7" t="s">
        <v>47</v>
      </c>
      <c r="K1702" s="7"/>
      <c r="L1702" s="10" t="s">
        <v>166</v>
      </c>
      <c r="M1702" s="7" t="s">
        <v>2556</v>
      </c>
      <c r="N1702" s="8" t="n">
        <v>0</v>
      </c>
      <c r="O1702" s="8" t="n">
        <v>0</v>
      </c>
      <c r="P1702" s="8" t="n">
        <v>0</v>
      </c>
      <c r="Q1702" s="8" t="n">
        <v>1</v>
      </c>
      <c r="R1702" s="8" t="n">
        <v>0</v>
      </c>
      <c r="S1702" s="8" t="n">
        <v>0</v>
      </c>
      <c r="T1702" s="13"/>
      <c r="U1702" s="11" t="n">
        <f aca="false">O1702*4 + P1702*2 + MAX(0,N1702-O1702-P1702)*1 + Q1702*0.2 + R1702*2 + S1702*1 + IF(T1702="",0,IF(T1702&lt;=10,8,IF(T1702&lt;=50,6,IF(T1702&lt;=100,4,2))))</f>
        <v>0.2</v>
      </c>
      <c r="V1702" s="7"/>
      <c r="W1702" s="7"/>
      <c r="X1702" s="13"/>
      <c r="Y1702" s="13" t="s">
        <v>2557</v>
      </c>
    </row>
    <row r="1703" customFormat="false" ht="15.75" hidden="false" customHeight="true" outlineLevel="0" collapsed="false">
      <c r="A1703" s="7" t="s">
        <v>7081</v>
      </c>
      <c r="B1703" s="8" t="n">
        <v>1995</v>
      </c>
      <c r="C1703" s="8" t="s">
        <v>26</v>
      </c>
      <c r="D1703" s="8" t="n">
        <v>178</v>
      </c>
      <c r="E1703" s="7" t="s">
        <v>165</v>
      </c>
      <c r="F1703" s="8" t="n">
        <v>8.2</v>
      </c>
      <c r="G1703" s="8" t="n">
        <v>8</v>
      </c>
      <c r="H1703" s="9" t="n">
        <v>625673</v>
      </c>
      <c r="I1703" s="7" t="s">
        <v>2810</v>
      </c>
      <c r="J1703" s="7" t="s">
        <v>47</v>
      </c>
      <c r="K1703" s="7" t="s">
        <v>54</v>
      </c>
      <c r="L1703" s="10" t="s">
        <v>380</v>
      </c>
      <c r="M1703" s="7" t="s">
        <v>7082</v>
      </c>
      <c r="N1703" s="8" t="n">
        <v>0</v>
      </c>
      <c r="O1703" s="8" t="n">
        <v>0</v>
      </c>
      <c r="P1703" s="8" t="n">
        <v>0</v>
      </c>
      <c r="Q1703" s="8" t="n">
        <v>1</v>
      </c>
      <c r="R1703" s="8" t="n">
        <v>0</v>
      </c>
      <c r="S1703" s="8" t="n">
        <v>0</v>
      </c>
      <c r="T1703" s="13"/>
      <c r="U1703" s="11" t="n">
        <f aca="false">O1703*4 + P1703*2 + MAX(0,N1703-O1703-P1703)*1 + Q1703*0.2 + R1703*2 + S1703*1 + IF(T1703="",0,IF(T1703&lt;=10,8,IF(T1703&lt;=50,6,IF(T1703&lt;=100,4,2))))</f>
        <v>0.2</v>
      </c>
      <c r="V1703" s="7"/>
      <c r="W1703" s="7"/>
      <c r="X1703" s="13"/>
      <c r="Y1703" s="13" t="s">
        <v>7083</v>
      </c>
    </row>
    <row r="1704" customFormat="false" ht="15.75" hidden="false" customHeight="true" outlineLevel="0" collapsed="false">
      <c r="A1704" s="7" t="s">
        <v>7084</v>
      </c>
      <c r="B1704" s="8" t="n">
        <v>2013</v>
      </c>
      <c r="C1704" s="8" t="s">
        <v>176</v>
      </c>
      <c r="D1704" s="8" t="n">
        <v>115</v>
      </c>
      <c r="E1704" s="7" t="s">
        <v>3764</v>
      </c>
      <c r="F1704" s="8" t="n">
        <v>6.7</v>
      </c>
      <c r="G1704" s="8" t="n">
        <v>4</v>
      </c>
      <c r="H1704" s="9" t="n">
        <v>271978</v>
      </c>
      <c r="I1704" s="7" t="s">
        <v>46</v>
      </c>
      <c r="J1704" s="7" t="s">
        <v>131</v>
      </c>
      <c r="K1704" s="7" t="s">
        <v>112</v>
      </c>
      <c r="L1704" s="10" t="s">
        <v>161</v>
      </c>
      <c r="M1704" s="7" t="s">
        <v>7085</v>
      </c>
      <c r="N1704" s="8" t="n">
        <v>0</v>
      </c>
      <c r="O1704" s="8" t="n">
        <v>0</v>
      </c>
      <c r="P1704" s="8" t="n">
        <v>0</v>
      </c>
      <c r="Q1704" s="8" t="n">
        <v>0</v>
      </c>
      <c r="R1704" s="13" t="n">
        <v>0</v>
      </c>
      <c r="S1704" s="13" t="n">
        <v>0</v>
      </c>
      <c r="T1704" s="13"/>
      <c r="U1704" s="11" t="n">
        <f aca="false">O1704*4 + P1704*2 + MAX(0,N1704-O1704-P1704)*1 + Q1704*0.2 + R1704*2 + S1704*1 + IF(T1704="",0,IF(T1704&lt;=10,8,IF(T1704&lt;=50,6,IF(T1704&lt;=100,4,2))))</f>
        <v>0</v>
      </c>
      <c r="V1704" s="7"/>
      <c r="W1704" s="7"/>
      <c r="X1704" s="13"/>
      <c r="Y1704" s="13" t="s">
        <v>7086</v>
      </c>
    </row>
    <row r="1705" customFormat="false" ht="15.75" hidden="false" customHeight="true" outlineLevel="0" collapsed="false">
      <c r="A1705" s="7" t="s">
        <v>7087</v>
      </c>
      <c r="B1705" s="8" t="n">
        <v>2013</v>
      </c>
      <c r="C1705" s="8" t="s">
        <v>176</v>
      </c>
      <c r="D1705" s="8" t="n">
        <v>129</v>
      </c>
      <c r="E1705" s="7" t="s">
        <v>5578</v>
      </c>
      <c r="F1705" s="8" t="n">
        <v>6.4</v>
      </c>
      <c r="G1705" s="8" t="n">
        <v>6</v>
      </c>
      <c r="H1705" s="9" t="n">
        <v>242550</v>
      </c>
      <c r="I1705" s="7" t="s">
        <v>46</v>
      </c>
      <c r="J1705" s="7" t="s">
        <v>112</v>
      </c>
      <c r="K1705" s="7" t="s">
        <v>48</v>
      </c>
      <c r="L1705" s="10" t="s">
        <v>210</v>
      </c>
      <c r="M1705" s="10" t="s">
        <v>7088</v>
      </c>
      <c r="N1705" s="8" t="n">
        <v>0</v>
      </c>
      <c r="O1705" s="8" t="n">
        <v>0</v>
      </c>
      <c r="P1705" s="8" t="n">
        <v>0</v>
      </c>
      <c r="Q1705" s="8" t="n">
        <v>0</v>
      </c>
      <c r="R1705" s="13" t="n">
        <v>0</v>
      </c>
      <c r="S1705" s="13" t="n">
        <v>0</v>
      </c>
      <c r="T1705" s="13"/>
      <c r="U1705" s="11" t="n">
        <f aca="false">O1705*4 + P1705*2 + MAX(0,N1705-O1705-P1705)*1 + Q1705*0.2 + R1705*2 + S1705*1 + IF(T1705="",0,IF(T1705&lt;=10,8,IF(T1705&lt;=50,6,IF(T1705&lt;=100,4,2))))</f>
        <v>0</v>
      </c>
      <c r="V1705" s="7"/>
      <c r="W1705" s="7"/>
      <c r="X1705" s="13"/>
      <c r="Y1705" s="13" t="s">
        <v>7089</v>
      </c>
    </row>
    <row r="1706" customFormat="false" ht="15.75" hidden="false" customHeight="true" outlineLevel="0" collapsed="false">
      <c r="A1706" s="7" t="s">
        <v>7090</v>
      </c>
      <c r="B1706" s="8" t="n">
        <v>2012</v>
      </c>
      <c r="C1706" s="8" t="s">
        <v>176</v>
      </c>
      <c r="D1706" s="8" t="n">
        <v>101</v>
      </c>
      <c r="E1706" s="7" t="s">
        <v>7091</v>
      </c>
      <c r="F1706" s="8" t="n">
        <v>7.8</v>
      </c>
      <c r="G1706" s="8" t="n">
        <v>7</v>
      </c>
      <c r="H1706" s="9" t="n">
        <v>38</v>
      </c>
      <c r="I1706" s="7" t="s">
        <v>232</v>
      </c>
      <c r="J1706" s="7" t="s">
        <v>2730</v>
      </c>
      <c r="K1706" s="7"/>
      <c r="L1706" s="10"/>
      <c r="M1706" s="10" t="s">
        <v>7092</v>
      </c>
      <c r="N1706" s="8" t="n">
        <v>0</v>
      </c>
      <c r="O1706" s="8" t="n">
        <v>0</v>
      </c>
      <c r="P1706" s="8" t="n">
        <v>0</v>
      </c>
      <c r="Q1706" s="8" t="n">
        <v>0</v>
      </c>
      <c r="R1706" s="13" t="n">
        <v>0</v>
      </c>
      <c r="S1706" s="13" t="n">
        <v>0</v>
      </c>
      <c r="T1706" s="13"/>
      <c r="U1706" s="11" t="n">
        <f aca="false">O1706*4 + P1706*2 + MAX(0,N1706-O1706-P1706)*1 + Q1706*0.2 + R1706*2 + S1706*1 + IF(T1706="",0,IF(T1706&lt;=10,8,IF(T1706&lt;=50,6,IF(T1706&lt;=100,4,2))))</f>
        <v>0</v>
      </c>
      <c r="V1706" s="7"/>
      <c r="W1706" s="7"/>
      <c r="X1706" s="13"/>
      <c r="Y1706" s="13" t="s">
        <v>7093</v>
      </c>
    </row>
    <row r="1707" customFormat="false" ht="15.75" hidden="false" customHeight="true" outlineLevel="0" collapsed="false">
      <c r="A1707" s="7" t="s">
        <v>7094</v>
      </c>
      <c r="B1707" s="8" t="n">
        <v>2000</v>
      </c>
      <c r="C1707" s="8" t="s">
        <v>35</v>
      </c>
      <c r="D1707" s="8" t="n">
        <v>108</v>
      </c>
      <c r="E1707" s="7" t="s">
        <v>1530</v>
      </c>
      <c r="F1707" s="8" t="n">
        <v>7</v>
      </c>
      <c r="G1707" s="8" t="n">
        <v>7</v>
      </c>
      <c r="H1707" s="9" t="n">
        <v>381069</v>
      </c>
      <c r="I1707" s="7" t="s">
        <v>46</v>
      </c>
      <c r="J1707" s="7" t="s">
        <v>29</v>
      </c>
      <c r="K1707" s="7" t="s">
        <v>30</v>
      </c>
      <c r="L1707" s="10"/>
      <c r="M1707" s="7" t="s">
        <v>7095</v>
      </c>
      <c r="N1707" s="8" t="n">
        <v>0</v>
      </c>
      <c r="O1707" s="8" t="n">
        <v>0</v>
      </c>
      <c r="P1707" s="8" t="n">
        <v>0</v>
      </c>
      <c r="Q1707" s="8" t="n">
        <v>1</v>
      </c>
      <c r="R1707" s="8" t="n">
        <v>0</v>
      </c>
      <c r="S1707" s="8" t="n">
        <v>0</v>
      </c>
      <c r="T1707" s="13"/>
      <c r="U1707" s="11" t="n">
        <f aca="false">O1707*4 + P1707*2 + MAX(0,N1707-O1707-P1707)*1 + Q1707*0.2 + R1707*2 + S1707*1 + IF(T1707="",0,IF(T1707&lt;=10,8,IF(T1707&lt;=50,6,IF(T1707&lt;=100,4,2))))</f>
        <v>0.2</v>
      </c>
      <c r="V1707" s="7"/>
      <c r="W1707" s="7"/>
      <c r="X1707" s="13"/>
      <c r="Y1707" s="13" t="s">
        <v>7096</v>
      </c>
    </row>
    <row r="1708" customFormat="false" ht="15.75" hidden="false" customHeight="true" outlineLevel="0" collapsed="false">
      <c r="A1708" s="7" t="s">
        <v>7097</v>
      </c>
      <c r="B1708" s="8" t="n">
        <v>1991</v>
      </c>
      <c r="C1708" s="8" t="s">
        <v>26</v>
      </c>
      <c r="D1708" s="8" t="n">
        <v>85</v>
      </c>
      <c r="E1708" s="7" t="s">
        <v>6829</v>
      </c>
      <c r="F1708" s="8" t="n">
        <v>6.9</v>
      </c>
      <c r="G1708" s="8" t="n">
        <v>5</v>
      </c>
      <c r="H1708" s="9" t="n">
        <v>142644</v>
      </c>
      <c r="I1708" s="7" t="s">
        <v>46</v>
      </c>
      <c r="J1708" s="7" t="s">
        <v>30</v>
      </c>
      <c r="K1708" s="7" t="s">
        <v>54</v>
      </c>
      <c r="L1708" s="10"/>
      <c r="M1708" s="10" t="s">
        <v>7098</v>
      </c>
      <c r="N1708" s="8" t="n">
        <v>0</v>
      </c>
      <c r="O1708" s="8" t="n">
        <v>0</v>
      </c>
      <c r="P1708" s="8" t="n">
        <v>0</v>
      </c>
      <c r="Q1708" s="8" t="n">
        <v>0</v>
      </c>
      <c r="R1708" s="13" t="n">
        <v>0</v>
      </c>
      <c r="S1708" s="13" t="n">
        <v>0</v>
      </c>
      <c r="T1708" s="13"/>
      <c r="U1708" s="11" t="n">
        <f aca="false">O1708*4 + P1708*2 + MAX(0,N1708-O1708-P1708)*1 + Q1708*0.2 + R1708*2 + S1708*1 + IF(T1708="",0,IF(T1708&lt;=10,8,IF(T1708&lt;=50,6,IF(T1708&lt;=100,4,2))))</f>
        <v>0</v>
      </c>
      <c r="V1708" s="7"/>
      <c r="W1708" s="7"/>
      <c r="X1708" s="13"/>
      <c r="Y1708" s="13" t="s">
        <v>7099</v>
      </c>
    </row>
    <row r="1709" customFormat="false" ht="15.75" hidden="false" customHeight="true" outlineLevel="0" collapsed="false">
      <c r="A1709" s="7" t="s">
        <v>7100</v>
      </c>
      <c r="B1709" s="8" t="n">
        <v>2001</v>
      </c>
      <c r="C1709" s="8" t="s">
        <v>35</v>
      </c>
      <c r="D1709" s="8" t="n">
        <v>93</v>
      </c>
      <c r="E1709" s="7" t="s">
        <v>6590</v>
      </c>
      <c r="F1709" s="8" t="n">
        <v>6.3</v>
      </c>
      <c r="G1709" s="8" t="n">
        <v>5</v>
      </c>
      <c r="H1709" s="9" t="n">
        <v>52897</v>
      </c>
      <c r="I1709" s="7" t="s">
        <v>7101</v>
      </c>
      <c r="J1709" s="7" t="s">
        <v>112</v>
      </c>
      <c r="K1709" s="7" t="s">
        <v>54</v>
      </c>
      <c r="L1709" s="10" t="s">
        <v>126</v>
      </c>
      <c r="M1709" s="10" t="s">
        <v>7102</v>
      </c>
      <c r="N1709" s="8" t="n">
        <v>0</v>
      </c>
      <c r="O1709" s="8" t="n">
        <v>0</v>
      </c>
      <c r="P1709" s="8" t="n">
        <v>0</v>
      </c>
      <c r="Q1709" s="8" t="n">
        <v>0</v>
      </c>
      <c r="R1709" s="13" t="n">
        <v>0</v>
      </c>
      <c r="S1709" s="13" t="n">
        <v>0</v>
      </c>
      <c r="T1709" s="13"/>
      <c r="U1709" s="11" t="n">
        <f aca="false">O1709*4 + P1709*2 + MAX(0,N1709-O1709-P1709)*1 + Q1709*0.2 + R1709*2 + S1709*1 + IF(T1709="",0,IF(T1709&lt;=10,8,IF(T1709&lt;=50,6,IF(T1709&lt;=100,4,2))))</f>
        <v>0</v>
      </c>
      <c r="V1709" s="7"/>
      <c r="W1709" s="7"/>
      <c r="X1709" s="13"/>
      <c r="Y1709" s="13" t="s">
        <v>7103</v>
      </c>
    </row>
    <row r="1710" customFormat="false" ht="15.75" hidden="false" customHeight="true" outlineLevel="0" collapsed="false">
      <c r="A1710" s="7" t="s">
        <v>7104</v>
      </c>
      <c r="B1710" s="8" t="n">
        <v>2013</v>
      </c>
      <c r="C1710" s="8" t="s">
        <v>176</v>
      </c>
      <c r="D1710" s="8" t="n">
        <v>95</v>
      </c>
      <c r="E1710" s="7" t="s">
        <v>829</v>
      </c>
      <c r="F1710" s="8" t="n">
        <v>6.2</v>
      </c>
      <c r="G1710" s="8" t="n">
        <v>4</v>
      </c>
      <c r="H1710" s="9" t="n">
        <v>4771</v>
      </c>
      <c r="I1710" s="7" t="s">
        <v>232</v>
      </c>
      <c r="J1710" s="7" t="s">
        <v>30</v>
      </c>
      <c r="K1710" s="7" t="s">
        <v>75</v>
      </c>
      <c r="L1710" s="10" t="s">
        <v>5938</v>
      </c>
      <c r="M1710" s="10" t="s">
        <v>7105</v>
      </c>
      <c r="N1710" s="8" t="n">
        <v>0</v>
      </c>
      <c r="O1710" s="8" t="n">
        <v>0</v>
      </c>
      <c r="P1710" s="8" t="n">
        <v>0</v>
      </c>
      <c r="Q1710" s="8" t="n">
        <v>0</v>
      </c>
      <c r="R1710" s="13" t="n">
        <v>0</v>
      </c>
      <c r="S1710" s="13" t="n">
        <v>0</v>
      </c>
      <c r="T1710" s="13"/>
      <c r="U1710" s="11" t="n">
        <f aca="false">O1710*4 + P1710*2 + MAX(0,N1710-O1710-P1710)*1 + Q1710*0.2 + R1710*2 + S1710*1 + IF(T1710="",0,IF(T1710&lt;=10,8,IF(T1710&lt;=50,6,IF(T1710&lt;=100,4,2))))</f>
        <v>0</v>
      </c>
      <c r="V1710" s="7"/>
      <c r="W1710" s="7"/>
      <c r="X1710" s="13"/>
      <c r="Y1710" s="13" t="s">
        <v>7106</v>
      </c>
    </row>
    <row r="1711" customFormat="false" ht="15.75" hidden="false" customHeight="true" outlineLevel="0" collapsed="false">
      <c r="A1711" s="7" t="s">
        <v>7107</v>
      </c>
      <c r="B1711" s="8" t="n">
        <v>2014</v>
      </c>
      <c r="C1711" s="8" t="s">
        <v>176</v>
      </c>
      <c r="D1711" s="8" t="n">
        <v>98</v>
      </c>
      <c r="E1711" s="7" t="s">
        <v>5334</v>
      </c>
      <c r="F1711" s="8" t="n">
        <v>6</v>
      </c>
      <c r="G1711" s="8" t="n">
        <v>2</v>
      </c>
      <c r="H1711" s="9" t="n">
        <v>173480</v>
      </c>
      <c r="I1711" s="7" t="s">
        <v>46</v>
      </c>
      <c r="J1711" s="7" t="s">
        <v>38</v>
      </c>
      <c r="K1711" s="7" t="s">
        <v>112</v>
      </c>
      <c r="L1711" s="10" t="s">
        <v>187</v>
      </c>
      <c r="M1711" s="10" t="s">
        <v>7108</v>
      </c>
      <c r="N1711" s="8" t="n">
        <v>0</v>
      </c>
      <c r="O1711" s="8" t="n">
        <v>0</v>
      </c>
      <c r="P1711" s="8" t="n">
        <v>0</v>
      </c>
      <c r="Q1711" s="8" t="n">
        <v>0</v>
      </c>
      <c r="R1711" s="13" t="n">
        <v>0</v>
      </c>
      <c r="S1711" s="13" t="n">
        <v>0</v>
      </c>
      <c r="T1711" s="13"/>
      <c r="U1711" s="11" t="n">
        <f aca="false">O1711*4 + P1711*2 + MAX(0,N1711-O1711-P1711)*1 + Q1711*0.2 + R1711*2 + S1711*1 + IF(T1711="",0,IF(T1711&lt;=10,8,IF(T1711&lt;=50,6,IF(T1711&lt;=100,4,2))))</f>
        <v>0</v>
      </c>
      <c r="V1711" s="7"/>
      <c r="W1711" s="7"/>
      <c r="X1711" s="13"/>
      <c r="Y1711" s="13" t="s">
        <v>7109</v>
      </c>
    </row>
    <row r="1712" customFormat="false" ht="15.75" hidden="false" customHeight="true" outlineLevel="0" collapsed="false">
      <c r="A1712" s="7" t="s">
        <v>7110</v>
      </c>
      <c r="B1712" s="8" t="n">
        <v>2009</v>
      </c>
      <c r="C1712" s="8" t="s">
        <v>35</v>
      </c>
      <c r="D1712" s="8" t="n">
        <v>85</v>
      </c>
      <c r="E1712" s="7" t="s">
        <v>7111</v>
      </c>
      <c r="F1712" s="8" t="n">
        <v>5.8</v>
      </c>
      <c r="G1712" s="8" t="n">
        <v>3</v>
      </c>
      <c r="H1712" s="9" t="n">
        <v>397</v>
      </c>
      <c r="I1712" s="7" t="s">
        <v>1111</v>
      </c>
      <c r="J1712" s="7" t="s">
        <v>47</v>
      </c>
      <c r="K1712" s="7" t="s">
        <v>48</v>
      </c>
      <c r="L1712" s="10" t="s">
        <v>526</v>
      </c>
      <c r="M1712" s="10" t="s">
        <v>7112</v>
      </c>
      <c r="N1712" s="8" t="n">
        <v>0</v>
      </c>
      <c r="O1712" s="8" t="n">
        <v>0</v>
      </c>
      <c r="P1712" s="8" t="n">
        <v>0</v>
      </c>
      <c r="Q1712" s="8" t="n">
        <v>0</v>
      </c>
      <c r="R1712" s="13" t="n">
        <v>0</v>
      </c>
      <c r="S1712" s="13" t="n">
        <v>0</v>
      </c>
      <c r="T1712" s="13"/>
      <c r="U1712" s="11" t="n">
        <f aca="false">O1712*4 + P1712*2 + MAX(0,N1712-O1712-P1712)*1 + Q1712*0.2 + R1712*2 + S1712*1 + IF(T1712="",0,IF(T1712&lt;=10,8,IF(T1712&lt;=50,6,IF(T1712&lt;=100,4,2))))</f>
        <v>0</v>
      </c>
      <c r="V1712" s="7"/>
      <c r="W1712" s="7"/>
      <c r="X1712" s="13"/>
      <c r="Y1712" s="13" t="s">
        <v>7113</v>
      </c>
    </row>
    <row r="1713" customFormat="false" ht="15.75" hidden="false" customHeight="true" outlineLevel="0" collapsed="false">
      <c r="A1713" s="7" t="s">
        <v>7114</v>
      </c>
      <c r="B1713" s="8" t="n">
        <v>2013</v>
      </c>
      <c r="C1713" s="8" t="s">
        <v>176</v>
      </c>
      <c r="D1713" s="8" t="n">
        <v>85</v>
      </c>
      <c r="E1713" s="7" t="s">
        <v>291</v>
      </c>
      <c r="F1713" s="8" t="n">
        <v>6.4</v>
      </c>
      <c r="G1713" s="8" t="n">
        <v>2</v>
      </c>
      <c r="H1713" s="9" t="n">
        <v>11497</v>
      </c>
      <c r="I1713" s="7" t="s">
        <v>2336</v>
      </c>
      <c r="J1713" s="7" t="s">
        <v>579</v>
      </c>
      <c r="K1713" s="7" t="s">
        <v>39</v>
      </c>
      <c r="L1713" s="10"/>
      <c r="M1713" s="10" t="s">
        <v>7115</v>
      </c>
      <c r="N1713" s="8" t="n">
        <v>0</v>
      </c>
      <c r="O1713" s="8" t="n">
        <v>0</v>
      </c>
      <c r="P1713" s="8" t="n">
        <v>0</v>
      </c>
      <c r="Q1713" s="8" t="n">
        <v>0</v>
      </c>
      <c r="R1713" s="13" t="n">
        <v>0</v>
      </c>
      <c r="S1713" s="13" t="n">
        <v>0</v>
      </c>
      <c r="T1713" s="13"/>
      <c r="U1713" s="11" t="n">
        <f aca="false">O1713*4 + P1713*2 + MAX(0,N1713-O1713-P1713)*1 + Q1713*0.2 + R1713*2 + S1713*1 + IF(T1713="",0,IF(T1713&lt;=10,8,IF(T1713&lt;=50,6,IF(T1713&lt;=100,4,2))))</f>
        <v>0</v>
      </c>
      <c r="V1713" s="7"/>
      <c r="W1713" s="7"/>
      <c r="X1713" s="13"/>
      <c r="Y1713" s="13" t="s">
        <v>7116</v>
      </c>
    </row>
    <row r="1714" customFormat="false" ht="15.75" hidden="false" customHeight="true" outlineLevel="0" collapsed="false">
      <c r="A1714" s="7" t="s">
        <v>7117</v>
      </c>
      <c r="B1714" s="8" t="n">
        <v>2010</v>
      </c>
      <c r="C1714" s="8" t="s">
        <v>176</v>
      </c>
      <c r="D1714" s="8" t="n">
        <v>104</v>
      </c>
      <c r="E1714" s="7" t="s">
        <v>7118</v>
      </c>
      <c r="F1714" s="8" t="n">
        <v>6.4</v>
      </c>
      <c r="G1714" s="8" t="n">
        <v>3</v>
      </c>
      <c r="H1714" s="9" t="n">
        <v>154137</v>
      </c>
      <c r="I1714" s="7" t="s">
        <v>46</v>
      </c>
      <c r="J1714" s="7" t="s">
        <v>29</v>
      </c>
      <c r="K1714" s="7" t="s">
        <v>30</v>
      </c>
      <c r="L1714" s="10" t="s">
        <v>2195</v>
      </c>
      <c r="M1714" s="10" t="s">
        <v>7119</v>
      </c>
      <c r="N1714" s="8" t="n">
        <v>0</v>
      </c>
      <c r="O1714" s="8" t="n">
        <v>0</v>
      </c>
      <c r="P1714" s="8" t="n">
        <v>0</v>
      </c>
      <c r="Q1714" s="8" t="n">
        <v>0</v>
      </c>
      <c r="R1714" s="13" t="n">
        <v>0</v>
      </c>
      <c r="S1714" s="13" t="n">
        <v>0</v>
      </c>
      <c r="T1714" s="13"/>
      <c r="U1714" s="11" t="n">
        <f aca="false">O1714*4 + P1714*2 + MAX(0,N1714-O1714-P1714)*1 + Q1714*0.2 + R1714*2 + S1714*1 + IF(T1714="",0,IF(T1714&lt;=10,8,IF(T1714&lt;=50,6,IF(T1714&lt;=100,4,2))))</f>
        <v>0</v>
      </c>
      <c r="V1714" s="7"/>
      <c r="W1714" s="7"/>
      <c r="X1714" s="13"/>
      <c r="Y1714" s="13" t="s">
        <v>7120</v>
      </c>
    </row>
    <row r="1715" customFormat="false" ht="15.75" hidden="false" customHeight="true" outlineLevel="0" collapsed="false">
      <c r="A1715" s="7" t="s">
        <v>7121</v>
      </c>
      <c r="B1715" s="8" t="n">
        <v>2013</v>
      </c>
      <c r="C1715" s="8" t="s">
        <v>176</v>
      </c>
      <c r="D1715" s="8" t="n">
        <v>111</v>
      </c>
      <c r="E1715" s="7" t="s">
        <v>1922</v>
      </c>
      <c r="F1715" s="8" t="n">
        <v>6.3</v>
      </c>
      <c r="G1715" s="8" t="n">
        <v>4</v>
      </c>
      <c r="H1715" s="9" t="n">
        <v>128796</v>
      </c>
      <c r="I1715" s="7" t="s">
        <v>2810</v>
      </c>
      <c r="J1715" s="7" t="s">
        <v>131</v>
      </c>
      <c r="K1715" s="7" t="s">
        <v>54</v>
      </c>
      <c r="L1715" s="10"/>
      <c r="M1715" s="10" t="s">
        <v>7122</v>
      </c>
      <c r="N1715" s="8" t="n">
        <v>0</v>
      </c>
      <c r="O1715" s="8" t="n">
        <v>0</v>
      </c>
      <c r="P1715" s="8" t="n">
        <v>0</v>
      </c>
      <c r="Q1715" s="8" t="n">
        <v>0</v>
      </c>
      <c r="R1715" s="13" t="n">
        <v>0</v>
      </c>
      <c r="S1715" s="13" t="n">
        <v>0</v>
      </c>
      <c r="T1715" s="13"/>
      <c r="U1715" s="11" t="n">
        <f aca="false">O1715*4 + P1715*2 + MAX(0,N1715-O1715-P1715)*1 + Q1715*0.2 + R1715*2 + S1715*1 + IF(T1715="",0,IF(T1715&lt;=10,8,IF(T1715&lt;=50,6,IF(T1715&lt;=100,4,2))))</f>
        <v>0</v>
      </c>
      <c r="V1715" s="7"/>
      <c r="W1715" s="7"/>
      <c r="X1715" s="13"/>
      <c r="Y1715" s="13" t="s">
        <v>7123</v>
      </c>
    </row>
    <row r="1716" customFormat="false" ht="15.75" hidden="false" customHeight="true" outlineLevel="0" collapsed="false">
      <c r="A1716" s="7" t="s">
        <v>7124</v>
      </c>
      <c r="B1716" s="8" t="n">
        <v>2013</v>
      </c>
      <c r="C1716" s="8" t="s">
        <v>176</v>
      </c>
      <c r="D1716" s="8" t="n">
        <v>146</v>
      </c>
      <c r="E1716" s="7" t="s">
        <v>5522</v>
      </c>
      <c r="F1716" s="8" t="n">
        <v>7.5</v>
      </c>
      <c r="G1716" s="8" t="n">
        <v>6</v>
      </c>
      <c r="H1716" s="9" t="n">
        <v>780383</v>
      </c>
      <c r="I1716" s="7" t="s">
        <v>46</v>
      </c>
      <c r="J1716" s="7" t="s">
        <v>112</v>
      </c>
      <c r="K1716" s="7" t="s">
        <v>39</v>
      </c>
      <c r="L1716" s="10" t="s">
        <v>5530</v>
      </c>
      <c r="M1716" s="7" t="s">
        <v>7125</v>
      </c>
      <c r="N1716" s="8" t="n">
        <v>0</v>
      </c>
      <c r="O1716" s="8" t="n">
        <v>0</v>
      </c>
      <c r="P1716" s="8" t="n">
        <v>0</v>
      </c>
      <c r="Q1716" s="8" t="n">
        <v>0</v>
      </c>
      <c r="R1716" s="13" t="n">
        <v>0</v>
      </c>
      <c r="S1716" s="13" t="n">
        <v>0</v>
      </c>
      <c r="T1716" s="13"/>
      <c r="U1716" s="11" t="n">
        <f aca="false">O1716*4 + P1716*2 + MAX(0,N1716-O1716-P1716)*1 + Q1716*0.2 + R1716*2 + S1716*1 + IF(T1716="",0,IF(T1716&lt;=10,8,IF(T1716&lt;=50,6,IF(T1716&lt;=100,4,2))))</f>
        <v>0</v>
      </c>
      <c r="V1716" s="7"/>
      <c r="W1716" s="7"/>
      <c r="X1716" s="13"/>
      <c r="Y1716" s="13" t="s">
        <v>7126</v>
      </c>
    </row>
    <row r="1717" customFormat="false" ht="15.75" hidden="false" customHeight="true" outlineLevel="0" collapsed="false">
      <c r="A1717" s="7" t="s">
        <v>7127</v>
      </c>
      <c r="B1717" s="8" t="n">
        <v>1993</v>
      </c>
      <c r="C1717" s="8" t="s">
        <v>26</v>
      </c>
      <c r="D1717" s="8" t="n">
        <v>125</v>
      </c>
      <c r="E1717" s="7" t="s">
        <v>340</v>
      </c>
      <c r="F1717" s="8" t="n">
        <v>7.7</v>
      </c>
      <c r="G1717" s="8" t="n">
        <v>8</v>
      </c>
      <c r="H1717" s="9" t="n">
        <v>276024</v>
      </c>
      <c r="I1717" s="7" t="s">
        <v>46</v>
      </c>
      <c r="J1717" s="7" t="s">
        <v>47</v>
      </c>
      <c r="K1717" s="7" t="s">
        <v>695</v>
      </c>
      <c r="L1717" s="10" t="s">
        <v>416</v>
      </c>
      <c r="M1717" s="7" t="s">
        <v>7128</v>
      </c>
      <c r="N1717" s="8" t="n">
        <v>2</v>
      </c>
      <c r="O1717" s="8" t="n">
        <v>0</v>
      </c>
      <c r="P1717" s="8" t="n">
        <v>0</v>
      </c>
      <c r="Q1717" s="8" t="n">
        <v>5</v>
      </c>
      <c r="R1717" s="8" t="n">
        <v>0</v>
      </c>
      <c r="S1717" s="8" t="n">
        <v>0</v>
      </c>
      <c r="T1717" s="13"/>
      <c r="U1717" s="11" t="n">
        <f aca="false">O1717*4 + P1717*2 + MAX(0,N1717-O1717-P1717)*1 + Q1717*0.2 + R1717*2 + S1717*1 + IF(T1717="",0,IF(T1717&lt;=10,8,IF(T1717&lt;=50,6,IF(T1717&lt;=100,4,2))))</f>
        <v>3</v>
      </c>
      <c r="V1717" s="7"/>
      <c r="W1717" s="7"/>
      <c r="X1717" s="13"/>
      <c r="Y1717" s="13" t="s">
        <v>7129</v>
      </c>
    </row>
    <row r="1718" customFormat="false" ht="15.75" hidden="false" customHeight="true" outlineLevel="0" collapsed="false">
      <c r="A1718" s="7" t="s">
        <v>7130</v>
      </c>
      <c r="B1718" s="8" t="n">
        <v>2009</v>
      </c>
      <c r="C1718" s="8" t="s">
        <v>35</v>
      </c>
      <c r="D1718" s="8" t="n">
        <v>79</v>
      </c>
      <c r="E1718" s="7" t="s">
        <v>7131</v>
      </c>
      <c r="F1718" s="8" t="n">
        <v>7</v>
      </c>
      <c r="G1718" s="8" t="n">
        <v>5</v>
      </c>
      <c r="H1718" s="9" t="n">
        <v>158217</v>
      </c>
      <c r="I1718" s="7" t="s">
        <v>46</v>
      </c>
      <c r="J1718" s="7" t="s">
        <v>579</v>
      </c>
      <c r="K1718" s="7" t="s">
        <v>112</v>
      </c>
      <c r="L1718" s="10"/>
      <c r="M1718" s="10" t="s">
        <v>7132</v>
      </c>
      <c r="N1718" s="8" t="n">
        <v>0</v>
      </c>
      <c r="O1718" s="8" t="n">
        <v>0</v>
      </c>
      <c r="P1718" s="8" t="n">
        <v>0</v>
      </c>
      <c r="Q1718" s="8" t="n">
        <v>0</v>
      </c>
      <c r="R1718" s="13" t="n">
        <v>0</v>
      </c>
      <c r="S1718" s="13" t="n">
        <v>0</v>
      </c>
      <c r="T1718" s="13"/>
      <c r="U1718" s="11" t="n">
        <f aca="false">O1718*4 + P1718*2 + MAX(0,N1718-O1718-P1718)*1 + Q1718*0.2 + R1718*2 + S1718*1 + IF(T1718="",0,IF(T1718&lt;=10,8,IF(T1718&lt;=50,6,IF(T1718&lt;=100,4,2))))</f>
        <v>0</v>
      </c>
      <c r="V1718" s="7"/>
      <c r="W1718" s="7"/>
      <c r="X1718" s="13"/>
      <c r="Y1718" s="13" t="s">
        <v>7133</v>
      </c>
    </row>
    <row r="1719" customFormat="false" ht="15.75" hidden="false" customHeight="true" outlineLevel="0" collapsed="false">
      <c r="A1719" s="7" t="s">
        <v>7134</v>
      </c>
      <c r="B1719" s="8" t="n">
        <v>1994</v>
      </c>
      <c r="C1719" s="8" t="s">
        <v>26</v>
      </c>
      <c r="D1719" s="8" t="n">
        <v>111</v>
      </c>
      <c r="E1719" s="7" t="s">
        <v>6034</v>
      </c>
      <c r="F1719" s="8" t="n">
        <v>6.5</v>
      </c>
      <c r="G1719" s="8" t="n">
        <v>5</v>
      </c>
      <c r="H1719" s="9" t="n">
        <v>53963</v>
      </c>
      <c r="I1719" s="7" t="s">
        <v>46</v>
      </c>
      <c r="J1719" s="7" t="s">
        <v>131</v>
      </c>
      <c r="K1719" s="7" t="s">
        <v>54</v>
      </c>
      <c r="L1719" s="10"/>
      <c r="M1719" s="10" t="s">
        <v>7135</v>
      </c>
      <c r="N1719" s="8" t="n">
        <v>0</v>
      </c>
      <c r="O1719" s="8" t="n">
        <v>0</v>
      </c>
      <c r="P1719" s="8" t="n">
        <v>0</v>
      </c>
      <c r="Q1719" s="8" t="n">
        <v>0</v>
      </c>
      <c r="R1719" s="13" t="n">
        <v>0</v>
      </c>
      <c r="S1719" s="13" t="n">
        <v>0</v>
      </c>
      <c r="T1719" s="13"/>
      <c r="U1719" s="11" t="n">
        <f aca="false">O1719*4 + P1719*2 + MAX(0,N1719-O1719-P1719)*1 + Q1719*0.2 + R1719*2 + S1719*1 + IF(T1719="",0,IF(T1719&lt;=10,8,IF(T1719&lt;=50,6,IF(T1719&lt;=100,4,2))))</f>
        <v>0</v>
      </c>
      <c r="V1719" s="7"/>
      <c r="W1719" s="7"/>
      <c r="X1719" s="13"/>
      <c r="Y1719" s="13" t="s">
        <v>7136</v>
      </c>
    </row>
    <row r="1720" customFormat="false" ht="15.75" hidden="false" customHeight="true" outlineLevel="0" collapsed="false">
      <c r="A1720" s="7" t="s">
        <v>7137</v>
      </c>
      <c r="B1720" s="8" t="n">
        <v>2009</v>
      </c>
      <c r="C1720" s="8" t="s">
        <v>35</v>
      </c>
      <c r="D1720" s="8" t="n">
        <v>107</v>
      </c>
      <c r="E1720" s="7" t="s">
        <v>7138</v>
      </c>
      <c r="F1720" s="8" t="n">
        <v>6.5</v>
      </c>
      <c r="G1720" s="8" t="n">
        <v>5</v>
      </c>
      <c r="H1720" s="9" t="n">
        <v>572439</v>
      </c>
      <c r="I1720" s="7" t="s">
        <v>46</v>
      </c>
      <c r="J1720" s="7" t="s">
        <v>111</v>
      </c>
      <c r="K1720" s="7" t="s">
        <v>112</v>
      </c>
      <c r="L1720" s="10" t="s">
        <v>177</v>
      </c>
      <c r="M1720" s="7" t="s">
        <v>7139</v>
      </c>
      <c r="N1720" s="8" t="n">
        <v>0</v>
      </c>
      <c r="O1720" s="8" t="n">
        <v>0</v>
      </c>
      <c r="P1720" s="8" t="n">
        <v>0</v>
      </c>
      <c r="Q1720" s="8" t="n">
        <v>0</v>
      </c>
      <c r="R1720" s="13" t="n">
        <v>0</v>
      </c>
      <c r="S1720" s="13" t="n">
        <v>0</v>
      </c>
      <c r="T1720" s="13"/>
      <c r="U1720" s="11" t="n">
        <f aca="false">O1720*4 + P1720*2 + MAX(0,N1720-O1720-P1720)*1 + Q1720*0.2 + R1720*2 + S1720*1 + IF(T1720="",0,IF(T1720&lt;=10,8,IF(T1720&lt;=50,6,IF(T1720&lt;=100,4,2))))</f>
        <v>0</v>
      </c>
      <c r="V1720" s="7"/>
      <c r="W1720" s="7"/>
      <c r="X1720" s="13"/>
      <c r="Y1720" s="13" t="s">
        <v>7140</v>
      </c>
    </row>
    <row r="1721" customFormat="false" ht="15.75" hidden="false" customHeight="true" outlineLevel="0" collapsed="false">
      <c r="A1721" s="7" t="s">
        <v>7141</v>
      </c>
      <c r="B1721" s="8" t="n">
        <v>2011</v>
      </c>
      <c r="C1721" s="8" t="s">
        <v>176</v>
      </c>
      <c r="D1721" s="8" t="n">
        <v>131</v>
      </c>
      <c r="E1721" s="7" t="s">
        <v>5511</v>
      </c>
      <c r="F1721" s="8" t="n">
        <v>7.7</v>
      </c>
      <c r="G1721" s="8" t="n">
        <v>7</v>
      </c>
      <c r="H1721" s="9" t="n">
        <v>769652</v>
      </c>
      <c r="I1721" s="7" t="s">
        <v>46</v>
      </c>
      <c r="J1721" s="7" t="s">
        <v>111</v>
      </c>
      <c r="K1721" s="7" t="s">
        <v>112</v>
      </c>
      <c r="L1721" s="10" t="s">
        <v>177</v>
      </c>
      <c r="M1721" s="7" t="s">
        <v>7142</v>
      </c>
      <c r="N1721" s="8" t="n">
        <v>0</v>
      </c>
      <c r="O1721" s="8" t="n">
        <v>0</v>
      </c>
      <c r="P1721" s="8" t="n">
        <v>0</v>
      </c>
      <c r="Q1721" s="8" t="n">
        <v>0</v>
      </c>
      <c r="R1721" s="13" t="n">
        <v>0</v>
      </c>
      <c r="S1721" s="13" t="n">
        <v>0</v>
      </c>
      <c r="T1721" s="13"/>
      <c r="U1721" s="11" t="n">
        <f aca="false">O1721*4 + P1721*2 + MAX(0,N1721-O1721-P1721)*1 + Q1721*0.2 + R1721*2 + S1721*1 + IF(T1721="",0,IF(T1721&lt;=10,8,IF(T1721&lt;=50,6,IF(T1721&lt;=100,4,2))))</f>
        <v>0</v>
      </c>
      <c r="V1721" s="7"/>
      <c r="W1721" s="7"/>
      <c r="X1721" s="13"/>
      <c r="Y1721" s="13" t="s">
        <v>7143</v>
      </c>
    </row>
    <row r="1722" customFormat="false" ht="15.75" hidden="false" customHeight="true" outlineLevel="0" collapsed="false">
      <c r="A1722" s="7" t="s">
        <v>7144</v>
      </c>
      <c r="B1722" s="8" t="n">
        <v>2013</v>
      </c>
      <c r="C1722" s="8" t="s">
        <v>176</v>
      </c>
      <c r="D1722" s="8" t="n">
        <v>161</v>
      </c>
      <c r="E1722" s="7" t="s">
        <v>36</v>
      </c>
      <c r="F1722" s="8" t="n">
        <v>7.8</v>
      </c>
      <c r="G1722" s="8" t="n">
        <v>7</v>
      </c>
      <c r="H1722" s="9" t="n">
        <v>759278</v>
      </c>
      <c r="I1722" s="7" t="s">
        <v>1988</v>
      </c>
      <c r="J1722" s="7" t="s">
        <v>38</v>
      </c>
      <c r="K1722" s="7" t="s">
        <v>39</v>
      </c>
      <c r="L1722" s="10" t="s">
        <v>2236</v>
      </c>
      <c r="M1722" s="7" t="s">
        <v>7145</v>
      </c>
      <c r="N1722" s="8" t="n">
        <v>0</v>
      </c>
      <c r="O1722" s="8" t="n">
        <v>0</v>
      </c>
      <c r="P1722" s="8" t="n">
        <v>0</v>
      </c>
      <c r="Q1722" s="8" t="n">
        <v>3</v>
      </c>
      <c r="R1722" s="8" t="n">
        <v>0</v>
      </c>
      <c r="S1722" s="8" t="n">
        <v>0</v>
      </c>
      <c r="T1722" s="13"/>
      <c r="U1722" s="11" t="n">
        <f aca="false">O1722*4 + P1722*2 + MAX(0,N1722-O1722-P1722)*1 + Q1722*0.2 + R1722*2 + S1722*1 + IF(T1722="",0,IF(T1722&lt;=10,8,IF(T1722&lt;=50,6,IF(T1722&lt;=100,4,2))))</f>
        <v>0.6</v>
      </c>
      <c r="V1722" s="7"/>
      <c r="W1722" s="7"/>
      <c r="X1722" s="13"/>
      <c r="Y1722" s="13" t="s">
        <v>7146</v>
      </c>
    </row>
    <row r="1723" customFormat="false" ht="15.75" hidden="false" customHeight="true" outlineLevel="0" collapsed="false">
      <c r="A1723" s="7" t="s">
        <v>7147</v>
      </c>
      <c r="B1723" s="8" t="n">
        <v>2006</v>
      </c>
      <c r="C1723" s="8" t="s">
        <v>35</v>
      </c>
      <c r="D1723" s="8" t="n">
        <v>135</v>
      </c>
      <c r="E1723" s="7" t="s">
        <v>74</v>
      </c>
      <c r="F1723" s="8" t="n">
        <v>7.1</v>
      </c>
      <c r="G1723" s="8" t="n">
        <v>6</v>
      </c>
      <c r="H1723" s="9" t="n">
        <v>134915</v>
      </c>
      <c r="I1723" s="7" t="s">
        <v>46</v>
      </c>
      <c r="J1723" s="7" t="s">
        <v>112</v>
      </c>
      <c r="K1723" s="7" t="s">
        <v>39</v>
      </c>
      <c r="L1723" s="10"/>
      <c r="M1723" s="10" t="s">
        <v>7148</v>
      </c>
      <c r="N1723" s="8" t="n">
        <v>0</v>
      </c>
      <c r="O1723" s="8" t="n">
        <v>0</v>
      </c>
      <c r="P1723" s="8" t="n">
        <v>0</v>
      </c>
      <c r="Q1723" s="8" t="n">
        <v>2</v>
      </c>
      <c r="R1723" s="8" t="n">
        <v>0</v>
      </c>
      <c r="S1723" s="8" t="n">
        <v>0</v>
      </c>
      <c r="T1723" s="13"/>
      <c r="U1723" s="11" t="n">
        <f aca="false">O1723*4 + P1723*2 + MAX(0,N1723-O1723-P1723)*1 + Q1723*0.2 + R1723*2 + S1723*1 + IF(T1723="",0,IF(T1723&lt;=10,8,IF(T1723&lt;=50,6,IF(T1723&lt;=100,4,2))))</f>
        <v>0.4</v>
      </c>
      <c r="V1723" s="7"/>
      <c r="W1723" s="7"/>
      <c r="X1723" s="13"/>
      <c r="Y1723" s="13" t="s">
        <v>7149</v>
      </c>
    </row>
    <row r="1724" customFormat="false" ht="15.75" hidden="false" customHeight="true" outlineLevel="0" collapsed="false">
      <c r="A1724" s="7" t="s">
        <v>7150</v>
      </c>
      <c r="B1724" s="8" t="n">
        <v>1993</v>
      </c>
      <c r="C1724" s="8" t="s">
        <v>26</v>
      </c>
      <c r="D1724" s="8" t="n">
        <v>127</v>
      </c>
      <c r="E1724" s="7" t="s">
        <v>45</v>
      </c>
      <c r="F1724" s="8" t="n">
        <v>8.2</v>
      </c>
      <c r="G1724" s="8" t="n">
        <v>7</v>
      </c>
      <c r="H1724" s="9" t="n">
        <v>1193515</v>
      </c>
      <c r="I1724" s="7" t="s">
        <v>46</v>
      </c>
      <c r="J1724" s="7" t="s">
        <v>111</v>
      </c>
      <c r="K1724" s="7" t="s">
        <v>39</v>
      </c>
      <c r="L1724" s="10" t="s">
        <v>7151</v>
      </c>
      <c r="M1724" s="7" t="s">
        <v>7152</v>
      </c>
      <c r="N1724" s="8" t="n">
        <v>3</v>
      </c>
      <c r="O1724" s="8" t="n">
        <v>0</v>
      </c>
      <c r="P1724" s="8" t="n">
        <v>0</v>
      </c>
      <c r="Q1724" s="8" t="n">
        <v>3</v>
      </c>
      <c r="R1724" s="8" t="n">
        <v>0</v>
      </c>
      <c r="S1724" s="8" t="n">
        <v>0</v>
      </c>
      <c r="T1724" s="8"/>
      <c r="U1724" s="11" t="n">
        <f aca="false">O1724*4 + P1724*2 + MAX(0,N1724-O1724-P1724)*1 + Q1724*0.2 + R1724*2 + S1724*1 + IF(T1724="",0,IF(T1724&lt;=10,8,IF(T1724&lt;=50,6,IF(T1724&lt;=100,4,2))))</f>
        <v>3.6</v>
      </c>
      <c r="V1724" s="7"/>
      <c r="W1724" s="7"/>
      <c r="X1724" s="13"/>
      <c r="Y1724" s="13" t="s">
        <v>7153</v>
      </c>
    </row>
    <row r="1725" customFormat="false" ht="15.75" hidden="false" customHeight="true" outlineLevel="0" collapsed="false">
      <c r="A1725" s="7" t="s">
        <v>7154</v>
      </c>
      <c r="B1725" s="8" t="n">
        <v>2013</v>
      </c>
      <c r="C1725" s="8" t="s">
        <v>176</v>
      </c>
      <c r="D1725" s="8" t="n">
        <v>119</v>
      </c>
      <c r="E1725" s="7" t="s">
        <v>5498</v>
      </c>
      <c r="F1725" s="8" t="n">
        <v>6.3</v>
      </c>
      <c r="G1725" s="8" t="n">
        <v>4</v>
      </c>
      <c r="H1725" s="9" t="n">
        <v>228677</v>
      </c>
      <c r="I1725" s="7" t="s">
        <v>46</v>
      </c>
      <c r="J1725" s="7" t="s">
        <v>30</v>
      </c>
      <c r="K1725" s="7"/>
      <c r="L1725" s="10" t="s">
        <v>2290</v>
      </c>
      <c r="M1725" s="10" t="s">
        <v>7155</v>
      </c>
      <c r="N1725" s="8" t="n">
        <v>0</v>
      </c>
      <c r="O1725" s="8" t="n">
        <v>0</v>
      </c>
      <c r="P1725" s="8" t="n">
        <v>0</v>
      </c>
      <c r="Q1725" s="8" t="n">
        <v>0</v>
      </c>
      <c r="R1725" s="13" t="n">
        <v>0</v>
      </c>
      <c r="S1725" s="13" t="n">
        <v>0</v>
      </c>
      <c r="T1725" s="13"/>
      <c r="U1725" s="11" t="n">
        <f aca="false">O1725*4 + P1725*2 + MAX(0,N1725-O1725-P1725)*1 + Q1725*0.2 + R1725*2 + S1725*1 + IF(T1725="",0,IF(T1725&lt;=10,8,IF(T1725&lt;=50,6,IF(T1725&lt;=100,4,2))))</f>
        <v>0</v>
      </c>
      <c r="V1725" s="7"/>
      <c r="W1725" s="7"/>
      <c r="X1725" s="13"/>
      <c r="Y1725" s="13" t="s">
        <v>7156</v>
      </c>
    </row>
    <row r="1726" customFormat="false" ht="15.75" hidden="false" customHeight="true" outlineLevel="0" collapsed="false">
      <c r="A1726" s="7" t="s">
        <v>7157</v>
      </c>
      <c r="B1726" s="8" t="n">
        <v>2004</v>
      </c>
      <c r="C1726" s="8" t="s">
        <v>35</v>
      </c>
      <c r="D1726" s="8" t="n">
        <v>92</v>
      </c>
      <c r="E1726" s="7" t="s">
        <v>7158</v>
      </c>
      <c r="F1726" s="8" t="n">
        <v>6.7</v>
      </c>
      <c r="G1726" s="8" t="n">
        <v>6</v>
      </c>
      <c r="H1726" s="9" t="n">
        <v>288502</v>
      </c>
      <c r="I1726" s="7" t="s">
        <v>2011</v>
      </c>
      <c r="J1726" s="7" t="s">
        <v>30</v>
      </c>
      <c r="K1726" s="7" t="s">
        <v>75</v>
      </c>
      <c r="L1726" s="10" t="s">
        <v>177</v>
      </c>
      <c r="M1726" s="7" t="s">
        <v>7159</v>
      </c>
      <c r="N1726" s="8" t="n">
        <v>0</v>
      </c>
      <c r="O1726" s="8" t="n">
        <v>0</v>
      </c>
      <c r="P1726" s="8" t="n">
        <v>0</v>
      </c>
      <c r="Q1726" s="8" t="n">
        <v>0</v>
      </c>
      <c r="R1726" s="13" t="n">
        <v>0</v>
      </c>
      <c r="S1726" s="13" t="n">
        <v>0</v>
      </c>
      <c r="T1726" s="13"/>
      <c r="U1726" s="11" t="n">
        <f aca="false">O1726*4 + P1726*2 + MAX(0,N1726-O1726-P1726)*1 + Q1726*0.2 + R1726*2 + S1726*1 + IF(T1726="",0,IF(T1726&lt;=10,8,IF(T1726&lt;=50,6,IF(T1726&lt;=100,4,2))))</f>
        <v>0</v>
      </c>
      <c r="V1726" s="7"/>
      <c r="W1726" s="7"/>
      <c r="X1726" s="13"/>
      <c r="Y1726" s="13" t="s">
        <v>7160</v>
      </c>
    </row>
    <row r="1727" customFormat="false" ht="15.75" hidden="false" customHeight="true" outlineLevel="0" collapsed="false">
      <c r="A1727" s="7" t="s">
        <v>7161</v>
      </c>
      <c r="B1727" s="8" t="n">
        <v>2014</v>
      </c>
      <c r="C1727" s="8" t="s">
        <v>176</v>
      </c>
      <c r="D1727" s="8" t="n">
        <v>130</v>
      </c>
      <c r="E1727" s="7" t="s">
        <v>5554</v>
      </c>
      <c r="F1727" s="8" t="n">
        <v>7.6</v>
      </c>
      <c r="G1727" s="8" t="n">
        <v>7</v>
      </c>
      <c r="H1727" s="9" t="n">
        <v>514144</v>
      </c>
      <c r="I1727" s="7" t="s">
        <v>46</v>
      </c>
      <c r="J1727" s="7" t="s">
        <v>112</v>
      </c>
      <c r="K1727" s="7" t="s">
        <v>39</v>
      </c>
      <c r="L1727" s="10" t="s">
        <v>177</v>
      </c>
      <c r="M1727" s="7" t="s">
        <v>7162</v>
      </c>
      <c r="N1727" s="8" t="n">
        <v>0</v>
      </c>
      <c r="O1727" s="8" t="n">
        <v>0</v>
      </c>
      <c r="P1727" s="8" t="n">
        <v>0</v>
      </c>
      <c r="Q1727" s="8" t="n">
        <v>1</v>
      </c>
      <c r="R1727" s="8" t="n">
        <v>0</v>
      </c>
      <c r="S1727" s="8" t="n">
        <v>0</v>
      </c>
      <c r="T1727" s="13"/>
      <c r="U1727" s="11" t="n">
        <f aca="false">O1727*4 + P1727*2 + MAX(0,N1727-O1727-P1727)*1 + Q1727*0.2 + R1727*2 + S1727*1 + IF(T1727="",0,IF(T1727&lt;=10,8,IF(T1727&lt;=50,6,IF(T1727&lt;=100,4,2))))</f>
        <v>0.2</v>
      </c>
      <c r="V1727" s="7"/>
      <c r="W1727" s="7"/>
      <c r="X1727" s="13"/>
      <c r="Y1727" s="13" t="s">
        <v>7163</v>
      </c>
    </row>
    <row r="1728" customFormat="false" ht="15.75" hidden="false" customHeight="true" outlineLevel="0" collapsed="false">
      <c r="A1728" s="7" t="s">
        <v>7164</v>
      </c>
      <c r="B1728" s="8" t="n">
        <v>1997</v>
      </c>
      <c r="C1728" s="8" t="s">
        <v>26</v>
      </c>
      <c r="D1728" s="8" t="n">
        <v>129</v>
      </c>
      <c r="E1728" s="7" t="s">
        <v>45</v>
      </c>
      <c r="F1728" s="8" t="n">
        <v>6.6</v>
      </c>
      <c r="G1728" s="8" t="n">
        <v>5</v>
      </c>
      <c r="H1728" s="9" t="n">
        <v>481519</v>
      </c>
      <c r="I1728" s="7" t="s">
        <v>46</v>
      </c>
      <c r="J1728" s="7" t="s">
        <v>111</v>
      </c>
      <c r="K1728" s="7" t="s">
        <v>112</v>
      </c>
      <c r="L1728" s="10" t="s">
        <v>5472</v>
      </c>
      <c r="M1728" s="7" t="s">
        <v>7165</v>
      </c>
      <c r="N1728" s="8" t="n">
        <v>0</v>
      </c>
      <c r="O1728" s="8" t="n">
        <v>0</v>
      </c>
      <c r="P1728" s="8" t="n">
        <v>0</v>
      </c>
      <c r="Q1728" s="8" t="n">
        <v>1</v>
      </c>
      <c r="R1728" s="8" t="n">
        <v>0</v>
      </c>
      <c r="S1728" s="8" t="n">
        <v>0</v>
      </c>
      <c r="T1728" s="13"/>
      <c r="U1728" s="11" t="n">
        <f aca="false">O1728*4 + P1728*2 + MAX(0,N1728-O1728-P1728)*1 + Q1728*0.2 + R1728*2 + S1728*1 + IF(T1728="",0,IF(T1728&lt;=10,8,IF(T1728&lt;=50,6,IF(T1728&lt;=100,4,2))))</f>
        <v>0.2</v>
      </c>
      <c r="V1728" s="7"/>
      <c r="W1728" s="7"/>
      <c r="X1728" s="13"/>
      <c r="Y1728" s="13" t="s">
        <v>7166</v>
      </c>
    </row>
    <row r="1729" customFormat="false" ht="15.75" hidden="false" customHeight="true" outlineLevel="0" collapsed="false">
      <c r="A1729" s="7" t="s">
        <v>7167</v>
      </c>
      <c r="B1729" s="8" t="n">
        <v>2014</v>
      </c>
      <c r="C1729" s="8" t="s">
        <v>176</v>
      </c>
      <c r="D1729" s="8" t="n">
        <v>101</v>
      </c>
      <c r="E1729" s="7" t="s">
        <v>6112</v>
      </c>
      <c r="F1729" s="8" t="n">
        <v>6.3</v>
      </c>
      <c r="G1729" s="8" t="n">
        <v>6</v>
      </c>
      <c r="H1729" s="9" t="n">
        <v>112949</v>
      </c>
      <c r="I1729" s="7" t="s">
        <v>46</v>
      </c>
      <c r="J1729" s="7" t="s">
        <v>579</v>
      </c>
      <c r="K1729" s="7" t="s">
        <v>39</v>
      </c>
      <c r="L1729" s="10" t="s">
        <v>552</v>
      </c>
      <c r="M1729" s="10" t="s">
        <v>7168</v>
      </c>
      <c r="N1729" s="8" t="n">
        <v>0</v>
      </c>
      <c r="O1729" s="8" t="n">
        <v>0</v>
      </c>
      <c r="P1729" s="8" t="n">
        <v>0</v>
      </c>
      <c r="Q1729" s="8" t="n">
        <v>0</v>
      </c>
      <c r="R1729" s="13" t="n">
        <v>0</v>
      </c>
      <c r="S1729" s="13" t="n">
        <v>0</v>
      </c>
      <c r="T1729" s="13"/>
      <c r="U1729" s="11" t="n">
        <f aca="false">O1729*4 + P1729*2 + MAX(0,N1729-O1729-P1729)*1 + Q1729*0.2 + R1729*2 + S1729*1 + IF(T1729="",0,IF(T1729&lt;=10,8,IF(T1729&lt;=50,6,IF(T1729&lt;=100,4,2))))</f>
        <v>0</v>
      </c>
      <c r="V1729" s="7"/>
      <c r="W1729" s="7"/>
      <c r="X1729" s="13"/>
      <c r="Y1729" s="13" t="s">
        <v>7169</v>
      </c>
    </row>
    <row r="1730" customFormat="false" ht="15.75" hidden="false" customHeight="true" outlineLevel="0" collapsed="false">
      <c r="A1730" s="7" t="s">
        <v>7170</v>
      </c>
      <c r="B1730" s="8" t="n">
        <v>2004</v>
      </c>
      <c r="C1730" s="8" t="s">
        <v>35</v>
      </c>
      <c r="D1730" s="8" t="n">
        <v>88</v>
      </c>
      <c r="E1730" s="7" t="s">
        <v>7171</v>
      </c>
      <c r="F1730" s="8" t="n">
        <v>4.5</v>
      </c>
      <c r="G1730" s="8" t="n">
        <v>3</v>
      </c>
      <c r="H1730" s="9" t="n">
        <v>1587</v>
      </c>
      <c r="I1730" s="7" t="s">
        <v>232</v>
      </c>
      <c r="J1730" s="7" t="s">
        <v>90</v>
      </c>
      <c r="K1730" s="7" t="s">
        <v>30</v>
      </c>
      <c r="L1730" s="10" t="s">
        <v>601</v>
      </c>
      <c r="M1730" s="10" t="s">
        <v>7172</v>
      </c>
      <c r="N1730" s="8" t="n">
        <v>0</v>
      </c>
      <c r="O1730" s="8" t="n">
        <v>0</v>
      </c>
      <c r="P1730" s="8" t="n">
        <v>0</v>
      </c>
      <c r="Q1730" s="8" t="n">
        <v>0</v>
      </c>
      <c r="R1730" s="13" t="n">
        <v>0</v>
      </c>
      <c r="S1730" s="13" t="n">
        <v>0</v>
      </c>
      <c r="T1730" s="13"/>
      <c r="U1730" s="11" t="n">
        <f aca="false">O1730*4 + P1730*2 + MAX(0,N1730-O1730-P1730)*1 + Q1730*0.2 + R1730*2 + S1730*1 + IF(T1730="",0,IF(T1730&lt;=10,8,IF(T1730&lt;=50,6,IF(T1730&lt;=100,4,2))))</f>
        <v>0</v>
      </c>
      <c r="V1730" s="7"/>
      <c r="W1730" s="7"/>
      <c r="X1730" s="13"/>
      <c r="Y1730" s="13" t="s">
        <v>7173</v>
      </c>
    </row>
    <row r="1731" customFormat="false" ht="15.75" hidden="false" customHeight="true" outlineLevel="0" collapsed="false">
      <c r="A1731" s="7" t="s">
        <v>7174</v>
      </c>
      <c r="B1731" s="8" t="n">
        <v>2013</v>
      </c>
      <c r="C1731" s="8" t="s">
        <v>176</v>
      </c>
      <c r="D1731" s="8" t="n">
        <v>90</v>
      </c>
      <c r="E1731" s="7" t="s">
        <v>349</v>
      </c>
      <c r="F1731" s="8" t="n">
        <v>5.6</v>
      </c>
      <c r="G1731" s="8" t="n">
        <v>3</v>
      </c>
      <c r="H1731" s="9" t="n">
        <v>25663</v>
      </c>
      <c r="I1731" s="7" t="s">
        <v>232</v>
      </c>
      <c r="J1731" s="7" t="s">
        <v>90</v>
      </c>
      <c r="K1731" s="7" t="s">
        <v>30</v>
      </c>
      <c r="L1731" s="10" t="s">
        <v>587</v>
      </c>
      <c r="M1731" s="10" t="s">
        <v>7175</v>
      </c>
      <c r="N1731" s="8" t="n">
        <v>0</v>
      </c>
      <c r="O1731" s="8" t="n">
        <v>0</v>
      </c>
      <c r="P1731" s="8" t="n">
        <v>0</v>
      </c>
      <c r="Q1731" s="8" t="n">
        <v>0</v>
      </c>
      <c r="R1731" s="13" t="n">
        <v>0</v>
      </c>
      <c r="S1731" s="13" t="n">
        <v>0</v>
      </c>
      <c r="T1731" s="13"/>
      <c r="U1731" s="11" t="n">
        <f aca="false">O1731*4 + P1731*2 + MAX(0,N1731-O1731-P1731)*1 + Q1731*0.2 + R1731*2 + S1731*1 + IF(T1731="",0,IF(T1731&lt;=10,8,IF(T1731&lt;=50,6,IF(T1731&lt;=100,4,2))))</f>
        <v>0</v>
      </c>
      <c r="V1731" s="7"/>
      <c r="W1731" s="7"/>
      <c r="X1731" s="13"/>
      <c r="Y1731" s="13" t="s">
        <v>7176</v>
      </c>
    </row>
    <row r="1732" customFormat="false" ht="15.75" hidden="false" customHeight="true" outlineLevel="0" collapsed="false">
      <c r="A1732" s="7" t="s">
        <v>7177</v>
      </c>
      <c r="B1732" s="8" t="n">
        <v>2005</v>
      </c>
      <c r="C1732" s="8" t="s">
        <v>35</v>
      </c>
      <c r="D1732" s="8" t="n">
        <v>115</v>
      </c>
      <c r="E1732" s="7" t="s">
        <v>561</v>
      </c>
      <c r="F1732" s="8" t="n">
        <v>6.7</v>
      </c>
      <c r="G1732" s="8" t="n">
        <v>7</v>
      </c>
      <c r="H1732" s="9" t="n">
        <v>576287</v>
      </c>
      <c r="I1732" s="7" t="s">
        <v>2745</v>
      </c>
      <c r="J1732" s="7" t="s">
        <v>39</v>
      </c>
      <c r="K1732" s="7" t="s">
        <v>259</v>
      </c>
      <c r="L1732" s="10" t="s">
        <v>113</v>
      </c>
      <c r="M1732" s="7" t="s">
        <v>7178</v>
      </c>
      <c r="N1732" s="8" t="n">
        <v>0</v>
      </c>
      <c r="O1732" s="8" t="n">
        <v>0</v>
      </c>
      <c r="P1732" s="8" t="n">
        <v>0</v>
      </c>
      <c r="Q1732" s="8" t="n">
        <v>1</v>
      </c>
      <c r="R1732" s="8" t="n">
        <v>0</v>
      </c>
      <c r="S1732" s="8" t="n">
        <v>0</v>
      </c>
      <c r="T1732" s="13"/>
      <c r="U1732" s="11" t="n">
        <f aca="false">O1732*4 + P1732*2 + MAX(0,N1732-O1732-P1732)*1 + Q1732*0.2 + R1732*2 + S1732*1 + IF(T1732="",0,IF(T1732&lt;=10,8,IF(T1732&lt;=50,6,IF(T1732&lt;=100,4,2))))</f>
        <v>0.2</v>
      </c>
      <c r="V1732" s="7"/>
      <c r="W1732" s="7"/>
      <c r="X1732" s="13"/>
      <c r="Y1732" s="13" t="s">
        <v>7179</v>
      </c>
    </row>
    <row r="1733" customFormat="false" ht="15.75" hidden="false" customHeight="true" outlineLevel="0" collapsed="false">
      <c r="A1733" s="7" t="s">
        <v>7180</v>
      </c>
      <c r="B1733" s="8" t="n">
        <v>2009</v>
      </c>
      <c r="C1733" s="8" t="s">
        <v>35</v>
      </c>
      <c r="D1733" s="8" t="n">
        <v>90</v>
      </c>
      <c r="E1733" s="7" t="s">
        <v>5239</v>
      </c>
      <c r="F1733" s="8" t="n">
        <v>6.9</v>
      </c>
      <c r="G1733" s="8" t="n">
        <v>6</v>
      </c>
      <c r="H1733" s="9" t="n">
        <v>288985</v>
      </c>
      <c r="I1733" s="7" t="s">
        <v>46</v>
      </c>
      <c r="J1733" s="7" t="s">
        <v>579</v>
      </c>
      <c r="K1733" s="7" t="s">
        <v>39</v>
      </c>
      <c r="L1733" s="10" t="s">
        <v>2754</v>
      </c>
      <c r="M1733" s="7" t="s">
        <v>7181</v>
      </c>
      <c r="N1733" s="8" t="n">
        <v>0</v>
      </c>
      <c r="O1733" s="8" t="n">
        <v>0</v>
      </c>
      <c r="P1733" s="8" t="n">
        <v>0</v>
      </c>
      <c r="Q1733" s="8" t="n">
        <v>0</v>
      </c>
      <c r="R1733" s="13" t="n">
        <v>0</v>
      </c>
      <c r="S1733" s="13" t="n">
        <v>0</v>
      </c>
      <c r="T1733" s="13"/>
      <c r="U1733" s="11" t="n">
        <f aca="false">O1733*4 + P1733*2 + MAX(0,N1733-O1733-P1733)*1 + Q1733*0.2 + R1733*2 + S1733*1 + IF(T1733="",0,IF(T1733&lt;=10,8,IF(T1733&lt;=50,6,IF(T1733&lt;=100,4,2))))</f>
        <v>0</v>
      </c>
      <c r="V1733" s="7"/>
      <c r="W1733" s="7"/>
      <c r="X1733" s="13"/>
      <c r="Y1733" s="13" t="s">
        <v>7182</v>
      </c>
    </row>
    <row r="1734" customFormat="false" ht="15.75" hidden="false" customHeight="true" outlineLevel="0" collapsed="false">
      <c r="A1734" s="7" t="s">
        <v>7183</v>
      </c>
      <c r="B1734" s="8" t="n">
        <v>2013</v>
      </c>
      <c r="C1734" s="8" t="s">
        <v>176</v>
      </c>
      <c r="D1734" s="8" t="n">
        <v>92</v>
      </c>
      <c r="E1734" s="7" t="s">
        <v>7184</v>
      </c>
      <c r="F1734" s="8" t="n">
        <v>6.5</v>
      </c>
      <c r="G1734" s="8" t="n">
        <v>6</v>
      </c>
      <c r="H1734" s="9" t="n">
        <v>101222</v>
      </c>
      <c r="I1734" s="7" t="s">
        <v>46</v>
      </c>
      <c r="J1734" s="7" t="s">
        <v>30</v>
      </c>
      <c r="K1734" s="7"/>
      <c r="L1734" s="10"/>
      <c r="M1734" s="10" t="s">
        <v>7185</v>
      </c>
      <c r="N1734" s="8" t="n">
        <v>0</v>
      </c>
      <c r="O1734" s="8" t="n">
        <v>0</v>
      </c>
      <c r="P1734" s="8" t="n">
        <v>0</v>
      </c>
      <c r="Q1734" s="8" t="n">
        <v>1</v>
      </c>
      <c r="R1734" s="8" t="n">
        <v>0</v>
      </c>
      <c r="S1734" s="8" t="n">
        <v>0</v>
      </c>
      <c r="T1734" s="13"/>
      <c r="U1734" s="11" t="n">
        <f aca="false">O1734*4 + P1734*2 + MAX(0,N1734-O1734-P1734)*1 + Q1734*0.2 + R1734*2 + S1734*1 + IF(T1734="",0,IF(T1734&lt;=10,8,IF(T1734&lt;=50,6,IF(T1734&lt;=100,4,2))))</f>
        <v>0.2</v>
      </c>
      <c r="V1734" s="7"/>
      <c r="W1734" s="7"/>
      <c r="X1734" s="13"/>
      <c r="Y1734" s="13" t="s">
        <v>7186</v>
      </c>
    </row>
    <row r="1735" customFormat="false" ht="15.75" hidden="false" customHeight="true" outlineLevel="0" collapsed="false">
      <c r="A1735" s="7" t="s">
        <v>7187</v>
      </c>
      <c r="B1735" s="8" t="n">
        <v>2008</v>
      </c>
      <c r="C1735" s="8" t="s">
        <v>35</v>
      </c>
      <c r="D1735" s="8" t="n">
        <v>101</v>
      </c>
      <c r="E1735" s="7" t="s">
        <v>833</v>
      </c>
      <c r="F1735" s="8" t="n">
        <v>6</v>
      </c>
      <c r="G1735" s="8" t="n">
        <v>4</v>
      </c>
      <c r="H1735" s="9" t="n">
        <v>96404</v>
      </c>
      <c r="I1735" s="7" t="s">
        <v>46</v>
      </c>
      <c r="J1735" s="7" t="s">
        <v>131</v>
      </c>
      <c r="K1735" s="7" t="s">
        <v>54</v>
      </c>
      <c r="L1735" s="10"/>
      <c r="M1735" s="10" t="s">
        <v>7188</v>
      </c>
      <c r="N1735" s="8" t="n">
        <v>0</v>
      </c>
      <c r="O1735" s="8" t="n">
        <v>0</v>
      </c>
      <c r="P1735" s="8" t="n">
        <v>0</v>
      </c>
      <c r="Q1735" s="8" t="n">
        <v>0</v>
      </c>
      <c r="R1735" s="13" t="n">
        <v>0</v>
      </c>
      <c r="S1735" s="13" t="n">
        <v>0</v>
      </c>
      <c r="T1735" s="13"/>
      <c r="U1735" s="11" t="n">
        <f aca="false">O1735*4 + P1735*2 + MAX(0,N1735-O1735-P1735)*1 + Q1735*0.2 + R1735*2 + S1735*1 + IF(T1735="",0,IF(T1735&lt;=10,8,IF(T1735&lt;=50,6,IF(T1735&lt;=100,4,2))))</f>
        <v>0</v>
      </c>
      <c r="V1735" s="7"/>
      <c r="W1735" s="7"/>
      <c r="X1735" s="13"/>
      <c r="Y1735" s="13" t="s">
        <v>7189</v>
      </c>
    </row>
    <row r="1736" customFormat="false" ht="15.75" hidden="false" customHeight="true" outlineLevel="0" collapsed="false">
      <c r="A1736" s="7" t="s">
        <v>7190</v>
      </c>
      <c r="B1736" s="8" t="n">
        <v>2005</v>
      </c>
      <c r="C1736" s="8" t="s">
        <v>35</v>
      </c>
      <c r="D1736" s="8" t="n">
        <v>109</v>
      </c>
      <c r="E1736" s="7" t="s">
        <v>7191</v>
      </c>
      <c r="F1736" s="8" t="n">
        <v>6.3</v>
      </c>
      <c r="G1736" s="8" t="n">
        <v>6</v>
      </c>
      <c r="H1736" s="9" t="n">
        <v>84807</v>
      </c>
      <c r="I1736" s="7" t="s">
        <v>994</v>
      </c>
      <c r="J1736" s="7" t="s">
        <v>112</v>
      </c>
      <c r="K1736" s="7" t="s">
        <v>54</v>
      </c>
      <c r="L1736" s="10" t="s">
        <v>210</v>
      </c>
      <c r="M1736" s="10" t="s">
        <v>7192</v>
      </c>
      <c r="N1736" s="8" t="n">
        <v>0</v>
      </c>
      <c r="O1736" s="8" t="n">
        <v>0</v>
      </c>
      <c r="P1736" s="8" t="n">
        <v>0</v>
      </c>
      <c r="Q1736" s="8" t="n">
        <v>0</v>
      </c>
      <c r="R1736" s="13" t="n">
        <v>0</v>
      </c>
      <c r="S1736" s="13" t="n">
        <v>0</v>
      </c>
      <c r="T1736" s="13"/>
      <c r="U1736" s="11" t="n">
        <f aca="false">O1736*4 + P1736*2 + MAX(0,N1736-O1736-P1736)*1 + Q1736*0.2 + R1736*2 + S1736*1 + IF(T1736="",0,IF(T1736&lt;=10,8,IF(T1736&lt;=50,6,IF(T1736&lt;=100,4,2))))</f>
        <v>0</v>
      </c>
      <c r="V1736" s="7"/>
      <c r="W1736" s="7"/>
      <c r="X1736" s="13"/>
      <c r="Y1736" s="13" t="s">
        <v>7193</v>
      </c>
    </row>
    <row r="1737" customFormat="false" ht="15.75" hidden="false" customHeight="true" outlineLevel="0" collapsed="false">
      <c r="A1737" s="7" t="s">
        <v>7194</v>
      </c>
      <c r="B1737" s="8" t="n">
        <v>2013</v>
      </c>
      <c r="C1737" s="8" t="s">
        <v>176</v>
      </c>
      <c r="D1737" s="8" t="n">
        <v>96</v>
      </c>
      <c r="E1737" s="7" t="s">
        <v>6098</v>
      </c>
      <c r="F1737" s="8" t="n">
        <v>5.6</v>
      </c>
      <c r="G1737" s="8" t="n">
        <v>3</v>
      </c>
      <c r="H1737" s="9" t="n">
        <v>152331</v>
      </c>
      <c r="I1737" s="7" t="s">
        <v>46</v>
      </c>
      <c r="J1737" s="7" t="s">
        <v>579</v>
      </c>
      <c r="K1737" s="7" t="s">
        <v>112</v>
      </c>
      <c r="L1737" s="10"/>
      <c r="M1737" s="10" t="s">
        <v>7195</v>
      </c>
      <c r="N1737" s="8" t="n">
        <v>0</v>
      </c>
      <c r="O1737" s="8" t="n">
        <v>0</v>
      </c>
      <c r="P1737" s="8" t="n">
        <v>0</v>
      </c>
      <c r="Q1737" s="8" t="n">
        <v>0</v>
      </c>
      <c r="R1737" s="13" t="n">
        <v>0</v>
      </c>
      <c r="S1737" s="13" t="n">
        <v>0</v>
      </c>
      <c r="T1737" s="13"/>
      <c r="U1737" s="11" t="n">
        <f aca="false">O1737*4 + P1737*2 + MAX(0,N1737-O1737-P1737)*1 + Q1737*0.2 + R1737*2 + S1737*1 + IF(T1737="",0,IF(T1737&lt;=10,8,IF(T1737&lt;=50,6,IF(T1737&lt;=100,4,2))))</f>
        <v>0</v>
      </c>
      <c r="V1737" s="7"/>
      <c r="W1737" s="7"/>
      <c r="X1737" s="13"/>
      <c r="Y1737" s="13" t="s">
        <v>7196</v>
      </c>
    </row>
    <row r="1738" customFormat="false" ht="15.75" hidden="false" customHeight="true" outlineLevel="0" collapsed="false">
      <c r="A1738" s="7" t="s">
        <v>7197</v>
      </c>
      <c r="B1738" s="8" t="n">
        <v>2005</v>
      </c>
      <c r="C1738" s="8" t="s">
        <v>35</v>
      </c>
      <c r="D1738" s="8" t="n">
        <v>90</v>
      </c>
      <c r="E1738" s="7" t="s">
        <v>7198</v>
      </c>
      <c r="F1738" s="8" t="n">
        <v>6.2</v>
      </c>
      <c r="G1738" s="8" t="n">
        <v>6</v>
      </c>
      <c r="H1738" s="9" t="n">
        <v>163982</v>
      </c>
      <c r="I1738" s="7" t="s">
        <v>46</v>
      </c>
      <c r="J1738" s="7" t="s">
        <v>30</v>
      </c>
      <c r="K1738" s="7" t="s">
        <v>54</v>
      </c>
      <c r="L1738" s="10"/>
      <c r="M1738" s="10" t="s">
        <v>7199</v>
      </c>
      <c r="N1738" s="8" t="n">
        <v>0</v>
      </c>
      <c r="O1738" s="8" t="n">
        <v>0</v>
      </c>
      <c r="P1738" s="8" t="n">
        <v>0</v>
      </c>
      <c r="Q1738" s="8" t="n">
        <v>0</v>
      </c>
      <c r="R1738" s="13" t="n">
        <v>0</v>
      </c>
      <c r="S1738" s="13" t="n">
        <v>0</v>
      </c>
      <c r="T1738" s="13"/>
      <c r="U1738" s="11" t="n">
        <f aca="false">O1738*4 + P1738*2 + MAX(0,N1738-O1738-P1738)*1 + Q1738*0.2 + R1738*2 + S1738*1 + IF(T1738="",0,IF(T1738&lt;=10,8,IF(T1738&lt;=50,6,IF(T1738&lt;=100,4,2))))</f>
        <v>0</v>
      </c>
      <c r="V1738" s="7"/>
      <c r="W1738" s="7"/>
      <c r="X1738" s="13"/>
      <c r="Y1738" s="13" t="s">
        <v>7200</v>
      </c>
    </row>
    <row r="1739" customFormat="false" ht="15.75" hidden="false" customHeight="true" outlineLevel="0" collapsed="false">
      <c r="A1739" s="7" t="s">
        <v>7201</v>
      </c>
      <c r="B1739" s="8" t="n">
        <v>2008</v>
      </c>
      <c r="C1739" s="8" t="s">
        <v>35</v>
      </c>
      <c r="D1739" s="8" t="n">
        <v>104</v>
      </c>
      <c r="E1739" s="7" t="s">
        <v>6353</v>
      </c>
      <c r="F1739" s="8" t="n">
        <v>6.1</v>
      </c>
      <c r="G1739" s="8" t="n">
        <v>3</v>
      </c>
      <c r="H1739" s="9" t="n">
        <v>186621</v>
      </c>
      <c r="I1739" s="7" t="s">
        <v>3107</v>
      </c>
      <c r="J1739" s="7" t="s">
        <v>131</v>
      </c>
      <c r="K1739" s="7" t="s">
        <v>112</v>
      </c>
      <c r="L1739" s="10" t="s">
        <v>7202</v>
      </c>
      <c r="M1739" s="10" t="s">
        <v>7203</v>
      </c>
      <c r="N1739" s="8" t="n">
        <v>0</v>
      </c>
      <c r="O1739" s="8" t="n">
        <v>0</v>
      </c>
      <c r="P1739" s="8" t="n">
        <v>0</v>
      </c>
      <c r="Q1739" s="8" t="n">
        <v>0</v>
      </c>
      <c r="R1739" s="13" t="n">
        <v>0</v>
      </c>
      <c r="S1739" s="13" t="n">
        <v>0</v>
      </c>
      <c r="T1739" s="13"/>
      <c r="U1739" s="11" t="n">
        <f aca="false">O1739*4 + P1739*2 + MAX(0,N1739-O1739-P1739)*1 + Q1739*0.2 + R1739*2 + S1739*1 + IF(T1739="",0,IF(T1739&lt;=10,8,IF(T1739&lt;=50,6,IF(T1739&lt;=100,4,2))))</f>
        <v>0</v>
      </c>
      <c r="V1739" s="7"/>
      <c r="W1739" s="7"/>
      <c r="X1739" s="13"/>
      <c r="Y1739" s="13" t="s">
        <v>7204</v>
      </c>
    </row>
    <row r="1740" customFormat="false" ht="15.75" hidden="false" customHeight="true" outlineLevel="0" collapsed="false">
      <c r="A1740" s="7" t="s">
        <v>7205</v>
      </c>
      <c r="B1740" s="8" t="n">
        <v>2000</v>
      </c>
      <c r="C1740" s="8" t="s">
        <v>35</v>
      </c>
      <c r="D1740" s="8" t="n">
        <v>102</v>
      </c>
      <c r="E1740" s="7" t="s">
        <v>7206</v>
      </c>
      <c r="F1740" s="8" t="n">
        <v>7.6</v>
      </c>
      <c r="G1740" s="8" t="n">
        <v>7</v>
      </c>
      <c r="H1740" s="9" t="n">
        <v>851221</v>
      </c>
      <c r="I1740" s="7" t="s">
        <v>2168</v>
      </c>
      <c r="J1740" s="7" t="s">
        <v>147</v>
      </c>
      <c r="K1740" s="7" t="s">
        <v>54</v>
      </c>
      <c r="L1740" s="10" t="s">
        <v>7207</v>
      </c>
      <c r="M1740" s="7" t="s">
        <v>7208</v>
      </c>
      <c r="N1740" s="8" t="n">
        <v>0</v>
      </c>
      <c r="O1740" s="8" t="n">
        <v>0</v>
      </c>
      <c r="P1740" s="8" t="n">
        <v>0</v>
      </c>
      <c r="Q1740" s="8" t="n">
        <v>0</v>
      </c>
      <c r="R1740" s="8" t="n">
        <v>0</v>
      </c>
      <c r="S1740" s="13" t="n">
        <v>0</v>
      </c>
      <c r="T1740" s="8"/>
      <c r="U1740" s="11" t="n">
        <f aca="false">O1740*4 + P1740*2 + MAX(0,N1740-O1740-P1740)*1 + Q1740*0.2 + R1740*2 + S1740*1 + IF(T1740="",0,IF(T1740&lt;=10,8,IF(T1740&lt;=50,6,IF(T1740&lt;=100,4,2))))</f>
        <v>0</v>
      </c>
      <c r="V1740" s="7"/>
      <c r="W1740" s="7"/>
      <c r="X1740" s="13"/>
      <c r="Y1740" s="13" t="s">
        <v>7209</v>
      </c>
    </row>
    <row r="1741" customFormat="false" ht="15.75" hidden="false" customHeight="true" outlineLevel="0" collapsed="false">
      <c r="A1741" s="7" t="s">
        <v>7210</v>
      </c>
      <c r="B1741" s="8" t="n">
        <v>2008</v>
      </c>
      <c r="C1741" s="8" t="s">
        <v>35</v>
      </c>
      <c r="D1741" s="8" t="n">
        <v>90</v>
      </c>
      <c r="E1741" s="7" t="s">
        <v>6394</v>
      </c>
      <c r="F1741" s="8" t="n">
        <v>6.6</v>
      </c>
      <c r="G1741" s="8" t="n">
        <v>4</v>
      </c>
      <c r="H1741" s="9" t="n">
        <v>158382</v>
      </c>
      <c r="I1741" s="7" t="s">
        <v>46</v>
      </c>
      <c r="J1741" s="7" t="s">
        <v>131</v>
      </c>
      <c r="K1741" s="7" t="s">
        <v>112</v>
      </c>
      <c r="L1741" s="10"/>
      <c r="M1741" s="10" t="s">
        <v>7211</v>
      </c>
      <c r="N1741" s="8" t="n">
        <v>0</v>
      </c>
      <c r="O1741" s="8" t="n">
        <v>0</v>
      </c>
      <c r="P1741" s="8" t="n">
        <v>0</v>
      </c>
      <c r="Q1741" s="8" t="n">
        <v>0</v>
      </c>
      <c r="R1741" s="13" t="n">
        <v>0</v>
      </c>
      <c r="S1741" s="13" t="n">
        <v>0</v>
      </c>
      <c r="T1741" s="13"/>
      <c r="U1741" s="11" t="n">
        <f aca="false">O1741*4 + P1741*2 + MAX(0,N1741-O1741-P1741)*1 + Q1741*0.2 + R1741*2 + S1741*1 + IF(T1741="",0,IF(T1741&lt;=10,8,IF(T1741&lt;=50,6,IF(T1741&lt;=100,4,2))))</f>
        <v>0</v>
      </c>
      <c r="V1741" s="7"/>
      <c r="W1741" s="7"/>
      <c r="X1741" s="13"/>
      <c r="Y1741" s="13" t="s">
        <v>7212</v>
      </c>
    </row>
    <row r="1742" customFormat="false" ht="15.75" hidden="false" customHeight="true" outlineLevel="0" collapsed="false">
      <c r="A1742" s="7" t="s">
        <v>7213</v>
      </c>
      <c r="B1742" s="8" t="n">
        <v>1995</v>
      </c>
      <c r="C1742" s="8" t="s">
        <v>26</v>
      </c>
      <c r="D1742" s="8" t="n">
        <v>106</v>
      </c>
      <c r="E1742" s="7" t="s">
        <v>2484</v>
      </c>
      <c r="F1742" s="8" t="n">
        <v>8.5</v>
      </c>
      <c r="G1742" s="8" t="n">
        <v>8</v>
      </c>
      <c r="H1742" s="9" t="n">
        <v>1248903</v>
      </c>
      <c r="I1742" s="7" t="s">
        <v>46</v>
      </c>
      <c r="J1742" s="7" t="s">
        <v>47</v>
      </c>
      <c r="K1742" s="7" t="s">
        <v>54</v>
      </c>
      <c r="L1742" s="10" t="s">
        <v>636</v>
      </c>
      <c r="M1742" s="7" t="s">
        <v>7214</v>
      </c>
      <c r="N1742" s="8" t="n">
        <v>2</v>
      </c>
      <c r="O1742" s="8" t="n">
        <v>0</v>
      </c>
      <c r="P1742" s="8" t="n">
        <v>0</v>
      </c>
      <c r="Q1742" s="8" t="n">
        <v>2</v>
      </c>
      <c r="R1742" s="8" t="n">
        <v>0</v>
      </c>
      <c r="S1742" s="8" t="n">
        <v>0</v>
      </c>
      <c r="T1742" s="8"/>
      <c r="U1742" s="11" t="n">
        <f aca="false">O1742*4 + P1742*2 + MAX(0,N1742-O1742-P1742)*1 + Q1742*0.2 + R1742*2 + S1742*1 + IF(T1742="",0,IF(T1742&lt;=10,8,IF(T1742&lt;=50,6,IF(T1742&lt;=100,4,2))))</f>
        <v>2.4</v>
      </c>
      <c r="V1742" s="7"/>
      <c r="W1742" s="7"/>
      <c r="X1742" s="13"/>
      <c r="Y1742" s="13" t="s">
        <v>7215</v>
      </c>
    </row>
    <row r="1743" customFormat="false" ht="15.75" hidden="false" customHeight="true" outlineLevel="0" collapsed="false">
      <c r="A1743" s="7" t="s">
        <v>7216</v>
      </c>
      <c r="B1743" s="8" t="n">
        <v>2014</v>
      </c>
      <c r="C1743" s="8" t="s">
        <v>176</v>
      </c>
      <c r="D1743" s="8" t="n">
        <v>117</v>
      </c>
      <c r="E1743" s="7" t="s">
        <v>2599</v>
      </c>
      <c r="F1743" s="8" t="n">
        <v>6.1</v>
      </c>
      <c r="G1743" s="8" t="n">
        <v>5</v>
      </c>
      <c r="H1743" s="9" t="n">
        <v>250087</v>
      </c>
      <c r="I1743" s="7" t="s">
        <v>2168</v>
      </c>
      <c r="J1743" s="7" t="s">
        <v>111</v>
      </c>
      <c r="K1743" s="7" t="s">
        <v>54</v>
      </c>
      <c r="L1743" s="10" t="s">
        <v>187</v>
      </c>
      <c r="M1743" s="10" t="s">
        <v>7217</v>
      </c>
      <c r="N1743" s="8" t="n">
        <v>0</v>
      </c>
      <c r="O1743" s="8" t="n">
        <v>0</v>
      </c>
      <c r="P1743" s="8" t="n">
        <v>0</v>
      </c>
      <c r="Q1743" s="8" t="n">
        <v>0</v>
      </c>
      <c r="R1743" s="13" t="n">
        <v>0</v>
      </c>
      <c r="S1743" s="13" t="n">
        <v>0</v>
      </c>
      <c r="T1743" s="13"/>
      <c r="U1743" s="11" t="n">
        <f aca="false">O1743*4 + P1743*2 + MAX(0,N1743-O1743-P1743)*1 + Q1743*0.2 + R1743*2 + S1743*1 + IF(T1743="",0,IF(T1743&lt;=10,8,IF(T1743&lt;=50,6,IF(T1743&lt;=100,4,2))))</f>
        <v>0</v>
      </c>
      <c r="V1743" s="7"/>
      <c r="W1743" s="7"/>
      <c r="X1743" s="13"/>
      <c r="Y1743" s="13" t="s">
        <v>7218</v>
      </c>
    </row>
    <row r="1744" customFormat="false" ht="15.75" hidden="false" customHeight="true" outlineLevel="0" collapsed="false">
      <c r="A1744" s="7" t="s">
        <v>7219</v>
      </c>
      <c r="B1744" s="8" t="n">
        <v>2002</v>
      </c>
      <c r="C1744" s="8" t="s">
        <v>35</v>
      </c>
      <c r="D1744" s="8" t="n">
        <v>101</v>
      </c>
      <c r="E1744" s="7" t="s">
        <v>7220</v>
      </c>
      <c r="F1744" s="8" t="n">
        <v>6.2</v>
      </c>
      <c r="G1744" s="8" t="n">
        <v>6</v>
      </c>
      <c r="H1744" s="9" t="n">
        <v>153697</v>
      </c>
      <c r="I1744" s="7" t="s">
        <v>1364</v>
      </c>
      <c r="J1744" s="7" t="s">
        <v>38</v>
      </c>
      <c r="K1744" s="7" t="s">
        <v>112</v>
      </c>
      <c r="L1744" s="10" t="s">
        <v>220</v>
      </c>
      <c r="M1744" s="10" t="s">
        <v>7221</v>
      </c>
      <c r="N1744" s="8" t="n">
        <v>0</v>
      </c>
      <c r="O1744" s="8" t="n">
        <v>0</v>
      </c>
      <c r="P1744" s="8" t="n">
        <v>0</v>
      </c>
      <c r="Q1744" s="8" t="n">
        <v>0</v>
      </c>
      <c r="R1744" s="13" t="n">
        <v>0</v>
      </c>
      <c r="S1744" s="13" t="n">
        <v>0</v>
      </c>
      <c r="T1744" s="13"/>
      <c r="U1744" s="11" t="n">
        <f aca="false">O1744*4 + P1744*2 + MAX(0,N1744-O1744-P1744)*1 + Q1744*0.2 + R1744*2 + S1744*1 + IF(T1744="",0,IF(T1744&lt;=10,8,IF(T1744&lt;=50,6,IF(T1744&lt;=100,4,2))))</f>
        <v>0</v>
      </c>
      <c r="V1744" s="7"/>
      <c r="W1744" s="7"/>
      <c r="X1744" s="13"/>
      <c r="Y1744" s="13" t="s">
        <v>7222</v>
      </c>
    </row>
    <row r="1745" customFormat="false" ht="15.75" hidden="false" customHeight="true" outlineLevel="0" collapsed="false">
      <c r="A1745" s="7" t="s">
        <v>7223</v>
      </c>
      <c r="B1745" s="8" t="n">
        <v>2014</v>
      </c>
      <c r="C1745" s="8" t="s">
        <v>176</v>
      </c>
      <c r="D1745" s="8" t="n">
        <v>126</v>
      </c>
      <c r="E1745" s="7" t="s">
        <v>7224</v>
      </c>
      <c r="F1745" s="8" t="n">
        <v>6.1</v>
      </c>
      <c r="G1745" s="8" t="n">
        <v>6</v>
      </c>
      <c r="H1745" s="9" t="n">
        <v>207243</v>
      </c>
      <c r="I1745" s="7" t="s">
        <v>2810</v>
      </c>
      <c r="J1745" s="7" t="s">
        <v>131</v>
      </c>
      <c r="K1745" s="7" t="s">
        <v>112</v>
      </c>
      <c r="L1745" s="10"/>
      <c r="M1745" s="10" t="s">
        <v>7225</v>
      </c>
      <c r="N1745" s="8" t="n">
        <v>0</v>
      </c>
      <c r="O1745" s="8" t="n">
        <v>0</v>
      </c>
      <c r="P1745" s="8" t="n">
        <v>0</v>
      </c>
      <c r="Q1745" s="8" t="n">
        <v>0</v>
      </c>
      <c r="R1745" s="13" t="n">
        <v>0</v>
      </c>
      <c r="S1745" s="13" t="n">
        <v>0</v>
      </c>
      <c r="T1745" s="13"/>
      <c r="U1745" s="11" t="n">
        <f aca="false">O1745*4 + P1745*2 + MAX(0,N1745-O1745-P1745)*1 + Q1745*0.2 + R1745*2 + S1745*1 + IF(T1745="",0,IF(T1745&lt;=10,8,IF(T1745&lt;=50,6,IF(T1745&lt;=100,4,2))))</f>
        <v>0</v>
      </c>
      <c r="V1745" s="7"/>
      <c r="W1745" s="7"/>
      <c r="X1745" s="13"/>
      <c r="Y1745" s="13" t="s">
        <v>7226</v>
      </c>
    </row>
    <row r="1746" customFormat="false" ht="15.75" hidden="false" customHeight="true" outlineLevel="0" collapsed="false">
      <c r="A1746" s="7" t="s">
        <v>7227</v>
      </c>
      <c r="B1746" s="8" t="n">
        <v>2007</v>
      </c>
      <c r="C1746" s="8" t="s">
        <v>35</v>
      </c>
      <c r="D1746" s="8" t="n">
        <v>98</v>
      </c>
      <c r="E1746" s="7" t="s">
        <v>1699</v>
      </c>
      <c r="F1746" s="8" t="n">
        <v>6.4</v>
      </c>
      <c r="G1746" s="8" t="n">
        <v>5</v>
      </c>
      <c r="H1746" s="9" t="n">
        <v>222245</v>
      </c>
      <c r="I1746" s="7" t="s">
        <v>2011</v>
      </c>
      <c r="J1746" s="7" t="s">
        <v>131</v>
      </c>
      <c r="K1746" s="7" t="s">
        <v>54</v>
      </c>
      <c r="L1746" s="10"/>
      <c r="M1746" s="10" t="s">
        <v>7228</v>
      </c>
      <c r="N1746" s="8" t="n">
        <v>0</v>
      </c>
      <c r="O1746" s="8" t="n">
        <v>0</v>
      </c>
      <c r="P1746" s="8" t="n">
        <v>0</v>
      </c>
      <c r="Q1746" s="8" t="n">
        <v>0</v>
      </c>
      <c r="R1746" s="13" t="n">
        <v>0</v>
      </c>
      <c r="S1746" s="13" t="n">
        <v>0</v>
      </c>
      <c r="T1746" s="13"/>
      <c r="U1746" s="11" t="n">
        <f aca="false">O1746*4 + P1746*2 + MAX(0,N1746-O1746-P1746)*1 + Q1746*0.2 + R1746*2 + S1746*1 + IF(T1746="",0,IF(T1746&lt;=10,8,IF(T1746&lt;=50,6,IF(T1746&lt;=100,4,2))))</f>
        <v>0</v>
      </c>
      <c r="V1746" s="7"/>
      <c r="W1746" s="7"/>
      <c r="X1746" s="13"/>
      <c r="Y1746" s="13" t="s">
        <v>7229</v>
      </c>
    </row>
    <row r="1747" customFormat="false" ht="15.75" hidden="false" customHeight="true" outlineLevel="0" collapsed="false">
      <c r="A1747" s="7" t="s">
        <v>7230</v>
      </c>
      <c r="B1747" s="8" t="n">
        <v>2003</v>
      </c>
      <c r="C1747" s="8" t="s">
        <v>35</v>
      </c>
      <c r="D1747" s="8" t="n">
        <v>116</v>
      </c>
      <c r="E1747" s="7" t="s">
        <v>7231</v>
      </c>
      <c r="F1747" s="8" t="n">
        <v>6.6</v>
      </c>
      <c r="G1747" s="8" t="n">
        <v>4</v>
      </c>
      <c r="H1747" s="9" t="n">
        <v>328047</v>
      </c>
      <c r="I1747" s="7" t="s">
        <v>2011</v>
      </c>
      <c r="J1747" s="7" t="s">
        <v>29</v>
      </c>
      <c r="K1747" s="7" t="s">
        <v>30</v>
      </c>
      <c r="L1747" s="10" t="s">
        <v>238</v>
      </c>
      <c r="M1747" s="7" t="s">
        <v>7232</v>
      </c>
      <c r="N1747" s="8" t="n">
        <v>0</v>
      </c>
      <c r="O1747" s="8" t="n">
        <v>0</v>
      </c>
      <c r="P1747" s="8" t="n">
        <v>0</v>
      </c>
      <c r="Q1747" s="8" t="n">
        <v>0</v>
      </c>
      <c r="R1747" s="13" t="n">
        <v>0</v>
      </c>
      <c r="S1747" s="13" t="n">
        <v>0</v>
      </c>
      <c r="T1747" s="13"/>
      <c r="U1747" s="11" t="n">
        <f aca="false">O1747*4 + P1747*2 + MAX(0,N1747-O1747-P1747)*1 + Q1747*0.2 + R1747*2 + S1747*1 + IF(T1747="",0,IF(T1747&lt;=10,8,IF(T1747&lt;=50,6,IF(T1747&lt;=100,4,2))))</f>
        <v>0</v>
      </c>
      <c r="V1747" s="7"/>
      <c r="W1747" s="7"/>
      <c r="X1747" s="13"/>
      <c r="Y1747" s="13" t="s">
        <v>7233</v>
      </c>
    </row>
    <row r="1748" customFormat="false" ht="15.75" hidden="false" customHeight="true" outlineLevel="0" collapsed="false">
      <c r="A1748" s="7" t="s">
        <v>7234</v>
      </c>
      <c r="B1748" s="8" t="n">
        <v>2012</v>
      </c>
      <c r="C1748" s="8" t="s">
        <v>176</v>
      </c>
      <c r="D1748" s="8" t="n">
        <v>102</v>
      </c>
      <c r="E1748" s="7" t="s">
        <v>7235</v>
      </c>
      <c r="F1748" s="8" t="n">
        <v>5.7</v>
      </c>
      <c r="G1748" s="8" t="n">
        <v>5</v>
      </c>
      <c r="H1748" s="9" t="n">
        <v>138393</v>
      </c>
      <c r="I1748" s="7" t="s">
        <v>46</v>
      </c>
      <c r="J1748" s="7" t="s">
        <v>111</v>
      </c>
      <c r="K1748" s="7" t="s">
        <v>30</v>
      </c>
      <c r="L1748" s="10" t="s">
        <v>177</v>
      </c>
      <c r="M1748" s="10" t="s">
        <v>7236</v>
      </c>
      <c r="N1748" s="8" t="n">
        <v>0</v>
      </c>
      <c r="O1748" s="8" t="n">
        <v>0</v>
      </c>
      <c r="P1748" s="8" t="n">
        <v>0</v>
      </c>
      <c r="Q1748" s="8" t="n">
        <v>0</v>
      </c>
      <c r="R1748" s="13" t="n">
        <v>0</v>
      </c>
      <c r="S1748" s="13" t="n">
        <v>0</v>
      </c>
      <c r="T1748" s="13"/>
      <c r="U1748" s="11" t="n">
        <f aca="false">O1748*4 + P1748*2 + MAX(0,N1748-O1748-P1748)*1 + Q1748*0.2 + R1748*2 + S1748*1 + IF(T1748="",0,IF(T1748&lt;=10,8,IF(T1748&lt;=50,6,IF(T1748&lt;=100,4,2))))</f>
        <v>0</v>
      </c>
      <c r="V1748" s="7"/>
      <c r="W1748" s="7"/>
      <c r="X1748" s="13"/>
      <c r="Y1748" s="13" t="s">
        <v>7237</v>
      </c>
    </row>
    <row r="1749" customFormat="false" ht="15.75" hidden="false" customHeight="true" outlineLevel="0" collapsed="false">
      <c r="A1749" s="7" t="s">
        <v>7238</v>
      </c>
      <c r="B1749" s="8" t="n">
        <v>2011</v>
      </c>
      <c r="C1749" s="8" t="s">
        <v>176</v>
      </c>
      <c r="D1749" s="8" t="n">
        <v>83</v>
      </c>
      <c r="E1749" s="7" t="s">
        <v>5715</v>
      </c>
      <c r="F1749" s="8" t="n">
        <v>6</v>
      </c>
      <c r="G1749" s="8" t="n">
        <v>2</v>
      </c>
      <c r="H1749" s="9" t="n">
        <v>111704</v>
      </c>
      <c r="I1749" s="7" t="s">
        <v>7239</v>
      </c>
      <c r="J1749" s="7" t="s">
        <v>112</v>
      </c>
      <c r="K1749" s="7" t="s">
        <v>54</v>
      </c>
      <c r="L1749" s="10" t="s">
        <v>6276</v>
      </c>
      <c r="M1749" s="10" t="s">
        <v>7240</v>
      </c>
      <c r="N1749" s="8" t="n">
        <v>0</v>
      </c>
      <c r="O1749" s="8" t="n">
        <v>0</v>
      </c>
      <c r="P1749" s="8" t="n">
        <v>0</v>
      </c>
      <c r="Q1749" s="8" t="n">
        <v>0</v>
      </c>
      <c r="R1749" s="13" t="n">
        <v>0</v>
      </c>
      <c r="S1749" s="13" t="n">
        <v>0</v>
      </c>
      <c r="T1749" s="13"/>
      <c r="U1749" s="11" t="n">
        <f aca="false">O1749*4 + P1749*2 + MAX(0,N1749-O1749-P1749)*1 + Q1749*0.2 + R1749*2 + S1749*1 + IF(T1749="",0,IF(T1749&lt;=10,8,IF(T1749&lt;=50,6,IF(T1749&lt;=100,4,2))))</f>
        <v>0</v>
      </c>
      <c r="V1749" s="7"/>
      <c r="W1749" s="7"/>
      <c r="X1749" s="13"/>
      <c r="Y1749" s="13" t="s">
        <v>7241</v>
      </c>
    </row>
    <row r="1750" customFormat="false" ht="15.75" hidden="false" customHeight="true" outlineLevel="0" collapsed="false">
      <c r="A1750" s="7" t="s">
        <v>7242</v>
      </c>
      <c r="B1750" s="8" t="n">
        <v>2003</v>
      </c>
      <c r="C1750" s="8" t="s">
        <v>35</v>
      </c>
      <c r="D1750" s="8" t="n">
        <v>129</v>
      </c>
      <c r="E1750" s="7" t="s">
        <v>7243</v>
      </c>
      <c r="F1750" s="8" t="n">
        <v>6.7</v>
      </c>
      <c r="G1750" s="8" t="n">
        <v>8</v>
      </c>
      <c r="H1750" s="9" t="n">
        <v>578715</v>
      </c>
      <c r="I1750" s="7" t="s">
        <v>5319</v>
      </c>
      <c r="J1750" s="7" t="s">
        <v>111</v>
      </c>
      <c r="K1750" s="7" t="s">
        <v>112</v>
      </c>
      <c r="L1750" s="10" t="s">
        <v>4659</v>
      </c>
      <c r="M1750" s="7" t="s">
        <v>7244</v>
      </c>
      <c r="N1750" s="8" t="n">
        <v>0</v>
      </c>
      <c r="O1750" s="8" t="n">
        <v>0</v>
      </c>
      <c r="P1750" s="8" t="n">
        <v>0</v>
      </c>
      <c r="Q1750" s="8" t="n">
        <v>0</v>
      </c>
      <c r="R1750" s="13" t="n">
        <v>0</v>
      </c>
      <c r="S1750" s="13" t="n">
        <v>0</v>
      </c>
      <c r="T1750" s="13"/>
      <c r="U1750" s="11" t="n">
        <f aca="false">O1750*4 + P1750*2 + MAX(0,N1750-O1750-P1750)*1 + Q1750*0.2 + R1750*2 + S1750*1 + IF(T1750="",0,IF(T1750&lt;=10,8,IF(T1750&lt;=50,6,IF(T1750&lt;=100,4,2))))</f>
        <v>0</v>
      </c>
      <c r="V1750" s="7"/>
      <c r="W1750" s="7"/>
      <c r="X1750" s="13"/>
      <c r="Y1750" s="13" t="s">
        <v>7245</v>
      </c>
    </row>
    <row r="1751" customFormat="false" ht="15.75" hidden="false" customHeight="true" outlineLevel="0" collapsed="false">
      <c r="A1751" s="7" t="s">
        <v>7246</v>
      </c>
      <c r="B1751" s="8" t="n">
        <v>2003</v>
      </c>
      <c r="C1751" s="8" t="s">
        <v>35</v>
      </c>
      <c r="D1751" s="8" t="n">
        <v>138</v>
      </c>
      <c r="E1751" s="7" t="s">
        <v>7243</v>
      </c>
      <c r="F1751" s="8" t="n">
        <v>7.2</v>
      </c>
      <c r="G1751" s="8" t="n">
        <v>8</v>
      </c>
      <c r="H1751" s="9" t="n">
        <v>674859</v>
      </c>
      <c r="I1751" s="7" t="s">
        <v>2330</v>
      </c>
      <c r="J1751" s="7" t="s">
        <v>111</v>
      </c>
      <c r="K1751" s="7" t="s">
        <v>112</v>
      </c>
      <c r="L1751" s="10" t="s">
        <v>155</v>
      </c>
      <c r="M1751" s="7" t="s">
        <v>7247</v>
      </c>
      <c r="N1751" s="8" t="n">
        <v>0</v>
      </c>
      <c r="O1751" s="8" t="n">
        <v>0</v>
      </c>
      <c r="P1751" s="8" t="n">
        <v>0</v>
      </c>
      <c r="Q1751" s="8" t="n">
        <v>0</v>
      </c>
      <c r="R1751" s="13" t="n">
        <v>0</v>
      </c>
      <c r="S1751" s="13" t="n">
        <v>0</v>
      </c>
      <c r="T1751" s="13"/>
      <c r="U1751" s="11" t="n">
        <f aca="false">O1751*4 + P1751*2 + MAX(0,N1751-O1751-P1751)*1 + Q1751*0.2 + R1751*2 + S1751*1 + IF(T1751="",0,IF(T1751&lt;=10,8,IF(T1751&lt;=50,6,IF(T1751&lt;=100,4,2))))</f>
        <v>0</v>
      </c>
      <c r="V1751" s="7"/>
      <c r="W1751" s="7"/>
      <c r="X1751" s="13"/>
      <c r="Y1751" s="13" t="s">
        <v>7248</v>
      </c>
    </row>
    <row r="1752" customFormat="false" ht="15.75" hidden="false" customHeight="true" outlineLevel="0" collapsed="false">
      <c r="A1752" s="7" t="s">
        <v>5719</v>
      </c>
      <c r="B1752" s="8" t="n">
        <v>2013</v>
      </c>
      <c r="C1752" s="8" t="s">
        <v>176</v>
      </c>
      <c r="D1752" s="8" t="n">
        <v>106</v>
      </c>
      <c r="E1752" s="7" t="s">
        <v>2158</v>
      </c>
      <c r="F1752" s="8" t="n">
        <v>6.6</v>
      </c>
      <c r="G1752" s="8" t="n">
        <v>7</v>
      </c>
      <c r="H1752" s="9" t="n">
        <v>204471</v>
      </c>
      <c r="I1752" s="7"/>
      <c r="J1752" s="7" t="s">
        <v>147</v>
      </c>
      <c r="K1752" s="7" t="s">
        <v>125</v>
      </c>
      <c r="L1752" s="10" t="s">
        <v>260</v>
      </c>
      <c r="M1752" s="10" t="s">
        <v>7249</v>
      </c>
      <c r="N1752" s="8" t="n">
        <v>0</v>
      </c>
      <c r="O1752" s="8" t="n">
        <v>0</v>
      </c>
      <c r="P1752" s="8" t="n">
        <v>0</v>
      </c>
      <c r="Q1752" s="8" t="n">
        <v>0</v>
      </c>
      <c r="R1752" s="13" t="n">
        <v>0</v>
      </c>
      <c r="S1752" s="13" t="n">
        <v>0</v>
      </c>
      <c r="T1752" s="13"/>
      <c r="U1752" s="11" t="n">
        <f aca="false">O1752*4 + P1752*2 + MAX(0,N1752-O1752-P1752)*1 + Q1752*0.2 + R1752*2 + S1752*1 + IF(T1752="",0,IF(T1752&lt;=10,8,IF(T1752&lt;=50,6,IF(T1752&lt;=100,4,2))))</f>
        <v>0</v>
      </c>
      <c r="V1752" s="7"/>
      <c r="W1752" s="7"/>
      <c r="X1752" s="13"/>
      <c r="Y1752" s="13" t="s">
        <v>7250</v>
      </c>
    </row>
    <row r="1753" customFormat="false" ht="15.75" hidden="false" customHeight="true" outlineLevel="0" collapsed="false">
      <c r="A1753" s="7" t="s">
        <v>7251</v>
      </c>
      <c r="B1753" s="8" t="n">
        <v>2005</v>
      </c>
      <c r="C1753" s="8" t="s">
        <v>35</v>
      </c>
      <c r="D1753" s="8" t="n">
        <v>116</v>
      </c>
      <c r="E1753" s="7" t="s">
        <v>7252</v>
      </c>
      <c r="F1753" s="8" t="n">
        <v>6.3</v>
      </c>
      <c r="G1753" s="8" t="n">
        <v>6</v>
      </c>
      <c r="H1753" s="9" t="n">
        <v>5686</v>
      </c>
      <c r="I1753" s="7" t="s">
        <v>28</v>
      </c>
      <c r="J1753" s="7" t="s">
        <v>29</v>
      </c>
      <c r="K1753" s="7" t="s">
        <v>30</v>
      </c>
      <c r="L1753" s="10"/>
      <c r="M1753" s="10" t="s">
        <v>7253</v>
      </c>
      <c r="N1753" s="8" t="n">
        <v>0</v>
      </c>
      <c r="O1753" s="8" t="n">
        <v>0</v>
      </c>
      <c r="P1753" s="8" t="n">
        <v>0</v>
      </c>
      <c r="Q1753" s="8" t="n">
        <v>0</v>
      </c>
      <c r="R1753" s="13" t="n">
        <v>0</v>
      </c>
      <c r="S1753" s="13" t="n">
        <v>0</v>
      </c>
      <c r="T1753" s="13"/>
      <c r="U1753" s="11" t="n">
        <f aca="false">O1753*4 + P1753*2 + MAX(0,N1753-O1753-P1753)*1 + Q1753*0.2 + R1753*2 + S1753*1 + IF(T1753="",0,IF(T1753&lt;=10,8,IF(T1753&lt;=50,6,IF(T1753&lt;=100,4,2))))</f>
        <v>0</v>
      </c>
      <c r="V1753" s="7"/>
      <c r="W1753" s="7"/>
      <c r="X1753" s="13"/>
      <c r="Y1753" s="13" t="s">
        <v>7254</v>
      </c>
    </row>
    <row r="1754" customFormat="false" ht="15.75" hidden="false" customHeight="true" outlineLevel="0" collapsed="false">
      <c r="A1754" s="7" t="s">
        <v>7255</v>
      </c>
      <c r="B1754" s="8" t="n">
        <v>2013</v>
      </c>
      <c r="C1754" s="8" t="s">
        <v>176</v>
      </c>
      <c r="D1754" s="8" t="n">
        <v>97</v>
      </c>
      <c r="E1754" s="7" t="s">
        <v>5887</v>
      </c>
      <c r="F1754" s="8" t="n">
        <v>6.3</v>
      </c>
      <c r="G1754" s="8" t="n">
        <v>5</v>
      </c>
      <c r="H1754" s="9" t="n">
        <v>85476</v>
      </c>
      <c r="I1754" s="7" t="s">
        <v>46</v>
      </c>
      <c r="J1754" s="7" t="s">
        <v>147</v>
      </c>
      <c r="K1754" s="7" t="s">
        <v>111</v>
      </c>
      <c r="L1754" s="10" t="s">
        <v>260</v>
      </c>
      <c r="M1754" s="10" t="s">
        <v>7256</v>
      </c>
      <c r="N1754" s="8" t="n">
        <v>0</v>
      </c>
      <c r="O1754" s="8" t="n">
        <v>0</v>
      </c>
      <c r="P1754" s="8" t="n">
        <v>0</v>
      </c>
      <c r="Q1754" s="8" t="n">
        <v>0</v>
      </c>
      <c r="R1754" s="13" t="n">
        <v>0</v>
      </c>
      <c r="S1754" s="13" t="n">
        <v>0</v>
      </c>
      <c r="T1754" s="13"/>
      <c r="U1754" s="11" t="n">
        <f aca="false">O1754*4 + P1754*2 + MAX(0,N1754-O1754-P1754)*1 + Q1754*0.2 + R1754*2 + S1754*1 + IF(T1754="",0,IF(T1754&lt;=10,8,IF(T1754&lt;=50,6,IF(T1754&lt;=100,4,2))))</f>
        <v>0</v>
      </c>
      <c r="V1754" s="7"/>
      <c r="W1754" s="7"/>
      <c r="X1754" s="13"/>
      <c r="Y1754" s="13" t="s">
        <v>7257</v>
      </c>
    </row>
    <row r="1755" customFormat="false" ht="15.75" hidden="false" customHeight="true" outlineLevel="0" collapsed="false">
      <c r="A1755" s="7" t="s">
        <v>7258</v>
      </c>
      <c r="B1755" s="8" t="n">
        <v>2014</v>
      </c>
      <c r="C1755" s="8" t="s">
        <v>176</v>
      </c>
      <c r="D1755" s="8" t="n">
        <v>103</v>
      </c>
      <c r="E1755" s="7" t="s">
        <v>6710</v>
      </c>
      <c r="F1755" s="8" t="n">
        <v>6.4</v>
      </c>
      <c r="G1755" s="8" t="n">
        <v>4</v>
      </c>
      <c r="H1755" s="9" t="n">
        <v>173774</v>
      </c>
      <c r="I1755" s="7" t="s">
        <v>2810</v>
      </c>
      <c r="J1755" s="7" t="s">
        <v>147</v>
      </c>
      <c r="K1755" s="7" t="s">
        <v>111</v>
      </c>
      <c r="L1755" s="10" t="s">
        <v>192</v>
      </c>
      <c r="M1755" s="10" t="s">
        <v>7259</v>
      </c>
      <c r="N1755" s="8" t="n">
        <v>0</v>
      </c>
      <c r="O1755" s="8" t="n">
        <v>0</v>
      </c>
      <c r="P1755" s="8" t="n">
        <v>0</v>
      </c>
      <c r="Q1755" s="8" t="n">
        <v>0</v>
      </c>
      <c r="R1755" s="13" t="n">
        <v>0</v>
      </c>
      <c r="S1755" s="13" t="n">
        <v>0</v>
      </c>
      <c r="T1755" s="13"/>
      <c r="U1755" s="11" t="n">
        <f aca="false">O1755*4 + P1755*2 + MAX(0,N1755-O1755-P1755)*1 + Q1755*0.2 + R1755*2 + S1755*1 + IF(T1755="",0,IF(T1755&lt;=10,8,IF(T1755&lt;=50,6,IF(T1755&lt;=100,4,2))))</f>
        <v>0</v>
      </c>
      <c r="V1755" s="7"/>
      <c r="W1755" s="7"/>
      <c r="X1755" s="13"/>
      <c r="Y1755" s="13" t="s">
        <v>7260</v>
      </c>
    </row>
    <row r="1756" customFormat="false" ht="15.75" hidden="false" customHeight="true" outlineLevel="0" collapsed="false">
      <c r="A1756" s="7" t="s">
        <v>7261</v>
      </c>
      <c r="B1756" s="8" t="n">
        <v>1996</v>
      </c>
      <c r="C1756" s="8" t="s">
        <v>26</v>
      </c>
      <c r="D1756" s="8" t="n">
        <v>105</v>
      </c>
      <c r="E1756" s="7" t="s">
        <v>6413</v>
      </c>
      <c r="F1756" s="8" t="n">
        <v>7.6</v>
      </c>
      <c r="G1756" s="8" t="n">
        <v>7</v>
      </c>
      <c r="H1756" s="9" t="n">
        <v>59244</v>
      </c>
      <c r="I1756" s="7" t="s">
        <v>1231</v>
      </c>
      <c r="J1756" s="7" t="s">
        <v>90</v>
      </c>
      <c r="K1756" s="7" t="s">
        <v>48</v>
      </c>
      <c r="L1756" s="10" t="s">
        <v>1936</v>
      </c>
      <c r="M1756" s="10" t="s">
        <v>7262</v>
      </c>
      <c r="N1756" s="8" t="n">
        <v>1</v>
      </c>
      <c r="O1756" s="8" t="n">
        <v>0</v>
      </c>
      <c r="P1756" s="8" t="n">
        <v>0</v>
      </c>
      <c r="Q1756" s="8" t="n">
        <v>7</v>
      </c>
      <c r="R1756" s="8" t="n">
        <v>0</v>
      </c>
      <c r="S1756" s="8" t="n">
        <v>0</v>
      </c>
      <c r="T1756" s="13"/>
      <c r="U1756" s="11" t="n">
        <f aca="false">O1756*4 + P1756*2 + MAX(0,N1756-O1756-P1756)*1 + Q1756*0.2 + R1756*2 + S1756*1 + IF(T1756="",0,IF(T1756&lt;=10,8,IF(T1756&lt;=50,6,IF(T1756&lt;=100,4,2))))</f>
        <v>2.4</v>
      </c>
      <c r="V1756" s="7"/>
      <c r="W1756" s="7"/>
      <c r="X1756" s="13"/>
      <c r="Y1756" s="13" t="s">
        <v>7263</v>
      </c>
    </row>
    <row r="1757" customFormat="false" ht="15.75" hidden="false" customHeight="true" outlineLevel="0" collapsed="false">
      <c r="A1757" s="7" t="s">
        <v>7264</v>
      </c>
      <c r="B1757" s="8" t="n">
        <v>2013</v>
      </c>
      <c r="C1757" s="8" t="s">
        <v>176</v>
      </c>
      <c r="D1757" s="8" t="n">
        <v>132</v>
      </c>
      <c r="E1757" s="7" t="s">
        <v>7265</v>
      </c>
      <c r="F1757" s="8" t="n">
        <v>7.2</v>
      </c>
      <c r="G1757" s="8" t="n">
        <v>7</v>
      </c>
      <c r="H1757" s="9" t="n">
        <v>124254</v>
      </c>
      <c r="I1757" s="7" t="s">
        <v>46</v>
      </c>
      <c r="J1757" s="7" t="s">
        <v>47</v>
      </c>
      <c r="K1757" s="7" t="s">
        <v>48</v>
      </c>
      <c r="L1757" s="10"/>
      <c r="M1757" s="10" t="s">
        <v>7266</v>
      </c>
      <c r="N1757" s="8" t="n">
        <v>0</v>
      </c>
      <c r="O1757" s="8" t="n">
        <v>0</v>
      </c>
      <c r="P1757" s="8" t="n">
        <v>0</v>
      </c>
      <c r="Q1757" s="8" t="n">
        <v>0</v>
      </c>
      <c r="R1757" s="13" t="n">
        <v>0</v>
      </c>
      <c r="S1757" s="13" t="n">
        <v>0</v>
      </c>
      <c r="T1757" s="13"/>
      <c r="U1757" s="11" t="n">
        <f aca="false">O1757*4 + P1757*2 + MAX(0,N1757-O1757-P1757)*1 + Q1757*0.2 + R1757*2 + S1757*1 + IF(T1757="",0,IF(T1757&lt;=10,8,IF(T1757&lt;=50,6,IF(T1757&lt;=100,4,2))))</f>
        <v>0</v>
      </c>
      <c r="V1757" s="7"/>
      <c r="W1757" s="7"/>
      <c r="X1757" s="13"/>
      <c r="Y1757" s="13" t="s">
        <v>7267</v>
      </c>
    </row>
    <row r="1758" customFormat="false" ht="15.75" hidden="false" customHeight="true" outlineLevel="0" collapsed="false">
      <c r="A1758" s="7" t="s">
        <v>7268</v>
      </c>
      <c r="B1758" s="8" t="n">
        <v>2013</v>
      </c>
      <c r="C1758" s="8" t="s">
        <v>176</v>
      </c>
      <c r="D1758" s="8" t="n">
        <v>109</v>
      </c>
      <c r="E1758" s="7" t="s">
        <v>7269</v>
      </c>
      <c r="F1758" s="8" t="n">
        <v>6.9</v>
      </c>
      <c r="G1758" s="8" t="n">
        <v>5</v>
      </c>
      <c r="H1758" s="9" t="n">
        <v>314469</v>
      </c>
      <c r="I1758" s="7" t="s">
        <v>280</v>
      </c>
      <c r="J1758" s="7" t="s">
        <v>111</v>
      </c>
      <c r="K1758" s="7" t="s">
        <v>112</v>
      </c>
      <c r="L1758" s="10"/>
      <c r="M1758" s="7" t="s">
        <v>7270</v>
      </c>
      <c r="N1758" s="8" t="n">
        <v>0</v>
      </c>
      <c r="O1758" s="8" t="n">
        <v>0</v>
      </c>
      <c r="P1758" s="8" t="n">
        <v>0</v>
      </c>
      <c r="Q1758" s="8" t="n">
        <v>0</v>
      </c>
      <c r="R1758" s="13" t="n">
        <v>0</v>
      </c>
      <c r="S1758" s="13" t="n">
        <v>0</v>
      </c>
      <c r="T1758" s="13"/>
      <c r="U1758" s="11" t="n">
        <f aca="false">O1758*4 + P1758*2 + MAX(0,N1758-O1758-P1758)*1 + Q1758*0.2 + R1758*2 + S1758*1 + IF(T1758="",0,IF(T1758&lt;=10,8,IF(T1758&lt;=50,6,IF(T1758&lt;=100,4,2))))</f>
        <v>0</v>
      </c>
      <c r="V1758" s="7"/>
      <c r="W1758" s="7"/>
      <c r="X1758" s="13"/>
      <c r="Y1758" s="13" t="s">
        <v>7271</v>
      </c>
    </row>
    <row r="1759" customFormat="false" ht="15.75" hidden="false" customHeight="true" outlineLevel="0" collapsed="false">
      <c r="A1759" s="7" t="s">
        <v>7272</v>
      </c>
      <c r="B1759" s="8" t="n">
        <v>2009</v>
      </c>
      <c r="C1759" s="8" t="s">
        <v>35</v>
      </c>
      <c r="D1759" s="8" t="n">
        <v>99</v>
      </c>
      <c r="E1759" s="7" t="s">
        <v>2082</v>
      </c>
      <c r="F1759" s="8" t="n">
        <v>6.3</v>
      </c>
      <c r="G1759" s="8" t="n">
        <v>5</v>
      </c>
      <c r="H1759" s="9" t="n">
        <v>80244</v>
      </c>
      <c r="I1759" s="7" t="s">
        <v>2011</v>
      </c>
      <c r="J1759" s="7" t="s">
        <v>131</v>
      </c>
      <c r="K1759" s="7" t="s">
        <v>1140</v>
      </c>
      <c r="L1759" s="10"/>
      <c r="M1759" s="10" t="s">
        <v>7273</v>
      </c>
      <c r="N1759" s="8" t="n">
        <v>0</v>
      </c>
      <c r="O1759" s="8" t="n">
        <v>0</v>
      </c>
      <c r="P1759" s="8" t="n">
        <v>0</v>
      </c>
      <c r="Q1759" s="8" t="n">
        <v>0</v>
      </c>
      <c r="R1759" s="13" t="n">
        <v>0</v>
      </c>
      <c r="S1759" s="13" t="n">
        <v>0</v>
      </c>
      <c r="T1759" s="13"/>
      <c r="U1759" s="11" t="n">
        <f aca="false">O1759*4 + P1759*2 + MAX(0,N1759-O1759-P1759)*1 + Q1759*0.2 + R1759*2 + S1759*1 + IF(T1759="",0,IF(T1759&lt;=10,8,IF(T1759&lt;=50,6,IF(T1759&lt;=100,4,2))))</f>
        <v>0</v>
      </c>
      <c r="V1759" s="7"/>
      <c r="W1759" s="7"/>
      <c r="X1759" s="13"/>
      <c r="Y1759" s="13" t="s">
        <v>7274</v>
      </c>
    </row>
    <row r="1760" customFormat="false" ht="15.75" hidden="false" customHeight="true" outlineLevel="0" collapsed="false">
      <c r="A1760" s="7" t="s">
        <v>7275</v>
      </c>
      <c r="B1760" s="8" t="n">
        <v>1998</v>
      </c>
      <c r="C1760" s="8" t="s">
        <v>26</v>
      </c>
      <c r="D1760" s="8" t="n">
        <v>132</v>
      </c>
      <c r="E1760" s="7" t="s">
        <v>7276</v>
      </c>
      <c r="F1760" s="8" t="n">
        <v>6.5</v>
      </c>
      <c r="G1760" s="8" t="n">
        <v>7</v>
      </c>
      <c r="H1760" s="9" t="n">
        <v>191964</v>
      </c>
      <c r="I1760" s="7" t="s">
        <v>359</v>
      </c>
      <c r="J1760" s="7" t="s">
        <v>112</v>
      </c>
      <c r="K1760" s="7" t="s">
        <v>39</v>
      </c>
      <c r="L1760" s="10" t="s">
        <v>187</v>
      </c>
      <c r="M1760" s="10" t="s">
        <v>7277</v>
      </c>
      <c r="N1760" s="8" t="n">
        <v>0</v>
      </c>
      <c r="O1760" s="8" t="n">
        <v>0</v>
      </c>
      <c r="P1760" s="8" t="n">
        <v>0</v>
      </c>
      <c r="Q1760" s="8" t="n">
        <v>0</v>
      </c>
      <c r="R1760" s="13" t="n">
        <v>0</v>
      </c>
      <c r="S1760" s="13" t="n">
        <v>0</v>
      </c>
      <c r="T1760" s="13"/>
      <c r="U1760" s="11" t="n">
        <f aca="false">O1760*4 + P1760*2 + MAX(0,N1760-O1760-P1760)*1 + Q1760*0.2 + R1760*2 + S1760*1 + IF(T1760="",0,IF(T1760&lt;=10,8,IF(T1760&lt;=50,6,IF(T1760&lt;=100,4,2))))</f>
        <v>0</v>
      </c>
      <c r="V1760" s="7"/>
      <c r="W1760" s="7"/>
      <c r="X1760" s="13"/>
      <c r="Y1760" s="13" t="s">
        <v>7278</v>
      </c>
    </row>
    <row r="1761" customFormat="false" ht="15.75" hidden="false" customHeight="true" outlineLevel="0" collapsed="false">
      <c r="A1761" s="7" t="s">
        <v>7279</v>
      </c>
      <c r="B1761" s="8" t="n">
        <v>2013</v>
      </c>
      <c r="C1761" s="8" t="s">
        <v>176</v>
      </c>
      <c r="D1761" s="8" t="n">
        <v>150</v>
      </c>
      <c r="E1761" s="7" t="s">
        <v>2032</v>
      </c>
      <c r="F1761" s="8" t="n">
        <v>6.4</v>
      </c>
      <c r="G1761" s="8" t="n">
        <v>4</v>
      </c>
      <c r="H1761" s="9" t="n">
        <v>254211</v>
      </c>
      <c r="I1761" s="7" t="s">
        <v>46</v>
      </c>
      <c r="J1761" s="7" t="s">
        <v>112</v>
      </c>
      <c r="K1761" s="7" t="s">
        <v>39</v>
      </c>
      <c r="L1761" s="10" t="s">
        <v>177</v>
      </c>
      <c r="M1761" s="10" t="s">
        <v>7280</v>
      </c>
      <c r="N1761" s="8" t="n">
        <v>0</v>
      </c>
      <c r="O1761" s="8" t="n">
        <v>0</v>
      </c>
      <c r="P1761" s="8" t="n">
        <v>0</v>
      </c>
      <c r="Q1761" s="8" t="n">
        <v>2</v>
      </c>
      <c r="R1761" s="8" t="n">
        <v>0</v>
      </c>
      <c r="S1761" s="8" t="n">
        <v>0</v>
      </c>
      <c r="T1761" s="13"/>
      <c r="U1761" s="11" t="n">
        <f aca="false">O1761*4 + P1761*2 + MAX(0,N1761-O1761-P1761)*1 + Q1761*0.2 + R1761*2 + S1761*1 + IF(T1761="",0,IF(T1761&lt;=10,8,IF(T1761&lt;=50,6,IF(T1761&lt;=100,4,2))))</f>
        <v>0.4</v>
      </c>
      <c r="V1761" s="7"/>
      <c r="W1761" s="7"/>
      <c r="X1761" s="13"/>
      <c r="Y1761" s="13" t="s">
        <v>7281</v>
      </c>
    </row>
    <row r="1762" customFormat="false" ht="15.75" hidden="false" customHeight="true" outlineLevel="0" collapsed="false">
      <c r="A1762" s="7" t="s">
        <v>7282</v>
      </c>
      <c r="B1762" s="8" t="n">
        <v>2011</v>
      </c>
      <c r="C1762" s="8" t="s">
        <v>176</v>
      </c>
      <c r="D1762" s="8" t="n">
        <v>129</v>
      </c>
      <c r="E1762" s="7" t="s">
        <v>1196</v>
      </c>
      <c r="F1762" s="8" t="n">
        <v>7.4</v>
      </c>
      <c r="G1762" s="8" t="n">
        <v>6</v>
      </c>
      <c r="H1762" s="9" t="n">
        <v>504526</v>
      </c>
      <c r="I1762" s="7" t="s">
        <v>46</v>
      </c>
      <c r="J1762" s="7" t="s">
        <v>112</v>
      </c>
      <c r="K1762" s="7" t="s">
        <v>125</v>
      </c>
      <c r="L1762" s="10" t="s">
        <v>2609</v>
      </c>
      <c r="M1762" s="7" t="s">
        <v>7283</v>
      </c>
      <c r="N1762" s="8" t="n">
        <v>0</v>
      </c>
      <c r="O1762" s="8" t="n">
        <v>0</v>
      </c>
      <c r="P1762" s="8" t="n">
        <v>0</v>
      </c>
      <c r="Q1762" s="8" t="n">
        <v>0</v>
      </c>
      <c r="R1762" s="13" t="n">
        <v>0</v>
      </c>
      <c r="S1762" s="13" t="n">
        <v>0</v>
      </c>
      <c r="T1762" s="13"/>
      <c r="U1762" s="11" t="n">
        <f aca="false">O1762*4 + P1762*2 + MAX(0,N1762-O1762-P1762)*1 + Q1762*0.2 + R1762*2 + S1762*1 + IF(T1762="",0,IF(T1762&lt;=10,8,IF(T1762&lt;=50,6,IF(T1762&lt;=100,4,2))))</f>
        <v>0</v>
      </c>
      <c r="V1762" s="7"/>
      <c r="W1762" s="7"/>
      <c r="X1762" s="13"/>
      <c r="Y1762" s="13" t="s">
        <v>7284</v>
      </c>
    </row>
    <row r="1763" customFormat="false" ht="15.75" hidden="false" customHeight="true" outlineLevel="0" collapsed="false">
      <c r="A1763" s="7" t="s">
        <v>7285</v>
      </c>
      <c r="B1763" s="8" t="n">
        <v>2014</v>
      </c>
      <c r="C1763" s="8" t="s">
        <v>176</v>
      </c>
      <c r="D1763" s="8" t="n">
        <v>116</v>
      </c>
      <c r="E1763" s="7" t="s">
        <v>6202</v>
      </c>
      <c r="F1763" s="8" t="n">
        <v>6.1</v>
      </c>
      <c r="G1763" s="8" t="n">
        <v>6</v>
      </c>
      <c r="H1763" s="9" t="n">
        <v>211722</v>
      </c>
      <c r="I1763" s="7" t="s">
        <v>46</v>
      </c>
      <c r="J1763" s="7" t="s">
        <v>268</v>
      </c>
      <c r="K1763" s="7" t="s">
        <v>30</v>
      </c>
      <c r="L1763" s="10"/>
      <c r="M1763" s="10" t="s">
        <v>7286</v>
      </c>
      <c r="N1763" s="8" t="n">
        <v>0</v>
      </c>
      <c r="O1763" s="8" t="n">
        <v>0</v>
      </c>
      <c r="P1763" s="8" t="n">
        <v>0</v>
      </c>
      <c r="Q1763" s="8" t="n">
        <v>0</v>
      </c>
      <c r="R1763" s="13" t="n">
        <v>0</v>
      </c>
      <c r="S1763" s="13" t="n">
        <v>0</v>
      </c>
      <c r="T1763" s="13"/>
      <c r="U1763" s="11" t="n">
        <f aca="false">O1763*4 + P1763*2 + MAX(0,N1763-O1763-P1763)*1 + Q1763*0.2 + R1763*2 + S1763*1 + IF(T1763="",0,IF(T1763&lt;=10,8,IF(T1763&lt;=50,6,IF(T1763&lt;=100,4,2))))</f>
        <v>0</v>
      </c>
      <c r="V1763" s="7"/>
      <c r="W1763" s="7"/>
      <c r="X1763" s="13"/>
      <c r="Y1763" s="13" t="s">
        <v>7287</v>
      </c>
    </row>
    <row r="1764" customFormat="false" ht="15.75" hidden="false" customHeight="true" outlineLevel="0" collapsed="false">
      <c r="A1764" s="7" t="s">
        <v>7288</v>
      </c>
      <c r="B1764" s="8" t="n">
        <v>2013</v>
      </c>
      <c r="C1764" s="8" t="s">
        <v>176</v>
      </c>
      <c r="D1764" s="8" t="n">
        <v>126</v>
      </c>
      <c r="E1764" s="7" t="s">
        <v>1165</v>
      </c>
      <c r="F1764" s="8" t="n">
        <v>6.7</v>
      </c>
      <c r="G1764" s="8" t="n">
        <v>5</v>
      </c>
      <c r="H1764" s="9" t="n">
        <v>527821</v>
      </c>
      <c r="I1764" s="7" t="s">
        <v>359</v>
      </c>
      <c r="J1764" s="7" t="s">
        <v>111</v>
      </c>
      <c r="K1764" s="7" t="s">
        <v>131</v>
      </c>
      <c r="L1764" s="10" t="s">
        <v>177</v>
      </c>
      <c r="M1764" s="7" t="s">
        <v>7289</v>
      </c>
      <c r="N1764" s="8" t="n">
        <v>0</v>
      </c>
      <c r="O1764" s="8" t="n">
        <v>0</v>
      </c>
      <c r="P1764" s="8" t="n">
        <v>0</v>
      </c>
      <c r="Q1764" s="8" t="n">
        <v>0</v>
      </c>
      <c r="R1764" s="13" t="n">
        <v>0</v>
      </c>
      <c r="S1764" s="13" t="n">
        <v>0</v>
      </c>
      <c r="T1764" s="13"/>
      <c r="U1764" s="11" t="n">
        <f aca="false">O1764*4 + P1764*2 + MAX(0,N1764-O1764-P1764)*1 + Q1764*0.2 + R1764*2 + S1764*1 + IF(T1764="",0,IF(T1764&lt;=10,8,IF(T1764&lt;=50,6,IF(T1764&lt;=100,4,2))))</f>
        <v>0</v>
      </c>
      <c r="V1764" s="7"/>
      <c r="W1764" s="7"/>
      <c r="X1764" s="13"/>
      <c r="Y1764" s="13" t="s">
        <v>7290</v>
      </c>
    </row>
    <row r="1765" customFormat="false" ht="15.75" hidden="false" customHeight="true" outlineLevel="0" collapsed="false">
      <c r="A1765" s="7" t="s">
        <v>7291</v>
      </c>
      <c r="B1765" s="8" t="n">
        <v>2014</v>
      </c>
      <c r="C1765" s="8" t="s">
        <v>176</v>
      </c>
      <c r="D1765" s="8" t="n">
        <v>132</v>
      </c>
      <c r="E1765" s="7" t="s">
        <v>2484</v>
      </c>
      <c r="F1765" s="8" t="n">
        <v>7.9</v>
      </c>
      <c r="G1765" s="8" t="n">
        <v>5</v>
      </c>
      <c r="H1765" s="9" t="n">
        <v>793709</v>
      </c>
      <c r="I1765" s="7" t="s">
        <v>359</v>
      </c>
      <c r="J1765" s="7" t="s">
        <v>111</v>
      </c>
      <c r="K1765" s="7" t="s">
        <v>112</v>
      </c>
      <c r="L1765" s="10" t="s">
        <v>177</v>
      </c>
      <c r="M1765" s="7" t="s">
        <v>7292</v>
      </c>
      <c r="N1765" s="8" t="n">
        <v>0</v>
      </c>
      <c r="O1765" s="8" t="n">
        <v>0</v>
      </c>
      <c r="P1765" s="8" t="n">
        <v>0</v>
      </c>
      <c r="Q1765" s="8" t="n">
        <v>1</v>
      </c>
      <c r="R1765" s="8" t="n">
        <v>0</v>
      </c>
      <c r="S1765" s="8" t="n">
        <v>0</v>
      </c>
      <c r="T1765" s="13"/>
      <c r="U1765" s="11" t="n">
        <f aca="false">O1765*4 + P1765*2 + MAX(0,N1765-O1765-P1765)*1 + Q1765*0.2 + R1765*2 + S1765*1 + IF(T1765="",0,IF(T1765&lt;=10,8,IF(T1765&lt;=50,6,IF(T1765&lt;=100,4,2))))</f>
        <v>0.2</v>
      </c>
      <c r="V1765" s="7"/>
      <c r="W1765" s="7"/>
      <c r="X1765" s="13"/>
      <c r="Y1765" s="13" t="s">
        <v>7293</v>
      </c>
    </row>
    <row r="1766" customFormat="false" ht="15.75" hidden="false" customHeight="true" outlineLevel="0" collapsed="false">
      <c r="A1766" s="7" t="s">
        <v>7294</v>
      </c>
      <c r="B1766" s="8" t="n">
        <v>2006</v>
      </c>
      <c r="C1766" s="8" t="s">
        <v>35</v>
      </c>
      <c r="D1766" s="8" t="n">
        <v>147</v>
      </c>
      <c r="E1766" s="7" t="s">
        <v>1226</v>
      </c>
      <c r="F1766" s="8" t="n">
        <v>7.5</v>
      </c>
      <c r="G1766" s="8" t="n">
        <v>7</v>
      </c>
      <c r="H1766" s="9" t="n">
        <v>280428</v>
      </c>
      <c r="I1766" s="7" t="s">
        <v>7295</v>
      </c>
      <c r="J1766" s="7" t="s">
        <v>38</v>
      </c>
      <c r="K1766" s="7" t="s">
        <v>54</v>
      </c>
      <c r="L1766" s="10" t="s">
        <v>161</v>
      </c>
      <c r="M1766" s="7" t="s">
        <v>7296</v>
      </c>
      <c r="N1766" s="8" t="n">
        <v>0</v>
      </c>
      <c r="O1766" s="8" t="n">
        <v>0</v>
      </c>
      <c r="P1766" s="8" t="n">
        <v>0</v>
      </c>
      <c r="Q1766" s="8" t="n">
        <v>0</v>
      </c>
      <c r="R1766" s="13" t="n">
        <v>0</v>
      </c>
      <c r="S1766" s="13" t="n">
        <v>0</v>
      </c>
      <c r="T1766" s="13"/>
      <c r="U1766" s="11" t="n">
        <f aca="false">O1766*4 + P1766*2 + MAX(0,N1766-O1766-P1766)*1 + Q1766*0.2 + R1766*2 + S1766*1 + IF(T1766="",0,IF(T1766&lt;=10,8,IF(T1766&lt;=50,6,IF(T1766&lt;=100,4,2))))</f>
        <v>0</v>
      </c>
      <c r="V1766" s="7"/>
      <c r="W1766" s="7"/>
      <c r="X1766" s="13"/>
      <c r="Y1766" s="13" t="s">
        <v>7297</v>
      </c>
    </row>
    <row r="1767" customFormat="false" ht="15.75" hidden="false" customHeight="true" outlineLevel="0" collapsed="false">
      <c r="A1767" s="7" t="s">
        <v>7298</v>
      </c>
      <c r="B1767" s="8" t="n">
        <v>1993</v>
      </c>
      <c r="C1767" s="8" t="s">
        <v>26</v>
      </c>
      <c r="D1767" s="8" t="n">
        <v>144</v>
      </c>
      <c r="E1767" s="7" t="s">
        <v>273</v>
      </c>
      <c r="F1767" s="8" t="n">
        <v>7.9</v>
      </c>
      <c r="G1767" s="8" t="n">
        <v>8</v>
      </c>
      <c r="H1767" s="9" t="n">
        <v>249892</v>
      </c>
      <c r="I1767" s="7" t="s">
        <v>46</v>
      </c>
      <c r="J1767" s="7" t="s">
        <v>131</v>
      </c>
      <c r="K1767" s="7" t="s">
        <v>54</v>
      </c>
      <c r="L1767" s="10"/>
      <c r="M1767" s="10" t="s">
        <v>7299</v>
      </c>
      <c r="N1767" s="8" t="n">
        <v>0</v>
      </c>
      <c r="O1767" s="8" t="n">
        <v>0</v>
      </c>
      <c r="P1767" s="8" t="n">
        <v>0</v>
      </c>
      <c r="Q1767" s="8" t="n">
        <v>0</v>
      </c>
      <c r="R1767" s="13" t="n">
        <v>0</v>
      </c>
      <c r="S1767" s="13" t="n">
        <v>0</v>
      </c>
      <c r="T1767" s="13"/>
      <c r="U1767" s="11" t="n">
        <f aca="false">O1767*4 + P1767*2 + MAX(0,N1767-O1767-P1767)*1 + Q1767*0.2 + R1767*2 + S1767*1 + IF(T1767="",0,IF(T1767&lt;=10,8,IF(T1767&lt;=50,6,IF(T1767&lt;=100,4,2))))</f>
        <v>0</v>
      </c>
      <c r="V1767" s="7"/>
      <c r="W1767" s="7"/>
      <c r="X1767" s="13"/>
      <c r="Y1767" s="13" t="s">
        <v>7300</v>
      </c>
    </row>
    <row r="1768" customFormat="false" ht="15.75" hidden="false" customHeight="true" outlineLevel="0" collapsed="false">
      <c r="A1768" s="7" t="s">
        <v>7301</v>
      </c>
      <c r="B1768" s="8" t="n">
        <v>1990</v>
      </c>
      <c r="C1768" s="8" t="s">
        <v>26</v>
      </c>
      <c r="D1768" s="8" t="n">
        <v>162</v>
      </c>
      <c r="E1768" s="7" t="s">
        <v>1932</v>
      </c>
      <c r="F1768" s="8" t="n">
        <v>7.5</v>
      </c>
      <c r="G1768" s="8" t="n">
        <v>7</v>
      </c>
      <c r="H1768" s="9" t="n">
        <v>459079</v>
      </c>
      <c r="I1768" s="7" t="s">
        <v>551</v>
      </c>
      <c r="J1768" s="7" t="s">
        <v>47</v>
      </c>
      <c r="K1768" s="7" t="s">
        <v>54</v>
      </c>
      <c r="L1768" s="10" t="s">
        <v>7302</v>
      </c>
      <c r="M1768" s="7" t="s">
        <v>7303</v>
      </c>
      <c r="N1768" s="8" t="n">
        <v>0</v>
      </c>
      <c r="O1768" s="8" t="n">
        <v>0</v>
      </c>
      <c r="P1768" s="8" t="n">
        <v>0</v>
      </c>
      <c r="Q1768" s="8" t="n">
        <v>7</v>
      </c>
      <c r="R1768" s="8" t="n">
        <v>0</v>
      </c>
      <c r="S1768" s="8" t="n">
        <v>0</v>
      </c>
      <c r="T1768" s="13"/>
      <c r="U1768" s="11" t="n">
        <f aca="false">O1768*4 + P1768*2 + MAX(0,N1768-O1768-P1768)*1 + Q1768*0.2 + R1768*2 + S1768*1 + IF(T1768="",0,IF(T1768&lt;=10,8,IF(T1768&lt;=50,6,IF(T1768&lt;=100,4,2))))</f>
        <v>1.4</v>
      </c>
      <c r="V1768" s="7"/>
      <c r="W1768" s="7"/>
      <c r="X1768" s="13"/>
      <c r="Y1768" s="13" t="s">
        <v>7304</v>
      </c>
    </row>
    <row r="1769" customFormat="false" ht="15.75" hidden="false" customHeight="true" outlineLevel="0" collapsed="false">
      <c r="A1769" s="7" t="s">
        <v>7305</v>
      </c>
      <c r="B1769" s="8" t="n">
        <v>1995</v>
      </c>
      <c r="C1769" s="8" t="s">
        <v>26</v>
      </c>
      <c r="D1769" s="8" t="n">
        <v>170</v>
      </c>
      <c r="E1769" s="7" t="s">
        <v>770</v>
      </c>
      <c r="F1769" s="8" t="n">
        <v>8.3</v>
      </c>
      <c r="G1769" s="8" t="n">
        <v>8</v>
      </c>
      <c r="H1769" s="9" t="n">
        <v>814593</v>
      </c>
      <c r="I1769" s="7" t="s">
        <v>46</v>
      </c>
      <c r="J1769" s="7" t="s">
        <v>112</v>
      </c>
      <c r="K1769" s="7" t="s">
        <v>132</v>
      </c>
      <c r="L1769" s="10" t="s">
        <v>177</v>
      </c>
      <c r="M1769" s="7" t="s">
        <v>7306</v>
      </c>
      <c r="N1769" s="8" t="n">
        <v>0</v>
      </c>
      <c r="O1769" s="8" t="n">
        <v>0</v>
      </c>
      <c r="P1769" s="8" t="n">
        <v>0</v>
      </c>
      <c r="Q1769" s="8" t="n">
        <v>0</v>
      </c>
      <c r="R1769" s="13" t="n">
        <v>0</v>
      </c>
      <c r="S1769" s="13" t="n">
        <v>0</v>
      </c>
      <c r="T1769" s="8" t="n">
        <v>169</v>
      </c>
      <c r="U1769" s="11" t="n">
        <f aca="false">O1769*4 + P1769*2 + MAX(0,N1769-O1769-P1769)*1 + Q1769*0.2 + R1769*2 + S1769*1 + IF(T1769="",0,IF(T1769&lt;=10,8,IF(T1769&lt;=50,6,IF(T1769&lt;=100,4,2))))</f>
        <v>2</v>
      </c>
      <c r="V1769" s="10" t="s">
        <v>7307</v>
      </c>
      <c r="W1769" s="7"/>
      <c r="X1769" s="13"/>
      <c r="Y1769" s="13" t="s">
        <v>7308</v>
      </c>
    </row>
    <row r="1770" customFormat="false" ht="15.75" hidden="false" customHeight="true" outlineLevel="0" collapsed="false">
      <c r="A1770" s="7" t="s">
        <v>7309</v>
      </c>
      <c r="B1770" s="8" t="n">
        <v>1992</v>
      </c>
      <c r="C1770" s="8" t="s">
        <v>26</v>
      </c>
      <c r="D1770" s="8" t="n">
        <v>156</v>
      </c>
      <c r="E1770" s="7" t="s">
        <v>7310</v>
      </c>
      <c r="F1770" s="8" t="n">
        <v>8</v>
      </c>
      <c r="G1770" s="8" t="n">
        <v>7</v>
      </c>
      <c r="H1770" s="9" t="n">
        <v>374806</v>
      </c>
      <c r="I1770" s="7" t="s">
        <v>46</v>
      </c>
      <c r="J1770" s="7" t="s">
        <v>47</v>
      </c>
      <c r="K1770" s="7"/>
      <c r="L1770" s="10"/>
      <c r="M1770" s="7" t="s">
        <v>7311</v>
      </c>
      <c r="N1770" s="8" t="n">
        <v>1</v>
      </c>
      <c r="O1770" s="8" t="n">
        <v>0</v>
      </c>
      <c r="P1770" s="8" t="n">
        <v>0</v>
      </c>
      <c r="Q1770" s="8" t="n">
        <v>4</v>
      </c>
      <c r="R1770" s="8" t="n">
        <v>0</v>
      </c>
      <c r="S1770" s="8" t="n">
        <v>1</v>
      </c>
      <c r="T1770" s="13"/>
      <c r="U1770" s="11" t="n">
        <f aca="false">O1770*4 + P1770*2 + MAX(0,N1770-O1770-P1770)*1 + Q1770*0.2 + R1770*2 + S1770*1 + IF(T1770="",0,IF(T1770&lt;=10,8,IF(T1770&lt;=50,6,IF(T1770&lt;=100,4,2))))</f>
        <v>2.8</v>
      </c>
      <c r="V1770" s="7"/>
      <c r="W1770" s="7"/>
      <c r="X1770" s="13"/>
      <c r="Y1770" s="13" t="s">
        <v>7312</v>
      </c>
    </row>
    <row r="1771" customFormat="false" ht="15.75" hidden="false" customHeight="true" outlineLevel="0" collapsed="false">
      <c r="A1771" s="7" t="s">
        <v>7313</v>
      </c>
      <c r="B1771" s="8" t="n">
        <v>2014</v>
      </c>
      <c r="C1771" s="8" t="s">
        <v>176</v>
      </c>
      <c r="D1771" s="8" t="n">
        <v>138</v>
      </c>
      <c r="E1771" s="7" t="s">
        <v>160</v>
      </c>
      <c r="F1771" s="8" t="n">
        <v>5.8</v>
      </c>
      <c r="G1771" s="8" t="n">
        <v>4</v>
      </c>
      <c r="H1771" s="9" t="n">
        <v>278256</v>
      </c>
      <c r="I1771" s="7" t="s">
        <v>46</v>
      </c>
      <c r="J1771" s="7" t="s">
        <v>112</v>
      </c>
      <c r="K1771" s="7" t="s">
        <v>39</v>
      </c>
      <c r="L1771" s="10" t="s">
        <v>1895</v>
      </c>
      <c r="M1771" s="7" t="s">
        <v>7314</v>
      </c>
      <c r="N1771" s="8" t="n">
        <v>0</v>
      </c>
      <c r="O1771" s="8" t="n">
        <v>0</v>
      </c>
      <c r="P1771" s="8" t="n">
        <v>0</v>
      </c>
      <c r="Q1771" s="8" t="n">
        <v>0</v>
      </c>
      <c r="R1771" s="13" t="n">
        <v>0</v>
      </c>
      <c r="S1771" s="13" t="n">
        <v>0</v>
      </c>
      <c r="T1771" s="13"/>
      <c r="U1771" s="11" t="n">
        <f aca="false">O1771*4 + P1771*2 + MAX(0,N1771-O1771-P1771)*1 + Q1771*0.2 + R1771*2 + S1771*1 + IF(T1771="",0,IF(T1771&lt;=10,8,IF(T1771&lt;=50,6,IF(T1771&lt;=100,4,2))))</f>
        <v>0</v>
      </c>
      <c r="V1771" s="7"/>
      <c r="W1771" s="7"/>
      <c r="X1771" s="13"/>
      <c r="Y1771" s="13" t="s">
        <v>7315</v>
      </c>
    </row>
    <row r="1772" customFormat="false" ht="15.75" hidden="false" customHeight="true" outlineLevel="0" collapsed="false">
      <c r="A1772" s="7" t="s">
        <v>7316</v>
      </c>
      <c r="B1772" s="8" t="n">
        <v>1999</v>
      </c>
      <c r="C1772" s="8" t="s">
        <v>26</v>
      </c>
      <c r="D1772" s="8" t="n">
        <v>113</v>
      </c>
      <c r="E1772" s="7" t="s">
        <v>2275</v>
      </c>
      <c r="F1772" s="8" t="n">
        <v>7.7</v>
      </c>
      <c r="G1772" s="8" t="n">
        <v>7</v>
      </c>
      <c r="H1772" s="9" t="n">
        <v>370678</v>
      </c>
      <c r="I1772" s="7" t="s">
        <v>46</v>
      </c>
      <c r="J1772" s="7" t="s">
        <v>38</v>
      </c>
      <c r="K1772" s="7" t="s">
        <v>30</v>
      </c>
      <c r="L1772" s="10" t="s">
        <v>192</v>
      </c>
      <c r="M1772" s="7" t="s">
        <v>7317</v>
      </c>
      <c r="N1772" s="8" t="n">
        <v>0</v>
      </c>
      <c r="O1772" s="8" t="n">
        <v>0</v>
      </c>
      <c r="P1772" s="8" t="n">
        <v>0</v>
      </c>
      <c r="Q1772" s="8" t="n">
        <v>3</v>
      </c>
      <c r="R1772" s="8" t="n">
        <v>0</v>
      </c>
      <c r="S1772" s="8" t="n">
        <v>0</v>
      </c>
      <c r="T1772" s="13"/>
      <c r="U1772" s="11" t="n">
        <f aca="false">O1772*4 + P1772*2 + MAX(0,N1772-O1772-P1772)*1 + Q1772*0.2 + R1772*2 + S1772*1 + IF(T1772="",0,IF(T1772&lt;=10,8,IF(T1772&lt;=50,6,IF(T1772&lt;=100,4,2))))</f>
        <v>0.6</v>
      </c>
      <c r="V1772" s="7"/>
      <c r="W1772" s="7"/>
      <c r="X1772" s="13"/>
      <c r="Y1772" s="13" t="s">
        <v>7318</v>
      </c>
    </row>
    <row r="1773" customFormat="false" ht="15.75" hidden="false" customHeight="true" outlineLevel="0" collapsed="false">
      <c r="A1773" s="7" t="s">
        <v>7319</v>
      </c>
      <c r="B1773" s="8" t="n">
        <v>2005</v>
      </c>
      <c r="C1773" s="8" t="s">
        <v>35</v>
      </c>
      <c r="D1773" s="8" t="n">
        <v>115</v>
      </c>
      <c r="E1773" s="7" t="s">
        <v>3008</v>
      </c>
      <c r="F1773" s="8" t="n">
        <v>7.1</v>
      </c>
      <c r="G1773" s="8" t="n">
        <v>6</v>
      </c>
      <c r="H1773" s="9" t="n">
        <v>12977</v>
      </c>
      <c r="I1773" s="7" t="s">
        <v>7320</v>
      </c>
      <c r="J1773" s="7" t="s">
        <v>131</v>
      </c>
      <c r="K1773" s="7" t="s">
        <v>47</v>
      </c>
      <c r="L1773" s="10" t="s">
        <v>7321</v>
      </c>
      <c r="M1773" s="10" t="s">
        <v>7322</v>
      </c>
      <c r="N1773" s="8" t="n">
        <v>0</v>
      </c>
      <c r="O1773" s="8" t="n">
        <v>0</v>
      </c>
      <c r="P1773" s="8" t="n">
        <v>0</v>
      </c>
      <c r="Q1773" s="8" t="n">
        <v>0</v>
      </c>
      <c r="R1773" s="13" t="n">
        <v>0</v>
      </c>
      <c r="S1773" s="13" t="n">
        <v>0</v>
      </c>
      <c r="T1773" s="13"/>
      <c r="U1773" s="11" t="n">
        <f aca="false">O1773*4 + P1773*2 + MAX(0,N1773-O1773-P1773)*1 + Q1773*0.2 + R1773*2 + S1773*1 + IF(T1773="",0,IF(T1773&lt;=10,8,IF(T1773&lt;=50,6,IF(T1773&lt;=100,4,2))))</f>
        <v>0</v>
      </c>
      <c r="V1773" s="7"/>
      <c r="W1773" s="7"/>
      <c r="X1773" s="13"/>
      <c r="Y1773" s="13" t="s">
        <v>7323</v>
      </c>
    </row>
    <row r="1774" customFormat="false" ht="15.75" hidden="false" customHeight="true" outlineLevel="0" collapsed="false">
      <c r="A1774" s="7" t="s">
        <v>7324</v>
      </c>
      <c r="B1774" s="8" t="n">
        <v>1999</v>
      </c>
      <c r="C1774" s="8" t="s">
        <v>26</v>
      </c>
      <c r="D1774" s="8" t="n">
        <v>146</v>
      </c>
      <c r="E1774" s="7" t="s">
        <v>7325</v>
      </c>
      <c r="F1774" s="8" t="n">
        <v>7.6</v>
      </c>
      <c r="G1774" s="8" t="n">
        <v>8</v>
      </c>
      <c r="H1774" s="9" t="n">
        <v>108663</v>
      </c>
      <c r="I1774" s="7" t="s">
        <v>46</v>
      </c>
      <c r="J1774" s="7" t="s">
        <v>47</v>
      </c>
      <c r="K1774" s="7" t="s">
        <v>48</v>
      </c>
      <c r="L1774" s="10" t="s">
        <v>210</v>
      </c>
      <c r="M1774" s="10" t="s">
        <v>7326</v>
      </c>
      <c r="N1774" s="8" t="n">
        <v>0</v>
      </c>
      <c r="O1774" s="8" t="n">
        <v>0</v>
      </c>
      <c r="P1774" s="8" t="n">
        <v>0</v>
      </c>
      <c r="Q1774" s="8" t="n">
        <v>1</v>
      </c>
      <c r="R1774" s="8" t="n">
        <v>0</v>
      </c>
      <c r="S1774" s="8" t="n">
        <v>0</v>
      </c>
      <c r="T1774" s="13"/>
      <c r="U1774" s="11" t="n">
        <f aca="false">O1774*4 + P1774*2 + MAX(0,N1774-O1774-P1774)*1 + Q1774*0.2 + R1774*2 + S1774*1 + IF(T1774="",0,IF(T1774&lt;=10,8,IF(T1774&lt;=50,6,IF(T1774&lt;=100,4,2))))</f>
        <v>0.2</v>
      </c>
      <c r="V1774" s="7"/>
      <c r="W1774" s="7"/>
      <c r="X1774" s="13"/>
      <c r="Y1774" s="13" t="s">
        <v>7327</v>
      </c>
    </row>
    <row r="1775" customFormat="false" ht="15.75" hidden="false" customHeight="true" outlineLevel="0" collapsed="false">
      <c r="A1775" s="7" t="s">
        <v>7328</v>
      </c>
      <c r="B1775" s="8" t="n">
        <v>2003</v>
      </c>
      <c r="C1775" s="8" t="s">
        <v>35</v>
      </c>
      <c r="D1775" s="8" t="n">
        <v>90</v>
      </c>
      <c r="E1775" s="7" t="s">
        <v>1165</v>
      </c>
      <c r="F1775" s="8" t="n">
        <v>7.3</v>
      </c>
      <c r="G1775" s="8" t="n">
        <v>6</v>
      </c>
      <c r="H1775" s="9" t="n">
        <v>296118</v>
      </c>
      <c r="I1775" s="7" t="s">
        <v>46</v>
      </c>
      <c r="J1775" s="7" t="s">
        <v>131</v>
      </c>
      <c r="K1775" s="7" t="s">
        <v>125</v>
      </c>
      <c r="L1775" s="10"/>
      <c r="M1775" s="7" t="s">
        <v>7329</v>
      </c>
      <c r="N1775" s="8" t="n">
        <v>0</v>
      </c>
      <c r="O1775" s="8" t="n">
        <v>0</v>
      </c>
      <c r="P1775" s="8" t="n">
        <v>0</v>
      </c>
      <c r="Q1775" s="8" t="n">
        <v>0</v>
      </c>
      <c r="R1775" s="13" t="n">
        <v>0</v>
      </c>
      <c r="S1775" s="13" t="n">
        <v>0</v>
      </c>
      <c r="T1775" s="13"/>
      <c r="U1775" s="11" t="n">
        <f aca="false">O1775*4 + P1775*2 + MAX(0,N1775-O1775-P1775)*1 + Q1775*0.2 + R1775*2 + S1775*1 + IF(T1775="",0,IF(T1775&lt;=10,8,IF(T1775&lt;=50,6,IF(T1775&lt;=100,4,2))))</f>
        <v>0</v>
      </c>
      <c r="V1775" s="7"/>
      <c r="W1775" s="7"/>
      <c r="X1775" s="13"/>
      <c r="Y1775" s="13" t="s">
        <v>7330</v>
      </c>
    </row>
    <row r="1776" customFormat="false" ht="15.75" hidden="false" customHeight="true" outlineLevel="0" collapsed="false">
      <c r="A1776" s="7" t="s">
        <v>7331</v>
      </c>
      <c r="B1776" s="8" t="n">
        <v>2012</v>
      </c>
      <c r="C1776" s="8" t="s">
        <v>176</v>
      </c>
      <c r="D1776" s="8" t="n">
        <v>94</v>
      </c>
      <c r="E1776" s="7" t="s">
        <v>7332</v>
      </c>
      <c r="F1776" s="8" t="n">
        <v>7.4</v>
      </c>
      <c r="G1776" s="8" t="n">
        <v>7</v>
      </c>
      <c r="H1776" s="9" t="n">
        <v>4087</v>
      </c>
      <c r="I1776" s="7" t="s">
        <v>2168</v>
      </c>
      <c r="J1776" s="7" t="s">
        <v>2730</v>
      </c>
      <c r="K1776" s="7" t="s">
        <v>48</v>
      </c>
      <c r="L1776" s="10"/>
      <c r="M1776" s="10" t="s">
        <v>7333</v>
      </c>
      <c r="N1776" s="8" t="n">
        <v>0</v>
      </c>
      <c r="O1776" s="8" t="n">
        <v>0</v>
      </c>
      <c r="P1776" s="8" t="n">
        <v>0</v>
      </c>
      <c r="Q1776" s="8" t="n">
        <v>0</v>
      </c>
      <c r="R1776" s="13" t="n">
        <v>0</v>
      </c>
      <c r="S1776" s="13" t="n">
        <v>0</v>
      </c>
      <c r="T1776" s="13"/>
      <c r="U1776" s="11" t="n">
        <f aca="false">O1776*4 + P1776*2 + MAX(0,N1776-O1776-P1776)*1 + Q1776*0.2 + R1776*2 + S1776*1 + IF(T1776="",0,IF(T1776&lt;=10,8,IF(T1776&lt;=50,6,IF(T1776&lt;=100,4,2))))</f>
        <v>0</v>
      </c>
      <c r="V1776" s="7"/>
      <c r="W1776" s="7"/>
      <c r="X1776" s="13"/>
      <c r="Y1776" s="13" t="s">
        <v>7334</v>
      </c>
    </row>
    <row r="1777" customFormat="false" ht="15.75" hidden="false" customHeight="true" outlineLevel="0" collapsed="false">
      <c r="A1777" s="7" t="s">
        <v>7335</v>
      </c>
      <c r="B1777" s="8" t="n">
        <v>1998</v>
      </c>
      <c r="C1777" s="8" t="s">
        <v>26</v>
      </c>
      <c r="D1777" s="8" t="n">
        <v>117</v>
      </c>
      <c r="E1777" s="7" t="s">
        <v>7336</v>
      </c>
      <c r="F1777" s="8" t="n">
        <v>8.1</v>
      </c>
      <c r="G1777" s="8" t="n">
        <v>7</v>
      </c>
      <c r="H1777" s="9" t="n">
        <v>922252</v>
      </c>
      <c r="I1777" s="7" t="s">
        <v>359</v>
      </c>
      <c r="J1777" s="7" t="s">
        <v>30</v>
      </c>
      <c r="K1777" s="7" t="s">
        <v>54</v>
      </c>
      <c r="L1777" s="10"/>
      <c r="M1777" s="7" t="s">
        <v>7337</v>
      </c>
      <c r="N1777" s="8" t="n">
        <v>0</v>
      </c>
      <c r="O1777" s="8" t="n">
        <v>0</v>
      </c>
      <c r="P1777" s="8" t="n">
        <v>0</v>
      </c>
      <c r="Q1777" s="8" t="n">
        <v>0</v>
      </c>
      <c r="R1777" s="8" t="n">
        <v>0</v>
      </c>
      <c r="S1777" s="13" t="n">
        <v>0</v>
      </c>
      <c r="T1777" s="8"/>
      <c r="U1777" s="11" t="n">
        <f aca="false">O1777*4 + P1777*2 + MAX(0,N1777-O1777-P1777)*1 + Q1777*0.2 + R1777*2 + S1777*1 + IF(T1777="",0,IF(T1777&lt;=10,8,IF(T1777&lt;=50,6,IF(T1777&lt;=100,4,2))))</f>
        <v>0</v>
      </c>
      <c r="V1777" s="7"/>
      <c r="W1777" s="7"/>
      <c r="X1777" s="13"/>
      <c r="Y1777" s="13" t="s">
        <v>7338</v>
      </c>
    </row>
    <row r="1778" customFormat="false" ht="15.75" hidden="false" customHeight="true" outlineLevel="0" collapsed="false">
      <c r="A1778" s="7" t="s">
        <v>7339</v>
      </c>
      <c r="B1778" s="8" t="n">
        <v>1998</v>
      </c>
      <c r="C1778" s="8" t="s">
        <v>26</v>
      </c>
      <c r="D1778" s="8" t="n">
        <v>74</v>
      </c>
      <c r="E1778" s="7" t="s">
        <v>7340</v>
      </c>
      <c r="F1778" s="8" t="n">
        <v>6.8</v>
      </c>
      <c r="G1778" s="8" t="n">
        <v>6</v>
      </c>
      <c r="H1778" s="9" t="n">
        <v>858</v>
      </c>
      <c r="I1778" s="7" t="s">
        <v>803</v>
      </c>
      <c r="J1778" s="7" t="s">
        <v>2730</v>
      </c>
      <c r="K1778" s="7"/>
      <c r="L1778" s="10"/>
      <c r="M1778" s="10" t="s">
        <v>7341</v>
      </c>
      <c r="N1778" s="8" t="n">
        <v>0</v>
      </c>
      <c r="O1778" s="8" t="n">
        <v>0</v>
      </c>
      <c r="P1778" s="8" t="n">
        <v>0</v>
      </c>
      <c r="Q1778" s="8" t="n">
        <v>0</v>
      </c>
      <c r="R1778" s="13" t="n">
        <v>0</v>
      </c>
      <c r="S1778" s="13" t="n">
        <v>0</v>
      </c>
      <c r="T1778" s="13"/>
      <c r="U1778" s="11" t="n">
        <f aca="false">O1778*4 + P1778*2 + MAX(0,N1778-O1778-P1778)*1 + Q1778*0.2 + R1778*2 + S1778*1 + IF(T1778="",0,IF(T1778&lt;=10,8,IF(T1778&lt;=50,6,IF(T1778&lt;=100,4,2))))</f>
        <v>0</v>
      </c>
      <c r="V1778" s="7"/>
      <c r="W1778" s="7"/>
      <c r="X1778" s="13"/>
      <c r="Y1778" s="13" t="s">
        <v>7342</v>
      </c>
    </row>
    <row r="1779" customFormat="false" ht="15.75" hidden="false" customHeight="true" outlineLevel="0" collapsed="false">
      <c r="A1779" s="7" t="s">
        <v>7343</v>
      </c>
      <c r="B1779" s="8" t="n">
        <v>1987</v>
      </c>
      <c r="C1779" s="8" t="s">
        <v>109</v>
      </c>
      <c r="D1779" s="8" t="n">
        <v>107</v>
      </c>
      <c r="E1779" s="7" t="s">
        <v>1026</v>
      </c>
      <c r="F1779" s="8" t="n">
        <v>7.8</v>
      </c>
      <c r="G1779" s="8" t="n">
        <v>7</v>
      </c>
      <c r="H1779" s="9" t="n">
        <v>504974</v>
      </c>
      <c r="I1779" s="7" t="s">
        <v>46</v>
      </c>
      <c r="J1779" s="7" t="s">
        <v>147</v>
      </c>
      <c r="K1779" s="7" t="s">
        <v>112</v>
      </c>
      <c r="L1779" s="10" t="s">
        <v>552</v>
      </c>
      <c r="M1779" s="7" t="s">
        <v>7344</v>
      </c>
      <c r="N1779" s="8" t="n">
        <v>0</v>
      </c>
      <c r="O1779" s="8" t="n">
        <v>0</v>
      </c>
      <c r="P1779" s="8" t="n">
        <v>0</v>
      </c>
      <c r="Q1779" s="8" t="n">
        <v>1</v>
      </c>
      <c r="R1779" s="8" t="n">
        <v>0</v>
      </c>
      <c r="S1779" s="8" t="n">
        <v>0</v>
      </c>
      <c r="T1779" s="13"/>
      <c r="U1779" s="11" t="n">
        <f aca="false">O1779*4 + P1779*2 + MAX(0,N1779-O1779-P1779)*1 + Q1779*0.2 + R1779*2 + S1779*1 + IF(T1779="",0,IF(T1779&lt;=10,8,IF(T1779&lt;=50,6,IF(T1779&lt;=100,4,2))))</f>
        <v>0.2</v>
      </c>
      <c r="V1779" s="7"/>
      <c r="W1779" s="7"/>
      <c r="X1779" s="13"/>
      <c r="Y1779" s="13" t="s">
        <v>7345</v>
      </c>
    </row>
    <row r="1780" customFormat="false" ht="15.75" hidden="false" customHeight="true" outlineLevel="0" collapsed="false">
      <c r="A1780" s="7" t="s">
        <v>7346</v>
      </c>
      <c r="B1780" s="8" t="n">
        <v>1986</v>
      </c>
      <c r="C1780" s="8" t="s">
        <v>109</v>
      </c>
      <c r="D1780" s="8" t="n">
        <v>96</v>
      </c>
      <c r="E1780" s="7" t="s">
        <v>1086</v>
      </c>
      <c r="F1780" s="8" t="n">
        <v>7.6</v>
      </c>
      <c r="G1780" s="8" t="n">
        <v>7</v>
      </c>
      <c r="H1780" s="9" t="n">
        <v>226558</v>
      </c>
      <c r="I1780" s="7" t="s">
        <v>6644</v>
      </c>
      <c r="J1780" s="7" t="s">
        <v>147</v>
      </c>
      <c r="K1780" s="7" t="s">
        <v>111</v>
      </c>
      <c r="L1780" s="10" t="s">
        <v>552</v>
      </c>
      <c r="M1780" s="10" t="s">
        <v>7347</v>
      </c>
      <c r="N1780" s="8" t="n">
        <v>1</v>
      </c>
      <c r="O1780" s="8" t="n">
        <v>0</v>
      </c>
      <c r="P1780" s="8" t="n">
        <v>0</v>
      </c>
      <c r="Q1780" s="8" t="n">
        <v>1</v>
      </c>
      <c r="R1780" s="8" t="n">
        <v>0</v>
      </c>
      <c r="S1780" s="8" t="n">
        <v>0</v>
      </c>
      <c r="T1780" s="13"/>
      <c r="U1780" s="11" t="n">
        <f aca="false">O1780*4 + P1780*2 + MAX(0,N1780-O1780-P1780)*1 + Q1780*0.2 + R1780*2 + S1780*1 + IF(T1780="",0,IF(T1780&lt;=10,8,IF(T1780&lt;=50,6,IF(T1780&lt;=100,4,2))))</f>
        <v>1.2</v>
      </c>
      <c r="V1780" s="7"/>
      <c r="W1780" s="7"/>
      <c r="X1780" s="13"/>
      <c r="Y1780" s="13" t="s">
        <v>7348</v>
      </c>
    </row>
    <row r="1781" customFormat="false" ht="15.75" hidden="false" customHeight="true" outlineLevel="0" collapsed="false">
      <c r="A1781" s="7" t="s">
        <v>7349</v>
      </c>
      <c r="B1781" s="8" t="n">
        <v>2009</v>
      </c>
      <c r="C1781" s="8" t="s">
        <v>35</v>
      </c>
      <c r="D1781" s="8" t="n">
        <v>90</v>
      </c>
      <c r="E1781" s="7" t="s">
        <v>7350</v>
      </c>
      <c r="F1781" s="8" t="n">
        <v>6.4</v>
      </c>
      <c r="G1781" s="8" t="n">
        <v>3</v>
      </c>
      <c r="H1781" s="9" t="n">
        <v>78293</v>
      </c>
      <c r="I1781" s="7" t="s">
        <v>46</v>
      </c>
      <c r="J1781" s="7" t="s">
        <v>29</v>
      </c>
      <c r="K1781" s="7" t="s">
        <v>30</v>
      </c>
      <c r="L1781" s="10" t="s">
        <v>260</v>
      </c>
      <c r="M1781" s="10" t="s">
        <v>7351</v>
      </c>
      <c r="N1781" s="8" t="n">
        <v>0</v>
      </c>
      <c r="O1781" s="8" t="n">
        <v>0</v>
      </c>
      <c r="P1781" s="8" t="n">
        <v>0</v>
      </c>
      <c r="Q1781" s="8" t="n">
        <v>0</v>
      </c>
      <c r="R1781" s="13" t="n">
        <v>0</v>
      </c>
      <c r="S1781" s="13" t="n">
        <v>0</v>
      </c>
      <c r="T1781" s="13"/>
      <c r="U1781" s="11" t="n">
        <f aca="false">O1781*4 + P1781*2 + MAX(0,N1781-O1781-P1781)*1 + Q1781*0.2 + R1781*2 + S1781*1 + IF(T1781="",0,IF(T1781&lt;=10,8,IF(T1781&lt;=50,6,IF(T1781&lt;=100,4,2))))</f>
        <v>0</v>
      </c>
      <c r="V1781" s="7"/>
      <c r="W1781" s="7"/>
      <c r="X1781" s="13"/>
      <c r="Y1781" s="13" t="s">
        <v>7352</v>
      </c>
    </row>
    <row r="1782" customFormat="false" ht="15.75" hidden="false" customHeight="true" outlineLevel="0" collapsed="false">
      <c r="A1782" s="7" t="s">
        <v>7353</v>
      </c>
      <c r="B1782" s="8" t="n">
        <v>2014</v>
      </c>
      <c r="C1782" s="8" t="s">
        <v>176</v>
      </c>
      <c r="D1782" s="8" t="n">
        <v>94</v>
      </c>
      <c r="E1782" s="7" t="s">
        <v>5603</v>
      </c>
      <c r="F1782" s="8" t="n">
        <v>5.1</v>
      </c>
      <c r="G1782" s="8" t="n">
        <v>5</v>
      </c>
      <c r="H1782" s="9" t="n">
        <v>123771</v>
      </c>
      <c r="I1782" s="7" t="s">
        <v>46</v>
      </c>
      <c r="J1782" s="7" t="s">
        <v>29</v>
      </c>
      <c r="K1782" s="7" t="s">
        <v>30</v>
      </c>
      <c r="L1782" s="10"/>
      <c r="M1782" s="10" t="s">
        <v>7354</v>
      </c>
      <c r="N1782" s="8" t="n">
        <v>0</v>
      </c>
      <c r="O1782" s="8" t="n">
        <v>0</v>
      </c>
      <c r="P1782" s="8" t="n">
        <v>0</v>
      </c>
      <c r="Q1782" s="8" t="n">
        <v>0</v>
      </c>
      <c r="R1782" s="13" t="n">
        <v>0</v>
      </c>
      <c r="S1782" s="13" t="n">
        <v>0</v>
      </c>
      <c r="T1782" s="13"/>
      <c r="U1782" s="11" t="n">
        <f aca="false">O1782*4 + P1782*2 + MAX(0,N1782-O1782-P1782)*1 + Q1782*0.2 + R1782*2 + S1782*1 + IF(T1782="",0,IF(T1782&lt;=10,8,IF(T1782&lt;=50,6,IF(T1782&lt;=100,4,2))))</f>
        <v>0</v>
      </c>
      <c r="V1782" s="7"/>
      <c r="W1782" s="7"/>
      <c r="X1782" s="13"/>
      <c r="Y1782" s="13" t="s">
        <v>7355</v>
      </c>
    </row>
    <row r="1783" customFormat="false" ht="15.75" hidden="false" customHeight="true" outlineLevel="0" collapsed="false">
      <c r="A1783" s="7" t="s">
        <v>7356</v>
      </c>
      <c r="B1783" s="8" t="n">
        <v>2014</v>
      </c>
      <c r="C1783" s="8" t="s">
        <v>176</v>
      </c>
      <c r="D1783" s="8" t="n">
        <v>144</v>
      </c>
      <c r="E1783" s="7" t="s">
        <v>36</v>
      </c>
      <c r="F1783" s="8" t="n">
        <v>7.4</v>
      </c>
      <c r="G1783" s="8" t="n">
        <v>7</v>
      </c>
      <c r="H1783" s="9" t="n">
        <v>623261</v>
      </c>
      <c r="I1783" s="7" t="s">
        <v>1988</v>
      </c>
      <c r="J1783" s="7" t="s">
        <v>38</v>
      </c>
      <c r="K1783" s="7" t="s">
        <v>39</v>
      </c>
      <c r="L1783" s="10" t="s">
        <v>7357</v>
      </c>
      <c r="M1783" s="7" t="s">
        <v>7358</v>
      </c>
      <c r="N1783" s="8" t="n">
        <v>0</v>
      </c>
      <c r="O1783" s="8" t="n">
        <v>0</v>
      </c>
      <c r="P1783" s="8" t="n">
        <v>0</v>
      </c>
      <c r="Q1783" s="8" t="n">
        <v>1</v>
      </c>
      <c r="R1783" s="8" t="n">
        <v>0</v>
      </c>
      <c r="S1783" s="8" t="n">
        <v>0</v>
      </c>
      <c r="T1783" s="13"/>
      <c r="U1783" s="11" t="n">
        <f aca="false">O1783*4 + P1783*2 + MAX(0,N1783-O1783-P1783)*1 + Q1783*0.2 + R1783*2 + S1783*1 + IF(T1783="",0,IF(T1783&lt;=10,8,IF(T1783&lt;=50,6,IF(T1783&lt;=100,4,2))))</f>
        <v>0.2</v>
      </c>
      <c r="V1783" s="7"/>
      <c r="W1783" s="7"/>
      <c r="X1783" s="13"/>
      <c r="Y1783" s="13" t="s">
        <v>7359</v>
      </c>
    </row>
    <row r="1784" customFormat="false" ht="15.75" hidden="false" customHeight="true" outlineLevel="0" collapsed="false">
      <c r="A1784" s="7" t="s">
        <v>7360</v>
      </c>
      <c r="B1784" s="8" t="n">
        <v>2010</v>
      </c>
      <c r="C1784" s="8" t="s">
        <v>176</v>
      </c>
      <c r="D1784" s="8" t="n">
        <v>106</v>
      </c>
      <c r="E1784" s="7" t="s">
        <v>7361</v>
      </c>
      <c r="F1784" s="8" t="n">
        <v>6.2</v>
      </c>
      <c r="G1784" s="8" t="n">
        <v>5</v>
      </c>
      <c r="H1784" s="9" t="n">
        <v>1270</v>
      </c>
      <c r="I1784" s="7" t="s">
        <v>232</v>
      </c>
      <c r="J1784" s="7" t="s">
        <v>30</v>
      </c>
      <c r="K1784" s="7" t="s">
        <v>48</v>
      </c>
      <c r="L1784" s="10" t="s">
        <v>7362</v>
      </c>
      <c r="M1784" s="10" t="s">
        <v>7363</v>
      </c>
      <c r="N1784" s="8" t="n">
        <v>0</v>
      </c>
      <c r="O1784" s="8" t="n">
        <v>0</v>
      </c>
      <c r="P1784" s="8" t="n">
        <v>0</v>
      </c>
      <c r="Q1784" s="8" t="n">
        <v>0</v>
      </c>
      <c r="R1784" s="13" t="n">
        <v>0</v>
      </c>
      <c r="S1784" s="13" t="n">
        <v>0</v>
      </c>
      <c r="T1784" s="13"/>
      <c r="U1784" s="11" t="n">
        <f aca="false">O1784*4 + P1784*2 + MAX(0,N1784-O1784-P1784)*1 + Q1784*0.2 + R1784*2 + S1784*1 + IF(T1784="",0,IF(T1784&lt;=10,8,IF(T1784&lt;=50,6,IF(T1784&lt;=100,4,2))))</f>
        <v>0</v>
      </c>
      <c r="V1784" s="7"/>
      <c r="W1784" s="7"/>
      <c r="X1784" s="13"/>
      <c r="Y1784" s="13" t="s">
        <v>7364</v>
      </c>
    </row>
    <row r="1785" customFormat="false" ht="15.75" hidden="false" customHeight="true" outlineLevel="0" collapsed="false">
      <c r="A1785" s="7" t="s">
        <v>7365</v>
      </c>
      <c r="B1785" s="8" t="n">
        <v>2011</v>
      </c>
      <c r="C1785" s="8" t="s">
        <v>176</v>
      </c>
      <c r="D1785" s="8" t="n">
        <v>90</v>
      </c>
      <c r="E1785" s="7" t="s">
        <v>7366</v>
      </c>
      <c r="F1785" s="8" t="n">
        <v>6.2</v>
      </c>
      <c r="G1785" s="8" t="n">
        <v>4</v>
      </c>
      <c r="H1785" s="9" t="n">
        <v>75535</v>
      </c>
      <c r="I1785" s="7" t="s">
        <v>46</v>
      </c>
      <c r="J1785" s="7" t="s">
        <v>39</v>
      </c>
      <c r="K1785" s="7" t="s">
        <v>30</v>
      </c>
      <c r="L1785" s="10"/>
      <c r="M1785" s="10" t="s">
        <v>7367</v>
      </c>
      <c r="N1785" s="8" t="n">
        <v>0</v>
      </c>
      <c r="O1785" s="8" t="n">
        <v>0</v>
      </c>
      <c r="P1785" s="8" t="n">
        <v>0</v>
      </c>
      <c r="Q1785" s="8" t="n">
        <v>0</v>
      </c>
      <c r="R1785" s="13" t="n">
        <v>0</v>
      </c>
      <c r="S1785" s="13" t="n">
        <v>0</v>
      </c>
      <c r="T1785" s="13"/>
      <c r="U1785" s="11" t="n">
        <f aca="false">O1785*4 + P1785*2 + MAX(0,N1785-O1785-P1785)*1 + Q1785*0.2 + R1785*2 + S1785*1 + IF(T1785="",0,IF(T1785&lt;=10,8,IF(T1785&lt;=50,6,IF(T1785&lt;=100,4,2))))</f>
        <v>0</v>
      </c>
      <c r="V1785" s="7"/>
      <c r="W1785" s="7"/>
      <c r="X1785" s="13"/>
      <c r="Y1785" s="13" t="s">
        <v>7368</v>
      </c>
    </row>
    <row r="1786" customFormat="false" ht="15.75" hidden="false" customHeight="true" outlineLevel="0" collapsed="false">
      <c r="A1786" s="7" t="s">
        <v>7369</v>
      </c>
      <c r="B1786" s="8" t="n">
        <v>2011</v>
      </c>
      <c r="C1786" s="8" t="s">
        <v>176</v>
      </c>
      <c r="D1786" s="8" t="n">
        <v>133</v>
      </c>
      <c r="E1786" s="7" t="s">
        <v>7370</v>
      </c>
      <c r="F1786" s="8" t="n">
        <v>7.6</v>
      </c>
      <c r="G1786" s="8" t="n">
        <v>7</v>
      </c>
      <c r="H1786" s="9" t="n">
        <v>514867</v>
      </c>
      <c r="I1786" s="7" t="s">
        <v>46</v>
      </c>
      <c r="J1786" s="7" t="s">
        <v>47</v>
      </c>
      <c r="K1786" s="7" t="s">
        <v>48</v>
      </c>
      <c r="L1786" s="10" t="s">
        <v>416</v>
      </c>
      <c r="M1786" s="7" t="s">
        <v>7371</v>
      </c>
      <c r="N1786" s="8" t="n">
        <v>0</v>
      </c>
      <c r="O1786" s="8" t="n">
        <v>0</v>
      </c>
      <c r="P1786" s="8" t="n">
        <v>0</v>
      </c>
      <c r="Q1786" s="8" t="n">
        <v>6</v>
      </c>
      <c r="R1786" s="8" t="n">
        <v>0</v>
      </c>
      <c r="S1786" s="8" t="n">
        <v>0</v>
      </c>
      <c r="T1786" s="13"/>
      <c r="U1786" s="11" t="n">
        <f aca="false">O1786*4 + P1786*2 + MAX(0,N1786-O1786-P1786)*1 + Q1786*0.2 + R1786*2 + S1786*1 + IF(T1786="",0,IF(T1786&lt;=10,8,IF(T1786&lt;=50,6,IF(T1786&lt;=100,4,2))))</f>
        <v>1.2</v>
      </c>
      <c r="V1786" s="7"/>
      <c r="W1786" s="7"/>
      <c r="X1786" s="13"/>
      <c r="Y1786" s="13" t="s">
        <v>7372</v>
      </c>
    </row>
    <row r="1787" customFormat="false" ht="15.75" hidden="false" customHeight="true" outlineLevel="0" collapsed="false">
      <c r="A1787" s="7" t="s">
        <v>7373</v>
      </c>
      <c r="B1787" s="8" t="n">
        <v>2014</v>
      </c>
      <c r="C1787" s="8" t="s">
        <v>176</v>
      </c>
      <c r="D1787" s="8" t="n">
        <v>134</v>
      </c>
      <c r="E1787" s="7" t="s">
        <v>7374</v>
      </c>
      <c r="F1787" s="8" t="n">
        <v>7.6</v>
      </c>
      <c r="G1787" s="8" t="n">
        <v>8</v>
      </c>
      <c r="H1787" s="9" t="n">
        <v>615949</v>
      </c>
      <c r="I1787" s="7" t="s">
        <v>7375</v>
      </c>
      <c r="J1787" s="7" t="s">
        <v>154</v>
      </c>
      <c r="K1787" s="7" t="s">
        <v>112</v>
      </c>
      <c r="L1787" s="10" t="s">
        <v>210</v>
      </c>
      <c r="M1787" s="7" t="s">
        <v>7376</v>
      </c>
      <c r="N1787" s="8" t="n">
        <v>0</v>
      </c>
      <c r="O1787" s="8" t="n">
        <v>0</v>
      </c>
      <c r="P1787" s="8" t="n">
        <v>0</v>
      </c>
      <c r="Q1787" s="8" t="n">
        <v>0</v>
      </c>
      <c r="R1787" s="13" t="n">
        <v>0</v>
      </c>
      <c r="S1787" s="13" t="n">
        <v>0</v>
      </c>
      <c r="T1787" s="13"/>
      <c r="U1787" s="11" t="n">
        <f aca="false">O1787*4 + P1787*2 + MAX(0,N1787-O1787-P1787)*1 + Q1787*0.2 + R1787*2 + S1787*1 + IF(T1787="",0,IF(T1787&lt;=10,8,IF(T1787&lt;=50,6,IF(T1787&lt;=100,4,2))))</f>
        <v>0</v>
      </c>
      <c r="V1787" s="7"/>
      <c r="W1787" s="7"/>
      <c r="X1787" s="13"/>
      <c r="Y1787" s="13" t="s">
        <v>7377</v>
      </c>
    </row>
    <row r="1788" customFormat="false" ht="15.75" hidden="false" customHeight="true" outlineLevel="0" collapsed="false">
      <c r="A1788" s="7" t="s">
        <v>7378</v>
      </c>
      <c r="B1788" s="8" t="n">
        <v>2009</v>
      </c>
      <c r="C1788" s="8" t="s">
        <v>35</v>
      </c>
      <c r="D1788" s="8" t="n">
        <v>127</v>
      </c>
      <c r="E1788" s="7" t="s">
        <v>1254</v>
      </c>
      <c r="F1788" s="8" t="n">
        <v>7.1</v>
      </c>
      <c r="G1788" s="8" t="n">
        <v>7</v>
      </c>
      <c r="H1788" s="9" t="n">
        <v>167110</v>
      </c>
      <c r="I1788" s="7" t="s">
        <v>6105</v>
      </c>
      <c r="J1788" s="7" t="s">
        <v>47</v>
      </c>
      <c r="K1788" s="7" t="s">
        <v>54</v>
      </c>
      <c r="L1788" s="10"/>
      <c r="M1788" s="10" t="s">
        <v>7379</v>
      </c>
      <c r="N1788" s="8" t="n">
        <v>0</v>
      </c>
      <c r="O1788" s="8" t="n">
        <v>0</v>
      </c>
      <c r="P1788" s="8" t="n">
        <v>0</v>
      </c>
      <c r="Q1788" s="8" t="n">
        <v>0</v>
      </c>
      <c r="R1788" s="13" t="n">
        <v>0</v>
      </c>
      <c r="S1788" s="13" t="n">
        <v>0</v>
      </c>
      <c r="T1788" s="13"/>
      <c r="U1788" s="11" t="n">
        <f aca="false">O1788*4 + P1788*2 + MAX(0,N1788-O1788-P1788)*1 + Q1788*0.2 + R1788*2 + S1788*1 + IF(T1788="",0,IF(T1788&lt;=10,8,IF(T1788&lt;=50,6,IF(T1788&lt;=100,4,2))))</f>
        <v>0</v>
      </c>
      <c r="V1788" s="7"/>
      <c r="W1788" s="7"/>
      <c r="X1788" s="13"/>
      <c r="Y1788" s="13" t="s">
        <v>7380</v>
      </c>
    </row>
    <row r="1789" customFormat="false" ht="15.75" hidden="false" customHeight="true" outlineLevel="0" collapsed="false">
      <c r="A1789" s="7" t="s">
        <v>7381</v>
      </c>
      <c r="B1789" s="8" t="n">
        <v>2002</v>
      </c>
      <c r="C1789" s="8" t="s">
        <v>35</v>
      </c>
      <c r="D1789" s="8" t="n">
        <v>131</v>
      </c>
      <c r="E1789" s="7" t="s">
        <v>7382</v>
      </c>
      <c r="F1789" s="8" t="n">
        <v>7.7</v>
      </c>
      <c r="G1789" s="8" t="n">
        <v>8</v>
      </c>
      <c r="H1789" s="9" t="n">
        <v>161313</v>
      </c>
      <c r="I1789" s="7" t="s">
        <v>46</v>
      </c>
      <c r="J1789" s="7" t="s">
        <v>112</v>
      </c>
      <c r="K1789" s="7" t="s">
        <v>39</v>
      </c>
      <c r="L1789" s="10"/>
      <c r="M1789" s="10" t="s">
        <v>7383</v>
      </c>
      <c r="N1789" s="8" t="n">
        <v>0</v>
      </c>
      <c r="O1789" s="8" t="n">
        <v>0</v>
      </c>
      <c r="P1789" s="8" t="n">
        <v>0</v>
      </c>
      <c r="Q1789" s="8" t="n">
        <v>0</v>
      </c>
      <c r="R1789" s="13" t="n">
        <v>0</v>
      </c>
      <c r="S1789" s="13" t="n">
        <v>0</v>
      </c>
      <c r="T1789" s="13"/>
      <c r="U1789" s="11" t="n">
        <f aca="false">O1789*4 + P1789*2 + MAX(0,N1789-O1789-P1789)*1 + Q1789*0.2 + R1789*2 + S1789*1 + IF(T1789="",0,IF(T1789&lt;=10,8,IF(T1789&lt;=50,6,IF(T1789&lt;=100,4,2))))</f>
        <v>0</v>
      </c>
      <c r="V1789" s="7"/>
      <c r="W1789" s="7"/>
      <c r="X1789" s="13"/>
      <c r="Y1789" s="13" t="s">
        <v>7384</v>
      </c>
    </row>
    <row r="1790" customFormat="false" ht="15.75" hidden="false" customHeight="true" outlineLevel="0" collapsed="false">
      <c r="A1790" s="7" t="s">
        <v>7385</v>
      </c>
      <c r="B1790" s="8" t="n">
        <v>2011</v>
      </c>
      <c r="C1790" s="8" t="s">
        <v>176</v>
      </c>
      <c r="D1790" s="8" t="n">
        <v>105</v>
      </c>
      <c r="E1790" s="7" t="s">
        <v>2203</v>
      </c>
      <c r="F1790" s="8" t="n">
        <v>7.4</v>
      </c>
      <c r="G1790" s="8" t="n">
        <v>7</v>
      </c>
      <c r="H1790" s="9" t="n">
        <v>652712</v>
      </c>
      <c r="I1790" s="7" t="s">
        <v>46</v>
      </c>
      <c r="J1790" s="7" t="s">
        <v>111</v>
      </c>
      <c r="K1790" s="7" t="s">
        <v>131</v>
      </c>
      <c r="L1790" s="10"/>
      <c r="M1790" s="7" t="s">
        <v>7386</v>
      </c>
      <c r="N1790" s="8" t="n">
        <v>0</v>
      </c>
      <c r="O1790" s="8" t="n">
        <v>0</v>
      </c>
      <c r="P1790" s="8" t="n">
        <v>0</v>
      </c>
      <c r="Q1790" s="8" t="n">
        <v>0</v>
      </c>
      <c r="R1790" s="13" t="n">
        <v>0</v>
      </c>
      <c r="S1790" s="13" t="n">
        <v>0</v>
      </c>
      <c r="T1790" s="13"/>
      <c r="U1790" s="11" t="n">
        <f aca="false">O1790*4 + P1790*2 + MAX(0,N1790-O1790-P1790)*1 + Q1790*0.2 + R1790*2 + S1790*1 + IF(T1790="",0,IF(T1790&lt;=10,8,IF(T1790&lt;=50,6,IF(T1790&lt;=100,4,2))))</f>
        <v>0</v>
      </c>
      <c r="V1790" s="7"/>
      <c r="W1790" s="7"/>
      <c r="X1790" s="13"/>
      <c r="Y1790" s="13" t="s">
        <v>7387</v>
      </c>
    </row>
    <row r="1791" customFormat="false" ht="15.75" hidden="false" customHeight="true" outlineLevel="0" collapsed="false">
      <c r="A1791" s="7" t="s">
        <v>7388</v>
      </c>
      <c r="B1791" s="8" t="n">
        <v>1988</v>
      </c>
      <c r="C1791" s="8" t="s">
        <v>109</v>
      </c>
      <c r="D1791" s="8" t="n">
        <v>85</v>
      </c>
      <c r="E1791" s="7" t="s">
        <v>6829</v>
      </c>
      <c r="F1791" s="8" t="n">
        <v>7.6</v>
      </c>
      <c r="G1791" s="8" t="n">
        <v>6</v>
      </c>
      <c r="H1791" s="9" t="n">
        <v>224659</v>
      </c>
      <c r="I1791" s="7" t="s">
        <v>46</v>
      </c>
      <c r="J1791" s="7" t="s">
        <v>30</v>
      </c>
      <c r="K1791" s="7" t="s">
        <v>54</v>
      </c>
      <c r="L1791" s="10" t="s">
        <v>6276</v>
      </c>
      <c r="M1791" s="10" t="s">
        <v>7389</v>
      </c>
      <c r="N1791" s="8" t="n">
        <v>0</v>
      </c>
      <c r="O1791" s="8" t="n">
        <v>0</v>
      </c>
      <c r="P1791" s="8" t="n">
        <v>0</v>
      </c>
      <c r="Q1791" s="8" t="n">
        <v>0</v>
      </c>
      <c r="R1791" s="13" t="n">
        <v>0</v>
      </c>
      <c r="S1791" s="13" t="n">
        <v>0</v>
      </c>
      <c r="T1791" s="13"/>
      <c r="U1791" s="11" t="n">
        <f aca="false">O1791*4 + P1791*2 + MAX(0,N1791-O1791-P1791)*1 + Q1791*0.2 + R1791*2 + S1791*1 + IF(T1791="",0,IF(T1791&lt;=10,8,IF(T1791&lt;=50,6,IF(T1791&lt;=100,4,2))))</f>
        <v>0</v>
      </c>
      <c r="V1791" s="7"/>
      <c r="W1791" s="7"/>
      <c r="X1791" s="13"/>
      <c r="Y1791" s="13" t="s">
        <v>7390</v>
      </c>
    </row>
    <row r="1792" customFormat="false" ht="15.75" hidden="false" customHeight="true" outlineLevel="0" collapsed="false">
      <c r="A1792" s="7" t="s">
        <v>7391</v>
      </c>
      <c r="B1792" s="8" t="n">
        <v>2008</v>
      </c>
      <c r="C1792" s="8" t="s">
        <v>35</v>
      </c>
      <c r="D1792" s="8" t="n">
        <v>98</v>
      </c>
      <c r="E1792" s="7" t="s">
        <v>7392</v>
      </c>
      <c r="F1792" s="8" t="n">
        <v>6.7</v>
      </c>
      <c r="G1792" s="8" t="n">
        <v>6</v>
      </c>
      <c r="H1792" s="9" t="n">
        <v>3688</v>
      </c>
      <c r="I1792" s="7" t="s">
        <v>7393</v>
      </c>
      <c r="J1792" s="7" t="s">
        <v>154</v>
      </c>
      <c r="K1792" s="7" t="s">
        <v>47</v>
      </c>
      <c r="L1792" s="10" t="s">
        <v>161</v>
      </c>
      <c r="M1792" s="10" t="s">
        <v>7394</v>
      </c>
      <c r="N1792" s="8" t="n">
        <v>0</v>
      </c>
      <c r="O1792" s="8" t="n">
        <v>0</v>
      </c>
      <c r="P1792" s="8" t="n">
        <v>0</v>
      </c>
      <c r="Q1792" s="8" t="n">
        <v>0</v>
      </c>
      <c r="R1792" s="13" t="n">
        <v>0</v>
      </c>
      <c r="S1792" s="13" t="n">
        <v>0</v>
      </c>
      <c r="T1792" s="13"/>
      <c r="U1792" s="11" t="n">
        <f aca="false">O1792*4 + P1792*2 + MAX(0,N1792-O1792-P1792)*1 + Q1792*0.2 + R1792*2 + S1792*1 + IF(T1792="",0,IF(T1792&lt;=10,8,IF(T1792&lt;=50,6,IF(T1792&lt;=100,4,2))))</f>
        <v>0</v>
      </c>
      <c r="V1792" s="7"/>
      <c r="W1792" s="7"/>
      <c r="X1792" s="13"/>
      <c r="Y1792" s="13" t="s">
        <v>7395</v>
      </c>
    </row>
    <row r="1793" customFormat="false" ht="15.75" hidden="false" customHeight="true" outlineLevel="0" collapsed="false">
      <c r="A1793" s="7" t="s">
        <v>7396</v>
      </c>
      <c r="B1793" s="8" t="n">
        <v>2011</v>
      </c>
      <c r="C1793" s="8" t="s">
        <v>176</v>
      </c>
      <c r="D1793" s="8" t="n">
        <v>106</v>
      </c>
      <c r="E1793" s="7" t="s">
        <v>7397</v>
      </c>
      <c r="F1793" s="8" t="n">
        <v>7</v>
      </c>
      <c r="G1793" s="8" t="n">
        <v>6</v>
      </c>
      <c r="H1793" s="9" t="n">
        <v>284381</v>
      </c>
      <c r="I1793" s="7" t="s">
        <v>46</v>
      </c>
      <c r="J1793" s="7" t="s">
        <v>47</v>
      </c>
      <c r="K1793" s="7" t="s">
        <v>54</v>
      </c>
      <c r="L1793" s="10" t="s">
        <v>220</v>
      </c>
      <c r="M1793" s="7" t="s">
        <v>7398</v>
      </c>
      <c r="N1793" s="8" t="n">
        <v>0</v>
      </c>
      <c r="O1793" s="8" t="n">
        <v>0</v>
      </c>
      <c r="P1793" s="8" t="n">
        <v>0</v>
      </c>
      <c r="Q1793" s="8" t="n">
        <v>0</v>
      </c>
      <c r="R1793" s="13" t="n">
        <v>0</v>
      </c>
      <c r="S1793" s="13" t="n">
        <v>0</v>
      </c>
      <c r="T1793" s="13"/>
      <c r="U1793" s="11" t="n">
        <f aca="false">O1793*4 + P1793*2 + MAX(0,N1793-O1793-P1793)*1 + Q1793*0.2 + R1793*2 + S1793*1 + IF(T1793="",0,IF(T1793&lt;=10,8,IF(T1793&lt;=50,6,IF(T1793&lt;=100,4,2))))</f>
        <v>0</v>
      </c>
      <c r="V1793" s="7"/>
      <c r="W1793" s="7"/>
      <c r="X1793" s="13"/>
      <c r="Y1793" s="13" t="s">
        <v>7399</v>
      </c>
    </row>
    <row r="1794" customFormat="false" ht="15.75" hidden="false" customHeight="true" outlineLevel="0" collapsed="false">
      <c r="A1794" s="7" t="s">
        <v>7400</v>
      </c>
      <c r="B1794" s="8" t="n">
        <v>2011</v>
      </c>
      <c r="C1794" s="8" t="s">
        <v>176</v>
      </c>
      <c r="D1794" s="8" t="n">
        <v>90</v>
      </c>
      <c r="E1794" s="7" t="s">
        <v>7401</v>
      </c>
      <c r="F1794" s="8" t="n">
        <v>6.6</v>
      </c>
      <c r="G1794" s="8" t="n">
        <v>5</v>
      </c>
      <c r="H1794" s="9" t="n">
        <v>213773</v>
      </c>
      <c r="I1794" s="7" t="s">
        <v>46</v>
      </c>
      <c r="J1794" s="7" t="s">
        <v>579</v>
      </c>
      <c r="K1794" s="7" t="s">
        <v>112</v>
      </c>
      <c r="L1794" s="10" t="s">
        <v>5302</v>
      </c>
      <c r="M1794" s="10" t="s">
        <v>7402</v>
      </c>
      <c r="N1794" s="8" t="n">
        <v>0</v>
      </c>
      <c r="O1794" s="8" t="n">
        <v>0</v>
      </c>
      <c r="P1794" s="8" t="n">
        <v>0</v>
      </c>
      <c r="Q1794" s="8" t="n">
        <v>1</v>
      </c>
      <c r="R1794" s="8" t="n">
        <v>0</v>
      </c>
      <c r="S1794" s="8" t="n">
        <v>0</v>
      </c>
      <c r="T1794" s="13"/>
      <c r="U1794" s="11" t="n">
        <f aca="false">O1794*4 + P1794*2 + MAX(0,N1794-O1794-P1794)*1 + Q1794*0.2 + R1794*2 + S1794*1 + IF(T1794="",0,IF(T1794&lt;=10,8,IF(T1794&lt;=50,6,IF(T1794&lt;=100,4,2))))</f>
        <v>0.2</v>
      </c>
      <c r="V1794" s="7"/>
      <c r="W1794" s="7"/>
      <c r="X1794" s="13"/>
      <c r="Y1794" s="13" t="s">
        <v>7403</v>
      </c>
    </row>
    <row r="1795" customFormat="false" ht="15.75" hidden="false" customHeight="true" outlineLevel="0" collapsed="false">
      <c r="A1795" s="7" t="s">
        <v>7404</v>
      </c>
      <c r="B1795" s="8" t="n">
        <v>2003</v>
      </c>
      <c r="C1795" s="8" t="s">
        <v>35</v>
      </c>
      <c r="D1795" s="8" t="n">
        <v>96</v>
      </c>
      <c r="E1795" s="7" t="s">
        <v>6244</v>
      </c>
      <c r="F1795" s="8" t="n">
        <v>6.3</v>
      </c>
      <c r="G1795" s="8" t="n">
        <v>8</v>
      </c>
      <c r="H1795" s="9" t="n">
        <v>230474</v>
      </c>
      <c r="I1795" s="7" t="s">
        <v>46</v>
      </c>
      <c r="J1795" s="7" t="s">
        <v>30</v>
      </c>
      <c r="K1795" s="7"/>
      <c r="L1795" s="10"/>
      <c r="M1795" s="10" t="s">
        <v>7405</v>
      </c>
      <c r="N1795" s="8" t="n">
        <v>0</v>
      </c>
      <c r="O1795" s="8" t="n">
        <v>0</v>
      </c>
      <c r="P1795" s="8" t="n">
        <v>0</v>
      </c>
      <c r="Q1795" s="8" t="n">
        <v>0</v>
      </c>
      <c r="R1795" s="13" t="n">
        <v>0</v>
      </c>
      <c r="S1795" s="13" t="n">
        <v>0</v>
      </c>
      <c r="T1795" s="13"/>
      <c r="U1795" s="11" t="n">
        <f aca="false">O1795*4 + P1795*2 + MAX(0,N1795-O1795-P1795)*1 + Q1795*0.2 + R1795*2 + S1795*1 + IF(T1795="",0,IF(T1795&lt;=10,8,IF(T1795&lt;=50,6,IF(T1795&lt;=100,4,2))))</f>
        <v>0</v>
      </c>
      <c r="V1795" s="7"/>
      <c r="W1795" s="7"/>
      <c r="X1795" s="13"/>
      <c r="Y1795" s="13" t="s">
        <v>7406</v>
      </c>
    </row>
    <row r="1796" customFormat="false" ht="15.75" hidden="false" customHeight="true" outlineLevel="0" collapsed="false">
      <c r="A1796" s="7" t="s">
        <v>7407</v>
      </c>
      <c r="B1796" s="8" t="n">
        <v>1999</v>
      </c>
      <c r="C1796" s="8" t="s">
        <v>26</v>
      </c>
      <c r="D1796" s="8" t="n">
        <v>95</v>
      </c>
      <c r="E1796" s="7" t="s">
        <v>7408</v>
      </c>
      <c r="F1796" s="8" t="n">
        <v>7</v>
      </c>
      <c r="G1796" s="8" t="n">
        <v>7</v>
      </c>
      <c r="H1796" s="9" t="n">
        <v>471757</v>
      </c>
      <c r="I1796" s="7" t="s">
        <v>46</v>
      </c>
      <c r="J1796" s="7" t="s">
        <v>30</v>
      </c>
      <c r="K1796" s="7" t="s">
        <v>251</v>
      </c>
      <c r="L1796" s="10"/>
      <c r="M1796" s="7" t="s">
        <v>7409</v>
      </c>
      <c r="N1796" s="8" t="n">
        <v>0</v>
      </c>
      <c r="O1796" s="8" t="n">
        <v>0</v>
      </c>
      <c r="P1796" s="8" t="n">
        <v>0</v>
      </c>
      <c r="Q1796" s="8" t="n">
        <v>0</v>
      </c>
      <c r="R1796" s="13" t="n">
        <v>0</v>
      </c>
      <c r="S1796" s="13" t="n">
        <v>0</v>
      </c>
      <c r="T1796" s="13"/>
      <c r="U1796" s="11" t="n">
        <f aca="false">O1796*4 + P1796*2 + MAX(0,N1796-O1796-P1796)*1 + Q1796*0.2 + R1796*2 + S1796*1 + IF(T1796="",0,IF(T1796&lt;=10,8,IF(T1796&lt;=50,6,IF(T1796&lt;=100,4,2))))</f>
        <v>0</v>
      </c>
      <c r="V1796" s="7"/>
      <c r="W1796" s="7"/>
      <c r="X1796" s="13"/>
      <c r="Y1796" s="13" t="s">
        <v>7410</v>
      </c>
    </row>
    <row r="1797" customFormat="false" ht="15.75" hidden="false" customHeight="true" outlineLevel="0" collapsed="false">
      <c r="A1797" s="7" t="s">
        <v>7411</v>
      </c>
      <c r="B1797" s="8" t="n">
        <v>1993</v>
      </c>
      <c r="C1797" s="8" t="s">
        <v>26</v>
      </c>
      <c r="D1797" s="8" t="n">
        <v>86</v>
      </c>
      <c r="E1797" s="7" t="s">
        <v>7412</v>
      </c>
      <c r="F1797" s="8" t="n">
        <v>6.6</v>
      </c>
      <c r="G1797" s="8" t="n">
        <v>6</v>
      </c>
      <c r="H1797" s="9" t="n">
        <v>104436</v>
      </c>
      <c r="I1797" s="7" t="s">
        <v>46</v>
      </c>
      <c r="J1797" s="7" t="s">
        <v>112</v>
      </c>
      <c r="K1797" s="7" t="s">
        <v>30</v>
      </c>
      <c r="L1797" s="10" t="s">
        <v>2462</v>
      </c>
      <c r="M1797" s="10" t="s">
        <v>7413</v>
      </c>
      <c r="N1797" s="8" t="n">
        <v>0</v>
      </c>
      <c r="O1797" s="8" t="n">
        <v>0</v>
      </c>
      <c r="P1797" s="8" t="n">
        <v>0</v>
      </c>
      <c r="Q1797" s="8" t="n">
        <v>0</v>
      </c>
      <c r="R1797" s="13" t="n">
        <v>0</v>
      </c>
      <c r="S1797" s="13" t="n">
        <v>0</v>
      </c>
      <c r="T1797" s="13"/>
      <c r="U1797" s="11" t="n">
        <f aca="false">O1797*4 + P1797*2 + MAX(0,N1797-O1797-P1797)*1 + Q1797*0.2 + R1797*2 + S1797*1 + IF(T1797="",0,IF(T1797&lt;=10,8,IF(T1797&lt;=50,6,IF(T1797&lt;=100,4,2))))</f>
        <v>0</v>
      </c>
      <c r="V1797" s="7"/>
      <c r="W1797" s="7"/>
      <c r="X1797" s="13"/>
      <c r="Y1797" s="13" t="s">
        <v>7414</v>
      </c>
    </row>
    <row r="1798" customFormat="false" ht="15.75" hidden="false" customHeight="true" outlineLevel="0" collapsed="false">
      <c r="A1798" s="7" t="s">
        <v>7415</v>
      </c>
      <c r="B1798" s="8" t="n">
        <v>1991</v>
      </c>
      <c r="C1798" s="8" t="s">
        <v>26</v>
      </c>
      <c r="D1798" s="8" t="n">
        <v>85</v>
      </c>
      <c r="E1798" s="7" t="s">
        <v>7412</v>
      </c>
      <c r="F1798" s="8" t="n">
        <v>6.7</v>
      </c>
      <c r="G1798" s="8" t="n">
        <v>6</v>
      </c>
      <c r="H1798" s="9" t="n">
        <v>125847</v>
      </c>
      <c r="I1798" s="7" t="s">
        <v>46</v>
      </c>
      <c r="J1798" s="7" t="s">
        <v>112</v>
      </c>
      <c r="K1798" s="7" t="s">
        <v>30</v>
      </c>
      <c r="L1798" s="10" t="s">
        <v>2462</v>
      </c>
      <c r="M1798" s="10" t="s">
        <v>7416</v>
      </c>
      <c r="N1798" s="8" t="n">
        <v>0</v>
      </c>
      <c r="O1798" s="8" t="n">
        <v>0</v>
      </c>
      <c r="P1798" s="8" t="n">
        <v>0</v>
      </c>
      <c r="Q1798" s="8" t="n">
        <v>0</v>
      </c>
      <c r="R1798" s="13" t="n">
        <v>0</v>
      </c>
      <c r="S1798" s="13" t="n">
        <v>0</v>
      </c>
      <c r="T1798" s="13"/>
      <c r="U1798" s="11" t="n">
        <f aca="false">O1798*4 + P1798*2 + MAX(0,N1798-O1798-P1798)*1 + Q1798*0.2 + R1798*2 + S1798*1 + IF(T1798="",0,IF(T1798&lt;=10,8,IF(T1798&lt;=50,6,IF(T1798&lt;=100,4,2))))</f>
        <v>0</v>
      </c>
      <c r="V1798" s="7"/>
      <c r="W1798" s="7"/>
      <c r="X1798" s="13"/>
      <c r="Y1798" s="13" t="s">
        <v>7417</v>
      </c>
    </row>
    <row r="1799" customFormat="false" ht="15.75" hidden="false" customHeight="true" outlineLevel="0" collapsed="false">
      <c r="A1799" s="7" t="s">
        <v>7418</v>
      </c>
      <c r="B1799" s="8" t="n">
        <v>2011</v>
      </c>
      <c r="C1799" s="8" t="s">
        <v>176</v>
      </c>
      <c r="D1799" s="8" t="n">
        <v>109</v>
      </c>
      <c r="E1799" s="7" t="s">
        <v>2438</v>
      </c>
      <c r="F1799" s="8" t="n">
        <v>6.7</v>
      </c>
      <c r="G1799" s="8" t="n">
        <v>6</v>
      </c>
      <c r="H1799" s="9" t="n">
        <v>487289</v>
      </c>
      <c r="I1799" s="7" t="s">
        <v>46</v>
      </c>
      <c r="J1799" s="7" t="s">
        <v>111</v>
      </c>
      <c r="K1799" s="7" t="s">
        <v>953</v>
      </c>
      <c r="L1799" s="10" t="s">
        <v>7419</v>
      </c>
      <c r="M1799" s="7" t="s">
        <v>7420</v>
      </c>
      <c r="N1799" s="8" t="n">
        <v>0</v>
      </c>
      <c r="O1799" s="8" t="n">
        <v>0</v>
      </c>
      <c r="P1799" s="8" t="n">
        <v>0</v>
      </c>
      <c r="Q1799" s="8" t="n">
        <v>0</v>
      </c>
      <c r="R1799" s="13" t="n">
        <v>0</v>
      </c>
      <c r="S1799" s="13" t="n">
        <v>0</v>
      </c>
      <c r="T1799" s="13"/>
      <c r="U1799" s="11" t="n">
        <f aca="false">O1799*4 + P1799*2 + MAX(0,N1799-O1799-P1799)*1 + Q1799*0.2 + R1799*2 + S1799*1 + IF(T1799="",0,IF(T1799&lt;=10,8,IF(T1799&lt;=50,6,IF(T1799&lt;=100,4,2))))</f>
        <v>0</v>
      </c>
      <c r="V1799" s="7"/>
      <c r="W1799" s="7"/>
      <c r="X1799" s="13"/>
      <c r="Y1799" s="13" t="s">
        <v>7421</v>
      </c>
    </row>
    <row r="1800" customFormat="false" ht="15.75" hidden="false" customHeight="true" outlineLevel="0" collapsed="false">
      <c r="A1800" s="7" t="s">
        <v>7422</v>
      </c>
      <c r="B1800" s="8" t="n">
        <v>2006</v>
      </c>
      <c r="C1800" s="8" t="s">
        <v>35</v>
      </c>
      <c r="D1800" s="8" t="n">
        <v>104</v>
      </c>
      <c r="E1800" s="7" t="s">
        <v>7423</v>
      </c>
      <c r="F1800" s="8" t="n">
        <v>5.1</v>
      </c>
      <c r="G1800" s="8" t="n">
        <v>5</v>
      </c>
      <c r="H1800" s="9" t="n">
        <v>135154</v>
      </c>
      <c r="I1800" s="7" t="s">
        <v>7424</v>
      </c>
      <c r="J1800" s="7" t="s">
        <v>112</v>
      </c>
      <c r="K1800" s="7" t="s">
        <v>259</v>
      </c>
      <c r="L1800" s="10" t="s">
        <v>177</v>
      </c>
      <c r="M1800" s="10" t="s">
        <v>7425</v>
      </c>
      <c r="N1800" s="8" t="n">
        <v>0</v>
      </c>
      <c r="O1800" s="8" t="n">
        <v>0</v>
      </c>
      <c r="P1800" s="8" t="n">
        <v>0</v>
      </c>
      <c r="Q1800" s="8" t="n">
        <v>0</v>
      </c>
      <c r="R1800" s="13" t="n">
        <v>0</v>
      </c>
      <c r="S1800" s="13" t="n">
        <v>0</v>
      </c>
      <c r="T1800" s="13"/>
      <c r="U1800" s="11" t="n">
        <f aca="false">O1800*4 + P1800*2 + MAX(0,N1800-O1800-P1800)*1 + Q1800*0.2 + R1800*2 + S1800*1 + IF(T1800="",0,IF(T1800&lt;=10,8,IF(T1800&lt;=50,6,IF(T1800&lt;=100,4,2))))</f>
        <v>0</v>
      </c>
      <c r="V1800" s="7"/>
      <c r="W1800" s="7"/>
      <c r="X1800" s="13"/>
      <c r="Y1800" s="13" t="s">
        <v>7426</v>
      </c>
    </row>
    <row r="1801" customFormat="false" ht="15.75" hidden="false" customHeight="true" outlineLevel="0" collapsed="false">
      <c r="A1801" s="7" t="s">
        <v>7427</v>
      </c>
      <c r="B1801" s="8" t="n">
        <v>1997</v>
      </c>
      <c r="C1801" s="8" t="s">
        <v>26</v>
      </c>
      <c r="D1801" s="8" t="n">
        <v>154</v>
      </c>
      <c r="E1801" s="7" t="s">
        <v>53</v>
      </c>
      <c r="F1801" s="8" t="n">
        <v>7.5</v>
      </c>
      <c r="G1801" s="8" t="n">
        <v>7</v>
      </c>
      <c r="H1801" s="9" t="n">
        <v>407169</v>
      </c>
      <c r="I1801" s="7" t="s">
        <v>46</v>
      </c>
      <c r="J1801" s="7" t="s">
        <v>131</v>
      </c>
      <c r="K1801" s="7" t="s">
        <v>1005</v>
      </c>
      <c r="L1801" s="10" t="s">
        <v>133</v>
      </c>
      <c r="M1801" s="7" t="s">
        <v>7428</v>
      </c>
      <c r="N1801" s="8" t="n">
        <v>0</v>
      </c>
      <c r="O1801" s="8" t="n">
        <v>0</v>
      </c>
      <c r="P1801" s="8" t="n">
        <v>0</v>
      </c>
      <c r="Q1801" s="8" t="n">
        <v>1</v>
      </c>
      <c r="R1801" s="8" t="n">
        <v>0</v>
      </c>
      <c r="S1801" s="8" t="n">
        <v>0</v>
      </c>
      <c r="T1801" s="13"/>
      <c r="U1801" s="11" t="n">
        <f aca="false">O1801*4 + P1801*2 + MAX(0,N1801-O1801-P1801)*1 + Q1801*0.2 + R1801*2 + S1801*1 + IF(T1801="",0,IF(T1801&lt;=10,8,IF(T1801&lt;=50,6,IF(T1801&lt;=100,4,2))))</f>
        <v>0.2</v>
      </c>
      <c r="V1801" s="7"/>
      <c r="W1801" s="7"/>
      <c r="X1801" s="13"/>
      <c r="Y1801" s="13" t="s">
        <v>7429</v>
      </c>
    </row>
    <row r="1802" customFormat="false" ht="15.75" hidden="false" customHeight="true" outlineLevel="0" collapsed="false">
      <c r="A1802" s="7" t="s">
        <v>7430</v>
      </c>
      <c r="B1802" s="8" t="n">
        <v>2009</v>
      </c>
      <c r="C1802" s="8" t="s">
        <v>35</v>
      </c>
      <c r="D1802" s="8" t="n">
        <v>91</v>
      </c>
      <c r="E1802" s="7" t="s">
        <v>7431</v>
      </c>
      <c r="F1802" s="8" t="n">
        <v>6</v>
      </c>
      <c r="G1802" s="8" t="n">
        <v>5</v>
      </c>
      <c r="H1802" s="9" t="n">
        <v>62478</v>
      </c>
      <c r="I1802" s="7" t="s">
        <v>7432</v>
      </c>
      <c r="J1802" s="7" t="s">
        <v>579</v>
      </c>
      <c r="K1802" s="7" t="s">
        <v>2004</v>
      </c>
      <c r="L1802" s="10" t="s">
        <v>2983</v>
      </c>
      <c r="M1802" s="10" t="s">
        <v>7433</v>
      </c>
      <c r="N1802" s="8" t="n">
        <v>0</v>
      </c>
      <c r="O1802" s="8" t="n">
        <v>0</v>
      </c>
      <c r="P1802" s="8" t="n">
        <v>0</v>
      </c>
      <c r="Q1802" s="8" t="n">
        <v>0</v>
      </c>
      <c r="R1802" s="13" t="n">
        <v>0</v>
      </c>
      <c r="S1802" s="13" t="n">
        <v>0</v>
      </c>
      <c r="T1802" s="13"/>
      <c r="U1802" s="11" t="n">
        <f aca="false">O1802*4 + P1802*2 + MAX(0,N1802-O1802-P1802)*1 + Q1802*0.2 + R1802*2 + S1802*1 + IF(T1802="",0,IF(T1802&lt;=10,8,IF(T1802&lt;=50,6,IF(T1802&lt;=100,4,2))))</f>
        <v>0</v>
      </c>
      <c r="V1802" s="7"/>
      <c r="W1802" s="7"/>
      <c r="X1802" s="13"/>
      <c r="Y1802" s="13" t="s">
        <v>7434</v>
      </c>
    </row>
    <row r="1803" customFormat="false" ht="15.75" hidden="false" customHeight="true" outlineLevel="0" collapsed="false">
      <c r="A1803" s="7" t="s">
        <v>7435</v>
      </c>
      <c r="B1803" s="8" t="n">
        <v>2010</v>
      </c>
      <c r="C1803" s="8" t="s">
        <v>176</v>
      </c>
      <c r="D1803" s="8" t="n">
        <v>93</v>
      </c>
      <c r="E1803" s="7" t="s">
        <v>7436</v>
      </c>
      <c r="F1803" s="8" t="n">
        <v>6.4</v>
      </c>
      <c r="G1803" s="8" t="n">
        <v>6</v>
      </c>
      <c r="H1803" s="9" t="n">
        <v>248626</v>
      </c>
      <c r="I1803" s="7" t="s">
        <v>46</v>
      </c>
      <c r="J1803" s="7" t="s">
        <v>579</v>
      </c>
      <c r="K1803" s="7" t="s">
        <v>39</v>
      </c>
      <c r="L1803" s="10" t="s">
        <v>2023</v>
      </c>
      <c r="M1803" s="10" t="s">
        <v>7437</v>
      </c>
      <c r="N1803" s="8" t="n">
        <v>0</v>
      </c>
      <c r="O1803" s="8" t="n">
        <v>0</v>
      </c>
      <c r="P1803" s="8" t="n">
        <v>0</v>
      </c>
      <c r="Q1803" s="8" t="n">
        <v>0</v>
      </c>
      <c r="R1803" s="13" t="n">
        <v>0</v>
      </c>
      <c r="S1803" s="13" t="n">
        <v>0</v>
      </c>
      <c r="T1803" s="13"/>
      <c r="U1803" s="11" t="n">
        <f aca="false">O1803*4 + P1803*2 + MAX(0,N1803-O1803-P1803)*1 + Q1803*0.2 + R1803*2 + S1803*1 + IF(T1803="",0,IF(T1803&lt;=10,8,IF(T1803&lt;=50,6,IF(T1803&lt;=100,4,2))))</f>
        <v>0</v>
      </c>
      <c r="V1803" s="7"/>
      <c r="W1803" s="7"/>
      <c r="X1803" s="13"/>
      <c r="Y1803" s="13" t="s">
        <v>7438</v>
      </c>
    </row>
    <row r="1804" customFormat="false" ht="15.75" hidden="false" customHeight="true" outlineLevel="0" collapsed="false">
      <c r="A1804" s="7" t="s">
        <v>7439</v>
      </c>
      <c r="B1804" s="8" t="n">
        <v>1997</v>
      </c>
      <c r="C1804" s="8" t="s">
        <v>26</v>
      </c>
      <c r="D1804" s="8" t="n">
        <v>98</v>
      </c>
      <c r="E1804" s="7" t="s">
        <v>6128</v>
      </c>
      <c r="F1804" s="8" t="n">
        <v>7.3</v>
      </c>
      <c r="G1804" s="8" t="n">
        <v>7</v>
      </c>
      <c r="H1804" s="9" t="n">
        <v>669481</v>
      </c>
      <c r="I1804" s="7" t="s">
        <v>46</v>
      </c>
      <c r="J1804" s="7" t="s">
        <v>112</v>
      </c>
      <c r="K1804" s="7" t="s">
        <v>245</v>
      </c>
      <c r="L1804" s="10" t="s">
        <v>205</v>
      </c>
      <c r="M1804" s="7" t="s">
        <v>7440</v>
      </c>
      <c r="N1804" s="8" t="n">
        <v>1</v>
      </c>
      <c r="O1804" s="8" t="n">
        <v>0</v>
      </c>
      <c r="P1804" s="8" t="n">
        <v>0</v>
      </c>
      <c r="Q1804" s="8" t="n">
        <v>3</v>
      </c>
      <c r="R1804" s="8" t="n">
        <v>0</v>
      </c>
      <c r="S1804" s="8" t="n">
        <v>0</v>
      </c>
      <c r="T1804" s="13"/>
      <c r="U1804" s="11" t="n">
        <f aca="false">O1804*4 + P1804*2 + MAX(0,N1804-O1804-P1804)*1 + Q1804*0.2 + R1804*2 + S1804*1 + IF(T1804="",0,IF(T1804&lt;=10,8,IF(T1804&lt;=50,6,IF(T1804&lt;=100,4,2))))</f>
        <v>1.6</v>
      </c>
      <c r="V1804" s="7"/>
      <c r="W1804" s="7"/>
      <c r="X1804" s="13"/>
      <c r="Y1804" s="13" t="s">
        <v>7441</v>
      </c>
    </row>
    <row r="1805" customFormat="false" ht="15.75" hidden="false" customHeight="true" outlineLevel="0" collapsed="false">
      <c r="A1805" s="7" t="s">
        <v>7442</v>
      </c>
      <c r="B1805" s="8" t="n">
        <v>1995</v>
      </c>
      <c r="C1805" s="8" t="s">
        <v>26</v>
      </c>
      <c r="D1805" s="8" t="n">
        <v>178</v>
      </c>
      <c r="E1805" s="7" t="s">
        <v>971</v>
      </c>
      <c r="F1805" s="8" t="n">
        <v>8.3</v>
      </c>
      <c r="G1805" s="8" t="n">
        <v>8</v>
      </c>
      <c r="H1805" s="9" t="n">
        <v>1169192</v>
      </c>
      <c r="I1805" s="7" t="s">
        <v>46</v>
      </c>
      <c r="J1805" s="7" t="s">
        <v>154</v>
      </c>
      <c r="K1805" s="7" t="s">
        <v>47</v>
      </c>
      <c r="L1805" s="10" t="s">
        <v>552</v>
      </c>
      <c r="M1805" s="7" t="s">
        <v>7443</v>
      </c>
      <c r="N1805" s="8" t="n">
        <v>5</v>
      </c>
      <c r="O1805" s="8" t="n">
        <v>1</v>
      </c>
      <c r="P1805" s="8" t="n">
        <v>1</v>
      </c>
      <c r="Q1805" s="8" t="n">
        <v>10</v>
      </c>
      <c r="R1805" s="8" t="n">
        <v>0</v>
      </c>
      <c r="S1805" s="8" t="n">
        <v>0</v>
      </c>
      <c r="T1805" s="8"/>
      <c r="U1805" s="11" t="n">
        <f aca="false">O1805*4 + P1805*2 + MAX(0,N1805-O1805-P1805)*1 + Q1805*0.2 + R1805*2 + S1805*1 + IF(T1805="",0,IF(T1805&lt;=10,8,IF(T1805&lt;=50,6,IF(T1805&lt;=100,4,2))))</f>
        <v>11</v>
      </c>
      <c r="V1805" s="7"/>
      <c r="W1805" s="7"/>
      <c r="X1805" s="13"/>
      <c r="Y1805" s="13" t="s">
        <v>7444</v>
      </c>
    </row>
    <row r="1806" customFormat="false" ht="15.75" hidden="false" customHeight="true" outlineLevel="0" collapsed="false">
      <c r="A1806" s="7" t="s">
        <v>7445</v>
      </c>
      <c r="B1806" s="8" t="n">
        <v>1997</v>
      </c>
      <c r="C1806" s="8" t="s">
        <v>26</v>
      </c>
      <c r="D1806" s="8" t="n">
        <v>115</v>
      </c>
      <c r="E1806" s="7" t="s">
        <v>5292</v>
      </c>
      <c r="F1806" s="8" t="n">
        <v>6.9</v>
      </c>
      <c r="G1806" s="8" t="n">
        <v>6</v>
      </c>
      <c r="H1806" s="9" t="n">
        <v>341879</v>
      </c>
      <c r="I1806" s="7" t="s">
        <v>46</v>
      </c>
      <c r="J1806" s="7" t="s">
        <v>131</v>
      </c>
      <c r="K1806" s="7" t="s">
        <v>82</v>
      </c>
      <c r="L1806" s="10" t="s">
        <v>177</v>
      </c>
      <c r="M1806" s="7" t="s">
        <v>7446</v>
      </c>
      <c r="N1806" s="8" t="n">
        <v>0</v>
      </c>
      <c r="O1806" s="8" t="n">
        <v>0</v>
      </c>
      <c r="P1806" s="8" t="n">
        <v>0</v>
      </c>
      <c r="Q1806" s="8" t="n">
        <v>2</v>
      </c>
      <c r="R1806" s="8" t="n">
        <v>0</v>
      </c>
      <c r="S1806" s="8" t="n">
        <v>0</v>
      </c>
      <c r="T1806" s="13"/>
      <c r="U1806" s="11" t="n">
        <f aca="false">O1806*4 + P1806*2 + MAX(0,N1806-O1806-P1806)*1 + Q1806*0.2 + R1806*2 + S1806*1 + IF(T1806="",0,IF(T1806&lt;=10,8,IF(T1806&lt;=50,6,IF(T1806&lt;=100,4,2))))</f>
        <v>0.4</v>
      </c>
      <c r="V1806" s="7"/>
      <c r="W1806" s="7"/>
      <c r="X1806" s="13"/>
      <c r="Y1806" s="13" t="s">
        <v>7447</v>
      </c>
    </row>
    <row r="1807" customFormat="false" ht="15.75" hidden="false" customHeight="true" outlineLevel="0" collapsed="false">
      <c r="A1807" s="7" t="s">
        <v>7448</v>
      </c>
      <c r="B1807" s="8" t="n">
        <v>2007</v>
      </c>
      <c r="C1807" s="8" t="s">
        <v>35</v>
      </c>
      <c r="D1807" s="8" t="n">
        <v>93</v>
      </c>
      <c r="E1807" s="7" t="s">
        <v>7449</v>
      </c>
      <c r="F1807" s="8" t="n">
        <v>6.1</v>
      </c>
      <c r="G1807" s="8" t="n">
        <v>6</v>
      </c>
      <c r="H1807" s="9" t="n">
        <v>363955</v>
      </c>
      <c r="I1807" s="7" t="s">
        <v>46</v>
      </c>
      <c r="J1807" s="7" t="s">
        <v>579</v>
      </c>
      <c r="K1807" s="7" t="s">
        <v>39</v>
      </c>
      <c r="L1807" s="10" t="s">
        <v>2023</v>
      </c>
      <c r="M1807" s="7" t="s">
        <v>7450</v>
      </c>
      <c r="N1807" s="8" t="n">
        <v>0</v>
      </c>
      <c r="O1807" s="8" t="n">
        <v>0</v>
      </c>
      <c r="P1807" s="8" t="n">
        <v>0</v>
      </c>
      <c r="Q1807" s="8" t="n">
        <v>0</v>
      </c>
      <c r="R1807" s="13" t="n">
        <v>0</v>
      </c>
      <c r="S1807" s="13" t="n">
        <v>0</v>
      </c>
      <c r="T1807" s="13"/>
      <c r="U1807" s="11" t="n">
        <f aca="false">O1807*4 + P1807*2 + MAX(0,N1807-O1807-P1807)*1 + Q1807*0.2 + R1807*2 + S1807*1 + IF(T1807="",0,IF(T1807&lt;=10,8,IF(T1807&lt;=50,6,IF(T1807&lt;=100,4,2))))</f>
        <v>0</v>
      </c>
      <c r="V1807" s="7"/>
      <c r="W1807" s="7"/>
      <c r="X1807" s="13"/>
      <c r="Y1807" s="13" t="s">
        <v>7451</v>
      </c>
    </row>
    <row r="1808" customFormat="false" ht="15.75" hidden="false" customHeight="true" outlineLevel="0" collapsed="false">
      <c r="A1808" s="7" t="s">
        <v>7452</v>
      </c>
      <c r="B1808" s="8" t="n">
        <v>2006</v>
      </c>
      <c r="C1808" s="8" t="s">
        <v>35</v>
      </c>
      <c r="D1808" s="8" t="n">
        <v>91</v>
      </c>
      <c r="E1808" s="7" t="s">
        <v>7453</v>
      </c>
      <c r="F1808" s="8" t="n">
        <v>6.7</v>
      </c>
      <c r="G1808" s="8" t="n">
        <v>7</v>
      </c>
      <c r="H1808" s="9" t="n">
        <v>157438</v>
      </c>
      <c r="I1808" s="7" t="s">
        <v>46</v>
      </c>
      <c r="J1808" s="7" t="s">
        <v>579</v>
      </c>
      <c r="K1808" s="7" t="s">
        <v>259</v>
      </c>
      <c r="L1808" s="10"/>
      <c r="M1808" s="10" t="s">
        <v>7454</v>
      </c>
      <c r="N1808" s="8" t="n">
        <v>0</v>
      </c>
      <c r="O1808" s="8" t="n">
        <v>0</v>
      </c>
      <c r="P1808" s="8" t="n">
        <v>0</v>
      </c>
      <c r="Q1808" s="8" t="n">
        <v>1</v>
      </c>
      <c r="R1808" s="8" t="n">
        <v>0</v>
      </c>
      <c r="S1808" s="8" t="n">
        <v>0</v>
      </c>
      <c r="T1808" s="13"/>
      <c r="U1808" s="11" t="n">
        <f aca="false">O1808*4 + P1808*2 + MAX(0,N1808-O1808-P1808)*1 + Q1808*0.2 + R1808*2 + S1808*1 + IF(T1808="",0,IF(T1808&lt;=10,8,IF(T1808&lt;=50,6,IF(T1808&lt;=100,4,2))))</f>
        <v>0.2</v>
      </c>
      <c r="V1808" s="7"/>
      <c r="W1808" s="7"/>
      <c r="X1808" s="13"/>
      <c r="Y1808" s="13" t="s">
        <v>7455</v>
      </c>
    </row>
    <row r="1809" customFormat="false" ht="15.75" hidden="false" customHeight="true" outlineLevel="0" collapsed="false">
      <c r="A1809" s="7" t="s">
        <v>7456</v>
      </c>
      <c r="B1809" s="8" t="n">
        <v>2005</v>
      </c>
      <c r="C1809" s="8" t="s">
        <v>35</v>
      </c>
      <c r="D1809" s="8" t="n">
        <v>91</v>
      </c>
      <c r="E1809" s="7" t="s">
        <v>7457</v>
      </c>
      <c r="F1809" s="8" t="n">
        <v>5.6</v>
      </c>
      <c r="G1809" s="8" t="n">
        <v>7</v>
      </c>
      <c r="H1809" s="9" t="n">
        <v>7166</v>
      </c>
      <c r="I1809" s="7" t="s">
        <v>232</v>
      </c>
      <c r="J1809" s="7" t="s">
        <v>30</v>
      </c>
      <c r="K1809" s="7" t="s">
        <v>54</v>
      </c>
      <c r="L1809" s="10" t="s">
        <v>7458</v>
      </c>
      <c r="M1809" s="10" t="s">
        <v>7459</v>
      </c>
      <c r="N1809" s="8" t="n">
        <v>0</v>
      </c>
      <c r="O1809" s="8" t="n">
        <v>0</v>
      </c>
      <c r="P1809" s="8" t="n">
        <v>0</v>
      </c>
      <c r="Q1809" s="8" t="n">
        <v>0</v>
      </c>
      <c r="R1809" s="13" t="n">
        <v>0</v>
      </c>
      <c r="S1809" s="13" t="n">
        <v>0</v>
      </c>
      <c r="T1809" s="13"/>
      <c r="U1809" s="11" t="n">
        <f aca="false">O1809*4 + P1809*2 + MAX(0,N1809-O1809-P1809)*1 + Q1809*0.2 + R1809*2 + S1809*1 + IF(T1809="",0,IF(T1809&lt;=10,8,IF(T1809&lt;=50,6,IF(T1809&lt;=100,4,2))))</f>
        <v>0</v>
      </c>
      <c r="V1809" s="7"/>
      <c r="W1809" s="7"/>
      <c r="X1809" s="13"/>
      <c r="Y1809" s="13" t="s">
        <v>7460</v>
      </c>
    </row>
    <row r="1810" customFormat="false" ht="15.75" hidden="false" customHeight="true" outlineLevel="0" collapsed="false">
      <c r="A1810" s="7" t="s">
        <v>7461</v>
      </c>
      <c r="B1810" s="8" t="n">
        <v>2011</v>
      </c>
      <c r="C1810" s="8" t="s">
        <v>176</v>
      </c>
      <c r="D1810" s="8" t="n">
        <v>93</v>
      </c>
      <c r="E1810" s="7" t="s">
        <v>7457</v>
      </c>
      <c r="F1810" s="8" t="n">
        <v>5.4</v>
      </c>
      <c r="G1810" s="8" t="n">
        <v>6</v>
      </c>
      <c r="H1810" s="9" t="n">
        <v>6266</v>
      </c>
      <c r="I1810" s="7" t="s">
        <v>232</v>
      </c>
      <c r="J1810" s="7" t="s">
        <v>112</v>
      </c>
      <c r="K1810" s="7" t="s">
        <v>54</v>
      </c>
      <c r="L1810" s="10" t="s">
        <v>7458</v>
      </c>
      <c r="M1810" s="10" t="s">
        <v>7462</v>
      </c>
      <c r="N1810" s="8" t="n">
        <v>0</v>
      </c>
      <c r="O1810" s="8" t="n">
        <v>0</v>
      </c>
      <c r="P1810" s="8" t="n">
        <v>0</v>
      </c>
      <c r="Q1810" s="8" t="n">
        <v>0</v>
      </c>
      <c r="R1810" s="13" t="n">
        <v>0</v>
      </c>
      <c r="S1810" s="13" t="n">
        <v>0</v>
      </c>
      <c r="T1810" s="13"/>
      <c r="U1810" s="11" t="n">
        <f aca="false">O1810*4 + P1810*2 + MAX(0,N1810-O1810-P1810)*1 + Q1810*0.2 + R1810*2 + S1810*1 + IF(T1810="",0,IF(T1810&lt;=10,8,IF(T1810&lt;=50,6,IF(T1810&lt;=100,4,2))))</f>
        <v>0</v>
      </c>
      <c r="V1810" s="7"/>
      <c r="W1810" s="7"/>
      <c r="X1810" s="13"/>
      <c r="Y1810" s="13" t="s">
        <v>7463</v>
      </c>
    </row>
    <row r="1811" customFormat="false" ht="15.75" hidden="false" customHeight="true" outlineLevel="0" collapsed="false">
      <c r="A1811" s="7" t="s">
        <v>7464</v>
      </c>
      <c r="B1811" s="8" t="n">
        <v>2001</v>
      </c>
      <c r="C1811" s="8" t="s">
        <v>35</v>
      </c>
      <c r="D1811" s="8" t="n">
        <v>99</v>
      </c>
      <c r="E1811" s="7" t="s">
        <v>7457</v>
      </c>
      <c r="F1811" s="8" t="n">
        <v>6.4</v>
      </c>
      <c r="G1811" s="8" t="n">
        <v>8</v>
      </c>
      <c r="H1811" s="9" t="n">
        <v>9085</v>
      </c>
      <c r="I1811" s="7" t="s">
        <v>232</v>
      </c>
      <c r="J1811" s="7" t="s">
        <v>112</v>
      </c>
      <c r="K1811" s="7" t="s">
        <v>54</v>
      </c>
      <c r="L1811" s="10" t="s">
        <v>7458</v>
      </c>
      <c r="M1811" s="10" t="s">
        <v>7465</v>
      </c>
      <c r="N1811" s="8" t="n">
        <v>0</v>
      </c>
      <c r="O1811" s="8" t="n">
        <v>0</v>
      </c>
      <c r="P1811" s="8" t="n">
        <v>0</v>
      </c>
      <c r="Q1811" s="8" t="n">
        <v>0</v>
      </c>
      <c r="R1811" s="13" t="n">
        <v>0</v>
      </c>
      <c r="S1811" s="13" t="n">
        <v>0</v>
      </c>
      <c r="T1811" s="13"/>
      <c r="U1811" s="11" t="n">
        <f aca="false">O1811*4 + P1811*2 + MAX(0,N1811-O1811-P1811)*1 + Q1811*0.2 + R1811*2 + S1811*1 + IF(T1811="",0,IF(T1811&lt;=10,8,IF(T1811&lt;=50,6,IF(T1811&lt;=100,4,2))))</f>
        <v>0</v>
      </c>
      <c r="V1811" s="7"/>
      <c r="W1811" s="7"/>
      <c r="X1811" s="13"/>
      <c r="Y1811" s="13" t="s">
        <v>7466</v>
      </c>
    </row>
    <row r="1812" customFormat="false" ht="15.75" hidden="false" customHeight="true" outlineLevel="0" collapsed="false">
      <c r="A1812" s="7" t="s">
        <v>7467</v>
      </c>
      <c r="B1812" s="8" t="n">
        <v>2014</v>
      </c>
      <c r="C1812" s="8" t="s">
        <v>176</v>
      </c>
      <c r="D1812" s="8" t="n">
        <v>105</v>
      </c>
      <c r="E1812" s="7" t="s">
        <v>7457</v>
      </c>
      <c r="F1812" s="8" t="n">
        <v>5.3</v>
      </c>
      <c r="G1812" s="8" t="n">
        <v>4</v>
      </c>
      <c r="H1812" s="9" t="n">
        <v>5271</v>
      </c>
      <c r="I1812" s="7" t="s">
        <v>232</v>
      </c>
      <c r="J1812" s="7" t="s">
        <v>112</v>
      </c>
      <c r="K1812" s="7" t="s">
        <v>132</v>
      </c>
      <c r="L1812" s="10" t="s">
        <v>7458</v>
      </c>
      <c r="M1812" s="10" t="s">
        <v>7468</v>
      </c>
      <c r="N1812" s="8" t="n">
        <v>0</v>
      </c>
      <c r="O1812" s="8" t="n">
        <v>0</v>
      </c>
      <c r="P1812" s="8" t="n">
        <v>0</v>
      </c>
      <c r="Q1812" s="8" t="n">
        <v>0</v>
      </c>
      <c r="R1812" s="13" t="n">
        <v>0</v>
      </c>
      <c r="S1812" s="13" t="n">
        <v>0</v>
      </c>
      <c r="T1812" s="13"/>
      <c r="U1812" s="11" t="n">
        <f aca="false">O1812*4 + P1812*2 + MAX(0,N1812-O1812-P1812)*1 + Q1812*0.2 + R1812*2 + S1812*1 + IF(T1812="",0,IF(T1812&lt;=10,8,IF(T1812&lt;=50,6,IF(T1812&lt;=100,4,2))))</f>
        <v>0</v>
      </c>
      <c r="V1812" s="7"/>
      <c r="W1812" s="7"/>
      <c r="X1812" s="13"/>
      <c r="Y1812" s="13" t="s">
        <v>7469</v>
      </c>
    </row>
    <row r="1813" customFormat="false" ht="15.75" hidden="false" customHeight="true" outlineLevel="0" collapsed="false">
      <c r="A1813" s="7" t="s">
        <v>7470</v>
      </c>
      <c r="B1813" s="8" t="n">
        <v>1994</v>
      </c>
      <c r="C1813" s="8" t="s">
        <v>26</v>
      </c>
      <c r="D1813" s="8" t="n">
        <v>88</v>
      </c>
      <c r="E1813" s="7" t="s">
        <v>7471</v>
      </c>
      <c r="F1813" s="8" t="n">
        <v>8.5</v>
      </c>
      <c r="G1813" s="8" t="n">
        <v>8</v>
      </c>
      <c r="H1813" s="9" t="n">
        <v>1272443</v>
      </c>
      <c r="I1813" s="7" t="s">
        <v>46</v>
      </c>
      <c r="J1813" s="7" t="s">
        <v>579</v>
      </c>
      <c r="K1813" s="7" t="s">
        <v>39</v>
      </c>
      <c r="L1813" s="10" t="s">
        <v>177</v>
      </c>
      <c r="M1813" s="7" t="s">
        <v>7472</v>
      </c>
      <c r="N1813" s="8" t="n">
        <v>2</v>
      </c>
      <c r="O1813" s="8" t="n">
        <v>0</v>
      </c>
      <c r="P1813" s="8" t="n">
        <v>0</v>
      </c>
      <c r="Q1813" s="8" t="n">
        <v>4</v>
      </c>
      <c r="R1813" s="8" t="n">
        <v>0</v>
      </c>
      <c r="S1813" s="8" t="n">
        <v>1</v>
      </c>
      <c r="T1813" s="8"/>
      <c r="U1813" s="11" t="n">
        <f aca="false">O1813*4 + P1813*2 + MAX(0,N1813-O1813-P1813)*1 + Q1813*0.2 + R1813*2 + S1813*1 + IF(T1813="",0,IF(T1813&lt;=10,8,IF(T1813&lt;=50,6,IF(T1813&lt;=100,4,2))))</f>
        <v>3.8</v>
      </c>
      <c r="V1813" s="7"/>
      <c r="W1813" s="7"/>
      <c r="X1813" s="13"/>
      <c r="Y1813" s="13" t="s">
        <v>7473</v>
      </c>
    </row>
    <row r="1814" customFormat="false" ht="15.75" hidden="false" customHeight="true" outlineLevel="0" collapsed="false">
      <c r="A1814" s="7" t="s">
        <v>7474</v>
      </c>
      <c r="B1814" s="8" t="n">
        <v>2008</v>
      </c>
      <c r="C1814" s="8" t="s">
        <v>35</v>
      </c>
      <c r="D1814" s="8" t="n">
        <v>108</v>
      </c>
      <c r="E1814" s="7" t="s">
        <v>6983</v>
      </c>
      <c r="F1814" s="8" t="n">
        <v>6</v>
      </c>
      <c r="G1814" s="8" t="n">
        <v>6</v>
      </c>
      <c r="H1814" s="9" t="n">
        <v>32104</v>
      </c>
      <c r="I1814" s="7" t="s">
        <v>7475</v>
      </c>
      <c r="J1814" s="7" t="s">
        <v>131</v>
      </c>
      <c r="K1814" s="7" t="s">
        <v>54</v>
      </c>
      <c r="L1814" s="10" t="s">
        <v>447</v>
      </c>
      <c r="M1814" s="10" t="s">
        <v>7476</v>
      </c>
      <c r="N1814" s="8" t="n">
        <v>0</v>
      </c>
      <c r="O1814" s="8" t="n">
        <v>0</v>
      </c>
      <c r="P1814" s="8" t="n">
        <v>0</v>
      </c>
      <c r="Q1814" s="8" t="n">
        <v>0</v>
      </c>
      <c r="R1814" s="13" t="n">
        <v>0</v>
      </c>
      <c r="S1814" s="13" t="n">
        <v>0</v>
      </c>
      <c r="T1814" s="13"/>
      <c r="U1814" s="11" t="n">
        <f aca="false">O1814*4 + P1814*2 + MAX(0,N1814-O1814-P1814)*1 + Q1814*0.2 + R1814*2 + S1814*1 + IF(T1814="",0,IF(T1814&lt;=10,8,IF(T1814&lt;=50,6,IF(T1814&lt;=100,4,2))))</f>
        <v>0</v>
      </c>
      <c r="V1814" s="7"/>
      <c r="W1814" s="7"/>
      <c r="X1814" s="13"/>
      <c r="Y1814" s="13" t="s">
        <v>7477</v>
      </c>
    </row>
    <row r="1815" customFormat="false" ht="15.75" hidden="false" customHeight="true" outlineLevel="0" collapsed="false">
      <c r="A1815" s="7" t="s">
        <v>7478</v>
      </c>
      <c r="B1815" s="8" t="n">
        <v>2001</v>
      </c>
      <c r="C1815" s="8" t="s">
        <v>35</v>
      </c>
      <c r="D1815" s="8" t="n">
        <v>124</v>
      </c>
      <c r="E1815" s="7" t="s">
        <v>1419</v>
      </c>
      <c r="F1815" s="8" t="n">
        <v>7.5</v>
      </c>
      <c r="G1815" s="8" t="n">
        <v>7</v>
      </c>
      <c r="H1815" s="9" t="n">
        <v>288581</v>
      </c>
      <c r="I1815" s="7" t="s">
        <v>46</v>
      </c>
      <c r="J1815" s="7" t="s">
        <v>47</v>
      </c>
      <c r="K1815" s="7" t="s">
        <v>1005</v>
      </c>
      <c r="L1815" s="10" t="s">
        <v>113</v>
      </c>
      <c r="M1815" s="7" t="s">
        <v>7479</v>
      </c>
      <c r="N1815" s="8" t="n">
        <v>0</v>
      </c>
      <c r="O1815" s="8" t="n">
        <v>0</v>
      </c>
      <c r="P1815" s="8" t="n">
        <v>0</v>
      </c>
      <c r="Q1815" s="8" t="n">
        <v>0</v>
      </c>
      <c r="R1815" s="13" t="n">
        <v>0</v>
      </c>
      <c r="S1815" s="13" t="n">
        <v>0</v>
      </c>
      <c r="T1815" s="13"/>
      <c r="U1815" s="11" t="n">
        <f aca="false">O1815*4 + P1815*2 + MAX(0,N1815-O1815-P1815)*1 + Q1815*0.2 + R1815*2 + S1815*1 + IF(T1815="",0,IF(T1815&lt;=10,8,IF(T1815&lt;=50,6,IF(T1815&lt;=100,4,2))))</f>
        <v>0</v>
      </c>
      <c r="V1815" s="7"/>
      <c r="W1815" s="7"/>
      <c r="X1815" s="13"/>
      <c r="Y1815" s="13" t="s">
        <v>7480</v>
      </c>
    </row>
    <row r="1816" customFormat="false" ht="15.75" hidden="false" customHeight="true" outlineLevel="0" collapsed="false">
      <c r="A1816" s="7" t="s">
        <v>7481</v>
      </c>
      <c r="B1816" s="8" t="n">
        <v>1998</v>
      </c>
      <c r="C1816" s="8" t="s">
        <v>26</v>
      </c>
      <c r="D1816" s="8" t="n">
        <v>82</v>
      </c>
      <c r="E1816" s="7" t="s">
        <v>7482</v>
      </c>
      <c r="F1816" s="8" t="n">
        <v>6.4</v>
      </c>
      <c r="G1816" s="8" t="n">
        <v>6</v>
      </c>
      <c r="H1816" s="9" t="n">
        <v>83825</v>
      </c>
      <c r="I1816" s="7" t="s">
        <v>2330</v>
      </c>
      <c r="J1816" s="7" t="s">
        <v>90</v>
      </c>
      <c r="K1816" s="7" t="s">
        <v>259</v>
      </c>
      <c r="L1816" s="10" t="s">
        <v>177</v>
      </c>
      <c r="M1816" s="10" t="s">
        <v>7483</v>
      </c>
      <c r="N1816" s="8" t="n">
        <v>0</v>
      </c>
      <c r="O1816" s="8" t="n">
        <v>0</v>
      </c>
      <c r="P1816" s="8" t="n">
        <v>0</v>
      </c>
      <c r="Q1816" s="8" t="n">
        <v>0</v>
      </c>
      <c r="R1816" s="13" t="n">
        <v>0</v>
      </c>
      <c r="S1816" s="13" t="n">
        <v>0</v>
      </c>
      <c r="T1816" s="13"/>
      <c r="U1816" s="11" t="n">
        <f aca="false">O1816*4 + P1816*2 + MAX(0,N1816-O1816-P1816)*1 + Q1816*0.2 + R1816*2 + S1816*1 + IF(T1816="",0,IF(T1816&lt;=10,8,IF(T1816&lt;=50,6,IF(T1816&lt;=100,4,2))))</f>
        <v>0</v>
      </c>
      <c r="V1816" s="7"/>
      <c r="W1816" s="7"/>
      <c r="X1816" s="13"/>
      <c r="Y1816" s="13" t="s">
        <v>7484</v>
      </c>
    </row>
    <row r="1817" customFormat="false" ht="15.75" hidden="false" customHeight="true" outlineLevel="0" collapsed="false">
      <c r="A1817" s="7" t="s">
        <v>7485</v>
      </c>
      <c r="B1817" s="8" t="n">
        <v>2014</v>
      </c>
      <c r="C1817" s="8" t="s">
        <v>176</v>
      </c>
      <c r="D1817" s="8" t="n">
        <v>133</v>
      </c>
      <c r="E1817" s="7" t="s">
        <v>74</v>
      </c>
      <c r="F1817" s="8" t="n">
        <v>7.3</v>
      </c>
      <c r="G1817" s="8" t="n">
        <v>9</v>
      </c>
      <c r="H1817" s="9" t="n">
        <v>574235</v>
      </c>
      <c r="I1817" s="7" t="s">
        <v>46</v>
      </c>
      <c r="J1817" s="7" t="s">
        <v>112</v>
      </c>
      <c r="K1817" s="7" t="s">
        <v>48</v>
      </c>
      <c r="L1817" s="10" t="s">
        <v>1936</v>
      </c>
      <c r="M1817" s="7" t="s">
        <v>7486</v>
      </c>
      <c r="N1817" s="8" t="n">
        <v>1</v>
      </c>
      <c r="O1817" s="8" t="n">
        <v>0</v>
      </c>
      <c r="P1817" s="8" t="n">
        <v>0</v>
      </c>
      <c r="Q1817" s="8" t="n">
        <v>6</v>
      </c>
      <c r="R1817" s="8" t="n">
        <v>0</v>
      </c>
      <c r="S1817" s="8" t="n">
        <v>0</v>
      </c>
      <c r="T1817" s="13"/>
      <c r="U1817" s="11" t="n">
        <f aca="false">O1817*4 + P1817*2 + MAX(0,N1817-O1817-P1817)*1 + Q1817*0.2 + R1817*2 + S1817*1 + IF(T1817="",0,IF(T1817&lt;=10,8,IF(T1817&lt;=50,6,IF(T1817&lt;=100,4,2))))</f>
        <v>2.2</v>
      </c>
      <c r="V1817" s="7"/>
      <c r="W1817" s="7"/>
      <c r="X1817" s="13"/>
      <c r="Y1817" s="13" t="s">
        <v>7487</v>
      </c>
    </row>
    <row r="1818" customFormat="false" ht="15.75" hidden="false" customHeight="true" outlineLevel="0" collapsed="false">
      <c r="A1818" s="7" t="s">
        <v>7488</v>
      </c>
      <c r="B1818" s="8" t="n">
        <v>2004</v>
      </c>
      <c r="C1818" s="8" t="s">
        <v>35</v>
      </c>
      <c r="D1818" s="8" t="n">
        <v>77</v>
      </c>
      <c r="E1818" s="7" t="s">
        <v>7489</v>
      </c>
      <c r="F1818" s="8" t="n">
        <v>6.5</v>
      </c>
      <c r="G1818" s="8" t="n">
        <v>4</v>
      </c>
      <c r="H1818" s="9" t="n">
        <v>51499</v>
      </c>
      <c r="I1818" s="7" t="s">
        <v>2330</v>
      </c>
      <c r="J1818" s="7" t="s">
        <v>90</v>
      </c>
      <c r="K1818" s="7" t="s">
        <v>259</v>
      </c>
      <c r="L1818" s="10" t="s">
        <v>177</v>
      </c>
      <c r="M1818" s="10" t="s">
        <v>7490</v>
      </c>
      <c r="N1818" s="8" t="n">
        <v>0</v>
      </c>
      <c r="O1818" s="8" t="n">
        <v>0</v>
      </c>
      <c r="P1818" s="8" t="n">
        <v>0</v>
      </c>
      <c r="Q1818" s="8" t="n">
        <v>0</v>
      </c>
      <c r="R1818" s="13" t="n">
        <v>0</v>
      </c>
      <c r="S1818" s="13" t="n">
        <v>0</v>
      </c>
      <c r="T1818" s="13"/>
      <c r="U1818" s="11" t="n">
        <f aca="false">O1818*4 + P1818*2 + MAX(0,N1818-O1818-P1818)*1 + Q1818*0.2 + R1818*2 + S1818*1 + IF(T1818="",0,IF(T1818&lt;=10,8,IF(T1818&lt;=50,6,IF(T1818&lt;=100,4,2))))</f>
        <v>0</v>
      </c>
      <c r="V1818" s="7"/>
      <c r="W1818" s="7"/>
      <c r="X1818" s="13"/>
      <c r="Y1818" s="13" t="s">
        <v>7491</v>
      </c>
    </row>
    <row r="1819" customFormat="false" ht="15.75" hidden="false" customHeight="true" outlineLevel="0" collapsed="false">
      <c r="A1819" s="7" t="s">
        <v>7492</v>
      </c>
      <c r="B1819" s="8" t="n">
        <v>2001</v>
      </c>
      <c r="C1819" s="8" t="s">
        <v>35</v>
      </c>
      <c r="D1819" s="8" t="n">
        <v>95</v>
      </c>
      <c r="E1819" s="7" t="s">
        <v>7493</v>
      </c>
      <c r="F1819" s="8" t="n">
        <v>6.9</v>
      </c>
      <c r="G1819" s="8" t="n">
        <v>5</v>
      </c>
      <c r="H1819" s="9" t="n">
        <v>149520</v>
      </c>
      <c r="I1819" s="7" t="s">
        <v>46</v>
      </c>
      <c r="J1819" s="7" t="s">
        <v>579</v>
      </c>
      <c r="K1819" s="7" t="s">
        <v>112</v>
      </c>
      <c r="L1819" s="10" t="s">
        <v>177</v>
      </c>
      <c r="M1819" s="10" t="s">
        <v>7494</v>
      </c>
      <c r="N1819" s="8" t="n">
        <v>0</v>
      </c>
      <c r="O1819" s="8" t="n">
        <v>0</v>
      </c>
      <c r="P1819" s="8" t="n">
        <v>0</v>
      </c>
      <c r="Q1819" s="8" t="n">
        <v>0</v>
      </c>
      <c r="R1819" s="13" t="n">
        <v>0</v>
      </c>
      <c r="S1819" s="13" t="n">
        <v>0</v>
      </c>
      <c r="T1819" s="13"/>
      <c r="U1819" s="11" t="n">
        <f aca="false">O1819*4 + P1819*2 + MAX(0,N1819-O1819-P1819)*1 + Q1819*0.2 + R1819*2 + S1819*1 + IF(T1819="",0,IF(T1819&lt;=10,8,IF(T1819&lt;=50,6,IF(T1819&lt;=100,4,2))))</f>
        <v>0</v>
      </c>
      <c r="V1819" s="7"/>
      <c r="W1819" s="7"/>
      <c r="X1819" s="13"/>
      <c r="Y1819" s="13" t="s">
        <v>7495</v>
      </c>
    </row>
    <row r="1820" customFormat="false" ht="15.75" hidden="false" customHeight="true" outlineLevel="0" collapsed="false">
      <c r="A1820" s="7" t="s">
        <v>7496</v>
      </c>
      <c r="B1820" s="8" t="n">
        <v>2002</v>
      </c>
      <c r="C1820" s="8" t="s">
        <v>35</v>
      </c>
      <c r="D1820" s="8" t="n">
        <v>81</v>
      </c>
      <c r="E1820" s="7" t="s">
        <v>7497</v>
      </c>
      <c r="F1820" s="8" t="n">
        <v>7.5</v>
      </c>
      <c r="G1820" s="8" t="n">
        <v>8</v>
      </c>
      <c r="H1820" s="9" t="n">
        <v>570202</v>
      </c>
      <c r="I1820" s="7" t="s">
        <v>46</v>
      </c>
      <c r="J1820" s="7" t="s">
        <v>579</v>
      </c>
      <c r="K1820" s="7" t="s">
        <v>39</v>
      </c>
      <c r="L1820" s="10" t="s">
        <v>177</v>
      </c>
      <c r="M1820" s="7" t="s">
        <v>2112</v>
      </c>
      <c r="N1820" s="8" t="n">
        <v>0</v>
      </c>
      <c r="O1820" s="8" t="n">
        <v>0</v>
      </c>
      <c r="P1820" s="8" t="n">
        <v>0</v>
      </c>
      <c r="Q1820" s="8" t="n">
        <v>1</v>
      </c>
      <c r="R1820" s="8" t="n">
        <v>0</v>
      </c>
      <c r="S1820" s="8" t="n">
        <v>0</v>
      </c>
      <c r="T1820" s="13"/>
      <c r="U1820" s="11" t="n">
        <f aca="false">O1820*4 + P1820*2 + MAX(0,N1820-O1820-P1820)*1 + Q1820*0.2 + R1820*2 + S1820*1 + IF(T1820="",0,IF(T1820&lt;=10,8,IF(T1820&lt;=50,6,IF(T1820&lt;=100,4,2))))</f>
        <v>0.2</v>
      </c>
      <c r="V1820" s="7"/>
      <c r="W1820" s="7"/>
      <c r="X1820" s="13"/>
      <c r="Y1820" s="13" t="s">
        <v>2113</v>
      </c>
    </row>
    <row r="1821" customFormat="false" ht="15.75" hidden="false" customHeight="true" outlineLevel="0" collapsed="false">
      <c r="A1821" s="7" t="s">
        <v>7498</v>
      </c>
      <c r="B1821" s="8" t="n">
        <v>2006</v>
      </c>
      <c r="C1821" s="8" t="s">
        <v>35</v>
      </c>
      <c r="D1821" s="8" t="n">
        <v>91</v>
      </c>
      <c r="E1821" s="7" t="s">
        <v>6112</v>
      </c>
      <c r="F1821" s="8" t="n">
        <v>6.8</v>
      </c>
      <c r="G1821" s="8" t="n">
        <v>7</v>
      </c>
      <c r="H1821" s="9" t="n">
        <v>320951</v>
      </c>
      <c r="I1821" s="7" t="s">
        <v>46</v>
      </c>
      <c r="J1821" s="7" t="s">
        <v>579</v>
      </c>
      <c r="K1821" s="7" t="s">
        <v>39</v>
      </c>
      <c r="L1821" s="10" t="s">
        <v>177</v>
      </c>
      <c r="M1821" s="7" t="s">
        <v>7499</v>
      </c>
      <c r="N1821" s="8" t="n">
        <v>0</v>
      </c>
      <c r="O1821" s="8" t="n">
        <v>0</v>
      </c>
      <c r="P1821" s="8" t="n">
        <v>0</v>
      </c>
      <c r="Q1821" s="8" t="n">
        <v>0</v>
      </c>
      <c r="R1821" s="13" t="n">
        <v>0</v>
      </c>
      <c r="S1821" s="13" t="n">
        <v>0</v>
      </c>
      <c r="T1821" s="13"/>
      <c r="U1821" s="11" t="n">
        <f aca="false">O1821*4 + P1821*2 + MAX(0,N1821-O1821-P1821)*1 + Q1821*0.2 + R1821*2 + S1821*1 + IF(T1821="",0,IF(T1821&lt;=10,8,IF(T1821&lt;=50,6,IF(T1821&lt;=100,4,2))))</f>
        <v>0</v>
      </c>
      <c r="V1821" s="7"/>
      <c r="W1821" s="7"/>
      <c r="X1821" s="13"/>
      <c r="Y1821" s="13" t="s">
        <v>7500</v>
      </c>
    </row>
    <row r="1822" customFormat="false" ht="15.75" hidden="false" customHeight="true" outlineLevel="0" collapsed="false">
      <c r="A1822" s="7" t="s">
        <v>7501</v>
      </c>
      <c r="B1822" s="8" t="n">
        <v>2009</v>
      </c>
      <c r="C1822" s="8" t="s">
        <v>35</v>
      </c>
      <c r="D1822" s="8" t="n">
        <v>94</v>
      </c>
      <c r="E1822" s="7" t="s">
        <v>7502</v>
      </c>
      <c r="F1822" s="8" t="n">
        <v>6.9</v>
      </c>
      <c r="G1822" s="8" t="n">
        <v>6</v>
      </c>
      <c r="H1822" s="9" t="n">
        <v>288531</v>
      </c>
      <c r="I1822" s="7" t="s">
        <v>46</v>
      </c>
      <c r="J1822" s="7" t="s">
        <v>579</v>
      </c>
      <c r="K1822" s="7" t="s">
        <v>39</v>
      </c>
      <c r="L1822" s="10" t="s">
        <v>177</v>
      </c>
      <c r="M1822" s="7" t="s">
        <v>7503</v>
      </c>
      <c r="N1822" s="8" t="n">
        <v>0</v>
      </c>
      <c r="O1822" s="8" t="n">
        <v>0</v>
      </c>
      <c r="P1822" s="8" t="n">
        <v>0</v>
      </c>
      <c r="Q1822" s="8" t="n">
        <v>0</v>
      </c>
      <c r="R1822" s="13" t="n">
        <v>0</v>
      </c>
      <c r="S1822" s="13" t="n">
        <v>0</v>
      </c>
      <c r="T1822" s="13"/>
      <c r="U1822" s="11" t="n">
        <f aca="false">O1822*4 + P1822*2 + MAX(0,N1822-O1822-P1822)*1 + Q1822*0.2 + R1822*2 + S1822*1 + IF(T1822="",0,IF(T1822&lt;=10,8,IF(T1822&lt;=50,6,IF(T1822&lt;=100,4,2))))</f>
        <v>0</v>
      </c>
      <c r="V1822" s="7"/>
      <c r="W1822" s="7"/>
      <c r="X1822" s="13"/>
      <c r="Y1822" s="13" t="s">
        <v>7504</v>
      </c>
    </row>
    <row r="1823" customFormat="false" ht="15.75" hidden="false" customHeight="true" outlineLevel="0" collapsed="false">
      <c r="A1823" s="7" t="s">
        <v>7505</v>
      </c>
      <c r="B1823" s="8" t="n">
        <v>2014</v>
      </c>
      <c r="C1823" s="8" t="s">
        <v>176</v>
      </c>
      <c r="D1823" s="8" t="n">
        <v>92</v>
      </c>
      <c r="E1823" s="7" t="s">
        <v>7506</v>
      </c>
      <c r="F1823" s="8" t="n">
        <v>6.7</v>
      </c>
      <c r="G1823" s="8" t="n">
        <v>5</v>
      </c>
      <c r="H1823" s="9" t="n">
        <v>117578</v>
      </c>
      <c r="I1823" s="7" t="s">
        <v>46</v>
      </c>
      <c r="J1823" s="7" t="s">
        <v>579</v>
      </c>
      <c r="K1823" s="7" t="s">
        <v>112</v>
      </c>
      <c r="L1823" s="10" t="s">
        <v>192</v>
      </c>
      <c r="M1823" s="10" t="s">
        <v>7507</v>
      </c>
      <c r="N1823" s="8" t="n">
        <v>0</v>
      </c>
      <c r="O1823" s="8" t="n">
        <v>0</v>
      </c>
      <c r="P1823" s="8" t="n">
        <v>0</v>
      </c>
      <c r="Q1823" s="8" t="n">
        <v>0</v>
      </c>
      <c r="R1823" s="13" t="n">
        <v>0</v>
      </c>
      <c r="S1823" s="13" t="n">
        <v>0</v>
      </c>
      <c r="T1823" s="13"/>
      <c r="U1823" s="11" t="n">
        <f aca="false">O1823*4 + P1823*2 + MAX(0,N1823-O1823-P1823)*1 + Q1823*0.2 + R1823*2 + S1823*1 + IF(T1823="",0,IF(T1823&lt;=10,8,IF(T1823&lt;=50,6,IF(T1823&lt;=100,4,2))))</f>
        <v>0</v>
      </c>
      <c r="V1823" s="7"/>
      <c r="W1823" s="7"/>
      <c r="X1823" s="13"/>
      <c r="Y1823" s="13" t="s">
        <v>7508</v>
      </c>
    </row>
    <row r="1824" customFormat="false" ht="15.75" hidden="false" customHeight="true" outlineLevel="0" collapsed="false">
      <c r="A1824" s="7" t="s">
        <v>7509</v>
      </c>
      <c r="B1824" s="8" t="n">
        <v>1998</v>
      </c>
      <c r="C1824" s="8" t="s">
        <v>26</v>
      </c>
      <c r="D1824" s="8" t="n">
        <v>110</v>
      </c>
      <c r="E1824" s="7" t="s">
        <v>7510</v>
      </c>
      <c r="F1824" s="8" t="n">
        <v>6.3</v>
      </c>
      <c r="G1824" s="8" t="n">
        <v>6</v>
      </c>
      <c r="H1824" s="9" t="n">
        <v>111073</v>
      </c>
      <c r="I1824" s="7" t="s">
        <v>46</v>
      </c>
      <c r="J1824" s="7" t="s">
        <v>112</v>
      </c>
      <c r="K1824" s="7" t="s">
        <v>39</v>
      </c>
      <c r="L1824" s="10"/>
      <c r="M1824" s="10" t="s">
        <v>7511</v>
      </c>
      <c r="N1824" s="8" t="n">
        <v>0</v>
      </c>
      <c r="O1824" s="8" t="n">
        <v>0</v>
      </c>
      <c r="P1824" s="8" t="n">
        <v>0</v>
      </c>
      <c r="Q1824" s="8" t="n">
        <v>0</v>
      </c>
      <c r="R1824" s="13" t="n">
        <v>0</v>
      </c>
      <c r="S1824" s="13" t="n">
        <v>0</v>
      </c>
      <c r="T1824" s="13"/>
      <c r="U1824" s="11" t="n">
        <f aca="false">O1824*4 + P1824*2 + MAX(0,N1824-O1824-P1824)*1 + Q1824*0.2 + R1824*2 + S1824*1 + IF(T1824="",0,IF(T1824&lt;=10,8,IF(T1824&lt;=50,6,IF(T1824&lt;=100,4,2))))</f>
        <v>0</v>
      </c>
      <c r="V1824" s="7"/>
      <c r="W1824" s="7"/>
      <c r="X1824" s="13"/>
      <c r="Y1824" s="13" t="s">
        <v>7512</v>
      </c>
    </row>
    <row r="1825" customFormat="false" ht="15.75" hidden="false" customHeight="true" outlineLevel="0" collapsed="false">
      <c r="A1825" s="7" t="s">
        <v>7513</v>
      </c>
      <c r="B1825" s="8" t="n">
        <v>2003</v>
      </c>
      <c r="C1825" s="8" t="s">
        <v>35</v>
      </c>
      <c r="D1825" s="8" t="n">
        <v>110</v>
      </c>
      <c r="E1825" s="7" t="s">
        <v>6881</v>
      </c>
      <c r="F1825" s="8" t="n">
        <v>5.8</v>
      </c>
      <c r="G1825" s="8" t="n">
        <v>6</v>
      </c>
      <c r="H1825" s="9" t="n">
        <v>192898</v>
      </c>
      <c r="I1825" s="7" t="s">
        <v>7514</v>
      </c>
      <c r="J1825" s="7" t="s">
        <v>38</v>
      </c>
      <c r="K1825" s="7" t="s">
        <v>112</v>
      </c>
      <c r="L1825" s="10" t="s">
        <v>177</v>
      </c>
      <c r="M1825" s="10" t="s">
        <v>7515</v>
      </c>
      <c r="N1825" s="8" t="n">
        <v>0</v>
      </c>
      <c r="O1825" s="8" t="n">
        <v>0</v>
      </c>
      <c r="P1825" s="8" t="n">
        <v>0</v>
      </c>
      <c r="Q1825" s="8" t="n">
        <v>0</v>
      </c>
      <c r="R1825" s="13" t="n">
        <v>0</v>
      </c>
      <c r="S1825" s="13" t="n">
        <v>0</v>
      </c>
      <c r="T1825" s="13"/>
      <c r="U1825" s="11" t="n">
        <f aca="false">O1825*4 + P1825*2 + MAX(0,N1825-O1825-P1825)*1 + Q1825*0.2 + R1825*2 + S1825*1 + IF(T1825="",0,IF(T1825&lt;=10,8,IF(T1825&lt;=50,6,IF(T1825&lt;=100,4,2))))</f>
        <v>0</v>
      </c>
      <c r="V1825" s="7"/>
      <c r="W1825" s="7"/>
      <c r="X1825" s="13"/>
      <c r="Y1825" s="13" t="s">
        <v>7516</v>
      </c>
    </row>
    <row r="1826" customFormat="false" ht="15.75" hidden="false" customHeight="true" outlineLevel="0" collapsed="false">
      <c r="A1826" s="7" t="s">
        <v>7517</v>
      </c>
      <c r="B1826" s="8" t="n">
        <v>2007</v>
      </c>
      <c r="C1826" s="8" t="s">
        <v>35</v>
      </c>
      <c r="D1826" s="8" t="n">
        <v>99</v>
      </c>
      <c r="E1826" s="7" t="s">
        <v>7518</v>
      </c>
      <c r="F1826" s="8" t="n">
        <v>5.6</v>
      </c>
      <c r="G1826" s="8" t="n">
        <v>2</v>
      </c>
      <c r="H1826" s="9" t="n">
        <v>46291</v>
      </c>
      <c r="I1826" s="7" t="s">
        <v>46</v>
      </c>
      <c r="J1826" s="7" t="s">
        <v>147</v>
      </c>
      <c r="K1826" s="7" t="s">
        <v>131</v>
      </c>
      <c r="L1826" s="10"/>
      <c r="M1826" s="10" t="s">
        <v>7519</v>
      </c>
      <c r="N1826" s="8" t="n">
        <v>0</v>
      </c>
      <c r="O1826" s="8" t="n">
        <v>0</v>
      </c>
      <c r="P1826" s="8" t="n">
        <v>0</v>
      </c>
      <c r="Q1826" s="8" t="n">
        <v>0</v>
      </c>
      <c r="R1826" s="13" t="n">
        <v>0</v>
      </c>
      <c r="S1826" s="13" t="n">
        <v>0</v>
      </c>
      <c r="T1826" s="13"/>
      <c r="U1826" s="11" t="n">
        <f aca="false">O1826*4 + P1826*2 + MAX(0,N1826-O1826-P1826)*1 + Q1826*0.2 + R1826*2 + S1826*1 + IF(T1826="",0,IF(T1826&lt;=10,8,IF(T1826&lt;=50,6,IF(T1826&lt;=100,4,2))))</f>
        <v>0</v>
      </c>
      <c r="V1826" s="7"/>
      <c r="W1826" s="7"/>
      <c r="X1826" s="13"/>
      <c r="Y1826" s="13" t="s">
        <v>7520</v>
      </c>
    </row>
    <row r="1827" customFormat="false" ht="15.75" hidden="false" customHeight="true" outlineLevel="0" collapsed="false">
      <c r="A1827" s="7" t="s">
        <v>7521</v>
      </c>
      <c r="B1827" s="8" t="n">
        <v>1994</v>
      </c>
      <c r="C1827" s="8" t="s">
        <v>26</v>
      </c>
      <c r="D1827" s="8" t="n">
        <v>107</v>
      </c>
      <c r="E1827" s="7" t="s">
        <v>2466</v>
      </c>
      <c r="F1827" s="8" t="n">
        <v>7.3</v>
      </c>
      <c r="G1827" s="8" t="n">
        <v>7</v>
      </c>
      <c r="H1827" s="9" t="n">
        <v>446406</v>
      </c>
      <c r="I1827" s="7" t="s">
        <v>46</v>
      </c>
      <c r="J1827" s="7" t="s">
        <v>30</v>
      </c>
      <c r="K1827" s="7"/>
      <c r="L1827" s="10" t="s">
        <v>2236</v>
      </c>
      <c r="M1827" s="7" t="s">
        <v>7522</v>
      </c>
      <c r="N1827" s="8" t="n">
        <v>0</v>
      </c>
      <c r="O1827" s="8" t="n">
        <v>0</v>
      </c>
      <c r="P1827" s="8" t="n">
        <v>0</v>
      </c>
      <c r="Q1827" s="8" t="n">
        <v>0</v>
      </c>
      <c r="R1827" s="13" t="n">
        <v>0</v>
      </c>
      <c r="S1827" s="13" t="n">
        <v>0</v>
      </c>
      <c r="T1827" s="13"/>
      <c r="U1827" s="11" t="n">
        <f aca="false">O1827*4 + P1827*2 + MAX(0,N1827-O1827-P1827)*1 + Q1827*0.2 + R1827*2 + S1827*1 + IF(T1827="",0,IF(T1827&lt;=10,8,IF(T1827&lt;=50,6,IF(T1827&lt;=100,4,2))))</f>
        <v>0</v>
      </c>
      <c r="V1827" s="7"/>
      <c r="W1827" s="7"/>
      <c r="X1827" s="13"/>
      <c r="Y1827" s="13" t="s">
        <v>7523</v>
      </c>
    </row>
    <row r="1828" customFormat="false" ht="15.75" hidden="false" customHeight="true" outlineLevel="0" collapsed="false">
      <c r="A1828" s="7" t="s">
        <v>7524</v>
      </c>
      <c r="B1828" s="8" t="n">
        <v>1996</v>
      </c>
      <c r="C1828" s="8" t="s">
        <v>26</v>
      </c>
      <c r="D1828" s="8" t="n">
        <v>88</v>
      </c>
      <c r="E1828" s="7" t="s">
        <v>7525</v>
      </c>
      <c r="F1828" s="8" t="n">
        <v>6.5</v>
      </c>
      <c r="G1828" s="8" t="n">
        <v>7</v>
      </c>
      <c r="H1828" s="9" t="n">
        <v>230899</v>
      </c>
      <c r="I1828" s="7" t="s">
        <v>46</v>
      </c>
      <c r="J1828" s="7" t="s">
        <v>579</v>
      </c>
      <c r="K1828" s="7" t="s">
        <v>75</v>
      </c>
      <c r="L1828" s="10" t="s">
        <v>55</v>
      </c>
      <c r="M1828" s="10" t="s">
        <v>7526</v>
      </c>
      <c r="N1828" s="8" t="n">
        <v>0</v>
      </c>
      <c r="O1828" s="8" t="n">
        <v>0</v>
      </c>
      <c r="P1828" s="8" t="n">
        <v>0</v>
      </c>
      <c r="Q1828" s="8" t="n">
        <v>0</v>
      </c>
      <c r="R1828" s="13" t="n">
        <v>0</v>
      </c>
      <c r="S1828" s="13" t="n">
        <v>0</v>
      </c>
      <c r="T1828" s="13"/>
      <c r="U1828" s="11" t="n">
        <f aca="false">O1828*4 + P1828*2 + MAX(0,N1828-O1828-P1828)*1 + Q1828*0.2 + R1828*2 + S1828*1 + IF(T1828="",0,IF(T1828&lt;=10,8,IF(T1828&lt;=50,6,IF(T1828&lt;=100,4,2))))</f>
        <v>0</v>
      </c>
      <c r="V1828" s="7"/>
      <c r="W1828" s="7"/>
      <c r="X1828" s="13"/>
      <c r="Y1828" s="13" t="s">
        <v>7527</v>
      </c>
    </row>
    <row r="1829" customFormat="false" ht="15.75" hidden="false" customHeight="true" outlineLevel="0" collapsed="false">
      <c r="A1829" s="7" t="s">
        <v>7528</v>
      </c>
      <c r="B1829" s="8" t="n">
        <v>1994</v>
      </c>
      <c r="C1829" s="8" t="s">
        <v>26</v>
      </c>
      <c r="D1829" s="8" t="n">
        <v>86</v>
      </c>
      <c r="E1829" s="7" t="s">
        <v>6027</v>
      </c>
      <c r="F1829" s="8" t="n">
        <v>6.9</v>
      </c>
      <c r="G1829" s="8" t="n">
        <v>6</v>
      </c>
      <c r="H1829" s="9" t="n">
        <v>356959</v>
      </c>
      <c r="I1829" s="7" t="s">
        <v>46</v>
      </c>
      <c r="J1829" s="7" t="s">
        <v>30</v>
      </c>
      <c r="K1829" s="7"/>
      <c r="L1829" s="10" t="s">
        <v>210</v>
      </c>
      <c r="M1829" s="7" t="s">
        <v>7529</v>
      </c>
      <c r="N1829" s="8" t="n">
        <v>0</v>
      </c>
      <c r="O1829" s="8" t="n">
        <v>0</v>
      </c>
      <c r="P1829" s="8" t="n">
        <v>0</v>
      </c>
      <c r="Q1829" s="8" t="n">
        <v>0</v>
      </c>
      <c r="R1829" s="13" t="n">
        <v>0</v>
      </c>
      <c r="S1829" s="13" t="n">
        <v>0</v>
      </c>
      <c r="T1829" s="13"/>
      <c r="U1829" s="11" t="n">
        <f aca="false">O1829*4 + P1829*2 + MAX(0,N1829-O1829-P1829)*1 + Q1829*0.2 + R1829*2 + S1829*1 + IF(T1829="",0,IF(T1829&lt;=10,8,IF(T1829&lt;=50,6,IF(T1829&lt;=100,4,2))))</f>
        <v>0</v>
      </c>
      <c r="V1829" s="7"/>
      <c r="W1829" s="7"/>
      <c r="X1829" s="13"/>
      <c r="Y1829" s="13" t="s">
        <v>7530</v>
      </c>
    </row>
    <row r="1830" customFormat="false" ht="15.75" hidden="false" customHeight="true" outlineLevel="0" collapsed="false">
      <c r="A1830" s="7" t="s">
        <v>7531</v>
      </c>
      <c r="B1830" s="8" t="n">
        <v>2014</v>
      </c>
      <c r="C1830" s="8" t="s">
        <v>176</v>
      </c>
      <c r="D1830" s="8" t="n">
        <v>113</v>
      </c>
      <c r="E1830" s="7" t="s">
        <v>2153</v>
      </c>
      <c r="F1830" s="8" t="n">
        <v>7.9</v>
      </c>
      <c r="G1830" s="8" t="n">
        <v>6</v>
      </c>
      <c r="H1830" s="9" t="n">
        <v>812325</v>
      </c>
      <c r="I1830" s="7" t="s">
        <v>2330</v>
      </c>
      <c r="J1830" s="7" t="s">
        <v>111</v>
      </c>
      <c r="K1830" s="7" t="s">
        <v>112</v>
      </c>
      <c r="L1830" s="10" t="s">
        <v>55</v>
      </c>
      <c r="M1830" s="7" t="s">
        <v>7532</v>
      </c>
      <c r="N1830" s="8" t="n">
        <v>0</v>
      </c>
      <c r="O1830" s="8" t="n">
        <v>0</v>
      </c>
      <c r="P1830" s="8" t="n">
        <v>0</v>
      </c>
      <c r="Q1830" s="8" t="n">
        <v>0</v>
      </c>
      <c r="R1830" s="13" t="n">
        <v>0</v>
      </c>
      <c r="S1830" s="13" t="n">
        <v>0</v>
      </c>
      <c r="T1830" s="13"/>
      <c r="U1830" s="11" t="n">
        <f aca="false">O1830*4 + P1830*2 + MAX(0,N1830-O1830-P1830)*1 + Q1830*0.2 + R1830*2 + S1830*1 + IF(T1830="",0,IF(T1830&lt;=10,8,IF(T1830&lt;=50,6,IF(T1830&lt;=100,4,2))))</f>
        <v>0</v>
      </c>
      <c r="V1830" s="7"/>
      <c r="W1830" s="7"/>
      <c r="X1830" s="13"/>
      <c r="Y1830" s="13" t="s">
        <v>7533</v>
      </c>
    </row>
    <row r="1831" customFormat="false" ht="15.75" hidden="false" customHeight="true" outlineLevel="0" collapsed="false">
      <c r="A1831" s="7" t="s">
        <v>7534</v>
      </c>
      <c r="B1831" s="8" t="n">
        <v>1984</v>
      </c>
      <c r="C1831" s="8" t="s">
        <v>109</v>
      </c>
      <c r="D1831" s="8" t="n">
        <v>106</v>
      </c>
      <c r="E1831" s="7" t="s">
        <v>7510</v>
      </c>
      <c r="F1831" s="8" t="n">
        <v>7.3</v>
      </c>
      <c r="G1831" s="8" t="n">
        <v>6</v>
      </c>
      <c r="H1831" s="9" t="n">
        <v>276499</v>
      </c>
      <c r="I1831" s="7" t="s">
        <v>46</v>
      </c>
      <c r="J1831" s="7" t="s">
        <v>147</v>
      </c>
      <c r="K1831" s="7" t="s">
        <v>38</v>
      </c>
      <c r="L1831" s="10" t="s">
        <v>210</v>
      </c>
      <c r="M1831" s="7" t="s">
        <v>7535</v>
      </c>
      <c r="N1831" s="8" t="n">
        <v>0</v>
      </c>
      <c r="O1831" s="8" t="n">
        <v>0</v>
      </c>
      <c r="P1831" s="8" t="n">
        <v>0</v>
      </c>
      <c r="Q1831" s="8" t="n">
        <v>0</v>
      </c>
      <c r="R1831" s="13" t="n">
        <v>0</v>
      </c>
      <c r="S1831" s="13" t="n">
        <v>0</v>
      </c>
      <c r="T1831" s="13"/>
      <c r="U1831" s="11" t="n">
        <f aca="false">O1831*4 + P1831*2 + MAX(0,N1831-O1831-P1831)*1 + Q1831*0.2 + R1831*2 + S1831*1 + IF(T1831="",0,IF(T1831&lt;=10,8,IF(T1831&lt;=50,6,IF(T1831&lt;=100,4,2))))</f>
        <v>0</v>
      </c>
      <c r="V1831" s="7"/>
      <c r="W1831" s="7"/>
      <c r="X1831" s="13"/>
      <c r="Y1831" s="13" t="s">
        <v>7536</v>
      </c>
    </row>
    <row r="1832" customFormat="false" ht="15.75" hidden="false" customHeight="true" outlineLevel="0" collapsed="false">
      <c r="A1832" s="7" t="s">
        <v>7537</v>
      </c>
      <c r="B1832" s="8" t="n">
        <v>2015</v>
      </c>
      <c r="C1832" s="8" t="s">
        <v>176</v>
      </c>
      <c r="D1832" s="8" t="n">
        <v>137</v>
      </c>
      <c r="E1832" s="7" t="s">
        <v>2158</v>
      </c>
      <c r="F1832" s="8" t="n">
        <v>7.1</v>
      </c>
      <c r="G1832" s="8" t="n">
        <v>6</v>
      </c>
      <c r="H1832" s="9" t="n">
        <v>443277</v>
      </c>
      <c r="I1832" s="7" t="s">
        <v>2186</v>
      </c>
      <c r="J1832" s="7" t="s">
        <v>131</v>
      </c>
      <c r="K1832" s="7" t="s">
        <v>112</v>
      </c>
      <c r="L1832" s="10" t="s">
        <v>5302</v>
      </c>
      <c r="M1832" s="7" t="s">
        <v>7538</v>
      </c>
      <c r="N1832" s="8" t="n">
        <v>0</v>
      </c>
      <c r="O1832" s="8" t="n">
        <v>0</v>
      </c>
      <c r="P1832" s="8" t="n">
        <v>0</v>
      </c>
      <c r="Q1832" s="8" t="n">
        <v>0</v>
      </c>
      <c r="R1832" s="13" t="n">
        <v>0</v>
      </c>
      <c r="S1832" s="13" t="n">
        <v>0</v>
      </c>
      <c r="T1832" s="13"/>
      <c r="U1832" s="11" t="n">
        <f aca="false">O1832*4 + P1832*2 + MAX(0,N1832-O1832-P1832)*1 + Q1832*0.2 + R1832*2 + S1832*1 + IF(T1832="",0,IF(T1832&lt;=10,8,IF(T1832&lt;=50,6,IF(T1832&lt;=100,4,2))))</f>
        <v>0</v>
      </c>
      <c r="V1832" s="7"/>
      <c r="W1832" s="7"/>
      <c r="X1832" s="13"/>
      <c r="Y1832" s="13" t="s">
        <v>7539</v>
      </c>
    </row>
    <row r="1833" customFormat="false" ht="15.75" hidden="false" customHeight="true" outlineLevel="0" collapsed="false">
      <c r="A1833" s="7" t="s">
        <v>7540</v>
      </c>
      <c r="B1833" s="8" t="n">
        <v>2014</v>
      </c>
      <c r="C1833" s="8" t="s">
        <v>176</v>
      </c>
      <c r="D1833" s="8" t="n">
        <v>102</v>
      </c>
      <c r="E1833" s="7" t="s">
        <v>7541</v>
      </c>
      <c r="F1833" s="8" t="n">
        <v>5.5</v>
      </c>
      <c r="G1833" s="8" t="n">
        <v>3</v>
      </c>
      <c r="H1833" s="9" t="n">
        <v>85099</v>
      </c>
      <c r="I1833" s="7" t="s">
        <v>7542</v>
      </c>
      <c r="J1833" s="7" t="s">
        <v>38</v>
      </c>
      <c r="K1833" s="7" t="s">
        <v>112</v>
      </c>
      <c r="L1833" s="10"/>
      <c r="M1833" s="10" t="s">
        <v>7543</v>
      </c>
      <c r="N1833" s="8" t="n">
        <v>0</v>
      </c>
      <c r="O1833" s="8" t="n">
        <v>0</v>
      </c>
      <c r="P1833" s="8" t="n">
        <v>0</v>
      </c>
      <c r="Q1833" s="8" t="n">
        <v>0</v>
      </c>
      <c r="R1833" s="13" t="n">
        <v>0</v>
      </c>
      <c r="S1833" s="13" t="n">
        <v>0</v>
      </c>
      <c r="T1833" s="13"/>
      <c r="U1833" s="11" t="n">
        <f aca="false">O1833*4 + P1833*2 + MAX(0,N1833-O1833-P1833)*1 + Q1833*0.2 + R1833*2 + S1833*1 + IF(T1833="",0,IF(T1833&lt;=10,8,IF(T1833&lt;=50,6,IF(T1833&lt;=100,4,2))))</f>
        <v>0</v>
      </c>
      <c r="V1833" s="7"/>
      <c r="W1833" s="7"/>
      <c r="X1833" s="13"/>
      <c r="Y1833" s="13" t="s">
        <v>7544</v>
      </c>
    </row>
    <row r="1834" customFormat="false" ht="15.75" hidden="false" customHeight="true" outlineLevel="0" collapsed="false">
      <c r="A1834" s="7" t="s">
        <v>7545</v>
      </c>
      <c r="B1834" s="8" t="n">
        <v>1991</v>
      </c>
      <c r="C1834" s="8" t="s">
        <v>26</v>
      </c>
      <c r="D1834" s="8" t="n">
        <v>99</v>
      </c>
      <c r="E1834" s="7" t="s">
        <v>6128</v>
      </c>
      <c r="F1834" s="8" t="n">
        <v>7</v>
      </c>
      <c r="G1834" s="8" t="n">
        <v>7</v>
      </c>
      <c r="H1834" s="9" t="n">
        <v>202553</v>
      </c>
      <c r="I1834" s="7" t="s">
        <v>46</v>
      </c>
      <c r="J1834" s="7" t="s">
        <v>38</v>
      </c>
      <c r="K1834" s="7" t="s">
        <v>30</v>
      </c>
      <c r="L1834" s="10" t="s">
        <v>192</v>
      </c>
      <c r="M1834" s="10" t="s">
        <v>7546</v>
      </c>
      <c r="N1834" s="8" t="n">
        <v>0</v>
      </c>
      <c r="O1834" s="8" t="n">
        <v>0</v>
      </c>
      <c r="P1834" s="8" t="n">
        <v>0</v>
      </c>
      <c r="Q1834" s="8" t="n">
        <v>1</v>
      </c>
      <c r="R1834" s="8" t="n">
        <v>0</v>
      </c>
      <c r="S1834" s="8" t="n">
        <v>0</v>
      </c>
      <c r="T1834" s="13"/>
      <c r="U1834" s="11" t="n">
        <f aca="false">O1834*4 + P1834*2 + MAX(0,N1834-O1834-P1834)*1 + Q1834*0.2 + R1834*2 + S1834*1 + IF(T1834="",0,IF(T1834&lt;=10,8,IF(T1834&lt;=50,6,IF(T1834&lt;=100,4,2))))</f>
        <v>0.2</v>
      </c>
      <c r="V1834" s="7"/>
      <c r="W1834" s="7"/>
      <c r="X1834" s="13"/>
      <c r="Y1834" s="13" t="s">
        <v>7547</v>
      </c>
    </row>
    <row r="1835" customFormat="false" ht="15.75" hidden="false" customHeight="true" outlineLevel="0" collapsed="false">
      <c r="A1835" s="7" t="s">
        <v>7548</v>
      </c>
      <c r="B1835" s="8" t="n">
        <v>2014</v>
      </c>
      <c r="C1835" s="8" t="s">
        <v>176</v>
      </c>
      <c r="D1835" s="8" t="n">
        <v>101</v>
      </c>
      <c r="E1835" s="7" t="s">
        <v>6439</v>
      </c>
      <c r="F1835" s="8" t="n">
        <v>5.8</v>
      </c>
      <c r="G1835" s="8" t="n">
        <v>5</v>
      </c>
      <c r="H1835" s="9" t="n">
        <v>231487</v>
      </c>
      <c r="I1835" s="7" t="s">
        <v>46</v>
      </c>
      <c r="J1835" s="7" t="s">
        <v>112</v>
      </c>
      <c r="K1835" s="7" t="s">
        <v>39</v>
      </c>
      <c r="L1835" s="10" t="s">
        <v>562</v>
      </c>
      <c r="M1835" s="10" t="s">
        <v>7549</v>
      </c>
      <c r="N1835" s="8" t="n">
        <v>0</v>
      </c>
      <c r="O1835" s="8" t="n">
        <v>0</v>
      </c>
      <c r="P1835" s="8" t="n">
        <v>0</v>
      </c>
      <c r="Q1835" s="8" t="n">
        <v>0</v>
      </c>
      <c r="R1835" s="13" t="n">
        <v>0</v>
      </c>
      <c r="S1835" s="13" t="n">
        <v>0</v>
      </c>
      <c r="T1835" s="13"/>
      <c r="U1835" s="11" t="n">
        <f aca="false">O1835*4 + P1835*2 + MAX(0,N1835-O1835-P1835)*1 + Q1835*0.2 + R1835*2 + S1835*1 + IF(T1835="",0,IF(T1835&lt;=10,8,IF(T1835&lt;=50,6,IF(T1835&lt;=100,4,2))))</f>
        <v>0</v>
      </c>
      <c r="V1835" s="7"/>
      <c r="W1835" s="7"/>
      <c r="X1835" s="13"/>
      <c r="Y1835" s="13" t="s">
        <v>7550</v>
      </c>
    </row>
    <row r="1836" customFormat="false" ht="15.75" hidden="false" customHeight="true" outlineLevel="0" collapsed="false">
      <c r="A1836" s="7" t="s">
        <v>7551</v>
      </c>
      <c r="B1836" s="8" t="n">
        <v>1994</v>
      </c>
      <c r="C1836" s="8" t="s">
        <v>26</v>
      </c>
      <c r="D1836" s="8" t="n">
        <v>101</v>
      </c>
      <c r="E1836" s="7" t="s">
        <v>7552</v>
      </c>
      <c r="F1836" s="8" t="n">
        <v>7</v>
      </c>
      <c r="G1836" s="8" t="n">
        <v>6</v>
      </c>
      <c r="H1836" s="9" t="n">
        <v>475234</v>
      </c>
      <c r="I1836" s="7" t="s">
        <v>46</v>
      </c>
      <c r="J1836" s="7" t="s">
        <v>38</v>
      </c>
      <c r="K1836" s="7" t="s">
        <v>54</v>
      </c>
      <c r="L1836" s="10" t="s">
        <v>69</v>
      </c>
      <c r="M1836" s="7" t="s">
        <v>7553</v>
      </c>
      <c r="N1836" s="8" t="n">
        <v>0</v>
      </c>
      <c r="O1836" s="8" t="n">
        <v>0</v>
      </c>
      <c r="P1836" s="8" t="n">
        <v>0</v>
      </c>
      <c r="Q1836" s="8" t="n">
        <v>1</v>
      </c>
      <c r="R1836" s="8" t="n">
        <v>0</v>
      </c>
      <c r="S1836" s="8" t="n">
        <v>0</v>
      </c>
      <c r="T1836" s="13"/>
      <c r="U1836" s="11" t="n">
        <f aca="false">O1836*4 + P1836*2 + MAX(0,N1836-O1836-P1836)*1 + Q1836*0.2 + R1836*2 + S1836*1 + IF(T1836="",0,IF(T1836&lt;=10,8,IF(T1836&lt;=50,6,IF(T1836&lt;=100,4,2))))</f>
        <v>0.2</v>
      </c>
      <c r="V1836" s="7"/>
      <c r="W1836" s="7"/>
      <c r="X1836" s="13"/>
      <c r="Y1836" s="13" t="s">
        <v>7554</v>
      </c>
    </row>
    <row r="1837" customFormat="false" ht="15.75" hidden="false" customHeight="true" outlineLevel="0" collapsed="false">
      <c r="A1837" s="7" t="s">
        <v>7555</v>
      </c>
      <c r="B1837" s="8" t="n">
        <v>2011</v>
      </c>
      <c r="C1837" s="8" t="s">
        <v>176</v>
      </c>
      <c r="D1837" s="8" t="n">
        <v>93</v>
      </c>
      <c r="E1837" s="7" t="s">
        <v>5292</v>
      </c>
      <c r="F1837" s="8" t="n">
        <v>6.5</v>
      </c>
      <c r="G1837" s="8" t="n">
        <v>6</v>
      </c>
      <c r="H1837" s="9" t="n">
        <v>183999</v>
      </c>
      <c r="I1837" s="7" t="s">
        <v>46</v>
      </c>
      <c r="J1837" s="7" t="s">
        <v>131</v>
      </c>
      <c r="K1837" s="7" t="s">
        <v>54</v>
      </c>
      <c r="L1837" s="10"/>
      <c r="M1837" s="10" t="s">
        <v>7556</v>
      </c>
      <c r="N1837" s="8" t="n">
        <v>0</v>
      </c>
      <c r="O1837" s="8" t="n">
        <v>0</v>
      </c>
      <c r="P1837" s="8" t="n">
        <v>0</v>
      </c>
      <c r="Q1837" s="8" t="n">
        <v>0</v>
      </c>
      <c r="R1837" s="13" t="n">
        <v>0</v>
      </c>
      <c r="S1837" s="13" t="n">
        <v>0</v>
      </c>
      <c r="T1837" s="13"/>
      <c r="U1837" s="11" t="n">
        <f aca="false">O1837*4 + P1837*2 + MAX(0,N1837-O1837-P1837)*1 + Q1837*0.2 + R1837*2 + S1837*1 + IF(T1837="",0,IF(T1837&lt;=10,8,IF(T1837&lt;=50,6,IF(T1837&lt;=100,4,2))))</f>
        <v>0</v>
      </c>
      <c r="V1837" s="7"/>
      <c r="W1837" s="7"/>
      <c r="X1837" s="13"/>
      <c r="Y1837" s="13" t="s">
        <v>7557</v>
      </c>
    </row>
    <row r="1838" customFormat="false" ht="15.75" hidden="false" customHeight="true" outlineLevel="0" collapsed="false">
      <c r="A1838" s="7" t="s">
        <v>7558</v>
      </c>
      <c r="B1838" s="8" t="n">
        <v>1997</v>
      </c>
      <c r="C1838" s="8" t="s">
        <v>26</v>
      </c>
      <c r="D1838" s="8" t="n">
        <v>86</v>
      </c>
      <c r="E1838" s="7" t="s">
        <v>6027</v>
      </c>
      <c r="F1838" s="8" t="n">
        <v>6.9</v>
      </c>
      <c r="G1838" s="8" t="n">
        <v>7</v>
      </c>
      <c r="H1838" s="9" t="n">
        <v>365492</v>
      </c>
      <c r="I1838" s="7" t="s">
        <v>46</v>
      </c>
      <c r="J1838" s="7" t="s">
        <v>38</v>
      </c>
      <c r="K1838" s="7" t="s">
        <v>30</v>
      </c>
      <c r="L1838" s="10" t="s">
        <v>210</v>
      </c>
      <c r="M1838" s="7" t="s">
        <v>7559</v>
      </c>
      <c r="N1838" s="8" t="n">
        <v>0</v>
      </c>
      <c r="O1838" s="8" t="n">
        <v>0</v>
      </c>
      <c r="P1838" s="8" t="n">
        <v>0</v>
      </c>
      <c r="Q1838" s="8" t="n">
        <v>0</v>
      </c>
      <c r="R1838" s="13" t="n">
        <v>0</v>
      </c>
      <c r="S1838" s="13" t="n">
        <v>0</v>
      </c>
      <c r="T1838" s="13"/>
      <c r="U1838" s="11" t="n">
        <f aca="false">O1838*4 + P1838*2 + MAX(0,N1838-O1838-P1838)*1 + Q1838*0.2 + R1838*2 + S1838*1 + IF(T1838="",0,IF(T1838&lt;=10,8,IF(T1838&lt;=50,6,IF(T1838&lt;=100,4,2))))</f>
        <v>0</v>
      </c>
      <c r="V1838" s="7"/>
      <c r="W1838" s="7"/>
      <c r="X1838" s="13"/>
      <c r="Y1838" s="13" t="s">
        <v>7560</v>
      </c>
    </row>
    <row r="1839" customFormat="false" ht="15.75" hidden="false" customHeight="true" outlineLevel="0" collapsed="false">
      <c r="A1839" s="7" t="s">
        <v>7561</v>
      </c>
      <c r="B1839" s="8" t="n">
        <v>2006</v>
      </c>
      <c r="C1839" s="8" t="s">
        <v>35</v>
      </c>
      <c r="D1839" s="8" t="n">
        <v>93</v>
      </c>
      <c r="E1839" s="7" t="s">
        <v>7562</v>
      </c>
      <c r="F1839" s="8" t="n">
        <v>5.1</v>
      </c>
      <c r="G1839" s="8" t="n">
        <v>1</v>
      </c>
      <c r="H1839" s="9" t="n">
        <v>26586</v>
      </c>
      <c r="I1839" s="7" t="s">
        <v>2083</v>
      </c>
      <c r="J1839" s="7" t="s">
        <v>112</v>
      </c>
      <c r="K1839" s="7" t="s">
        <v>259</v>
      </c>
      <c r="L1839" s="10" t="s">
        <v>1936</v>
      </c>
      <c r="M1839" s="10" t="s">
        <v>7563</v>
      </c>
      <c r="N1839" s="8" t="n">
        <v>0</v>
      </c>
      <c r="O1839" s="8" t="n">
        <v>0</v>
      </c>
      <c r="P1839" s="8" t="n">
        <v>0</v>
      </c>
      <c r="Q1839" s="8" t="n">
        <v>0</v>
      </c>
      <c r="R1839" s="13" t="n">
        <v>0</v>
      </c>
      <c r="S1839" s="13" t="n">
        <v>0</v>
      </c>
      <c r="T1839" s="13"/>
      <c r="U1839" s="11" t="n">
        <f aca="false">O1839*4 + P1839*2 + MAX(0,N1839-O1839-P1839)*1 + Q1839*0.2 + R1839*2 + S1839*1 + IF(T1839="",0,IF(T1839&lt;=10,8,IF(T1839&lt;=50,6,IF(T1839&lt;=100,4,2))))</f>
        <v>0</v>
      </c>
      <c r="V1839" s="7"/>
      <c r="W1839" s="7"/>
      <c r="X1839" s="13"/>
      <c r="Y1839" s="13" t="s">
        <v>7564</v>
      </c>
    </row>
    <row r="1840" customFormat="false" ht="15.75" hidden="false" customHeight="true" outlineLevel="0" collapsed="false">
      <c r="A1840" s="7" t="s">
        <v>7565</v>
      </c>
      <c r="B1840" s="8" t="n">
        <v>1985</v>
      </c>
      <c r="C1840" s="8" t="s">
        <v>109</v>
      </c>
      <c r="D1840" s="8" t="n">
        <v>105</v>
      </c>
      <c r="E1840" s="7" t="s">
        <v>7566</v>
      </c>
      <c r="F1840" s="8" t="n">
        <v>5.3</v>
      </c>
      <c r="G1840" s="8" t="n">
        <v>3</v>
      </c>
      <c r="H1840" s="9" t="n">
        <v>692</v>
      </c>
      <c r="I1840" s="7" t="s">
        <v>232</v>
      </c>
      <c r="J1840" s="7" t="s">
        <v>112</v>
      </c>
      <c r="K1840" s="7" t="s">
        <v>48</v>
      </c>
      <c r="L1840" s="10" t="s">
        <v>7567</v>
      </c>
      <c r="M1840" s="10" t="s">
        <v>7568</v>
      </c>
      <c r="N1840" s="8" t="n">
        <v>0</v>
      </c>
      <c r="O1840" s="8" t="n">
        <v>0</v>
      </c>
      <c r="P1840" s="8" t="n">
        <v>0</v>
      </c>
      <c r="Q1840" s="8" t="n">
        <v>0</v>
      </c>
      <c r="R1840" s="13" t="n">
        <v>0</v>
      </c>
      <c r="S1840" s="13" t="n">
        <v>0</v>
      </c>
      <c r="T1840" s="13"/>
      <c r="U1840" s="11" t="n">
        <f aca="false">O1840*4 + P1840*2 + MAX(0,N1840-O1840-P1840)*1 + Q1840*0.2 + R1840*2 + S1840*1 + IF(T1840="",0,IF(T1840&lt;=10,8,IF(T1840&lt;=50,6,IF(T1840&lt;=100,4,2))))</f>
        <v>0</v>
      </c>
      <c r="V1840" s="7"/>
      <c r="W1840" s="7"/>
      <c r="X1840" s="13"/>
      <c r="Y1840" s="13" t="s">
        <v>7569</v>
      </c>
    </row>
    <row r="1841" customFormat="false" ht="15.75" hidden="false" customHeight="true" outlineLevel="0" collapsed="false">
      <c r="A1841" s="7" t="s">
        <v>7570</v>
      </c>
      <c r="B1841" s="8" t="n">
        <v>1984</v>
      </c>
      <c r="C1841" s="8" t="s">
        <v>109</v>
      </c>
      <c r="D1841" s="8" t="n">
        <v>105</v>
      </c>
      <c r="E1841" s="7" t="s">
        <v>7571</v>
      </c>
      <c r="F1841" s="8" t="n">
        <v>7.8</v>
      </c>
      <c r="G1841" s="8" t="n">
        <v>6</v>
      </c>
      <c r="H1841" s="9" t="n">
        <v>489359</v>
      </c>
      <c r="I1841" s="7" t="s">
        <v>46</v>
      </c>
      <c r="J1841" s="7" t="s">
        <v>38</v>
      </c>
      <c r="K1841" s="7" t="s">
        <v>112</v>
      </c>
      <c r="L1841" s="10" t="s">
        <v>6276</v>
      </c>
      <c r="M1841" s="7" t="s">
        <v>7572</v>
      </c>
      <c r="N1841" s="8" t="n">
        <v>0</v>
      </c>
      <c r="O1841" s="8" t="n">
        <v>0</v>
      </c>
      <c r="P1841" s="8" t="n">
        <v>0</v>
      </c>
      <c r="Q1841" s="8" t="n">
        <v>2</v>
      </c>
      <c r="R1841" s="8" t="n">
        <v>0</v>
      </c>
      <c r="S1841" s="8" t="n">
        <v>0</v>
      </c>
      <c r="T1841" s="13"/>
      <c r="U1841" s="11" t="n">
        <f aca="false">O1841*4 + P1841*2 + MAX(0,N1841-O1841-P1841)*1 + Q1841*0.2 + R1841*2 + S1841*1 + IF(T1841="",0,IF(T1841&lt;=10,8,IF(T1841&lt;=50,6,IF(T1841&lt;=100,4,2))))</f>
        <v>0.4</v>
      </c>
      <c r="V1841" s="7"/>
      <c r="W1841" s="7"/>
      <c r="X1841" s="13"/>
      <c r="Y1841" s="13" t="s">
        <v>7573</v>
      </c>
    </row>
    <row r="1842" customFormat="false" ht="15.75" hidden="false" customHeight="true" outlineLevel="0" collapsed="false">
      <c r="A1842" s="7" t="s">
        <v>7574</v>
      </c>
      <c r="B1842" s="8" t="n">
        <v>2000</v>
      </c>
      <c r="C1842" s="8" t="s">
        <v>35</v>
      </c>
      <c r="D1842" s="8" t="n">
        <v>116</v>
      </c>
      <c r="E1842" s="7" t="s">
        <v>6060</v>
      </c>
      <c r="F1842" s="8" t="n">
        <v>6.6</v>
      </c>
      <c r="G1842" s="8" t="n">
        <v>7</v>
      </c>
      <c r="H1842" s="9" t="n">
        <v>265177</v>
      </c>
      <c r="I1842" s="7" t="s">
        <v>46</v>
      </c>
      <c r="J1842" s="7" t="s">
        <v>30</v>
      </c>
      <c r="K1842" s="7"/>
      <c r="L1842" s="10"/>
      <c r="M1842" s="7" t="s">
        <v>7575</v>
      </c>
      <c r="N1842" s="8" t="n">
        <v>0</v>
      </c>
      <c r="O1842" s="8" t="n">
        <v>0</v>
      </c>
      <c r="P1842" s="8" t="n">
        <v>0</v>
      </c>
      <c r="Q1842" s="8" t="n">
        <v>0</v>
      </c>
      <c r="R1842" s="13" t="n">
        <v>0</v>
      </c>
      <c r="S1842" s="13" t="n">
        <v>0</v>
      </c>
      <c r="T1842" s="13"/>
      <c r="U1842" s="11" t="n">
        <f aca="false">O1842*4 + P1842*2 + MAX(0,N1842-O1842-P1842)*1 + Q1842*0.2 + R1842*2 + S1842*1 + IF(T1842="",0,IF(T1842&lt;=10,8,IF(T1842&lt;=50,6,IF(T1842&lt;=100,4,2))))</f>
        <v>0</v>
      </c>
      <c r="V1842" s="7"/>
      <c r="W1842" s="7"/>
      <c r="X1842" s="13"/>
      <c r="Y1842" s="13" t="s">
        <v>7576</v>
      </c>
    </row>
    <row r="1843" customFormat="false" ht="15.75" hidden="false" customHeight="true" outlineLevel="0" collapsed="false">
      <c r="A1843" s="7" t="s">
        <v>7577</v>
      </c>
      <c r="B1843" s="8" t="n">
        <v>2001</v>
      </c>
      <c r="C1843" s="8" t="s">
        <v>35</v>
      </c>
      <c r="D1843" s="8" t="n">
        <v>90</v>
      </c>
      <c r="E1843" s="7" t="s">
        <v>5588</v>
      </c>
      <c r="F1843" s="8" t="n">
        <v>6.5</v>
      </c>
      <c r="G1843" s="8" t="n">
        <v>7</v>
      </c>
      <c r="H1843" s="9" t="n">
        <v>319668</v>
      </c>
      <c r="I1843" s="7" t="s">
        <v>2011</v>
      </c>
      <c r="J1843" s="7" t="s">
        <v>30</v>
      </c>
      <c r="K1843" s="7"/>
      <c r="L1843" s="10" t="s">
        <v>6654</v>
      </c>
      <c r="M1843" s="7" t="s">
        <v>7578</v>
      </c>
      <c r="N1843" s="8" t="n">
        <v>0</v>
      </c>
      <c r="O1843" s="8" t="n">
        <v>0</v>
      </c>
      <c r="P1843" s="8" t="n">
        <v>0</v>
      </c>
      <c r="Q1843" s="8" t="n">
        <v>0</v>
      </c>
      <c r="R1843" s="13" t="n">
        <v>0</v>
      </c>
      <c r="S1843" s="13" t="n">
        <v>0</v>
      </c>
      <c r="T1843" s="13"/>
      <c r="U1843" s="11" t="n">
        <f aca="false">O1843*4 + P1843*2 + MAX(0,N1843-O1843-P1843)*1 + Q1843*0.2 + R1843*2 + S1843*1 + IF(T1843="",0,IF(T1843&lt;=10,8,IF(T1843&lt;=50,6,IF(T1843&lt;=100,4,2))))</f>
        <v>0</v>
      </c>
      <c r="V1843" s="7"/>
      <c r="W1843" s="7"/>
      <c r="X1843" s="13"/>
      <c r="Y1843" s="13" t="s">
        <v>7579</v>
      </c>
    </row>
    <row r="1844" customFormat="false" ht="15.75" hidden="false" customHeight="true" outlineLevel="0" collapsed="false">
      <c r="A1844" s="7" t="s">
        <v>7580</v>
      </c>
      <c r="B1844" s="8" t="n">
        <v>2004</v>
      </c>
      <c r="C1844" s="8" t="s">
        <v>35</v>
      </c>
      <c r="D1844" s="8" t="n">
        <v>101</v>
      </c>
      <c r="E1844" s="7" t="s">
        <v>2294</v>
      </c>
      <c r="F1844" s="8" t="n">
        <v>6.1</v>
      </c>
      <c r="G1844" s="8" t="n">
        <v>5</v>
      </c>
      <c r="H1844" s="9" t="n">
        <v>162549</v>
      </c>
      <c r="I1844" s="7" t="s">
        <v>46</v>
      </c>
      <c r="J1844" s="7" t="s">
        <v>30</v>
      </c>
      <c r="K1844" s="7" t="s">
        <v>54</v>
      </c>
      <c r="L1844" s="10" t="s">
        <v>5389</v>
      </c>
      <c r="M1844" s="10" t="s">
        <v>7581</v>
      </c>
      <c r="N1844" s="8" t="n">
        <v>0</v>
      </c>
      <c r="O1844" s="8" t="n">
        <v>0</v>
      </c>
      <c r="P1844" s="8" t="n">
        <v>0</v>
      </c>
      <c r="Q1844" s="8" t="n">
        <v>0</v>
      </c>
      <c r="R1844" s="13" t="n">
        <v>0</v>
      </c>
      <c r="S1844" s="13" t="n">
        <v>0</v>
      </c>
      <c r="T1844" s="13"/>
      <c r="U1844" s="11" t="n">
        <f aca="false">O1844*4 + P1844*2 + MAX(0,N1844-O1844-P1844)*1 + Q1844*0.2 + R1844*2 + S1844*1 + IF(T1844="",0,IF(T1844&lt;=10,8,IF(T1844&lt;=50,6,IF(T1844&lt;=100,4,2))))</f>
        <v>0</v>
      </c>
      <c r="V1844" s="7"/>
      <c r="W1844" s="7"/>
      <c r="X1844" s="13"/>
      <c r="Y1844" s="13" t="s">
        <v>7582</v>
      </c>
    </row>
    <row r="1845" customFormat="false" ht="15.75" hidden="false" customHeight="true" outlineLevel="0" collapsed="false">
      <c r="A1845" s="7" t="s">
        <v>7583</v>
      </c>
      <c r="B1845" s="8" t="n">
        <v>2010</v>
      </c>
      <c r="C1845" s="8" t="s">
        <v>176</v>
      </c>
      <c r="D1845" s="8" t="n">
        <v>113</v>
      </c>
      <c r="E1845" s="7" t="s">
        <v>2951</v>
      </c>
      <c r="F1845" s="8" t="n">
        <v>6.8</v>
      </c>
      <c r="G1845" s="8" t="n">
        <v>6</v>
      </c>
      <c r="H1845" s="9" t="n">
        <v>74609</v>
      </c>
      <c r="I1845" s="7" t="s">
        <v>46</v>
      </c>
      <c r="J1845" s="7" t="s">
        <v>131</v>
      </c>
      <c r="K1845" s="7" t="s">
        <v>47</v>
      </c>
      <c r="L1845" s="10" t="s">
        <v>113</v>
      </c>
      <c r="M1845" s="10" t="s">
        <v>7584</v>
      </c>
      <c r="N1845" s="8" t="n">
        <v>0</v>
      </c>
      <c r="O1845" s="8" t="n">
        <v>0</v>
      </c>
      <c r="P1845" s="8" t="n">
        <v>0</v>
      </c>
      <c r="Q1845" s="8" t="n">
        <v>0</v>
      </c>
      <c r="R1845" s="13" t="n">
        <v>0</v>
      </c>
      <c r="S1845" s="13" t="n">
        <v>0</v>
      </c>
      <c r="T1845" s="13"/>
      <c r="U1845" s="11" t="n">
        <f aca="false">O1845*4 + P1845*2 + MAX(0,N1845-O1845-P1845)*1 + Q1845*0.2 + R1845*2 + S1845*1 + IF(T1845="",0,IF(T1845&lt;=10,8,IF(T1845&lt;=50,6,IF(T1845&lt;=100,4,2))))</f>
        <v>0</v>
      </c>
      <c r="V1845" s="7"/>
      <c r="W1845" s="7"/>
      <c r="X1845" s="13"/>
      <c r="Y1845" s="13" t="s">
        <v>7585</v>
      </c>
    </row>
    <row r="1846" customFormat="false" ht="15.75" hidden="false" customHeight="true" outlineLevel="0" collapsed="false">
      <c r="A1846" s="7" t="s">
        <v>7586</v>
      </c>
      <c r="B1846" s="8" t="n">
        <v>1996</v>
      </c>
      <c r="C1846" s="8" t="s">
        <v>26</v>
      </c>
      <c r="D1846" s="8" t="n">
        <v>96</v>
      </c>
      <c r="E1846" s="7" t="s">
        <v>5588</v>
      </c>
      <c r="F1846" s="8" t="n">
        <v>6.2</v>
      </c>
      <c r="G1846" s="8" t="n">
        <v>6</v>
      </c>
      <c r="H1846" s="9" t="n">
        <v>190896</v>
      </c>
      <c r="I1846" s="7" t="s">
        <v>46</v>
      </c>
      <c r="J1846" s="7" t="s">
        <v>131</v>
      </c>
      <c r="K1846" s="7" t="s">
        <v>30</v>
      </c>
      <c r="L1846" s="10" t="s">
        <v>210</v>
      </c>
      <c r="M1846" s="10" t="s">
        <v>7587</v>
      </c>
      <c r="N1846" s="8" t="n">
        <v>0</v>
      </c>
      <c r="O1846" s="8" t="n">
        <v>0</v>
      </c>
      <c r="P1846" s="8" t="n">
        <v>0</v>
      </c>
      <c r="Q1846" s="8" t="n">
        <v>0</v>
      </c>
      <c r="R1846" s="13" t="n">
        <v>0</v>
      </c>
      <c r="S1846" s="13" t="n">
        <v>0</v>
      </c>
      <c r="T1846" s="13"/>
      <c r="U1846" s="11" t="n">
        <f aca="false">O1846*4 + P1846*2 + MAX(0,N1846-O1846-P1846)*1 + Q1846*0.2 + R1846*2 + S1846*1 + IF(T1846="",0,IF(T1846&lt;=10,8,IF(T1846&lt;=50,6,IF(T1846&lt;=100,4,2))))</f>
        <v>0</v>
      </c>
      <c r="V1846" s="7"/>
      <c r="W1846" s="7"/>
      <c r="X1846" s="13"/>
      <c r="Y1846" s="13" t="s">
        <v>7588</v>
      </c>
    </row>
    <row r="1847" customFormat="false" ht="15.75" hidden="false" customHeight="true" outlineLevel="0" collapsed="false">
      <c r="A1847" s="7" t="s">
        <v>7589</v>
      </c>
      <c r="B1847" s="8" t="n">
        <v>1997</v>
      </c>
      <c r="C1847" s="8" t="s">
        <v>26</v>
      </c>
      <c r="D1847" s="8" t="n">
        <v>111</v>
      </c>
      <c r="E1847" s="7" t="s">
        <v>946</v>
      </c>
      <c r="F1847" s="8" t="n">
        <v>6.2</v>
      </c>
      <c r="G1847" s="8" t="n">
        <v>6</v>
      </c>
      <c r="H1847" s="9" t="n">
        <v>78569</v>
      </c>
      <c r="I1847" s="7" t="s">
        <v>46</v>
      </c>
      <c r="J1847" s="7" t="s">
        <v>112</v>
      </c>
      <c r="K1847" s="7" t="s">
        <v>54</v>
      </c>
      <c r="L1847" s="10" t="s">
        <v>238</v>
      </c>
      <c r="M1847" s="10" t="s">
        <v>7590</v>
      </c>
      <c r="N1847" s="8" t="n">
        <v>0</v>
      </c>
      <c r="O1847" s="8" t="n">
        <v>0</v>
      </c>
      <c r="P1847" s="8" t="n">
        <v>0</v>
      </c>
      <c r="Q1847" s="8" t="n">
        <v>0</v>
      </c>
      <c r="R1847" s="13" t="n">
        <v>0</v>
      </c>
      <c r="S1847" s="13" t="n">
        <v>0</v>
      </c>
      <c r="T1847" s="13"/>
      <c r="U1847" s="11" t="n">
        <f aca="false">O1847*4 + P1847*2 + MAX(0,N1847-O1847-P1847)*1 + Q1847*0.2 + R1847*2 + S1847*1 + IF(T1847="",0,IF(T1847&lt;=10,8,IF(T1847&lt;=50,6,IF(T1847&lt;=100,4,2))))</f>
        <v>0</v>
      </c>
      <c r="V1847" s="7"/>
      <c r="W1847" s="7"/>
      <c r="X1847" s="13"/>
      <c r="Y1847" s="13" t="s">
        <v>7591</v>
      </c>
    </row>
    <row r="1848" customFormat="false" ht="15.75" hidden="false" customHeight="true" outlineLevel="0" collapsed="false">
      <c r="A1848" s="7" t="s">
        <v>7592</v>
      </c>
      <c r="B1848" s="8" t="n">
        <v>2008</v>
      </c>
      <c r="C1848" s="8" t="s">
        <v>35</v>
      </c>
      <c r="D1848" s="8" t="n">
        <v>96</v>
      </c>
      <c r="E1848" s="7" t="s">
        <v>7593</v>
      </c>
      <c r="F1848" s="8" t="n">
        <v>6.8</v>
      </c>
      <c r="G1848" s="8" t="n">
        <v>6</v>
      </c>
      <c r="H1848" s="9" t="n">
        <v>250409</v>
      </c>
      <c r="I1848" s="7" t="s">
        <v>46</v>
      </c>
      <c r="J1848" s="7" t="s">
        <v>579</v>
      </c>
      <c r="K1848" s="7" t="s">
        <v>39</v>
      </c>
      <c r="L1848" s="10" t="s">
        <v>177</v>
      </c>
      <c r="M1848" s="10" t="s">
        <v>7594</v>
      </c>
      <c r="N1848" s="8" t="n">
        <v>0</v>
      </c>
      <c r="O1848" s="8" t="n">
        <v>0</v>
      </c>
      <c r="P1848" s="8" t="n">
        <v>0</v>
      </c>
      <c r="Q1848" s="8" t="n">
        <v>1</v>
      </c>
      <c r="R1848" s="8" t="n">
        <v>0</v>
      </c>
      <c r="S1848" s="8" t="n">
        <v>0</v>
      </c>
      <c r="T1848" s="13"/>
      <c r="U1848" s="11" t="n">
        <f aca="false">O1848*4 + P1848*2 + MAX(0,N1848-O1848-P1848)*1 + Q1848*0.2 + R1848*2 + S1848*1 + IF(T1848="",0,IF(T1848&lt;=10,8,IF(T1848&lt;=50,6,IF(T1848&lt;=100,4,2))))</f>
        <v>0.2</v>
      </c>
      <c r="V1848" s="7"/>
      <c r="W1848" s="7"/>
      <c r="X1848" s="13"/>
      <c r="Y1848" s="13" t="s">
        <v>7595</v>
      </c>
    </row>
    <row r="1849" customFormat="false" ht="15.75" hidden="false" customHeight="true" outlineLevel="0" collapsed="false">
      <c r="A1849" s="7" t="s">
        <v>7596</v>
      </c>
      <c r="B1849" s="8" t="n">
        <v>2002</v>
      </c>
      <c r="C1849" s="8" t="s">
        <v>35</v>
      </c>
      <c r="D1849" s="8" t="n">
        <v>88</v>
      </c>
      <c r="E1849" s="7" t="s">
        <v>6128</v>
      </c>
      <c r="F1849" s="8" t="n">
        <v>6.2</v>
      </c>
      <c r="G1849" s="8" t="n">
        <v>4</v>
      </c>
      <c r="H1849" s="9" t="n">
        <v>434911</v>
      </c>
      <c r="I1849" s="7" t="s">
        <v>46</v>
      </c>
      <c r="J1849" s="7" t="s">
        <v>112</v>
      </c>
      <c r="K1849" s="7" t="s">
        <v>245</v>
      </c>
      <c r="L1849" s="10" t="s">
        <v>1936</v>
      </c>
      <c r="M1849" s="7" t="s">
        <v>7597</v>
      </c>
      <c r="N1849" s="8" t="n">
        <v>0</v>
      </c>
      <c r="O1849" s="8" t="n">
        <v>0</v>
      </c>
      <c r="P1849" s="8" t="n">
        <v>0</v>
      </c>
      <c r="Q1849" s="8" t="n">
        <v>0</v>
      </c>
      <c r="R1849" s="13" t="n">
        <v>0</v>
      </c>
      <c r="S1849" s="13" t="n">
        <v>0</v>
      </c>
      <c r="T1849" s="13"/>
      <c r="U1849" s="11" t="n">
        <f aca="false">O1849*4 + P1849*2 + MAX(0,N1849-O1849-P1849)*1 + Q1849*0.2 + R1849*2 + S1849*1 + IF(T1849="",0,IF(T1849&lt;=10,8,IF(T1849&lt;=50,6,IF(T1849&lt;=100,4,2))))</f>
        <v>0</v>
      </c>
      <c r="V1849" s="7"/>
      <c r="W1849" s="7"/>
      <c r="X1849" s="13"/>
      <c r="Y1849" s="13" t="s">
        <v>7598</v>
      </c>
    </row>
    <row r="1850" customFormat="false" ht="15.75" hidden="false" customHeight="true" outlineLevel="0" collapsed="false">
      <c r="A1850" s="7" t="s">
        <v>7599</v>
      </c>
      <c r="B1850" s="8" t="n">
        <v>2014</v>
      </c>
      <c r="C1850" s="8" t="s">
        <v>176</v>
      </c>
      <c r="D1850" s="8" t="n">
        <v>97</v>
      </c>
      <c r="E1850" s="7" t="s">
        <v>7600</v>
      </c>
      <c r="F1850" s="8" t="n">
        <v>7.4</v>
      </c>
      <c r="G1850" s="8" t="n">
        <v>5</v>
      </c>
      <c r="H1850" s="9" t="n">
        <v>338250</v>
      </c>
      <c r="I1850" s="7" t="s">
        <v>1231</v>
      </c>
      <c r="J1850" s="7" t="s">
        <v>111</v>
      </c>
      <c r="K1850" s="7" t="s">
        <v>2271</v>
      </c>
      <c r="L1850" s="10" t="s">
        <v>6276</v>
      </c>
      <c r="M1850" s="7" t="s">
        <v>7601</v>
      </c>
      <c r="N1850" s="8" t="n">
        <v>0</v>
      </c>
      <c r="O1850" s="8" t="n">
        <v>0</v>
      </c>
      <c r="P1850" s="8" t="n">
        <v>0</v>
      </c>
      <c r="Q1850" s="8" t="n">
        <v>0</v>
      </c>
      <c r="R1850" s="13" t="n">
        <v>0</v>
      </c>
      <c r="S1850" s="13" t="n">
        <v>0</v>
      </c>
      <c r="T1850" s="13"/>
      <c r="U1850" s="11" t="n">
        <f aca="false">O1850*4 + P1850*2 + MAX(0,N1850-O1850-P1850)*1 + Q1850*0.2 + R1850*2 + S1850*1 + IF(T1850="",0,IF(T1850&lt;=10,8,IF(T1850&lt;=50,6,IF(T1850&lt;=100,4,2))))</f>
        <v>0</v>
      </c>
      <c r="V1850" s="7"/>
      <c r="W1850" s="7"/>
      <c r="X1850" s="13"/>
      <c r="Y1850" s="13" t="s">
        <v>7602</v>
      </c>
    </row>
    <row r="1851" customFormat="false" ht="15.75" hidden="false" customHeight="true" outlineLevel="0" collapsed="false">
      <c r="A1851" s="7" t="s">
        <v>7603</v>
      </c>
      <c r="B1851" s="8" t="n">
        <v>2013</v>
      </c>
      <c r="C1851" s="8" t="s">
        <v>176</v>
      </c>
      <c r="D1851" s="8" t="n">
        <v>100</v>
      </c>
      <c r="E1851" s="7" t="s">
        <v>7604</v>
      </c>
      <c r="F1851" s="8" t="n">
        <v>5.9</v>
      </c>
      <c r="G1851" s="8" t="n">
        <v>5</v>
      </c>
      <c r="H1851" s="9" t="n">
        <v>78554</v>
      </c>
      <c r="I1851" s="7" t="s">
        <v>46</v>
      </c>
      <c r="J1851" s="7" t="s">
        <v>30</v>
      </c>
      <c r="K1851" s="7"/>
      <c r="L1851" s="10"/>
      <c r="M1851" s="10" t="s">
        <v>7605</v>
      </c>
      <c r="N1851" s="8" t="n">
        <v>0</v>
      </c>
      <c r="O1851" s="8" t="n">
        <v>0</v>
      </c>
      <c r="P1851" s="8" t="n">
        <v>0</v>
      </c>
      <c r="Q1851" s="8" t="n">
        <v>0</v>
      </c>
      <c r="R1851" s="13" t="n">
        <v>0</v>
      </c>
      <c r="S1851" s="13" t="n">
        <v>0</v>
      </c>
      <c r="T1851" s="13"/>
      <c r="U1851" s="11" t="n">
        <f aca="false">O1851*4 + P1851*2 + MAX(0,N1851-O1851-P1851)*1 + Q1851*0.2 + R1851*2 + S1851*1 + IF(T1851="",0,IF(T1851&lt;=10,8,IF(T1851&lt;=50,6,IF(T1851&lt;=100,4,2))))</f>
        <v>0</v>
      </c>
      <c r="V1851" s="7"/>
      <c r="W1851" s="7"/>
      <c r="X1851" s="13"/>
      <c r="Y1851" s="13" t="s">
        <v>7606</v>
      </c>
    </row>
    <row r="1852" customFormat="false" ht="15.75" hidden="false" customHeight="true" outlineLevel="0" collapsed="false">
      <c r="A1852" s="7" t="s">
        <v>7607</v>
      </c>
      <c r="B1852" s="8" t="n">
        <v>2015</v>
      </c>
      <c r="C1852" s="8" t="s">
        <v>176</v>
      </c>
      <c r="D1852" s="8" t="n">
        <v>124</v>
      </c>
      <c r="E1852" s="7" t="s">
        <v>7608</v>
      </c>
      <c r="F1852" s="8" t="n">
        <v>6.9</v>
      </c>
      <c r="G1852" s="8" t="n">
        <v>7</v>
      </c>
      <c r="H1852" s="9" t="n">
        <v>735468</v>
      </c>
      <c r="I1852" s="7" t="s">
        <v>46</v>
      </c>
      <c r="J1852" s="7" t="s">
        <v>111</v>
      </c>
      <c r="K1852" s="7" t="s">
        <v>5983</v>
      </c>
      <c r="L1852" s="10" t="s">
        <v>5472</v>
      </c>
      <c r="M1852" s="7" t="s">
        <v>7609</v>
      </c>
      <c r="N1852" s="8" t="n">
        <v>0</v>
      </c>
      <c r="O1852" s="8" t="n">
        <v>0</v>
      </c>
      <c r="P1852" s="8" t="n">
        <v>0</v>
      </c>
      <c r="Q1852" s="8" t="n">
        <v>0</v>
      </c>
      <c r="R1852" s="13" t="n">
        <v>0</v>
      </c>
      <c r="S1852" s="13" t="n">
        <v>0</v>
      </c>
      <c r="T1852" s="13"/>
      <c r="U1852" s="11" t="n">
        <f aca="false">O1852*4 + P1852*2 + MAX(0,N1852-O1852-P1852)*1 + Q1852*0.2 + R1852*2 + S1852*1 + IF(T1852="",0,IF(T1852&lt;=10,8,IF(T1852&lt;=50,6,IF(T1852&lt;=100,4,2))))</f>
        <v>0</v>
      </c>
      <c r="V1852" s="7"/>
      <c r="W1852" s="7"/>
      <c r="X1852" s="13"/>
      <c r="Y1852" s="13" t="s">
        <v>7610</v>
      </c>
    </row>
    <row r="1853" customFormat="false" ht="15.75" hidden="false" customHeight="true" outlineLevel="0" collapsed="false">
      <c r="A1853" s="7" t="s">
        <v>7611</v>
      </c>
      <c r="B1853" s="8" t="n">
        <v>2009</v>
      </c>
      <c r="C1853" s="8" t="s">
        <v>35</v>
      </c>
      <c r="D1853" s="8" t="n">
        <v>98</v>
      </c>
      <c r="E1853" s="7" t="s">
        <v>5446</v>
      </c>
      <c r="F1853" s="8" t="n">
        <v>6.6</v>
      </c>
      <c r="G1853" s="8" t="n">
        <v>6</v>
      </c>
      <c r="H1853" s="9" t="n">
        <v>104019</v>
      </c>
      <c r="I1853" s="7" t="s">
        <v>46</v>
      </c>
      <c r="J1853" s="7" t="s">
        <v>30</v>
      </c>
      <c r="K1853" s="7" t="s">
        <v>54</v>
      </c>
      <c r="L1853" s="10" t="s">
        <v>1669</v>
      </c>
      <c r="M1853" s="10" t="s">
        <v>7612</v>
      </c>
      <c r="N1853" s="8" t="n">
        <v>0</v>
      </c>
      <c r="O1853" s="8" t="n">
        <v>0</v>
      </c>
      <c r="P1853" s="8" t="n">
        <v>0</v>
      </c>
      <c r="Q1853" s="8" t="n">
        <v>0</v>
      </c>
      <c r="R1853" s="13" t="n">
        <v>0</v>
      </c>
      <c r="S1853" s="13" t="n">
        <v>0</v>
      </c>
      <c r="T1853" s="13"/>
      <c r="U1853" s="11" t="n">
        <f aca="false">O1853*4 + P1853*2 + MAX(0,N1853-O1853-P1853)*1 + Q1853*0.2 + R1853*2 + S1853*1 + IF(T1853="",0,IF(T1853&lt;=10,8,IF(T1853&lt;=50,6,IF(T1853&lt;=100,4,2))))</f>
        <v>0</v>
      </c>
      <c r="V1853" s="7"/>
      <c r="W1853" s="7"/>
      <c r="X1853" s="13"/>
      <c r="Y1853" s="13" t="s">
        <v>7613</v>
      </c>
    </row>
    <row r="1854" customFormat="false" ht="15.75" hidden="false" customHeight="true" outlineLevel="0" collapsed="false">
      <c r="A1854" s="7" t="s">
        <v>7614</v>
      </c>
      <c r="B1854" s="8" t="n">
        <v>2014</v>
      </c>
      <c r="C1854" s="8" t="s">
        <v>176</v>
      </c>
      <c r="D1854" s="8" t="n">
        <v>97</v>
      </c>
      <c r="E1854" s="7" t="s">
        <v>7615</v>
      </c>
      <c r="F1854" s="8" t="n">
        <v>7</v>
      </c>
      <c r="G1854" s="8" t="n">
        <v>6</v>
      </c>
      <c r="H1854" s="9" t="n">
        <v>48704</v>
      </c>
      <c r="I1854" s="7" t="s">
        <v>219</v>
      </c>
      <c r="J1854" s="7" t="s">
        <v>30</v>
      </c>
      <c r="K1854" s="7"/>
      <c r="L1854" s="10" t="s">
        <v>126</v>
      </c>
      <c r="M1854" s="10" t="s">
        <v>7616</v>
      </c>
      <c r="N1854" s="8" t="n">
        <v>0</v>
      </c>
      <c r="O1854" s="8" t="n">
        <v>0</v>
      </c>
      <c r="P1854" s="8" t="n">
        <v>0</v>
      </c>
      <c r="Q1854" s="8" t="n">
        <v>0</v>
      </c>
      <c r="R1854" s="13" t="n">
        <v>0</v>
      </c>
      <c r="S1854" s="13" t="n">
        <v>0</v>
      </c>
      <c r="T1854" s="13"/>
      <c r="U1854" s="11" t="n">
        <f aca="false">O1854*4 + P1854*2 + MAX(0,N1854-O1854-P1854)*1 + Q1854*0.2 + R1854*2 + S1854*1 + IF(T1854="",0,IF(T1854&lt;=10,8,IF(T1854&lt;=50,6,IF(T1854&lt;=100,4,2))))</f>
        <v>0</v>
      </c>
      <c r="V1854" s="7"/>
      <c r="W1854" s="7"/>
      <c r="X1854" s="13"/>
      <c r="Y1854" s="13" t="s">
        <v>7617</v>
      </c>
    </row>
    <row r="1855" customFormat="false" ht="15.75" hidden="false" customHeight="true" outlineLevel="0" collapsed="false">
      <c r="A1855" s="7" t="s">
        <v>7618</v>
      </c>
      <c r="B1855" s="8" t="n">
        <v>1975</v>
      </c>
      <c r="C1855" s="8" t="s">
        <v>61</v>
      </c>
      <c r="D1855" s="8" t="n">
        <v>124</v>
      </c>
      <c r="E1855" s="7" t="s">
        <v>45</v>
      </c>
      <c r="F1855" s="8" t="n">
        <v>8.1</v>
      </c>
      <c r="G1855" s="8" t="n">
        <v>7</v>
      </c>
      <c r="H1855" s="9" t="n">
        <v>746906</v>
      </c>
      <c r="I1855" s="7" t="s">
        <v>46</v>
      </c>
      <c r="J1855" s="7" t="s">
        <v>147</v>
      </c>
      <c r="K1855" s="7" t="s">
        <v>39</v>
      </c>
      <c r="L1855" s="10" t="s">
        <v>2666</v>
      </c>
      <c r="M1855" s="7" t="s">
        <v>7619</v>
      </c>
      <c r="N1855" s="8" t="n">
        <v>3</v>
      </c>
      <c r="O1855" s="8" t="n">
        <v>0</v>
      </c>
      <c r="P1855" s="8" t="n">
        <v>0</v>
      </c>
      <c r="Q1855" s="8" t="n">
        <v>4</v>
      </c>
      <c r="R1855" s="8" t="n">
        <v>0</v>
      </c>
      <c r="S1855" s="8" t="n">
        <v>0</v>
      </c>
      <c r="T1855" s="8" t="n">
        <v>104</v>
      </c>
      <c r="U1855" s="11" t="n">
        <f aca="false">O1855*4 + P1855*2 + MAX(0,N1855-O1855-P1855)*1 + Q1855*0.2 + R1855*2 + S1855*1 + IF(T1855="",0,IF(T1855&lt;=10,8,IF(T1855&lt;=50,6,IF(T1855&lt;=100,4,2))))</f>
        <v>5.8</v>
      </c>
      <c r="V1855" s="10" t="s">
        <v>7620</v>
      </c>
      <c r="W1855" s="7"/>
      <c r="X1855" s="13"/>
      <c r="Y1855" s="13" t="s">
        <v>7621</v>
      </c>
    </row>
    <row r="1856" customFormat="false" ht="15.75" hidden="false" customHeight="true" outlineLevel="0" collapsed="false">
      <c r="A1856" s="7" t="s">
        <v>7622</v>
      </c>
      <c r="B1856" s="8" t="n">
        <v>2014</v>
      </c>
      <c r="C1856" s="8" t="s">
        <v>176</v>
      </c>
      <c r="D1856" s="8" t="n">
        <v>104</v>
      </c>
      <c r="E1856" s="7" t="s">
        <v>7623</v>
      </c>
      <c r="F1856" s="8" t="n">
        <v>6.4</v>
      </c>
      <c r="G1856" s="8" t="n">
        <v>4</v>
      </c>
      <c r="H1856" s="9" t="n">
        <v>145007</v>
      </c>
      <c r="I1856" s="7" t="s">
        <v>46</v>
      </c>
      <c r="J1856" s="7" t="s">
        <v>112</v>
      </c>
      <c r="K1856" s="7" t="s">
        <v>54</v>
      </c>
      <c r="L1856" s="10" t="s">
        <v>177</v>
      </c>
      <c r="M1856" s="10" t="s">
        <v>7624</v>
      </c>
      <c r="N1856" s="8" t="n">
        <v>0</v>
      </c>
      <c r="O1856" s="8" t="n">
        <v>0</v>
      </c>
      <c r="P1856" s="8" t="n">
        <v>0</v>
      </c>
      <c r="Q1856" s="8" t="n">
        <v>0</v>
      </c>
      <c r="R1856" s="13" t="n">
        <v>0</v>
      </c>
      <c r="S1856" s="13" t="n">
        <v>0</v>
      </c>
      <c r="T1856" s="13"/>
      <c r="U1856" s="11" t="n">
        <f aca="false">O1856*4 + P1856*2 + MAX(0,N1856-O1856-P1856)*1 + Q1856*0.2 + R1856*2 + S1856*1 + IF(T1856="",0,IF(T1856&lt;=10,8,IF(T1856&lt;=50,6,IF(T1856&lt;=100,4,2))))</f>
        <v>0</v>
      </c>
      <c r="V1856" s="7"/>
      <c r="W1856" s="7"/>
      <c r="X1856" s="13"/>
      <c r="Y1856" s="13" t="s">
        <v>7625</v>
      </c>
    </row>
    <row r="1857" customFormat="false" ht="15.75" hidden="false" customHeight="true" outlineLevel="0" collapsed="false">
      <c r="A1857" s="7" t="s">
        <v>7626</v>
      </c>
      <c r="B1857" s="8" t="n">
        <v>2015</v>
      </c>
      <c r="C1857" s="8" t="s">
        <v>176</v>
      </c>
      <c r="D1857" s="8" t="n">
        <v>125</v>
      </c>
      <c r="E1857" s="7" t="s">
        <v>7627</v>
      </c>
      <c r="F1857" s="8" t="n">
        <v>4.2</v>
      </c>
      <c r="G1857" s="8" t="n">
        <v>5</v>
      </c>
      <c r="H1857" s="9" t="n">
        <v>358780</v>
      </c>
      <c r="I1857" s="7" t="s">
        <v>46</v>
      </c>
      <c r="J1857" s="7" t="s">
        <v>131</v>
      </c>
      <c r="K1857" s="7" t="s">
        <v>29</v>
      </c>
      <c r="L1857" s="10" t="s">
        <v>113</v>
      </c>
      <c r="M1857" s="7" t="s">
        <v>7628</v>
      </c>
      <c r="N1857" s="8" t="n">
        <v>0</v>
      </c>
      <c r="O1857" s="8" t="n">
        <v>0</v>
      </c>
      <c r="P1857" s="8" t="n">
        <v>0</v>
      </c>
      <c r="Q1857" s="8" t="n">
        <v>1</v>
      </c>
      <c r="R1857" s="8" t="n">
        <v>0</v>
      </c>
      <c r="S1857" s="8" t="n">
        <v>0</v>
      </c>
      <c r="T1857" s="13"/>
      <c r="U1857" s="11" t="n">
        <f aca="false">O1857*4 + P1857*2 + MAX(0,N1857-O1857-P1857)*1 + Q1857*0.2 + R1857*2 + S1857*1 + IF(T1857="",0,IF(T1857&lt;=10,8,IF(T1857&lt;=50,6,IF(T1857&lt;=100,4,2))))</f>
        <v>0.2</v>
      </c>
      <c r="V1857" s="7"/>
      <c r="W1857" s="7"/>
      <c r="X1857" s="13"/>
      <c r="Y1857" s="13" t="s">
        <v>7629</v>
      </c>
    </row>
    <row r="1858" customFormat="false" ht="15.75" hidden="false" customHeight="true" outlineLevel="0" collapsed="false">
      <c r="A1858" s="7" t="s">
        <v>7630</v>
      </c>
      <c r="B1858" s="8" t="n">
        <v>2007</v>
      </c>
      <c r="C1858" s="8" t="s">
        <v>35</v>
      </c>
      <c r="D1858" s="8" t="n">
        <v>116</v>
      </c>
      <c r="E1858" s="7" t="s">
        <v>6060</v>
      </c>
      <c r="F1858" s="8" t="n">
        <v>5.9</v>
      </c>
      <c r="G1858" s="8" t="n">
        <v>6</v>
      </c>
      <c r="H1858" s="9" t="n">
        <v>102223</v>
      </c>
      <c r="I1858" s="7" t="s">
        <v>46</v>
      </c>
      <c r="J1858" s="7" t="s">
        <v>29</v>
      </c>
      <c r="K1858" s="7" t="s">
        <v>30</v>
      </c>
      <c r="L1858" s="10" t="s">
        <v>562</v>
      </c>
      <c r="M1858" s="10" t="s">
        <v>7631</v>
      </c>
      <c r="N1858" s="8" t="n">
        <v>0</v>
      </c>
      <c r="O1858" s="8" t="n">
        <v>0</v>
      </c>
      <c r="P1858" s="8" t="n">
        <v>0</v>
      </c>
      <c r="Q1858" s="8" t="n">
        <v>0</v>
      </c>
      <c r="R1858" s="13" t="n">
        <v>0</v>
      </c>
      <c r="S1858" s="13" t="n">
        <v>0</v>
      </c>
      <c r="T1858" s="13"/>
      <c r="U1858" s="11" t="n">
        <f aca="false">O1858*4 + P1858*2 + MAX(0,N1858-O1858-P1858)*1 + Q1858*0.2 + R1858*2 + S1858*1 + IF(T1858="",0,IF(T1858&lt;=10,8,IF(T1858&lt;=50,6,IF(T1858&lt;=100,4,2))))</f>
        <v>0</v>
      </c>
      <c r="V1858" s="7"/>
      <c r="W1858" s="7"/>
      <c r="X1858" s="13"/>
      <c r="Y1858" s="13" t="s">
        <v>7632</v>
      </c>
    </row>
    <row r="1859" customFormat="false" ht="15.75" hidden="false" customHeight="true" outlineLevel="0" collapsed="false">
      <c r="A1859" s="7" t="s">
        <v>7633</v>
      </c>
      <c r="B1859" s="8" t="n">
        <v>1999</v>
      </c>
      <c r="C1859" s="8" t="s">
        <v>26</v>
      </c>
      <c r="D1859" s="8" t="n">
        <v>95</v>
      </c>
      <c r="E1859" s="7" t="s">
        <v>1530</v>
      </c>
      <c r="F1859" s="8" t="n">
        <v>6.7</v>
      </c>
      <c r="G1859" s="8" t="n">
        <v>7</v>
      </c>
      <c r="H1859" s="9" t="n">
        <v>264132</v>
      </c>
      <c r="I1859" s="7" t="s">
        <v>46</v>
      </c>
      <c r="J1859" s="7" t="s">
        <v>112</v>
      </c>
      <c r="K1859" s="7" t="s">
        <v>39</v>
      </c>
      <c r="L1859" s="10"/>
      <c r="M1859" s="7" t="s">
        <v>7634</v>
      </c>
      <c r="N1859" s="8" t="n">
        <v>0</v>
      </c>
      <c r="O1859" s="8" t="n">
        <v>0</v>
      </c>
      <c r="P1859" s="8" t="n">
        <v>0</v>
      </c>
      <c r="Q1859" s="8" t="n">
        <v>1</v>
      </c>
      <c r="R1859" s="8" t="n">
        <v>0</v>
      </c>
      <c r="S1859" s="8" t="n">
        <v>0</v>
      </c>
      <c r="T1859" s="13"/>
      <c r="U1859" s="11" t="n">
        <f aca="false">O1859*4 + P1859*2 + MAX(0,N1859-O1859-P1859)*1 + Q1859*0.2 + R1859*2 + S1859*1 + IF(T1859="",0,IF(T1859&lt;=10,8,IF(T1859&lt;=50,6,IF(T1859&lt;=100,4,2))))</f>
        <v>0.2</v>
      </c>
      <c r="V1859" s="7"/>
      <c r="W1859" s="7"/>
      <c r="X1859" s="13"/>
      <c r="Y1859" s="13" t="s">
        <v>7635</v>
      </c>
    </row>
    <row r="1860" customFormat="false" ht="15.75" hidden="false" customHeight="true" outlineLevel="0" collapsed="false">
      <c r="A1860" s="7" t="s">
        <v>7636</v>
      </c>
      <c r="B1860" s="8" t="n">
        <v>2015</v>
      </c>
      <c r="C1860" s="8" t="s">
        <v>176</v>
      </c>
      <c r="D1860" s="8" t="n">
        <v>105</v>
      </c>
      <c r="E1860" s="7" t="s">
        <v>5446</v>
      </c>
      <c r="F1860" s="8" t="n">
        <v>6.6</v>
      </c>
      <c r="G1860" s="8" t="n">
        <v>5</v>
      </c>
      <c r="H1860" s="9" t="n">
        <v>296747</v>
      </c>
      <c r="I1860" s="7" t="s">
        <v>46</v>
      </c>
      <c r="J1860" s="7" t="s">
        <v>30</v>
      </c>
      <c r="K1860" s="7" t="s">
        <v>54</v>
      </c>
      <c r="L1860" s="10" t="s">
        <v>238</v>
      </c>
      <c r="M1860" s="7" t="s">
        <v>7637</v>
      </c>
      <c r="N1860" s="8" t="n">
        <v>0</v>
      </c>
      <c r="O1860" s="8" t="n">
        <v>0</v>
      </c>
      <c r="P1860" s="8" t="n">
        <v>0</v>
      </c>
      <c r="Q1860" s="8" t="n">
        <v>0</v>
      </c>
      <c r="R1860" s="13" t="n">
        <v>0</v>
      </c>
      <c r="S1860" s="13" t="n">
        <v>0</v>
      </c>
      <c r="T1860" s="13"/>
      <c r="U1860" s="11" t="n">
        <f aca="false">O1860*4 + P1860*2 + MAX(0,N1860-O1860-P1860)*1 + Q1860*0.2 + R1860*2 + S1860*1 + IF(T1860="",0,IF(T1860&lt;=10,8,IF(T1860&lt;=50,6,IF(T1860&lt;=100,4,2))))</f>
        <v>0</v>
      </c>
      <c r="V1860" s="7"/>
      <c r="W1860" s="7"/>
      <c r="X1860" s="13"/>
      <c r="Y1860" s="13" t="s">
        <v>7638</v>
      </c>
    </row>
    <row r="1861" customFormat="false" ht="15.75" hidden="false" customHeight="true" outlineLevel="0" collapsed="false">
      <c r="A1861" s="7" t="s">
        <v>7639</v>
      </c>
      <c r="B1861" s="8" t="n">
        <v>2013</v>
      </c>
      <c r="C1861" s="8" t="s">
        <v>176</v>
      </c>
      <c r="D1861" s="8" t="n">
        <v>108</v>
      </c>
      <c r="E1861" s="7" t="s">
        <v>7640</v>
      </c>
      <c r="F1861" s="8" t="n">
        <v>8.2</v>
      </c>
      <c r="G1861" s="8" t="n">
        <v>7</v>
      </c>
      <c r="H1861" s="9" t="n">
        <v>5254</v>
      </c>
      <c r="I1861" s="7" t="s">
        <v>46</v>
      </c>
      <c r="J1861" s="7" t="s">
        <v>2730</v>
      </c>
      <c r="K1861" s="7" t="s">
        <v>48</v>
      </c>
      <c r="L1861" s="10"/>
      <c r="M1861" s="10" t="s">
        <v>7641</v>
      </c>
      <c r="N1861" s="8" t="n">
        <v>0</v>
      </c>
      <c r="O1861" s="8" t="n">
        <v>0</v>
      </c>
      <c r="P1861" s="8" t="n">
        <v>0</v>
      </c>
      <c r="Q1861" s="8" t="n">
        <v>0</v>
      </c>
      <c r="R1861" s="13" t="n">
        <v>0</v>
      </c>
      <c r="S1861" s="13" t="n">
        <v>0</v>
      </c>
      <c r="T1861" s="13"/>
      <c r="U1861" s="11" t="n">
        <f aca="false">O1861*4 + P1861*2 + MAX(0,N1861-O1861-P1861)*1 + Q1861*0.2 + R1861*2 + S1861*1 + IF(T1861="",0,IF(T1861&lt;=10,8,IF(T1861&lt;=50,6,IF(T1861&lt;=100,4,2))))</f>
        <v>0</v>
      </c>
      <c r="V1861" s="7"/>
      <c r="W1861" s="7"/>
      <c r="X1861" s="13"/>
      <c r="Y1861" s="13" t="s">
        <v>7642</v>
      </c>
    </row>
    <row r="1862" customFormat="false" ht="15.75" hidden="false" customHeight="true" outlineLevel="0" collapsed="false">
      <c r="A1862" s="7" t="s">
        <v>7643</v>
      </c>
      <c r="B1862" s="8" t="n">
        <v>2010</v>
      </c>
      <c r="C1862" s="8" t="s">
        <v>176</v>
      </c>
      <c r="D1862" s="8" t="n">
        <v>97</v>
      </c>
      <c r="E1862" s="7" t="s">
        <v>5958</v>
      </c>
      <c r="F1862" s="8" t="n">
        <v>6.3</v>
      </c>
      <c r="G1862" s="8" t="n">
        <v>5</v>
      </c>
      <c r="H1862" s="9" t="n">
        <v>90008</v>
      </c>
      <c r="I1862" s="7" t="s">
        <v>3107</v>
      </c>
      <c r="J1862" s="7" t="s">
        <v>112</v>
      </c>
      <c r="K1862" s="7" t="s">
        <v>453</v>
      </c>
      <c r="L1862" s="10"/>
      <c r="M1862" s="10" t="s">
        <v>7644</v>
      </c>
      <c r="N1862" s="8" t="n">
        <v>0</v>
      </c>
      <c r="O1862" s="8" t="n">
        <v>0</v>
      </c>
      <c r="P1862" s="8" t="n">
        <v>0</v>
      </c>
      <c r="Q1862" s="8" t="n">
        <v>0</v>
      </c>
      <c r="R1862" s="13" t="n">
        <v>0</v>
      </c>
      <c r="S1862" s="13" t="n">
        <v>0</v>
      </c>
      <c r="T1862" s="13"/>
      <c r="U1862" s="11" t="n">
        <f aca="false">O1862*4 + P1862*2 + MAX(0,N1862-O1862-P1862)*1 + Q1862*0.2 + R1862*2 + S1862*1 + IF(T1862="",0,IF(T1862&lt;=10,8,IF(T1862&lt;=50,6,IF(T1862&lt;=100,4,2))))</f>
        <v>0</v>
      </c>
      <c r="V1862" s="7"/>
      <c r="W1862" s="7"/>
      <c r="X1862" s="13"/>
      <c r="Y1862" s="13" t="s">
        <v>7645</v>
      </c>
    </row>
    <row r="1863" customFormat="false" ht="15.75" hidden="false" customHeight="true" outlineLevel="0" collapsed="false">
      <c r="A1863" s="7" t="s">
        <v>7646</v>
      </c>
      <c r="B1863" s="8" t="n">
        <v>1995</v>
      </c>
      <c r="C1863" s="8" t="s">
        <v>26</v>
      </c>
      <c r="D1863" s="8" t="n">
        <v>105</v>
      </c>
      <c r="E1863" s="7" t="s">
        <v>7647</v>
      </c>
      <c r="F1863" s="8" t="n">
        <v>7.4</v>
      </c>
      <c r="G1863" s="8" t="n">
        <v>6</v>
      </c>
      <c r="H1863" s="9" t="n">
        <v>26845</v>
      </c>
      <c r="I1863" s="7" t="s">
        <v>46</v>
      </c>
      <c r="J1863" s="7" t="s">
        <v>47</v>
      </c>
      <c r="K1863" s="7" t="s">
        <v>54</v>
      </c>
      <c r="L1863" s="10" t="s">
        <v>55</v>
      </c>
      <c r="M1863" s="10" t="s">
        <v>7648</v>
      </c>
      <c r="N1863" s="8" t="n">
        <v>0</v>
      </c>
      <c r="O1863" s="8" t="n">
        <v>0</v>
      </c>
      <c r="P1863" s="8" t="n">
        <v>0</v>
      </c>
      <c r="Q1863" s="8" t="n">
        <v>0</v>
      </c>
      <c r="R1863" s="13" t="n">
        <v>0</v>
      </c>
      <c r="S1863" s="13" t="n">
        <v>0</v>
      </c>
      <c r="T1863" s="13"/>
      <c r="U1863" s="11" t="n">
        <f aca="false">O1863*4 + P1863*2 + MAX(0,N1863-O1863-P1863)*1 + Q1863*0.2 + R1863*2 + S1863*1 + IF(T1863="",0,IF(T1863&lt;=10,8,IF(T1863&lt;=50,6,IF(T1863&lt;=100,4,2))))</f>
        <v>0</v>
      </c>
      <c r="V1863" s="7"/>
      <c r="W1863" s="7"/>
      <c r="X1863" s="13"/>
      <c r="Y1863" s="13" t="s">
        <v>7649</v>
      </c>
    </row>
    <row r="1864" customFormat="false" ht="15.75" hidden="false" customHeight="true" outlineLevel="0" collapsed="false">
      <c r="A1864" s="7" t="s">
        <v>7650</v>
      </c>
      <c r="B1864" s="8" t="n">
        <v>1981</v>
      </c>
      <c r="C1864" s="8" t="s">
        <v>109</v>
      </c>
      <c r="D1864" s="8" t="n">
        <v>122</v>
      </c>
      <c r="E1864" s="7" t="s">
        <v>7651</v>
      </c>
      <c r="F1864" s="8" t="n">
        <v>6.6</v>
      </c>
      <c r="G1864" s="8" t="n">
        <v>5</v>
      </c>
      <c r="H1864" s="9" t="n">
        <v>28043</v>
      </c>
      <c r="I1864" s="7" t="s">
        <v>2011</v>
      </c>
      <c r="J1864" s="7" t="s">
        <v>29</v>
      </c>
      <c r="K1864" s="7" t="s">
        <v>54</v>
      </c>
      <c r="L1864" s="10"/>
      <c r="M1864" s="10" t="s">
        <v>7652</v>
      </c>
      <c r="N1864" s="8" t="n">
        <v>0</v>
      </c>
      <c r="O1864" s="8" t="n">
        <v>0</v>
      </c>
      <c r="P1864" s="8" t="n">
        <v>0</v>
      </c>
      <c r="Q1864" s="8" t="n">
        <v>0</v>
      </c>
      <c r="R1864" s="13" t="n">
        <v>0</v>
      </c>
      <c r="S1864" s="13" t="n">
        <v>0</v>
      </c>
      <c r="T1864" s="13"/>
      <c r="U1864" s="11" t="n">
        <f aca="false">O1864*4 + P1864*2 + MAX(0,N1864-O1864-P1864)*1 + Q1864*0.2 + R1864*2 + S1864*1 + IF(T1864="",0,IF(T1864&lt;=10,8,IF(T1864&lt;=50,6,IF(T1864&lt;=100,4,2))))</f>
        <v>0</v>
      </c>
      <c r="V1864" s="7"/>
      <c r="W1864" s="7"/>
      <c r="X1864" s="13"/>
      <c r="Y1864" s="13" t="s">
        <v>7653</v>
      </c>
    </row>
    <row r="1865" customFormat="false" ht="15.75" hidden="false" customHeight="true" outlineLevel="0" collapsed="false">
      <c r="A1865" s="7" t="s">
        <v>7654</v>
      </c>
      <c r="B1865" s="8" t="n">
        <v>1985</v>
      </c>
      <c r="C1865" s="8" t="s">
        <v>109</v>
      </c>
      <c r="D1865" s="8" t="n">
        <v>115</v>
      </c>
      <c r="E1865" s="7" t="s">
        <v>74</v>
      </c>
      <c r="F1865" s="8" t="n">
        <v>7.3</v>
      </c>
      <c r="G1865" s="8" t="n">
        <v>6</v>
      </c>
      <c r="H1865" s="9" t="n">
        <v>71482</v>
      </c>
      <c r="I1865" s="7" t="s">
        <v>46</v>
      </c>
      <c r="J1865" s="7" t="s">
        <v>268</v>
      </c>
      <c r="K1865" s="7" t="s">
        <v>47</v>
      </c>
      <c r="L1865" s="10" t="s">
        <v>220</v>
      </c>
      <c r="M1865" s="10" t="s">
        <v>7655</v>
      </c>
      <c r="N1865" s="8" t="n">
        <v>0</v>
      </c>
      <c r="O1865" s="8" t="n">
        <v>0</v>
      </c>
      <c r="P1865" s="8" t="n">
        <v>0</v>
      </c>
      <c r="Q1865" s="8" t="n">
        <v>0</v>
      </c>
      <c r="R1865" s="13" t="n">
        <v>0</v>
      </c>
      <c r="S1865" s="13" t="n">
        <v>0</v>
      </c>
      <c r="T1865" s="13"/>
      <c r="U1865" s="11" t="n">
        <f aca="false">O1865*4 + P1865*2 + MAX(0,N1865-O1865-P1865)*1 + Q1865*0.2 + R1865*2 + S1865*1 + IF(T1865="",0,IF(T1865&lt;=10,8,IF(T1865&lt;=50,6,IF(T1865&lt;=100,4,2))))</f>
        <v>0</v>
      </c>
      <c r="V1865" s="7"/>
      <c r="W1865" s="7"/>
      <c r="X1865" s="13"/>
      <c r="Y1865" s="13" t="s">
        <v>7656</v>
      </c>
    </row>
    <row r="1866" customFormat="false" ht="15.75" hidden="false" customHeight="true" outlineLevel="0" collapsed="false">
      <c r="A1866" s="7" t="s">
        <v>7657</v>
      </c>
      <c r="B1866" s="8" t="n">
        <v>2002</v>
      </c>
      <c r="C1866" s="8" t="s">
        <v>35</v>
      </c>
      <c r="D1866" s="8" t="n">
        <v>105</v>
      </c>
      <c r="E1866" s="7" t="s">
        <v>5170</v>
      </c>
      <c r="F1866" s="8" t="n">
        <v>7.1</v>
      </c>
      <c r="G1866" s="8" t="n">
        <v>6</v>
      </c>
      <c r="H1866" s="9" t="n">
        <v>45602</v>
      </c>
      <c r="I1866" s="7" t="s">
        <v>2168</v>
      </c>
      <c r="J1866" s="7" t="s">
        <v>47</v>
      </c>
      <c r="K1866" s="7" t="s">
        <v>54</v>
      </c>
      <c r="L1866" s="10" t="s">
        <v>547</v>
      </c>
      <c r="M1866" s="10" t="s">
        <v>7658</v>
      </c>
      <c r="N1866" s="8" t="n">
        <v>0</v>
      </c>
      <c r="O1866" s="8" t="n">
        <v>0</v>
      </c>
      <c r="P1866" s="8" t="n">
        <v>0</v>
      </c>
      <c r="Q1866" s="8" t="n">
        <v>0</v>
      </c>
      <c r="R1866" s="13" t="n">
        <v>0</v>
      </c>
      <c r="S1866" s="13" t="n">
        <v>0</v>
      </c>
      <c r="T1866" s="13"/>
      <c r="U1866" s="11" t="n">
        <f aca="false">O1866*4 + P1866*2 + MAX(0,N1866-O1866-P1866)*1 + Q1866*0.2 + R1866*2 + S1866*1 + IF(T1866="",0,IF(T1866&lt;=10,8,IF(T1866&lt;=50,6,IF(T1866&lt;=100,4,2))))</f>
        <v>0</v>
      </c>
      <c r="V1866" s="7"/>
      <c r="W1866" s="7"/>
      <c r="X1866" s="13"/>
      <c r="Y1866" s="13" t="s">
        <v>7659</v>
      </c>
    </row>
    <row r="1867" customFormat="false" ht="15.75" hidden="false" customHeight="true" outlineLevel="0" collapsed="false">
      <c r="A1867" s="7" t="s">
        <v>7660</v>
      </c>
      <c r="B1867" s="8" t="n">
        <v>2015</v>
      </c>
      <c r="C1867" s="8" t="s">
        <v>176</v>
      </c>
      <c r="D1867" s="8" t="n">
        <v>114</v>
      </c>
      <c r="E1867" s="7" t="s">
        <v>7661</v>
      </c>
      <c r="F1867" s="8" t="n">
        <v>6.1</v>
      </c>
      <c r="G1867" s="8" t="n">
        <v>5</v>
      </c>
      <c r="H1867" s="9" t="n">
        <v>277915</v>
      </c>
      <c r="I1867" s="7" t="s">
        <v>7662</v>
      </c>
      <c r="J1867" s="7" t="s">
        <v>131</v>
      </c>
      <c r="K1867" s="7" t="s">
        <v>112</v>
      </c>
      <c r="L1867" s="10" t="s">
        <v>155</v>
      </c>
      <c r="M1867" s="7" t="s">
        <v>7663</v>
      </c>
      <c r="N1867" s="8" t="n">
        <v>0</v>
      </c>
      <c r="O1867" s="8" t="n">
        <v>0</v>
      </c>
      <c r="P1867" s="8" t="n">
        <v>0</v>
      </c>
      <c r="Q1867" s="8" t="n">
        <v>0</v>
      </c>
      <c r="R1867" s="13" t="n">
        <v>0</v>
      </c>
      <c r="S1867" s="13" t="n">
        <v>0</v>
      </c>
      <c r="T1867" s="13"/>
      <c r="U1867" s="11" t="n">
        <f aca="false">O1867*4 + P1867*2 + MAX(0,N1867-O1867-P1867)*1 + Q1867*0.2 + R1867*2 + S1867*1 + IF(T1867="",0,IF(T1867&lt;=10,8,IF(T1867&lt;=50,6,IF(T1867&lt;=100,4,2))))</f>
        <v>0</v>
      </c>
      <c r="V1867" s="7"/>
      <c r="W1867" s="7"/>
      <c r="X1867" s="13"/>
      <c r="Y1867" s="13" t="s">
        <v>7664</v>
      </c>
    </row>
    <row r="1868" customFormat="false" ht="15.75" hidden="false" customHeight="true" outlineLevel="0" collapsed="false">
      <c r="A1868" s="7" t="s">
        <v>7665</v>
      </c>
      <c r="B1868" s="8" t="n">
        <v>2004</v>
      </c>
      <c r="C1868" s="8" t="s">
        <v>35</v>
      </c>
      <c r="D1868" s="8" t="n">
        <v>131</v>
      </c>
      <c r="E1868" s="7" t="s">
        <v>1355</v>
      </c>
      <c r="F1868" s="8" t="n">
        <v>6.4</v>
      </c>
      <c r="G1868" s="8" t="n">
        <v>5</v>
      </c>
      <c r="H1868" s="9" t="n">
        <v>93168</v>
      </c>
      <c r="I1868" s="7" t="s">
        <v>46</v>
      </c>
      <c r="J1868" s="7" t="s">
        <v>29</v>
      </c>
      <c r="K1868" s="7" t="s">
        <v>7666</v>
      </c>
      <c r="L1868" s="10"/>
      <c r="M1868" s="10" t="s">
        <v>7667</v>
      </c>
      <c r="N1868" s="8" t="n">
        <v>0</v>
      </c>
      <c r="O1868" s="8" t="n">
        <v>0</v>
      </c>
      <c r="P1868" s="8" t="n">
        <v>0</v>
      </c>
      <c r="Q1868" s="8" t="n">
        <v>0</v>
      </c>
      <c r="R1868" s="13" t="n">
        <v>0</v>
      </c>
      <c r="S1868" s="13" t="n">
        <v>0</v>
      </c>
      <c r="T1868" s="13"/>
      <c r="U1868" s="11" t="n">
        <f aca="false">O1868*4 + P1868*2 + MAX(0,N1868-O1868-P1868)*1 + Q1868*0.2 + R1868*2 + S1868*1 + IF(T1868="",0,IF(T1868&lt;=10,8,IF(T1868&lt;=50,6,IF(T1868&lt;=100,4,2))))</f>
        <v>0</v>
      </c>
      <c r="V1868" s="7"/>
      <c r="W1868" s="7"/>
      <c r="X1868" s="13"/>
      <c r="Y1868" s="13" t="s">
        <v>7668</v>
      </c>
    </row>
    <row r="1869" customFormat="false" ht="15.75" hidden="false" customHeight="true" outlineLevel="0" collapsed="false">
      <c r="A1869" s="7" t="s">
        <v>7669</v>
      </c>
      <c r="B1869" s="8" t="n">
        <v>2015</v>
      </c>
      <c r="C1869" s="8" t="s">
        <v>176</v>
      </c>
      <c r="D1869" s="8" t="n">
        <v>91</v>
      </c>
      <c r="E1869" s="7" t="s">
        <v>7670</v>
      </c>
      <c r="F1869" s="8" t="n">
        <v>5.2</v>
      </c>
      <c r="G1869" s="8" t="n">
        <v>4</v>
      </c>
      <c r="H1869" s="9" t="n">
        <v>3035</v>
      </c>
      <c r="I1869" s="7" t="s">
        <v>232</v>
      </c>
      <c r="J1869" s="7" t="s">
        <v>29</v>
      </c>
      <c r="K1869" s="7" t="s">
        <v>30</v>
      </c>
      <c r="L1869" s="10" t="s">
        <v>69</v>
      </c>
      <c r="M1869" s="10" t="s">
        <v>7671</v>
      </c>
      <c r="N1869" s="8" t="n">
        <v>0</v>
      </c>
      <c r="O1869" s="8" t="n">
        <v>0</v>
      </c>
      <c r="P1869" s="8" t="n">
        <v>0</v>
      </c>
      <c r="Q1869" s="8" t="n">
        <v>0</v>
      </c>
      <c r="R1869" s="13" t="n">
        <v>0</v>
      </c>
      <c r="S1869" s="13" t="n">
        <v>0</v>
      </c>
      <c r="T1869" s="13"/>
      <c r="U1869" s="11" t="n">
        <f aca="false">O1869*4 + P1869*2 + MAX(0,N1869-O1869-P1869)*1 + Q1869*0.2 + R1869*2 + S1869*1 + IF(T1869="",0,IF(T1869&lt;=10,8,IF(T1869&lt;=50,6,IF(T1869&lt;=100,4,2))))</f>
        <v>0</v>
      </c>
      <c r="V1869" s="7"/>
      <c r="W1869" s="7"/>
      <c r="X1869" s="13"/>
      <c r="Y1869" s="13" t="s">
        <v>7672</v>
      </c>
    </row>
    <row r="1870" customFormat="false" ht="15.75" hidden="false" customHeight="true" outlineLevel="0" collapsed="false">
      <c r="A1870" s="7" t="s">
        <v>7673</v>
      </c>
      <c r="B1870" s="8" t="n">
        <v>1984</v>
      </c>
      <c r="C1870" s="8" t="s">
        <v>109</v>
      </c>
      <c r="D1870" s="8" t="n">
        <v>92</v>
      </c>
      <c r="E1870" s="7" t="s">
        <v>7674</v>
      </c>
      <c r="F1870" s="8" t="n">
        <v>5.6</v>
      </c>
      <c r="G1870" s="8" t="n">
        <v>5</v>
      </c>
      <c r="H1870" s="9" t="n">
        <v>63259</v>
      </c>
      <c r="I1870" s="7" t="s">
        <v>46</v>
      </c>
      <c r="J1870" s="7" t="s">
        <v>147</v>
      </c>
      <c r="K1870" s="7" t="s">
        <v>131</v>
      </c>
      <c r="L1870" s="10"/>
      <c r="M1870" s="10" t="s">
        <v>7675</v>
      </c>
      <c r="N1870" s="8" t="n">
        <v>0</v>
      </c>
      <c r="O1870" s="8" t="n">
        <v>0</v>
      </c>
      <c r="P1870" s="8" t="n">
        <v>0</v>
      </c>
      <c r="Q1870" s="8" t="n">
        <v>0</v>
      </c>
      <c r="R1870" s="13" t="n">
        <v>0</v>
      </c>
      <c r="S1870" s="13" t="n">
        <v>0</v>
      </c>
      <c r="T1870" s="13"/>
      <c r="U1870" s="11" t="n">
        <f aca="false">O1870*4 + P1870*2 + MAX(0,N1870-O1870-P1870)*1 + Q1870*0.2 + R1870*2 + S1870*1 + IF(T1870="",0,IF(T1870&lt;=10,8,IF(T1870&lt;=50,6,IF(T1870&lt;=100,4,2))))</f>
        <v>0</v>
      </c>
      <c r="V1870" s="7"/>
      <c r="W1870" s="7"/>
      <c r="X1870" s="13"/>
      <c r="Y1870" s="13" t="s">
        <v>7676</v>
      </c>
    </row>
    <row r="1871" customFormat="false" ht="15.75" hidden="false" customHeight="true" outlineLevel="0" collapsed="false">
      <c r="A1871" s="7" t="s">
        <v>7677</v>
      </c>
      <c r="B1871" s="8" t="n">
        <v>2014</v>
      </c>
      <c r="C1871" s="8" t="s">
        <v>176</v>
      </c>
      <c r="D1871" s="8" t="n">
        <v>129</v>
      </c>
      <c r="E1871" s="7" t="s">
        <v>5511</v>
      </c>
      <c r="F1871" s="8" t="n">
        <v>7.7</v>
      </c>
      <c r="G1871" s="8" t="n">
        <v>7</v>
      </c>
      <c r="H1871" s="9" t="n">
        <v>782371</v>
      </c>
      <c r="I1871" s="7" t="s">
        <v>359</v>
      </c>
      <c r="J1871" s="7" t="s">
        <v>112</v>
      </c>
      <c r="K1871" s="7" t="s">
        <v>39</v>
      </c>
      <c r="L1871" s="10" t="s">
        <v>5512</v>
      </c>
      <c r="M1871" s="7" t="s">
        <v>7678</v>
      </c>
      <c r="N1871" s="8" t="n">
        <v>0</v>
      </c>
      <c r="O1871" s="8" t="n">
        <v>0</v>
      </c>
      <c r="P1871" s="8" t="n">
        <v>0</v>
      </c>
      <c r="Q1871" s="8" t="n">
        <v>0</v>
      </c>
      <c r="R1871" s="13" t="n">
        <v>0</v>
      </c>
      <c r="S1871" s="13" t="n">
        <v>0</v>
      </c>
      <c r="T1871" s="13"/>
      <c r="U1871" s="11" t="n">
        <f aca="false">O1871*4 + P1871*2 + MAX(0,N1871-O1871-P1871)*1 + Q1871*0.2 + R1871*2 + S1871*1 + IF(T1871="",0,IF(T1871&lt;=10,8,IF(T1871&lt;=50,6,IF(T1871&lt;=100,4,2))))</f>
        <v>0</v>
      </c>
      <c r="V1871" s="7"/>
      <c r="W1871" s="7"/>
      <c r="X1871" s="13"/>
      <c r="Y1871" s="13" t="s">
        <v>7679</v>
      </c>
    </row>
    <row r="1872" customFormat="false" ht="15.75" hidden="false" customHeight="true" outlineLevel="0" collapsed="false">
      <c r="A1872" s="7" t="s">
        <v>7680</v>
      </c>
      <c r="B1872" s="8" t="n">
        <v>2005</v>
      </c>
      <c r="C1872" s="8" t="s">
        <v>35</v>
      </c>
      <c r="D1872" s="8" t="n">
        <v>86</v>
      </c>
      <c r="E1872" s="7" t="s">
        <v>7681</v>
      </c>
      <c r="F1872" s="8" t="n">
        <v>7</v>
      </c>
      <c r="G1872" s="8" t="n">
        <v>6</v>
      </c>
      <c r="H1872" s="9" t="n">
        <v>485668</v>
      </c>
      <c r="I1872" s="7" t="s">
        <v>46</v>
      </c>
      <c r="J1872" s="7" t="s">
        <v>579</v>
      </c>
      <c r="K1872" s="7" t="s">
        <v>39</v>
      </c>
      <c r="L1872" s="10" t="s">
        <v>5259</v>
      </c>
      <c r="M1872" s="7" t="s">
        <v>7682</v>
      </c>
      <c r="N1872" s="8" t="n">
        <v>0</v>
      </c>
      <c r="O1872" s="8" t="n">
        <v>0</v>
      </c>
      <c r="P1872" s="8" t="n">
        <v>0</v>
      </c>
      <c r="Q1872" s="8" t="n">
        <v>0</v>
      </c>
      <c r="R1872" s="13" t="n">
        <v>0</v>
      </c>
      <c r="S1872" s="13" t="n">
        <v>0</v>
      </c>
      <c r="T1872" s="13"/>
      <c r="U1872" s="11" t="n">
        <f aca="false">O1872*4 + P1872*2 + MAX(0,N1872-O1872-P1872)*1 + Q1872*0.2 + R1872*2 + S1872*1 + IF(T1872="",0,IF(T1872&lt;=10,8,IF(T1872&lt;=50,6,IF(T1872&lt;=100,4,2))))</f>
        <v>0</v>
      </c>
      <c r="V1872" s="7"/>
      <c r="W1872" s="7"/>
      <c r="X1872" s="13"/>
      <c r="Y1872" s="13" t="s">
        <v>7683</v>
      </c>
    </row>
    <row r="1873" customFormat="false" ht="15.75" hidden="false" customHeight="true" outlineLevel="0" collapsed="false">
      <c r="A1873" s="7" t="s">
        <v>7684</v>
      </c>
      <c r="B1873" s="8" t="n">
        <v>2008</v>
      </c>
      <c r="C1873" s="8" t="s">
        <v>35</v>
      </c>
      <c r="D1873" s="8" t="n">
        <v>89</v>
      </c>
      <c r="E1873" s="7" t="s">
        <v>7681</v>
      </c>
      <c r="F1873" s="8" t="n">
        <v>6.7</v>
      </c>
      <c r="G1873" s="8" t="n">
        <v>5</v>
      </c>
      <c r="H1873" s="9" t="n">
        <v>274122</v>
      </c>
      <c r="I1873" s="7" t="s">
        <v>46</v>
      </c>
      <c r="J1873" s="7" t="s">
        <v>579</v>
      </c>
      <c r="K1873" s="7" t="s">
        <v>39</v>
      </c>
      <c r="L1873" s="10" t="s">
        <v>7685</v>
      </c>
      <c r="M1873" s="7" t="s">
        <v>7686</v>
      </c>
      <c r="N1873" s="8" t="n">
        <v>0</v>
      </c>
      <c r="O1873" s="8" t="n">
        <v>0</v>
      </c>
      <c r="P1873" s="8" t="n">
        <v>0</v>
      </c>
      <c r="Q1873" s="8" t="n">
        <v>0</v>
      </c>
      <c r="R1873" s="13" t="n">
        <v>0</v>
      </c>
      <c r="S1873" s="13" t="n">
        <v>0</v>
      </c>
      <c r="T1873" s="13"/>
      <c r="U1873" s="11" t="n">
        <f aca="false">O1873*4 + P1873*2 + MAX(0,N1873-O1873-P1873)*1 + Q1873*0.2 + R1873*2 + S1873*1 + IF(T1873="",0,IF(T1873&lt;=10,8,IF(T1873&lt;=50,6,IF(T1873&lt;=100,4,2))))</f>
        <v>0</v>
      </c>
      <c r="V1873" s="7"/>
      <c r="W1873" s="7"/>
      <c r="X1873" s="13"/>
      <c r="Y1873" s="13" t="s">
        <v>7687</v>
      </c>
    </row>
    <row r="1874" customFormat="false" ht="15.75" hidden="false" customHeight="true" outlineLevel="0" collapsed="false">
      <c r="A1874" s="7" t="s">
        <v>7688</v>
      </c>
      <c r="B1874" s="8" t="n">
        <v>2014</v>
      </c>
      <c r="C1874" s="8" t="s">
        <v>176</v>
      </c>
      <c r="D1874" s="8" t="n">
        <v>93</v>
      </c>
      <c r="E1874" s="7" t="s">
        <v>6983</v>
      </c>
      <c r="F1874" s="8" t="n">
        <v>7.1</v>
      </c>
      <c r="G1874" s="8" t="n">
        <v>6</v>
      </c>
      <c r="H1874" s="9" t="n">
        <v>4764</v>
      </c>
      <c r="I1874" s="7" t="s">
        <v>232</v>
      </c>
      <c r="J1874" s="7" t="s">
        <v>2730</v>
      </c>
      <c r="K1874" s="7" t="s">
        <v>48</v>
      </c>
      <c r="L1874" s="10"/>
      <c r="M1874" s="10" t="s">
        <v>7689</v>
      </c>
      <c r="N1874" s="8" t="n">
        <v>0</v>
      </c>
      <c r="O1874" s="8" t="n">
        <v>0</v>
      </c>
      <c r="P1874" s="8" t="n">
        <v>0</v>
      </c>
      <c r="Q1874" s="8" t="n">
        <v>0</v>
      </c>
      <c r="R1874" s="13" t="n">
        <v>0</v>
      </c>
      <c r="S1874" s="13" t="n">
        <v>0</v>
      </c>
      <c r="T1874" s="13"/>
      <c r="U1874" s="11" t="n">
        <f aca="false">O1874*4 + P1874*2 + MAX(0,N1874-O1874-P1874)*1 + Q1874*0.2 + R1874*2 + S1874*1 + IF(T1874="",0,IF(T1874&lt;=10,8,IF(T1874&lt;=50,6,IF(T1874&lt;=100,4,2))))</f>
        <v>0</v>
      </c>
      <c r="V1874" s="7"/>
      <c r="W1874" s="7"/>
      <c r="X1874" s="13"/>
      <c r="Y1874" s="13" t="s">
        <v>7690</v>
      </c>
    </row>
    <row r="1875" customFormat="false" ht="15.75" hidden="false" customHeight="true" outlineLevel="0" collapsed="false">
      <c r="A1875" s="7" t="s">
        <v>7691</v>
      </c>
      <c r="B1875" s="8" t="n">
        <v>2014</v>
      </c>
      <c r="C1875" s="8" t="s">
        <v>176</v>
      </c>
      <c r="D1875" s="8" t="n">
        <v>99</v>
      </c>
      <c r="E1875" s="7" t="s">
        <v>7692</v>
      </c>
      <c r="F1875" s="8" t="n">
        <v>5.5</v>
      </c>
      <c r="G1875" s="8" t="n">
        <v>4</v>
      </c>
      <c r="H1875" s="9" t="n">
        <v>198222</v>
      </c>
      <c r="I1875" s="7" t="s">
        <v>46</v>
      </c>
      <c r="J1875" s="7" t="s">
        <v>147</v>
      </c>
      <c r="K1875" s="7" t="s">
        <v>125</v>
      </c>
      <c r="L1875" s="10" t="s">
        <v>7693</v>
      </c>
      <c r="M1875" s="10" t="s">
        <v>7694</v>
      </c>
      <c r="N1875" s="8" t="n">
        <v>0</v>
      </c>
      <c r="O1875" s="8" t="n">
        <v>0</v>
      </c>
      <c r="P1875" s="8" t="n">
        <v>0</v>
      </c>
      <c r="Q1875" s="8" t="n">
        <v>0</v>
      </c>
      <c r="R1875" s="13" t="n">
        <v>0</v>
      </c>
      <c r="S1875" s="13" t="n">
        <v>0</v>
      </c>
      <c r="T1875" s="13"/>
      <c r="U1875" s="11" t="n">
        <f aca="false">O1875*4 + P1875*2 + MAX(0,N1875-O1875-P1875)*1 + Q1875*0.2 + R1875*2 + S1875*1 + IF(T1875="",0,IF(T1875&lt;=10,8,IF(T1875&lt;=50,6,IF(T1875&lt;=100,4,2))))</f>
        <v>0</v>
      </c>
      <c r="V1875" s="7"/>
      <c r="W1875" s="7"/>
      <c r="X1875" s="13"/>
      <c r="Y1875" s="13" t="s">
        <v>7695</v>
      </c>
    </row>
    <row r="1876" customFormat="false" ht="15.75" hidden="false" customHeight="true" outlineLevel="0" collapsed="false">
      <c r="A1876" s="7" t="s">
        <v>7696</v>
      </c>
      <c r="B1876" s="8" t="n">
        <v>2012</v>
      </c>
      <c r="C1876" s="8" t="s">
        <v>176</v>
      </c>
      <c r="D1876" s="8" t="n">
        <v>93</v>
      </c>
      <c r="E1876" s="7" t="s">
        <v>7697</v>
      </c>
      <c r="F1876" s="8" t="n">
        <v>6.8</v>
      </c>
      <c r="G1876" s="8" t="n">
        <v>5</v>
      </c>
      <c r="H1876" s="9" t="n">
        <v>220367</v>
      </c>
      <c r="I1876" s="7" t="s">
        <v>46</v>
      </c>
      <c r="J1876" s="7" t="s">
        <v>579</v>
      </c>
      <c r="K1876" s="7" t="s">
        <v>39</v>
      </c>
      <c r="L1876" s="10" t="s">
        <v>192</v>
      </c>
      <c r="M1876" s="10" t="s">
        <v>7698</v>
      </c>
      <c r="N1876" s="8" t="n">
        <v>0</v>
      </c>
      <c r="O1876" s="8" t="n">
        <v>0</v>
      </c>
      <c r="P1876" s="8" t="n">
        <v>0</v>
      </c>
      <c r="Q1876" s="8" t="n">
        <v>0</v>
      </c>
      <c r="R1876" s="13" t="n">
        <v>0</v>
      </c>
      <c r="S1876" s="13" t="n">
        <v>0</v>
      </c>
      <c r="T1876" s="13"/>
      <c r="U1876" s="11" t="n">
        <f aca="false">O1876*4 + P1876*2 + MAX(0,N1876-O1876-P1876)*1 + Q1876*0.2 + R1876*2 + S1876*1 + IF(T1876="",0,IF(T1876&lt;=10,8,IF(T1876&lt;=50,6,IF(T1876&lt;=100,4,2))))</f>
        <v>0</v>
      </c>
      <c r="V1876" s="7"/>
      <c r="W1876" s="7"/>
      <c r="X1876" s="13"/>
      <c r="Y1876" s="13" t="s">
        <v>7699</v>
      </c>
    </row>
    <row r="1877" customFormat="false" ht="15.75" hidden="false" customHeight="true" outlineLevel="0" collapsed="false">
      <c r="A1877" s="7" t="s">
        <v>7700</v>
      </c>
      <c r="B1877" s="8" t="n">
        <v>1997</v>
      </c>
      <c r="C1877" s="8" t="s">
        <v>26</v>
      </c>
      <c r="D1877" s="8" t="n">
        <v>138</v>
      </c>
      <c r="E1877" s="7" t="s">
        <v>6034</v>
      </c>
      <c r="F1877" s="8" t="n">
        <v>8.2</v>
      </c>
      <c r="G1877" s="8" t="n">
        <v>8</v>
      </c>
      <c r="H1877" s="9" t="n">
        <v>662035</v>
      </c>
      <c r="I1877" s="7" t="s">
        <v>46</v>
      </c>
      <c r="J1877" s="7" t="s">
        <v>47</v>
      </c>
      <c r="K1877" s="7" t="s">
        <v>54</v>
      </c>
      <c r="L1877" s="10" t="s">
        <v>552</v>
      </c>
      <c r="M1877" s="7" t="s">
        <v>7701</v>
      </c>
      <c r="N1877" s="8" t="n">
        <v>2</v>
      </c>
      <c r="O1877" s="8" t="n">
        <v>0</v>
      </c>
      <c r="P1877" s="8" t="n">
        <v>0</v>
      </c>
      <c r="Q1877" s="8" t="n">
        <v>9</v>
      </c>
      <c r="R1877" s="8" t="n">
        <v>0</v>
      </c>
      <c r="S1877" s="8" t="n">
        <v>0</v>
      </c>
      <c r="T1877" s="13"/>
      <c r="U1877" s="11" t="n">
        <f aca="false">O1877*4 + P1877*2 + MAX(0,N1877-O1877-P1877)*1 + Q1877*0.2 + R1877*2 + S1877*1 + IF(T1877="",0,IF(T1877&lt;=10,8,IF(T1877&lt;=50,6,IF(T1877&lt;=100,4,2))))</f>
        <v>3.8</v>
      </c>
      <c r="V1877" s="7"/>
      <c r="W1877" s="7"/>
      <c r="X1877" s="13"/>
      <c r="Y1877" s="13" t="s">
        <v>7702</v>
      </c>
    </row>
    <row r="1878" customFormat="false" ht="15.75" hidden="false" customHeight="true" outlineLevel="0" collapsed="false">
      <c r="A1878" s="7" t="s">
        <v>7703</v>
      </c>
      <c r="B1878" s="8" t="n">
        <v>2008</v>
      </c>
      <c r="C1878" s="8" t="s">
        <v>35</v>
      </c>
      <c r="D1878" s="8" t="n">
        <v>98</v>
      </c>
      <c r="E1878" s="7" t="s">
        <v>7704</v>
      </c>
      <c r="F1878" s="8" t="n">
        <v>5.4</v>
      </c>
      <c r="G1878" s="8" t="n">
        <v>3</v>
      </c>
      <c r="H1878" s="9" t="n">
        <v>59261</v>
      </c>
      <c r="I1878" s="7" t="s">
        <v>46</v>
      </c>
      <c r="J1878" s="7" t="s">
        <v>147</v>
      </c>
      <c r="K1878" s="7" t="s">
        <v>125</v>
      </c>
      <c r="L1878" s="10" t="s">
        <v>6396</v>
      </c>
      <c r="M1878" s="10" t="s">
        <v>7705</v>
      </c>
      <c r="N1878" s="8" t="n">
        <v>0</v>
      </c>
      <c r="O1878" s="8" t="n">
        <v>0</v>
      </c>
      <c r="P1878" s="8" t="n">
        <v>0</v>
      </c>
      <c r="Q1878" s="8" t="n">
        <v>0</v>
      </c>
      <c r="R1878" s="13" t="n">
        <v>0</v>
      </c>
      <c r="S1878" s="13" t="n">
        <v>0</v>
      </c>
      <c r="T1878" s="13"/>
      <c r="U1878" s="11" t="n">
        <f aca="false">O1878*4 + P1878*2 + MAX(0,N1878-O1878-P1878)*1 + Q1878*0.2 + R1878*2 + S1878*1 + IF(T1878="",0,IF(T1878&lt;=10,8,IF(T1878&lt;=50,6,IF(T1878&lt;=100,4,2))))</f>
        <v>0</v>
      </c>
      <c r="V1878" s="7"/>
      <c r="W1878" s="7"/>
      <c r="X1878" s="13"/>
      <c r="Y1878" s="13" t="s">
        <v>7706</v>
      </c>
    </row>
    <row r="1879" customFormat="false" ht="15.75" hidden="false" customHeight="true" outlineLevel="0" collapsed="false">
      <c r="A1879" s="7" t="s">
        <v>7707</v>
      </c>
      <c r="B1879" s="8" t="n">
        <v>2015</v>
      </c>
      <c r="C1879" s="8" t="s">
        <v>176</v>
      </c>
      <c r="D1879" s="8" t="n">
        <v>93</v>
      </c>
      <c r="E1879" s="7" t="s">
        <v>7035</v>
      </c>
      <c r="F1879" s="8" t="n">
        <v>6.1</v>
      </c>
      <c r="G1879" s="8" t="n">
        <v>6</v>
      </c>
      <c r="H1879" s="9" t="n">
        <v>4603</v>
      </c>
      <c r="I1879" s="7" t="s">
        <v>232</v>
      </c>
      <c r="J1879" s="7" t="s">
        <v>131</v>
      </c>
      <c r="K1879" s="7" t="s">
        <v>5160</v>
      </c>
      <c r="L1879" s="10" t="s">
        <v>2654</v>
      </c>
      <c r="M1879" s="10" t="s">
        <v>7708</v>
      </c>
      <c r="N1879" s="8" t="n">
        <v>0</v>
      </c>
      <c r="O1879" s="8" t="n">
        <v>0</v>
      </c>
      <c r="P1879" s="8" t="n">
        <v>0</v>
      </c>
      <c r="Q1879" s="8" t="n">
        <v>0</v>
      </c>
      <c r="R1879" s="13" t="n">
        <v>0</v>
      </c>
      <c r="S1879" s="13" t="n">
        <v>0</v>
      </c>
      <c r="T1879" s="13"/>
      <c r="U1879" s="11" t="n">
        <f aca="false">O1879*4 + P1879*2 + MAX(0,N1879-O1879-P1879)*1 + Q1879*0.2 + R1879*2 + S1879*1 + IF(T1879="",0,IF(T1879&lt;=10,8,IF(T1879&lt;=50,6,IF(T1879&lt;=100,4,2))))</f>
        <v>0</v>
      </c>
      <c r="V1879" s="7"/>
      <c r="W1879" s="7"/>
      <c r="X1879" s="13"/>
      <c r="Y1879" s="13" t="s">
        <v>7709</v>
      </c>
    </row>
    <row r="1880" customFormat="false" ht="15.75" hidden="false" customHeight="true" outlineLevel="0" collapsed="false">
      <c r="A1880" s="7" t="s">
        <v>7710</v>
      </c>
      <c r="B1880" s="8" t="n">
        <v>2013</v>
      </c>
      <c r="C1880" s="8" t="s">
        <v>176</v>
      </c>
      <c r="D1880" s="8" t="n">
        <v>112</v>
      </c>
      <c r="E1880" s="7" t="s">
        <v>7711</v>
      </c>
      <c r="F1880" s="8" t="n">
        <v>6.4</v>
      </c>
      <c r="G1880" s="8" t="n">
        <v>6</v>
      </c>
      <c r="H1880" s="9" t="n">
        <v>96295</v>
      </c>
      <c r="I1880" s="7" t="s">
        <v>46</v>
      </c>
      <c r="J1880" s="7" t="s">
        <v>47</v>
      </c>
      <c r="K1880" s="7" t="s">
        <v>131</v>
      </c>
      <c r="L1880" s="10" t="s">
        <v>5883</v>
      </c>
      <c r="M1880" s="10" t="s">
        <v>7712</v>
      </c>
      <c r="N1880" s="8" t="n">
        <v>0</v>
      </c>
      <c r="O1880" s="8" t="n">
        <v>0</v>
      </c>
      <c r="P1880" s="8" t="n">
        <v>0</v>
      </c>
      <c r="Q1880" s="8" t="n">
        <v>0</v>
      </c>
      <c r="R1880" s="8" t="n">
        <v>1</v>
      </c>
      <c r="S1880" s="13" t="n">
        <v>0</v>
      </c>
      <c r="T1880" s="13"/>
      <c r="U1880" s="11" t="n">
        <f aca="false">O1880*4 + P1880*2 + MAX(0,N1880-O1880-P1880)*1 + Q1880*0.2 + R1880*2 + S1880*1 + IF(T1880="",0,IF(T1880&lt;=10,8,IF(T1880&lt;=50,6,IF(T1880&lt;=100,4,2))))</f>
        <v>2</v>
      </c>
      <c r="V1880" s="7"/>
      <c r="W1880" s="7"/>
      <c r="X1880" s="13"/>
      <c r="Y1880" s="13" t="s">
        <v>7713</v>
      </c>
    </row>
    <row r="1881" customFormat="false" ht="15.75" hidden="false" customHeight="true" outlineLevel="0" collapsed="false">
      <c r="A1881" s="7" t="s">
        <v>7714</v>
      </c>
      <c r="B1881" s="8" t="n">
        <v>2007</v>
      </c>
      <c r="C1881" s="8" t="s">
        <v>35</v>
      </c>
      <c r="D1881" s="8" t="n">
        <v>148</v>
      </c>
      <c r="E1881" s="7" t="s">
        <v>7715</v>
      </c>
      <c r="F1881" s="8" t="n">
        <v>8</v>
      </c>
      <c r="G1881" s="8" t="n">
        <v>8</v>
      </c>
      <c r="H1881" s="9" t="n">
        <v>698390</v>
      </c>
      <c r="I1881" s="7" t="s">
        <v>46</v>
      </c>
      <c r="J1881" s="7" t="s">
        <v>39</v>
      </c>
      <c r="K1881" s="7" t="s">
        <v>48</v>
      </c>
      <c r="L1881" s="10"/>
      <c r="M1881" s="7" t="s">
        <v>7716</v>
      </c>
      <c r="N1881" s="8" t="n">
        <v>0</v>
      </c>
      <c r="O1881" s="8" t="n">
        <v>0</v>
      </c>
      <c r="P1881" s="8" t="n">
        <v>0</v>
      </c>
      <c r="Q1881" s="8" t="n">
        <v>2</v>
      </c>
      <c r="R1881" s="8" t="n">
        <v>0</v>
      </c>
      <c r="S1881" s="8" t="n">
        <v>0</v>
      </c>
      <c r="T1881" s="13"/>
      <c r="U1881" s="11" t="n">
        <f aca="false">O1881*4 + P1881*2 + MAX(0,N1881-O1881-P1881)*1 + Q1881*0.2 + R1881*2 + S1881*1 + IF(T1881="",0,IF(T1881&lt;=10,8,IF(T1881&lt;=50,6,IF(T1881&lt;=100,4,2))))</f>
        <v>0.4</v>
      </c>
      <c r="V1881" s="7"/>
      <c r="W1881" s="7"/>
      <c r="X1881" s="13"/>
      <c r="Y1881" s="13" t="s">
        <v>7717</v>
      </c>
    </row>
    <row r="1882" customFormat="false" ht="15.75" hidden="false" customHeight="true" outlineLevel="0" collapsed="false">
      <c r="A1882" s="7" t="s">
        <v>7718</v>
      </c>
      <c r="B1882" s="8" t="n">
        <v>2009</v>
      </c>
      <c r="C1882" s="8" t="s">
        <v>35</v>
      </c>
      <c r="D1882" s="8" t="n">
        <v>108</v>
      </c>
      <c r="E1882" s="7" t="s">
        <v>7719</v>
      </c>
      <c r="F1882" s="8" t="n">
        <v>6.7</v>
      </c>
      <c r="G1882" s="8" t="n">
        <v>6</v>
      </c>
      <c r="H1882" s="9" t="n">
        <v>168918</v>
      </c>
      <c r="I1882" s="7" t="s">
        <v>4016</v>
      </c>
      <c r="J1882" s="7" t="s">
        <v>147</v>
      </c>
      <c r="K1882" s="7" t="s">
        <v>125</v>
      </c>
      <c r="L1882" s="10" t="s">
        <v>7357</v>
      </c>
      <c r="M1882" s="10" t="s">
        <v>7720</v>
      </c>
      <c r="N1882" s="8" t="n">
        <v>0</v>
      </c>
      <c r="O1882" s="8" t="n">
        <v>0</v>
      </c>
      <c r="P1882" s="8" t="n">
        <v>0</v>
      </c>
      <c r="Q1882" s="8" t="n">
        <v>0</v>
      </c>
      <c r="R1882" s="13" t="n">
        <v>0</v>
      </c>
      <c r="S1882" s="13" t="n">
        <v>0</v>
      </c>
      <c r="T1882" s="13"/>
      <c r="U1882" s="11" t="n">
        <f aca="false">O1882*4 + P1882*2 + MAX(0,N1882-O1882-P1882)*1 + Q1882*0.2 + R1882*2 + S1882*1 + IF(T1882="",0,IF(T1882&lt;=10,8,IF(T1882&lt;=50,6,IF(T1882&lt;=100,4,2))))</f>
        <v>0</v>
      </c>
      <c r="V1882" s="7"/>
      <c r="W1882" s="7"/>
      <c r="X1882" s="13"/>
      <c r="Y1882" s="13" t="s">
        <v>7721</v>
      </c>
    </row>
    <row r="1883" customFormat="false" ht="15.75" hidden="false" customHeight="true" outlineLevel="0" collapsed="false">
      <c r="A1883" s="7" t="s">
        <v>7722</v>
      </c>
      <c r="B1883" s="8" t="n">
        <v>2013</v>
      </c>
      <c r="C1883" s="8" t="s">
        <v>176</v>
      </c>
      <c r="D1883" s="8" t="n">
        <v>101</v>
      </c>
      <c r="E1883" s="7" t="s">
        <v>5853</v>
      </c>
      <c r="F1883" s="8" t="n">
        <v>5.4</v>
      </c>
      <c r="G1883" s="8" t="n">
        <v>4</v>
      </c>
      <c r="H1883" s="9" t="n">
        <v>193824</v>
      </c>
      <c r="I1883" s="7" t="s">
        <v>46</v>
      </c>
      <c r="J1883" s="7" t="s">
        <v>30</v>
      </c>
      <c r="K1883" s="7"/>
      <c r="L1883" s="10"/>
      <c r="M1883" s="10" t="s">
        <v>7723</v>
      </c>
      <c r="N1883" s="8" t="n">
        <v>0</v>
      </c>
      <c r="O1883" s="8" t="n">
        <v>0</v>
      </c>
      <c r="P1883" s="8" t="n">
        <v>0</v>
      </c>
      <c r="Q1883" s="8" t="n">
        <v>0</v>
      </c>
      <c r="R1883" s="13" t="n">
        <v>0</v>
      </c>
      <c r="S1883" s="13" t="n">
        <v>0</v>
      </c>
      <c r="T1883" s="13"/>
      <c r="U1883" s="11" t="n">
        <f aca="false">O1883*4 + P1883*2 + MAX(0,N1883-O1883-P1883)*1 + Q1883*0.2 + R1883*2 + S1883*1 + IF(T1883="",0,IF(T1883&lt;=10,8,IF(T1883&lt;=50,6,IF(T1883&lt;=100,4,2))))</f>
        <v>0</v>
      </c>
      <c r="V1883" s="7"/>
      <c r="W1883" s="7"/>
      <c r="X1883" s="13"/>
      <c r="Y1883" s="13" t="s">
        <v>7724</v>
      </c>
    </row>
    <row r="1884" customFormat="false" ht="15.75" hidden="false" customHeight="true" outlineLevel="0" collapsed="false">
      <c r="A1884" s="7" t="s">
        <v>7725</v>
      </c>
      <c r="B1884" s="8" t="n">
        <v>2015</v>
      </c>
      <c r="C1884" s="8" t="s">
        <v>176</v>
      </c>
      <c r="D1884" s="8" t="n">
        <v>123</v>
      </c>
      <c r="E1884" s="7" t="s">
        <v>7726</v>
      </c>
      <c r="F1884" s="8" t="n">
        <v>6.8</v>
      </c>
      <c r="G1884" s="8" t="n">
        <v>7</v>
      </c>
      <c r="H1884" s="9" t="n">
        <v>203281</v>
      </c>
      <c r="I1884" s="7" t="s">
        <v>359</v>
      </c>
      <c r="J1884" s="7" t="s">
        <v>47</v>
      </c>
      <c r="K1884" s="7" t="s">
        <v>54</v>
      </c>
      <c r="L1884" s="10" t="s">
        <v>6276</v>
      </c>
      <c r="M1884" s="10" t="s">
        <v>7727</v>
      </c>
      <c r="N1884" s="8" t="n">
        <v>0</v>
      </c>
      <c r="O1884" s="8" t="n">
        <v>0</v>
      </c>
      <c r="P1884" s="8" t="n">
        <v>0</v>
      </c>
      <c r="Q1884" s="8" t="n">
        <v>0</v>
      </c>
      <c r="R1884" s="13" t="n">
        <v>0</v>
      </c>
      <c r="S1884" s="13" t="n">
        <v>0</v>
      </c>
      <c r="T1884" s="13"/>
      <c r="U1884" s="11" t="n">
        <f aca="false">O1884*4 + P1884*2 + MAX(0,N1884-O1884-P1884)*1 + Q1884*0.2 + R1884*2 + S1884*1 + IF(T1884="",0,IF(T1884&lt;=10,8,IF(T1884&lt;=50,6,IF(T1884&lt;=100,4,2))))</f>
        <v>0</v>
      </c>
      <c r="V1884" s="7"/>
      <c r="W1884" s="7"/>
      <c r="X1884" s="13"/>
      <c r="Y1884" s="13" t="s">
        <v>7728</v>
      </c>
    </row>
    <row r="1885" customFormat="false" ht="15.75" hidden="false" customHeight="true" outlineLevel="0" collapsed="false">
      <c r="A1885" s="7" t="s">
        <v>5719</v>
      </c>
      <c r="B1885" s="8" t="n">
        <v>2015</v>
      </c>
      <c r="C1885" s="8" t="s">
        <v>176</v>
      </c>
      <c r="D1885" s="8" t="n">
        <v>97</v>
      </c>
      <c r="E1885" s="7" t="s">
        <v>7729</v>
      </c>
      <c r="F1885" s="8" t="n">
        <v>6.1</v>
      </c>
      <c r="G1885" s="8" t="n">
        <v>6</v>
      </c>
      <c r="H1885" s="9" t="n">
        <v>129771</v>
      </c>
      <c r="I1885" s="7"/>
      <c r="J1885" s="7" t="s">
        <v>147</v>
      </c>
      <c r="K1885" s="7" t="s">
        <v>125</v>
      </c>
      <c r="L1885" s="10" t="s">
        <v>260</v>
      </c>
      <c r="M1885" s="10" t="s">
        <v>7730</v>
      </c>
      <c r="N1885" s="8" t="n">
        <v>0</v>
      </c>
      <c r="O1885" s="8" t="n">
        <v>0</v>
      </c>
      <c r="P1885" s="8" t="n">
        <v>0</v>
      </c>
      <c r="Q1885" s="8" t="n">
        <v>0</v>
      </c>
      <c r="R1885" s="13" t="n">
        <v>0</v>
      </c>
      <c r="S1885" s="13" t="n">
        <v>0</v>
      </c>
      <c r="T1885" s="13"/>
      <c r="U1885" s="11" t="n">
        <f aca="false">O1885*4 + P1885*2 + MAX(0,N1885-O1885-P1885)*1 + Q1885*0.2 + R1885*2 + S1885*1 + IF(T1885="",0,IF(T1885&lt;=10,8,IF(T1885&lt;=50,6,IF(T1885&lt;=100,4,2))))</f>
        <v>0</v>
      </c>
      <c r="V1885" s="7"/>
      <c r="W1885" s="7"/>
      <c r="X1885" s="13"/>
      <c r="Y1885" s="13" t="s">
        <v>7731</v>
      </c>
    </row>
    <row r="1886" customFormat="false" ht="15.75" hidden="false" customHeight="true" outlineLevel="0" collapsed="false">
      <c r="A1886" s="7" t="s">
        <v>7732</v>
      </c>
      <c r="B1886" s="8" t="n">
        <v>2014</v>
      </c>
      <c r="C1886" s="8" t="s">
        <v>176</v>
      </c>
      <c r="D1886" s="8" t="n">
        <v>92</v>
      </c>
      <c r="E1886" s="7" t="s">
        <v>7733</v>
      </c>
      <c r="F1886" s="8" t="n">
        <v>5.1</v>
      </c>
      <c r="G1886" s="8" t="n">
        <v>4</v>
      </c>
      <c r="H1886" s="9" t="n">
        <v>86583</v>
      </c>
      <c r="I1886" s="7" t="s">
        <v>5319</v>
      </c>
      <c r="J1886" s="7" t="s">
        <v>111</v>
      </c>
      <c r="K1886" s="7" t="s">
        <v>38</v>
      </c>
      <c r="L1886" s="10" t="s">
        <v>210</v>
      </c>
      <c r="M1886" s="10" t="s">
        <v>7734</v>
      </c>
      <c r="N1886" s="8" t="n">
        <v>0</v>
      </c>
      <c r="O1886" s="8" t="n">
        <v>0</v>
      </c>
      <c r="P1886" s="8" t="n">
        <v>0</v>
      </c>
      <c r="Q1886" s="8" t="n">
        <v>0</v>
      </c>
      <c r="R1886" s="13" t="n">
        <v>0</v>
      </c>
      <c r="S1886" s="13" t="n">
        <v>0</v>
      </c>
      <c r="T1886" s="13"/>
      <c r="U1886" s="11" t="n">
        <f aca="false">O1886*4 + P1886*2 + MAX(0,N1886-O1886-P1886)*1 + Q1886*0.2 + R1886*2 + S1886*1 + IF(T1886="",0,IF(T1886&lt;=10,8,IF(T1886&lt;=50,6,IF(T1886&lt;=100,4,2))))</f>
        <v>0</v>
      </c>
      <c r="V1886" s="7"/>
      <c r="W1886" s="7"/>
      <c r="X1886" s="13"/>
      <c r="Y1886" s="13" t="s">
        <v>7735</v>
      </c>
    </row>
    <row r="1887" customFormat="false" ht="15.75" hidden="false" customHeight="true" outlineLevel="0" collapsed="false">
      <c r="A1887" s="7" t="s">
        <v>7736</v>
      </c>
      <c r="B1887" s="8" t="n">
        <v>2013</v>
      </c>
      <c r="C1887" s="8" t="s">
        <v>176</v>
      </c>
      <c r="D1887" s="8" t="n">
        <v>90</v>
      </c>
      <c r="E1887" s="7" t="s">
        <v>7737</v>
      </c>
      <c r="F1887" s="8" t="n">
        <v>6.5</v>
      </c>
      <c r="G1887" s="8" t="n">
        <v>5</v>
      </c>
      <c r="H1887" s="9" t="n">
        <v>255920</v>
      </c>
      <c r="I1887" s="7" t="s">
        <v>46</v>
      </c>
      <c r="J1887" s="7" t="s">
        <v>29</v>
      </c>
      <c r="K1887" s="7" t="s">
        <v>30</v>
      </c>
      <c r="L1887" s="10" t="s">
        <v>7738</v>
      </c>
      <c r="M1887" s="7" t="s">
        <v>7739</v>
      </c>
      <c r="N1887" s="8" t="n">
        <v>0</v>
      </c>
      <c r="O1887" s="8" t="n">
        <v>0</v>
      </c>
      <c r="P1887" s="8" t="n">
        <v>0</v>
      </c>
      <c r="Q1887" s="8" t="n">
        <v>0</v>
      </c>
      <c r="R1887" s="13" t="n">
        <v>0</v>
      </c>
      <c r="S1887" s="13" t="n">
        <v>0</v>
      </c>
      <c r="T1887" s="13"/>
      <c r="U1887" s="11" t="n">
        <f aca="false">O1887*4 + P1887*2 + MAX(0,N1887-O1887-P1887)*1 + Q1887*0.2 + R1887*2 + S1887*1 + IF(T1887="",0,IF(T1887&lt;=10,8,IF(T1887&lt;=50,6,IF(T1887&lt;=100,4,2))))</f>
        <v>0</v>
      </c>
      <c r="V1887" s="7"/>
      <c r="W1887" s="7"/>
      <c r="X1887" s="13"/>
      <c r="Y1887" s="13" t="s">
        <v>7740</v>
      </c>
    </row>
    <row r="1888" customFormat="false" ht="15.75" hidden="false" customHeight="true" outlineLevel="0" collapsed="false">
      <c r="A1888" s="7" t="s">
        <v>7741</v>
      </c>
      <c r="B1888" s="8" t="n">
        <v>2015</v>
      </c>
      <c r="C1888" s="8" t="s">
        <v>176</v>
      </c>
      <c r="D1888" s="8" t="n">
        <v>91</v>
      </c>
      <c r="E1888" s="7" t="s">
        <v>7742</v>
      </c>
      <c r="F1888" s="8" t="n">
        <v>6.4</v>
      </c>
      <c r="G1888" s="8" t="n">
        <v>5</v>
      </c>
      <c r="H1888" s="9" t="n">
        <v>288960</v>
      </c>
      <c r="I1888" s="7" t="s">
        <v>46</v>
      </c>
      <c r="J1888" s="7" t="s">
        <v>579</v>
      </c>
      <c r="K1888" s="7" t="s">
        <v>39</v>
      </c>
      <c r="L1888" s="10" t="s">
        <v>210</v>
      </c>
      <c r="M1888" s="7" t="s">
        <v>7743</v>
      </c>
      <c r="N1888" s="8" t="n">
        <v>0</v>
      </c>
      <c r="O1888" s="8" t="n">
        <v>0</v>
      </c>
      <c r="P1888" s="8" t="n">
        <v>0</v>
      </c>
      <c r="Q1888" s="8" t="n">
        <v>0</v>
      </c>
      <c r="R1888" s="13" t="n">
        <v>0</v>
      </c>
      <c r="S1888" s="13" t="n">
        <v>0</v>
      </c>
      <c r="T1888" s="13"/>
      <c r="U1888" s="11" t="n">
        <f aca="false">O1888*4 + P1888*2 + MAX(0,N1888-O1888-P1888)*1 + Q1888*0.2 + R1888*2 + S1888*1 + IF(T1888="",0,IF(T1888&lt;=10,8,IF(T1888&lt;=50,6,IF(T1888&lt;=100,4,2))))</f>
        <v>0</v>
      </c>
      <c r="V1888" s="7"/>
      <c r="W1888" s="7"/>
      <c r="X1888" s="13"/>
      <c r="Y1888" s="13" t="s">
        <v>7744</v>
      </c>
    </row>
    <row r="1889" customFormat="false" ht="15.75" hidden="false" customHeight="true" outlineLevel="0" collapsed="false">
      <c r="A1889" s="7" t="s">
        <v>7745</v>
      </c>
      <c r="B1889" s="8" t="n">
        <v>2012</v>
      </c>
      <c r="C1889" s="8" t="s">
        <v>176</v>
      </c>
      <c r="D1889" s="8" t="n">
        <v>91</v>
      </c>
      <c r="E1889" s="7" t="s">
        <v>4427</v>
      </c>
      <c r="F1889" s="8" t="n">
        <v>7.1</v>
      </c>
      <c r="G1889" s="8" t="n">
        <v>6</v>
      </c>
      <c r="H1889" s="9" t="n">
        <v>318173</v>
      </c>
      <c r="I1889" s="7" t="s">
        <v>46</v>
      </c>
      <c r="J1889" s="7" t="s">
        <v>579</v>
      </c>
      <c r="K1889" s="7" t="s">
        <v>259</v>
      </c>
      <c r="L1889" s="10" t="s">
        <v>1936</v>
      </c>
      <c r="M1889" s="7" t="s">
        <v>7746</v>
      </c>
      <c r="N1889" s="8" t="n">
        <v>0</v>
      </c>
      <c r="O1889" s="8" t="n">
        <v>0</v>
      </c>
      <c r="P1889" s="8" t="n">
        <v>0</v>
      </c>
      <c r="Q1889" s="8" t="n">
        <v>0</v>
      </c>
      <c r="R1889" s="13" t="n">
        <v>0</v>
      </c>
      <c r="S1889" s="13" t="n">
        <v>0</v>
      </c>
      <c r="T1889" s="13"/>
      <c r="U1889" s="11" t="n">
        <f aca="false">O1889*4 + P1889*2 + MAX(0,N1889-O1889-P1889)*1 + Q1889*0.2 + R1889*2 + S1889*1 + IF(T1889="",0,IF(T1889&lt;=10,8,IF(T1889&lt;=50,6,IF(T1889&lt;=100,4,2))))</f>
        <v>0</v>
      </c>
      <c r="V1889" s="7"/>
      <c r="W1889" s="7"/>
      <c r="X1889" s="13"/>
      <c r="Y1889" s="13" t="s">
        <v>7747</v>
      </c>
    </row>
    <row r="1890" customFormat="false" ht="15.75" hidden="false" customHeight="true" outlineLevel="0" collapsed="false">
      <c r="A1890" s="7" t="s">
        <v>7748</v>
      </c>
      <c r="B1890" s="8" t="n">
        <v>2013</v>
      </c>
      <c r="C1890" s="8" t="s">
        <v>176</v>
      </c>
      <c r="D1890" s="8" t="n">
        <v>119</v>
      </c>
      <c r="E1890" s="7" t="s">
        <v>6919</v>
      </c>
      <c r="F1890" s="8" t="n">
        <v>6.4</v>
      </c>
      <c r="G1890" s="8" t="n">
        <v>5</v>
      </c>
      <c r="H1890" s="9" t="n">
        <v>187546</v>
      </c>
      <c r="I1890" s="7" t="s">
        <v>46</v>
      </c>
      <c r="J1890" s="7" t="s">
        <v>111</v>
      </c>
      <c r="K1890" s="7" t="s">
        <v>2004</v>
      </c>
      <c r="L1890" s="10" t="s">
        <v>161</v>
      </c>
      <c r="M1890" s="10" t="s">
        <v>7749</v>
      </c>
      <c r="N1890" s="8" t="n">
        <v>0</v>
      </c>
      <c r="O1890" s="8" t="n">
        <v>0</v>
      </c>
      <c r="P1890" s="8" t="n">
        <v>0</v>
      </c>
      <c r="Q1890" s="8" t="n">
        <v>0</v>
      </c>
      <c r="R1890" s="13" t="n">
        <v>0</v>
      </c>
      <c r="S1890" s="13" t="n">
        <v>0</v>
      </c>
      <c r="T1890" s="13"/>
      <c r="U1890" s="11" t="n">
        <f aca="false">O1890*4 + P1890*2 + MAX(0,N1890-O1890-P1890)*1 + Q1890*0.2 + R1890*2 + S1890*1 + IF(T1890="",0,IF(T1890&lt;=10,8,IF(T1890&lt;=50,6,IF(T1890&lt;=100,4,2))))</f>
        <v>0</v>
      </c>
      <c r="V1890" s="7"/>
      <c r="W1890" s="7"/>
      <c r="X1890" s="13"/>
      <c r="Y1890" s="13" t="s">
        <v>7750</v>
      </c>
    </row>
    <row r="1891" customFormat="false" ht="15.75" hidden="false" customHeight="true" outlineLevel="0" collapsed="false">
      <c r="A1891" s="7" t="s">
        <v>7751</v>
      </c>
      <c r="B1891" s="8" t="n">
        <v>2014</v>
      </c>
      <c r="C1891" s="8" t="s">
        <v>176</v>
      </c>
      <c r="D1891" s="8" t="n">
        <v>89</v>
      </c>
      <c r="E1891" s="7" t="s">
        <v>1922</v>
      </c>
      <c r="F1891" s="8" t="n">
        <v>6.4</v>
      </c>
      <c r="G1891" s="8" t="n">
        <v>5</v>
      </c>
      <c r="H1891" s="9" t="n">
        <v>584113</v>
      </c>
      <c r="I1891" s="7" t="s">
        <v>2810</v>
      </c>
      <c r="J1891" s="7" t="s">
        <v>111</v>
      </c>
      <c r="K1891" s="7" t="s">
        <v>852</v>
      </c>
      <c r="L1891" s="10"/>
      <c r="M1891" s="7" t="s">
        <v>7752</v>
      </c>
      <c r="N1891" s="8" t="n">
        <v>0</v>
      </c>
      <c r="O1891" s="8" t="n">
        <v>0</v>
      </c>
      <c r="P1891" s="8" t="n">
        <v>0</v>
      </c>
      <c r="Q1891" s="8" t="n">
        <v>0</v>
      </c>
      <c r="R1891" s="13" t="n">
        <v>0</v>
      </c>
      <c r="S1891" s="13" t="n">
        <v>0</v>
      </c>
      <c r="T1891" s="13"/>
      <c r="U1891" s="11" t="n">
        <f aca="false">O1891*4 + P1891*2 + MAX(0,N1891-O1891-P1891)*1 + Q1891*0.2 + R1891*2 + S1891*1 + IF(T1891="",0,IF(T1891&lt;=10,8,IF(T1891&lt;=50,6,IF(T1891&lt;=100,4,2))))</f>
        <v>0</v>
      </c>
      <c r="V1891" s="7"/>
      <c r="W1891" s="7"/>
      <c r="X1891" s="13"/>
      <c r="Y1891" s="13" t="s">
        <v>7753</v>
      </c>
    </row>
    <row r="1892" customFormat="false" ht="15.75" hidden="false" customHeight="true" outlineLevel="0" collapsed="false">
      <c r="A1892" s="7" t="s">
        <v>7754</v>
      </c>
      <c r="B1892" s="8" t="n">
        <v>2015</v>
      </c>
      <c r="C1892" s="8" t="s">
        <v>176</v>
      </c>
      <c r="D1892" s="8" t="n">
        <v>142</v>
      </c>
      <c r="E1892" s="7" t="s">
        <v>45</v>
      </c>
      <c r="F1892" s="8" t="n">
        <v>7.6</v>
      </c>
      <c r="G1892" s="8" t="n">
        <v>7</v>
      </c>
      <c r="H1892" s="9" t="n">
        <v>346535</v>
      </c>
      <c r="I1892" s="7" t="s">
        <v>7755</v>
      </c>
      <c r="J1892" s="7" t="s">
        <v>131</v>
      </c>
      <c r="K1892" s="7" t="s">
        <v>453</v>
      </c>
      <c r="L1892" s="10"/>
      <c r="M1892" s="7" t="s">
        <v>7756</v>
      </c>
      <c r="N1892" s="8" t="n">
        <v>1</v>
      </c>
      <c r="O1892" s="8" t="n">
        <v>0</v>
      </c>
      <c r="P1892" s="8" t="n">
        <v>0</v>
      </c>
      <c r="Q1892" s="8" t="n">
        <v>6</v>
      </c>
      <c r="R1892" s="8" t="n">
        <v>0</v>
      </c>
      <c r="S1892" s="8" t="n">
        <v>0</v>
      </c>
      <c r="T1892" s="13"/>
      <c r="U1892" s="11" t="n">
        <f aca="false">O1892*4 + P1892*2 + MAX(0,N1892-O1892-P1892)*1 + Q1892*0.2 + R1892*2 + S1892*1 + IF(T1892="",0,IF(T1892&lt;=10,8,IF(T1892&lt;=50,6,IF(T1892&lt;=100,4,2))))</f>
        <v>2.2</v>
      </c>
      <c r="V1892" s="7"/>
      <c r="W1892" s="7"/>
      <c r="X1892" s="13"/>
      <c r="Y1892" s="13" t="s">
        <v>7757</v>
      </c>
    </row>
    <row r="1893" customFormat="false" ht="15.75" hidden="false" customHeight="true" outlineLevel="0" collapsed="false">
      <c r="A1893" s="7" t="s">
        <v>7758</v>
      </c>
      <c r="B1893" s="8" t="n">
        <v>1994</v>
      </c>
      <c r="C1893" s="8" t="s">
        <v>26</v>
      </c>
      <c r="D1893" s="8" t="n">
        <v>91</v>
      </c>
      <c r="E1893" s="7" t="s">
        <v>7759</v>
      </c>
      <c r="F1893" s="8" t="n">
        <v>5.1</v>
      </c>
      <c r="G1893" s="8" t="n">
        <v>5</v>
      </c>
      <c r="H1893" s="9" t="n">
        <v>92910</v>
      </c>
      <c r="I1893" s="7" t="s">
        <v>46</v>
      </c>
      <c r="J1893" s="7" t="s">
        <v>38</v>
      </c>
      <c r="K1893" s="7" t="s">
        <v>259</v>
      </c>
      <c r="L1893" s="10"/>
      <c r="M1893" s="10" t="s">
        <v>7760</v>
      </c>
      <c r="N1893" s="8" t="n">
        <v>0</v>
      </c>
      <c r="O1893" s="8" t="n">
        <v>0</v>
      </c>
      <c r="P1893" s="8" t="n">
        <v>0</v>
      </c>
      <c r="Q1893" s="8" t="n">
        <v>0</v>
      </c>
      <c r="R1893" s="13" t="n">
        <v>0</v>
      </c>
      <c r="S1893" s="13" t="n">
        <v>0</v>
      </c>
      <c r="T1893" s="13"/>
      <c r="U1893" s="11" t="n">
        <f aca="false">O1893*4 + P1893*2 + MAX(0,N1893-O1893-P1893)*1 + Q1893*0.2 + R1893*2 + S1893*1 + IF(T1893="",0,IF(T1893&lt;=10,8,IF(T1893&lt;=50,6,IF(T1893&lt;=100,4,2))))</f>
        <v>0</v>
      </c>
      <c r="V1893" s="7"/>
      <c r="W1893" s="7"/>
      <c r="X1893" s="13"/>
      <c r="Y1893" s="13" t="s">
        <v>7761</v>
      </c>
    </row>
    <row r="1894" customFormat="false" ht="15.75" hidden="false" customHeight="true" outlineLevel="0" collapsed="false">
      <c r="A1894" s="7" t="s">
        <v>7762</v>
      </c>
      <c r="B1894" s="8" t="n">
        <v>2015</v>
      </c>
      <c r="C1894" s="8" t="s">
        <v>176</v>
      </c>
      <c r="D1894" s="8" t="n">
        <v>117</v>
      </c>
      <c r="E1894" s="7" t="s">
        <v>5596</v>
      </c>
      <c r="F1894" s="8" t="n">
        <v>7.2</v>
      </c>
      <c r="G1894" s="8" t="n">
        <v>5</v>
      </c>
      <c r="H1894" s="9" t="n">
        <v>790041</v>
      </c>
      <c r="I1894" s="7" t="s">
        <v>46</v>
      </c>
      <c r="J1894" s="7" t="s">
        <v>111</v>
      </c>
      <c r="K1894" s="7" t="s">
        <v>5160</v>
      </c>
      <c r="L1894" s="10" t="s">
        <v>177</v>
      </c>
      <c r="M1894" s="7" t="s">
        <v>7763</v>
      </c>
      <c r="N1894" s="8" t="n">
        <v>0</v>
      </c>
      <c r="O1894" s="8" t="n">
        <v>0</v>
      </c>
      <c r="P1894" s="8" t="n">
        <v>0</v>
      </c>
      <c r="Q1894" s="8" t="n">
        <v>0</v>
      </c>
      <c r="R1894" s="13" t="n">
        <v>0</v>
      </c>
      <c r="S1894" s="13" t="n">
        <v>0</v>
      </c>
      <c r="T1894" s="13"/>
      <c r="U1894" s="11" t="n">
        <f aca="false">O1894*4 + P1894*2 + MAX(0,N1894-O1894-P1894)*1 + Q1894*0.2 + R1894*2 + S1894*1 + IF(T1894="",0,IF(T1894&lt;=10,8,IF(T1894&lt;=50,6,IF(T1894&lt;=100,4,2))))</f>
        <v>0</v>
      </c>
      <c r="V1894" s="7"/>
      <c r="W1894" s="7"/>
      <c r="X1894" s="13"/>
      <c r="Y1894" s="13" t="s">
        <v>7764</v>
      </c>
    </row>
    <row r="1895" customFormat="false" ht="15.75" hidden="false" customHeight="true" outlineLevel="0" collapsed="false">
      <c r="A1895" s="7" t="s">
        <v>7765</v>
      </c>
      <c r="B1895" s="8" t="n">
        <v>2013</v>
      </c>
      <c r="C1895" s="8" t="s">
        <v>176</v>
      </c>
      <c r="D1895" s="8" t="n">
        <v>98</v>
      </c>
      <c r="E1895" s="7" t="s">
        <v>388</v>
      </c>
      <c r="F1895" s="8" t="n">
        <v>7.3</v>
      </c>
      <c r="G1895" s="8" t="n">
        <v>6</v>
      </c>
      <c r="H1895" s="9" t="n">
        <v>220694</v>
      </c>
      <c r="I1895" s="7" t="s">
        <v>46</v>
      </c>
      <c r="J1895" s="7" t="s">
        <v>29</v>
      </c>
      <c r="K1895" s="7" t="s">
        <v>30</v>
      </c>
      <c r="L1895" s="10"/>
      <c r="M1895" s="10" t="s">
        <v>7766</v>
      </c>
      <c r="N1895" s="8" t="n">
        <v>1</v>
      </c>
      <c r="O1895" s="8" t="n">
        <v>0</v>
      </c>
      <c r="P1895" s="8" t="n">
        <v>0</v>
      </c>
      <c r="Q1895" s="8" t="n">
        <v>3</v>
      </c>
      <c r="R1895" s="8" t="n">
        <v>0</v>
      </c>
      <c r="S1895" s="8" t="n">
        <v>0</v>
      </c>
      <c r="T1895" s="13"/>
      <c r="U1895" s="11" t="n">
        <f aca="false">O1895*4 + P1895*2 + MAX(0,N1895-O1895-P1895)*1 + Q1895*0.2 + R1895*2 + S1895*1 + IF(T1895="",0,IF(T1895&lt;=10,8,IF(T1895&lt;=50,6,IF(T1895&lt;=100,4,2))))</f>
        <v>1.6</v>
      </c>
      <c r="V1895" s="7"/>
      <c r="W1895" s="7"/>
      <c r="X1895" s="13"/>
      <c r="Y1895" s="13" t="s">
        <v>7767</v>
      </c>
    </row>
    <row r="1896" customFormat="false" ht="15.75" hidden="false" customHeight="true" outlineLevel="0" collapsed="false">
      <c r="A1896" s="7" t="s">
        <v>7768</v>
      </c>
      <c r="B1896" s="8" t="n">
        <v>2013</v>
      </c>
      <c r="C1896" s="8" t="s">
        <v>176</v>
      </c>
      <c r="D1896" s="8" t="n">
        <v>143</v>
      </c>
      <c r="E1896" s="7" t="s">
        <v>2044</v>
      </c>
      <c r="F1896" s="8" t="n">
        <v>7.1</v>
      </c>
      <c r="G1896" s="8" t="n">
        <v>7</v>
      </c>
      <c r="H1896" s="9" t="n">
        <v>873865</v>
      </c>
      <c r="I1896" s="7" t="s">
        <v>359</v>
      </c>
      <c r="J1896" s="7" t="s">
        <v>111</v>
      </c>
      <c r="K1896" s="7" t="s">
        <v>112</v>
      </c>
      <c r="L1896" s="10" t="s">
        <v>7769</v>
      </c>
      <c r="M1896" s="7" t="s">
        <v>7770</v>
      </c>
      <c r="N1896" s="8" t="n">
        <v>0</v>
      </c>
      <c r="O1896" s="8" t="n">
        <v>0</v>
      </c>
      <c r="P1896" s="8" t="n">
        <v>0</v>
      </c>
      <c r="Q1896" s="8" t="n">
        <v>0</v>
      </c>
      <c r="R1896" s="8" t="n">
        <v>0</v>
      </c>
      <c r="S1896" s="13" t="n">
        <v>0</v>
      </c>
      <c r="T1896" s="8"/>
      <c r="U1896" s="11" t="n">
        <f aca="false">O1896*4 + P1896*2 + MAX(0,N1896-O1896-P1896)*1 + Q1896*0.2 + R1896*2 + S1896*1 + IF(T1896="",0,IF(T1896&lt;=10,8,IF(T1896&lt;=50,6,IF(T1896&lt;=100,4,2))))</f>
        <v>0</v>
      </c>
      <c r="V1896" s="7"/>
      <c r="W1896" s="7"/>
      <c r="X1896" s="13"/>
      <c r="Y1896" s="13" t="s">
        <v>7771</v>
      </c>
    </row>
    <row r="1897" customFormat="false" ht="15.75" hidden="false" customHeight="true" outlineLevel="0" collapsed="false">
      <c r="A1897" s="7" t="s">
        <v>7772</v>
      </c>
      <c r="B1897" s="8" t="n">
        <v>2015</v>
      </c>
      <c r="C1897" s="8" t="s">
        <v>176</v>
      </c>
      <c r="D1897" s="8" t="n">
        <v>130</v>
      </c>
      <c r="E1897" s="7" t="s">
        <v>5110</v>
      </c>
      <c r="F1897" s="8" t="n">
        <v>7.8</v>
      </c>
      <c r="G1897" s="8" t="n">
        <v>7</v>
      </c>
      <c r="H1897" s="9" t="n">
        <v>545343</v>
      </c>
      <c r="I1897" s="7" t="s">
        <v>46</v>
      </c>
      <c r="J1897" s="7" t="s">
        <v>30</v>
      </c>
      <c r="K1897" s="7" t="s">
        <v>48</v>
      </c>
      <c r="L1897" s="10" t="s">
        <v>2290</v>
      </c>
      <c r="M1897" s="7" t="s">
        <v>7773</v>
      </c>
      <c r="N1897" s="8" t="n">
        <v>1</v>
      </c>
      <c r="O1897" s="8" t="n">
        <v>0</v>
      </c>
      <c r="P1897" s="8" t="n">
        <v>0</v>
      </c>
      <c r="Q1897" s="8" t="n">
        <v>5</v>
      </c>
      <c r="R1897" s="8" t="n">
        <v>0</v>
      </c>
      <c r="S1897" s="8" t="n">
        <v>0</v>
      </c>
      <c r="T1897" s="13"/>
      <c r="U1897" s="11" t="n">
        <f aca="false">O1897*4 + P1897*2 + MAX(0,N1897-O1897-P1897)*1 + Q1897*0.2 + R1897*2 + S1897*1 + IF(T1897="",0,IF(T1897&lt;=10,8,IF(T1897&lt;=50,6,IF(T1897&lt;=100,4,2))))</f>
        <v>2</v>
      </c>
      <c r="V1897" s="7"/>
      <c r="W1897" s="7"/>
      <c r="X1897" s="13"/>
      <c r="Y1897" s="13" t="s">
        <v>7774</v>
      </c>
    </row>
    <row r="1898" customFormat="false" ht="15.75" hidden="false" customHeight="true" outlineLevel="0" collapsed="false">
      <c r="A1898" s="7" t="s">
        <v>7775</v>
      </c>
      <c r="B1898" s="8" t="n">
        <v>2015</v>
      </c>
      <c r="C1898" s="8" t="s">
        <v>176</v>
      </c>
      <c r="D1898" s="8" t="n">
        <v>100</v>
      </c>
      <c r="E1898" s="7" t="s">
        <v>6661</v>
      </c>
      <c r="F1898" s="8" t="n">
        <v>4.3</v>
      </c>
      <c r="G1898" s="8" t="n">
        <v>3</v>
      </c>
      <c r="H1898" s="9" t="n">
        <v>194601</v>
      </c>
      <c r="I1898" s="7" t="s">
        <v>46</v>
      </c>
      <c r="J1898" s="7" t="s">
        <v>579</v>
      </c>
      <c r="K1898" s="7" t="s">
        <v>112</v>
      </c>
      <c r="L1898" s="10" t="s">
        <v>177</v>
      </c>
      <c r="M1898" s="10" t="s">
        <v>7776</v>
      </c>
      <c r="N1898" s="8" t="n">
        <v>0</v>
      </c>
      <c r="O1898" s="8" t="n">
        <v>0</v>
      </c>
      <c r="P1898" s="8" t="n">
        <v>0</v>
      </c>
      <c r="Q1898" s="8" t="n">
        <v>0</v>
      </c>
      <c r="R1898" s="13" t="n">
        <v>0</v>
      </c>
      <c r="S1898" s="13" t="n">
        <v>0</v>
      </c>
      <c r="T1898" s="13"/>
      <c r="U1898" s="11" t="n">
        <f aca="false">O1898*4 + P1898*2 + MAX(0,N1898-O1898-P1898)*1 + Q1898*0.2 + R1898*2 + S1898*1 + IF(T1898="",0,IF(T1898&lt;=10,8,IF(T1898&lt;=50,6,IF(T1898&lt;=100,4,2))))</f>
        <v>0</v>
      </c>
      <c r="V1898" s="7"/>
      <c r="W1898" s="7"/>
      <c r="X1898" s="13"/>
      <c r="Y1898" s="13" t="s">
        <v>7777</v>
      </c>
    </row>
    <row r="1899" customFormat="false" ht="15.75" hidden="false" customHeight="true" outlineLevel="0" collapsed="false">
      <c r="A1899" s="7" t="s">
        <v>7778</v>
      </c>
      <c r="B1899" s="8" t="n">
        <v>1966</v>
      </c>
      <c r="C1899" s="8" t="s">
        <v>122</v>
      </c>
      <c r="D1899" s="8" t="n">
        <v>121</v>
      </c>
      <c r="E1899" s="7" t="s">
        <v>7779</v>
      </c>
      <c r="F1899" s="8" t="n">
        <v>8.1</v>
      </c>
      <c r="G1899" s="8" t="n">
        <v>7</v>
      </c>
      <c r="H1899" s="9" t="n">
        <v>76642</v>
      </c>
      <c r="I1899" s="7" t="s">
        <v>7780</v>
      </c>
      <c r="J1899" s="7" t="s">
        <v>154</v>
      </c>
      <c r="K1899" s="7" t="s">
        <v>47</v>
      </c>
      <c r="L1899" s="10" t="s">
        <v>205</v>
      </c>
      <c r="M1899" s="7" t="s">
        <v>7781</v>
      </c>
      <c r="N1899" s="8" t="n">
        <v>0</v>
      </c>
      <c r="O1899" s="8" t="n">
        <v>0</v>
      </c>
      <c r="P1899" s="8" t="n">
        <v>0</v>
      </c>
      <c r="Q1899" s="8" t="n">
        <v>3</v>
      </c>
      <c r="R1899" s="8" t="n">
        <v>1</v>
      </c>
      <c r="S1899" s="8" t="n">
        <v>0</v>
      </c>
      <c r="T1899" s="8" t="n">
        <v>45</v>
      </c>
      <c r="U1899" s="11" t="n">
        <f aca="false">O1899*4 + P1899*2 + MAX(0,N1899-O1899-P1899)*1 + Q1899*0.2 + R1899*2 + S1899*1 + IF(T1899="",0,IF(T1899&lt;=10,8,IF(T1899&lt;=50,6,IF(T1899&lt;=100,4,2))))</f>
        <v>8.6</v>
      </c>
      <c r="V1899" s="10" t="s">
        <v>7782</v>
      </c>
      <c r="W1899" s="7"/>
      <c r="X1899" s="13"/>
      <c r="Y1899" s="13" t="s">
        <v>7783</v>
      </c>
    </row>
    <row r="1900" customFormat="false" ht="15.75" hidden="false" customHeight="true" outlineLevel="0" collapsed="false">
      <c r="A1900" s="7" t="s">
        <v>7784</v>
      </c>
      <c r="B1900" s="8" t="n">
        <v>2002</v>
      </c>
      <c r="C1900" s="8" t="s">
        <v>35</v>
      </c>
      <c r="D1900" s="8" t="n">
        <v>99</v>
      </c>
      <c r="E1900" s="7" t="s">
        <v>7785</v>
      </c>
      <c r="F1900" s="8" t="n">
        <v>5.5</v>
      </c>
      <c r="G1900" s="8" t="n">
        <v>3</v>
      </c>
      <c r="H1900" s="9" t="n">
        <v>62113</v>
      </c>
      <c r="I1900" s="7" t="s">
        <v>2330</v>
      </c>
      <c r="J1900" s="7" t="s">
        <v>112</v>
      </c>
      <c r="K1900" s="7" t="s">
        <v>39</v>
      </c>
      <c r="L1900" s="10"/>
      <c r="M1900" s="10" t="s">
        <v>7786</v>
      </c>
      <c r="N1900" s="8" t="n">
        <v>0</v>
      </c>
      <c r="O1900" s="8" t="n">
        <v>0</v>
      </c>
      <c r="P1900" s="8" t="n">
        <v>0</v>
      </c>
      <c r="Q1900" s="8" t="n">
        <v>0</v>
      </c>
      <c r="R1900" s="13" t="n">
        <v>0</v>
      </c>
      <c r="S1900" s="13" t="n">
        <v>0</v>
      </c>
      <c r="T1900" s="13"/>
      <c r="U1900" s="11" t="n">
        <f aca="false">O1900*4 + P1900*2 + MAX(0,N1900-O1900-P1900)*1 + Q1900*0.2 + R1900*2 + S1900*1 + IF(T1900="",0,IF(T1900&lt;=10,8,IF(T1900&lt;=50,6,IF(T1900&lt;=100,4,2))))</f>
        <v>0</v>
      </c>
      <c r="V1900" s="7"/>
      <c r="W1900" s="7"/>
      <c r="X1900" s="13"/>
      <c r="Y1900" s="13" t="s">
        <v>7787</v>
      </c>
    </row>
    <row r="1901" customFormat="false" ht="15.75" hidden="false" customHeight="true" outlineLevel="0" collapsed="false">
      <c r="A1901" s="7" t="s">
        <v>7788</v>
      </c>
      <c r="B1901" s="8" t="n">
        <v>1975</v>
      </c>
      <c r="C1901" s="8" t="s">
        <v>61</v>
      </c>
      <c r="D1901" s="8" t="n">
        <v>91</v>
      </c>
      <c r="E1901" s="7" t="s">
        <v>7789</v>
      </c>
      <c r="F1901" s="8" t="n">
        <v>8.1</v>
      </c>
      <c r="G1901" s="8" t="n">
        <v>6</v>
      </c>
      <c r="H1901" s="9" t="n">
        <v>606429</v>
      </c>
      <c r="I1901" s="7" t="s">
        <v>280</v>
      </c>
      <c r="J1901" s="7" t="s">
        <v>38</v>
      </c>
      <c r="K1901" s="7" t="s">
        <v>39</v>
      </c>
      <c r="L1901" s="10" t="s">
        <v>834</v>
      </c>
      <c r="M1901" s="7" t="s">
        <v>7790</v>
      </c>
      <c r="N1901" s="8" t="n">
        <v>0</v>
      </c>
      <c r="O1901" s="8" t="n">
        <v>0</v>
      </c>
      <c r="P1901" s="8" t="n">
        <v>0</v>
      </c>
      <c r="Q1901" s="8" t="n">
        <v>0</v>
      </c>
      <c r="R1901" s="13" t="n">
        <v>0</v>
      </c>
      <c r="S1901" s="13" t="n">
        <v>0</v>
      </c>
      <c r="T1901" s="13"/>
      <c r="U1901" s="11" t="n">
        <f aca="false">O1901*4 + P1901*2 + MAX(0,N1901-O1901-P1901)*1 + Q1901*0.2 + R1901*2 + S1901*1 + IF(T1901="",0,IF(T1901&lt;=10,8,IF(T1901&lt;=50,6,IF(T1901&lt;=100,4,2))))</f>
        <v>0</v>
      </c>
      <c r="V1901" s="7"/>
      <c r="W1901" s="7"/>
      <c r="X1901" s="13"/>
      <c r="Y1901" s="13" t="s">
        <v>7791</v>
      </c>
    </row>
    <row r="1902" customFormat="false" ht="15.75" hidden="false" customHeight="true" outlineLevel="0" collapsed="false">
      <c r="A1902" s="7" t="s">
        <v>7792</v>
      </c>
      <c r="B1902" s="8" t="n">
        <v>1990</v>
      </c>
      <c r="C1902" s="8" t="s">
        <v>26</v>
      </c>
      <c r="D1902" s="8" t="n">
        <v>112</v>
      </c>
      <c r="E1902" s="7" t="s">
        <v>4281</v>
      </c>
      <c r="F1902" s="8" t="n">
        <v>7.5</v>
      </c>
      <c r="G1902" s="8" t="n">
        <v>7</v>
      </c>
      <c r="H1902" s="9" t="n">
        <v>18732</v>
      </c>
      <c r="I1902" s="7" t="s">
        <v>7793</v>
      </c>
      <c r="J1902" s="7" t="s">
        <v>154</v>
      </c>
      <c r="K1902" s="7" t="s">
        <v>453</v>
      </c>
      <c r="L1902" s="10" t="s">
        <v>517</v>
      </c>
      <c r="M1902" s="10" t="s">
        <v>7794</v>
      </c>
      <c r="N1902" s="8" t="n">
        <v>0</v>
      </c>
      <c r="O1902" s="8" t="n">
        <v>0</v>
      </c>
      <c r="P1902" s="8" t="n">
        <v>0</v>
      </c>
      <c r="Q1902" s="8" t="n">
        <v>1</v>
      </c>
      <c r="R1902" s="8" t="n">
        <v>0</v>
      </c>
      <c r="S1902" s="8" t="n">
        <v>0</v>
      </c>
      <c r="T1902" s="13"/>
      <c r="U1902" s="11" t="n">
        <f aca="false">O1902*4 + P1902*2 + MAX(0,N1902-O1902-P1902)*1 + Q1902*0.2 + R1902*2 + S1902*1 + IF(T1902="",0,IF(T1902&lt;=10,8,IF(T1902&lt;=50,6,IF(T1902&lt;=100,4,2))))</f>
        <v>0.2</v>
      </c>
      <c r="V1902" s="7"/>
      <c r="W1902" s="7"/>
      <c r="X1902" s="13"/>
      <c r="Y1902" s="13" t="s">
        <v>7795</v>
      </c>
    </row>
    <row r="1903" customFormat="false" ht="15.75" hidden="false" customHeight="true" outlineLevel="0" collapsed="false">
      <c r="A1903" s="7" t="s">
        <v>7796</v>
      </c>
      <c r="B1903" s="8" t="n">
        <v>2015</v>
      </c>
      <c r="C1903" s="8" t="s">
        <v>176</v>
      </c>
      <c r="D1903" s="8" t="n">
        <v>89</v>
      </c>
      <c r="E1903" s="7" t="s">
        <v>4427</v>
      </c>
      <c r="F1903" s="8" t="n">
        <v>6.6</v>
      </c>
      <c r="G1903" s="8" t="n">
        <v>5</v>
      </c>
      <c r="H1903" s="9" t="n">
        <v>164871</v>
      </c>
      <c r="I1903" s="7" t="s">
        <v>46</v>
      </c>
      <c r="J1903" s="7" t="s">
        <v>579</v>
      </c>
      <c r="K1903" s="7" t="s">
        <v>39</v>
      </c>
      <c r="L1903" s="10" t="s">
        <v>7797</v>
      </c>
      <c r="M1903" s="10" t="s">
        <v>7798</v>
      </c>
      <c r="N1903" s="8" t="n">
        <v>0</v>
      </c>
      <c r="O1903" s="8" t="n">
        <v>0</v>
      </c>
      <c r="P1903" s="8" t="n">
        <v>0</v>
      </c>
      <c r="Q1903" s="8" t="n">
        <v>0</v>
      </c>
      <c r="R1903" s="13" t="n">
        <v>0</v>
      </c>
      <c r="S1903" s="13" t="n">
        <v>0</v>
      </c>
      <c r="T1903" s="13"/>
      <c r="U1903" s="11" t="n">
        <f aca="false">O1903*4 + P1903*2 + MAX(0,N1903-O1903-P1903)*1 + Q1903*0.2 + R1903*2 + S1903*1 + IF(T1903="",0,IF(T1903&lt;=10,8,IF(T1903&lt;=50,6,IF(T1903&lt;=100,4,2))))</f>
        <v>0</v>
      </c>
      <c r="V1903" s="7"/>
      <c r="W1903" s="7"/>
      <c r="X1903" s="13"/>
      <c r="Y1903" s="13" t="s">
        <v>7799</v>
      </c>
    </row>
    <row r="1904" customFormat="false" ht="15.75" hidden="false" customHeight="true" outlineLevel="0" collapsed="false">
      <c r="A1904" s="7" t="s">
        <v>7800</v>
      </c>
      <c r="B1904" s="8" t="n">
        <v>1980</v>
      </c>
      <c r="C1904" s="8" t="s">
        <v>109</v>
      </c>
      <c r="D1904" s="8" t="n">
        <v>124</v>
      </c>
      <c r="E1904" s="7" t="s">
        <v>7801</v>
      </c>
      <c r="F1904" s="8" t="n">
        <v>8.7</v>
      </c>
      <c r="G1904" s="8" t="n">
        <v>9</v>
      </c>
      <c r="H1904" s="9" t="n">
        <v>1518195</v>
      </c>
      <c r="I1904" s="7" t="s">
        <v>46</v>
      </c>
      <c r="J1904" s="7" t="s">
        <v>111</v>
      </c>
      <c r="K1904" s="7" t="s">
        <v>38</v>
      </c>
      <c r="L1904" s="10" t="s">
        <v>177</v>
      </c>
      <c r="M1904" s="7" t="s">
        <v>7802</v>
      </c>
      <c r="N1904" s="8" t="n">
        <v>2</v>
      </c>
      <c r="O1904" s="8" t="n">
        <v>0</v>
      </c>
      <c r="P1904" s="8" t="n">
        <v>0</v>
      </c>
      <c r="Q1904" s="8" t="n">
        <v>4</v>
      </c>
      <c r="R1904" s="8" t="n">
        <v>0</v>
      </c>
      <c r="S1904" s="8" t="n">
        <v>0</v>
      </c>
      <c r="T1904" s="8"/>
      <c r="U1904" s="11" t="n">
        <f aca="false">O1904*4 + P1904*2 + MAX(0,N1904-O1904-P1904)*1 + Q1904*0.2 + R1904*2 + S1904*1 + IF(T1904="",0,IF(T1904&lt;=10,8,IF(T1904&lt;=50,6,IF(T1904&lt;=100,4,2))))</f>
        <v>2.8</v>
      </c>
      <c r="V1904" s="7"/>
      <c r="W1904" s="7"/>
      <c r="X1904" s="13"/>
      <c r="Y1904" s="13" t="s">
        <v>7803</v>
      </c>
    </row>
    <row r="1905" customFormat="false" ht="15.75" hidden="false" customHeight="true" outlineLevel="0" collapsed="false">
      <c r="A1905" s="7" t="s">
        <v>7804</v>
      </c>
      <c r="B1905" s="8" t="n">
        <v>2002</v>
      </c>
      <c r="C1905" s="8" t="s">
        <v>35</v>
      </c>
      <c r="D1905" s="8" t="n">
        <v>142</v>
      </c>
      <c r="E1905" s="7" t="s">
        <v>2181</v>
      </c>
      <c r="F1905" s="8" t="n">
        <v>6.6</v>
      </c>
      <c r="G1905" s="8" t="n">
        <v>8</v>
      </c>
      <c r="H1905" s="9" t="n">
        <v>828791</v>
      </c>
      <c r="I1905" s="7" t="s">
        <v>46</v>
      </c>
      <c r="J1905" s="7" t="s">
        <v>38</v>
      </c>
      <c r="K1905" s="7" t="s">
        <v>112</v>
      </c>
      <c r="L1905" s="10" t="s">
        <v>177</v>
      </c>
      <c r="M1905" s="7" t="s">
        <v>7805</v>
      </c>
      <c r="N1905" s="8" t="n">
        <v>0</v>
      </c>
      <c r="O1905" s="8" t="n">
        <v>0</v>
      </c>
      <c r="P1905" s="8" t="n">
        <v>0</v>
      </c>
      <c r="Q1905" s="8" t="n">
        <v>1</v>
      </c>
      <c r="R1905" s="8" t="n">
        <v>0</v>
      </c>
      <c r="S1905" s="8" t="n">
        <v>0</v>
      </c>
      <c r="T1905" s="13"/>
      <c r="U1905" s="11" t="n">
        <f aca="false">O1905*4 + P1905*2 + MAX(0,N1905-O1905-P1905)*1 + Q1905*0.2 + R1905*2 + S1905*1 + IF(T1905="",0,IF(T1905&lt;=10,8,IF(T1905&lt;=50,6,IF(T1905&lt;=100,4,2))))</f>
        <v>0.2</v>
      </c>
      <c r="V1905" s="7"/>
      <c r="W1905" s="7"/>
      <c r="X1905" s="13"/>
      <c r="Y1905" s="13" t="s">
        <v>7806</v>
      </c>
    </row>
    <row r="1906" customFormat="false" ht="15.75" hidden="false" customHeight="true" outlineLevel="0" collapsed="false">
      <c r="A1906" s="7" t="s">
        <v>7807</v>
      </c>
      <c r="B1906" s="8" t="n">
        <v>1999</v>
      </c>
      <c r="C1906" s="8" t="s">
        <v>26</v>
      </c>
      <c r="D1906" s="8" t="n">
        <v>136</v>
      </c>
      <c r="E1906" s="7" t="s">
        <v>2181</v>
      </c>
      <c r="F1906" s="8" t="n">
        <v>6.5</v>
      </c>
      <c r="G1906" s="8" t="n">
        <v>9</v>
      </c>
      <c r="H1906" s="9" t="n">
        <v>935836</v>
      </c>
      <c r="I1906" s="7" t="s">
        <v>46</v>
      </c>
      <c r="J1906" s="7" t="s">
        <v>38</v>
      </c>
      <c r="K1906" s="7" t="s">
        <v>112</v>
      </c>
      <c r="L1906" s="10" t="s">
        <v>177</v>
      </c>
      <c r="M1906" s="7" t="s">
        <v>7808</v>
      </c>
      <c r="N1906" s="8" t="n">
        <v>0</v>
      </c>
      <c r="O1906" s="8" t="n">
        <v>0</v>
      </c>
      <c r="P1906" s="8" t="n">
        <v>0</v>
      </c>
      <c r="Q1906" s="8" t="n">
        <v>3</v>
      </c>
      <c r="R1906" s="8" t="n">
        <v>0</v>
      </c>
      <c r="S1906" s="8" t="n">
        <v>0</v>
      </c>
      <c r="T1906" s="8"/>
      <c r="U1906" s="11" t="n">
        <f aca="false">O1906*4 + P1906*2 + MAX(0,N1906-O1906-P1906)*1 + Q1906*0.2 + R1906*2 + S1906*1 + IF(T1906="",0,IF(T1906&lt;=10,8,IF(T1906&lt;=50,6,IF(T1906&lt;=100,4,2))))</f>
        <v>0.6</v>
      </c>
      <c r="V1906" s="7"/>
      <c r="W1906" s="7"/>
      <c r="X1906" s="13"/>
      <c r="Y1906" s="13" t="s">
        <v>7809</v>
      </c>
    </row>
    <row r="1907" customFormat="false" ht="15.75" hidden="false" customHeight="true" outlineLevel="0" collapsed="false">
      <c r="A1907" s="7" t="s">
        <v>7810</v>
      </c>
      <c r="B1907" s="8" t="n">
        <v>1977</v>
      </c>
      <c r="C1907" s="8" t="s">
        <v>61</v>
      </c>
      <c r="D1907" s="8" t="n">
        <v>121</v>
      </c>
      <c r="E1907" s="7" t="s">
        <v>2181</v>
      </c>
      <c r="F1907" s="8" t="n">
        <v>8.6</v>
      </c>
      <c r="G1907" s="8" t="n">
        <v>9</v>
      </c>
      <c r="H1907" s="9" t="n">
        <v>1583342</v>
      </c>
      <c r="I1907" s="7" t="s">
        <v>46</v>
      </c>
      <c r="J1907" s="7" t="s">
        <v>38</v>
      </c>
      <c r="K1907" s="7" t="s">
        <v>112</v>
      </c>
      <c r="L1907" s="10" t="s">
        <v>177</v>
      </c>
      <c r="M1907" s="7" t="s">
        <v>7811</v>
      </c>
      <c r="N1907" s="8" t="n">
        <v>7</v>
      </c>
      <c r="O1907" s="8" t="n">
        <v>0</v>
      </c>
      <c r="P1907" s="8" t="n">
        <v>0</v>
      </c>
      <c r="Q1907" s="8" t="n">
        <v>11</v>
      </c>
      <c r="R1907" s="8" t="n">
        <v>0</v>
      </c>
      <c r="S1907" s="8" t="n">
        <v>0</v>
      </c>
      <c r="T1907" s="8" t="n">
        <v>225</v>
      </c>
      <c r="U1907" s="11" t="n">
        <f aca="false">O1907*4 + P1907*2 + MAX(0,N1907-O1907-P1907)*1 + Q1907*0.2 + R1907*2 + S1907*1 + IF(T1907="",0,IF(T1907&lt;=10,8,IF(T1907&lt;=50,6,IF(T1907&lt;=100,4,2))))</f>
        <v>11.2</v>
      </c>
      <c r="V1907" s="10" t="s">
        <v>7812</v>
      </c>
      <c r="W1907" s="7"/>
      <c r="X1907" s="13"/>
      <c r="Y1907" s="13" t="s">
        <v>7813</v>
      </c>
    </row>
    <row r="1908" customFormat="false" ht="15.75" hidden="false" customHeight="true" outlineLevel="0" collapsed="false">
      <c r="A1908" s="7" t="s">
        <v>7814</v>
      </c>
      <c r="B1908" s="8" t="n">
        <v>1983</v>
      </c>
      <c r="C1908" s="8" t="s">
        <v>109</v>
      </c>
      <c r="D1908" s="8" t="n">
        <v>131</v>
      </c>
      <c r="E1908" s="7" t="s">
        <v>7815</v>
      </c>
      <c r="F1908" s="8" t="n">
        <v>8.3</v>
      </c>
      <c r="G1908" s="8" t="n">
        <v>8</v>
      </c>
      <c r="H1908" s="9" t="n">
        <v>1220039</v>
      </c>
      <c r="I1908" s="7" t="s">
        <v>46</v>
      </c>
      <c r="J1908" s="7" t="s">
        <v>38</v>
      </c>
      <c r="K1908" s="7" t="s">
        <v>112</v>
      </c>
      <c r="L1908" s="10" t="s">
        <v>177</v>
      </c>
      <c r="M1908" s="7" t="s">
        <v>7816</v>
      </c>
      <c r="N1908" s="8" t="n">
        <v>1</v>
      </c>
      <c r="O1908" s="8" t="n">
        <v>0</v>
      </c>
      <c r="P1908" s="8" t="n">
        <v>0</v>
      </c>
      <c r="Q1908" s="8" t="n">
        <v>5</v>
      </c>
      <c r="R1908" s="8" t="n">
        <v>0</v>
      </c>
      <c r="S1908" s="8" t="n">
        <v>0</v>
      </c>
      <c r="T1908" s="8"/>
      <c r="U1908" s="11" t="n">
        <f aca="false">O1908*4 + P1908*2 + MAX(0,N1908-O1908-P1908)*1 + Q1908*0.2 + R1908*2 + S1908*1 + IF(T1908="",0,IF(T1908&lt;=10,8,IF(T1908&lt;=50,6,IF(T1908&lt;=100,4,2))))</f>
        <v>2</v>
      </c>
      <c r="V1908" s="7"/>
      <c r="W1908" s="7"/>
      <c r="X1908" s="13"/>
      <c r="Y1908" s="13" t="s">
        <v>7817</v>
      </c>
    </row>
    <row r="1909" customFormat="false" ht="15.75" hidden="false" customHeight="true" outlineLevel="0" collapsed="false">
      <c r="A1909" s="7" t="s">
        <v>7818</v>
      </c>
      <c r="B1909" s="8" t="n">
        <v>2015</v>
      </c>
      <c r="C1909" s="8" t="s">
        <v>176</v>
      </c>
      <c r="D1909" s="8" t="n">
        <v>121</v>
      </c>
      <c r="E1909" s="7" t="s">
        <v>7819</v>
      </c>
      <c r="F1909" s="8" t="n">
        <v>7.1</v>
      </c>
      <c r="G1909" s="8" t="n">
        <v>6</v>
      </c>
      <c r="H1909" s="9" t="n">
        <v>313243</v>
      </c>
      <c r="I1909" s="7" t="s">
        <v>46</v>
      </c>
      <c r="J1909" s="7" t="s">
        <v>30</v>
      </c>
      <c r="K1909" s="7" t="s">
        <v>47</v>
      </c>
      <c r="L1909" s="10" t="s">
        <v>5649</v>
      </c>
      <c r="M1909" s="7" t="s">
        <v>7820</v>
      </c>
      <c r="N1909" s="8" t="n">
        <v>0</v>
      </c>
      <c r="O1909" s="8" t="n">
        <v>0</v>
      </c>
      <c r="P1909" s="8" t="n">
        <v>0</v>
      </c>
      <c r="Q1909" s="8" t="n">
        <v>0</v>
      </c>
      <c r="R1909" s="13" t="n">
        <v>0</v>
      </c>
      <c r="S1909" s="13" t="n">
        <v>0</v>
      </c>
      <c r="T1909" s="13"/>
      <c r="U1909" s="11" t="n">
        <f aca="false">O1909*4 + P1909*2 + MAX(0,N1909-O1909-P1909)*1 + Q1909*0.2 + R1909*2 + S1909*1 + IF(T1909="",0,IF(T1909&lt;=10,8,IF(T1909&lt;=50,6,IF(T1909&lt;=100,4,2))))</f>
        <v>0</v>
      </c>
      <c r="V1909" s="7"/>
      <c r="W1909" s="7"/>
      <c r="X1909" s="13"/>
      <c r="Y1909" s="13" t="s">
        <v>7821</v>
      </c>
    </row>
    <row r="1910" customFormat="false" ht="15.75" hidden="false" customHeight="true" outlineLevel="0" collapsed="false">
      <c r="A1910" s="7" t="s">
        <v>7822</v>
      </c>
      <c r="B1910" s="8" t="n">
        <v>2015</v>
      </c>
      <c r="C1910" s="8" t="s">
        <v>176</v>
      </c>
      <c r="D1910" s="8" t="n">
        <v>121</v>
      </c>
      <c r="E1910" s="7" t="s">
        <v>7823</v>
      </c>
      <c r="F1910" s="8" t="n">
        <v>7.1</v>
      </c>
      <c r="G1910" s="8" t="n">
        <v>6</v>
      </c>
      <c r="H1910" s="9" t="n">
        <v>248832</v>
      </c>
      <c r="I1910" s="7" t="s">
        <v>7824</v>
      </c>
      <c r="J1910" s="7" t="s">
        <v>39</v>
      </c>
      <c r="K1910" s="7" t="s">
        <v>48</v>
      </c>
      <c r="L1910" s="10" t="s">
        <v>192</v>
      </c>
      <c r="M1910" s="10" t="s">
        <v>7825</v>
      </c>
      <c r="N1910" s="8" t="n">
        <v>0</v>
      </c>
      <c r="O1910" s="8" t="n">
        <v>0</v>
      </c>
      <c r="P1910" s="8" t="n">
        <v>0</v>
      </c>
      <c r="Q1910" s="8" t="n">
        <v>0</v>
      </c>
      <c r="R1910" s="13" t="n">
        <v>0</v>
      </c>
      <c r="S1910" s="13" t="n">
        <v>0</v>
      </c>
      <c r="T1910" s="13"/>
      <c r="U1910" s="11" t="n">
        <f aca="false">O1910*4 + P1910*2 + MAX(0,N1910-O1910-P1910)*1 + Q1910*0.2 + R1910*2 + S1910*1 + IF(T1910="",0,IF(T1910&lt;=10,8,IF(T1910&lt;=50,6,IF(T1910&lt;=100,4,2))))</f>
        <v>0</v>
      </c>
      <c r="V1910" s="7"/>
      <c r="W1910" s="7"/>
      <c r="X1910" s="13"/>
      <c r="Y1910" s="13" t="s">
        <v>7826</v>
      </c>
    </row>
    <row r="1911" customFormat="false" ht="15.75" hidden="false" customHeight="true" outlineLevel="0" collapsed="false">
      <c r="A1911" s="7" t="s">
        <v>7827</v>
      </c>
      <c r="B1911" s="8" t="n">
        <v>1997</v>
      </c>
      <c r="C1911" s="8" t="s">
        <v>26</v>
      </c>
      <c r="D1911" s="8" t="n">
        <v>127</v>
      </c>
      <c r="E1911" s="7" t="s">
        <v>5994</v>
      </c>
      <c r="F1911" s="8" t="n">
        <v>7.7</v>
      </c>
      <c r="G1911" s="8" t="n">
        <v>7</v>
      </c>
      <c r="H1911" s="9" t="n">
        <v>359506</v>
      </c>
      <c r="I1911" s="7" t="s">
        <v>46</v>
      </c>
      <c r="J1911" s="7" t="s">
        <v>47</v>
      </c>
      <c r="K1911" s="7" t="s">
        <v>103</v>
      </c>
      <c r="L1911" s="10" t="s">
        <v>210</v>
      </c>
      <c r="M1911" s="7" t="s">
        <v>7828</v>
      </c>
      <c r="N1911" s="8" t="n">
        <v>0</v>
      </c>
      <c r="O1911" s="8" t="n">
        <v>0</v>
      </c>
      <c r="P1911" s="8" t="n">
        <v>0</v>
      </c>
      <c r="Q1911" s="8" t="n">
        <v>1</v>
      </c>
      <c r="R1911" s="8" t="n">
        <v>0</v>
      </c>
      <c r="S1911" s="8" t="n">
        <v>0</v>
      </c>
      <c r="T1911" s="13"/>
      <c r="U1911" s="11" t="n">
        <f aca="false">O1911*4 + P1911*2 + MAX(0,N1911-O1911-P1911)*1 + Q1911*0.2 + R1911*2 + S1911*1 + IF(T1911="",0,IF(T1911&lt;=10,8,IF(T1911&lt;=50,6,IF(T1911&lt;=100,4,2))))</f>
        <v>0.2</v>
      </c>
      <c r="V1911" s="7"/>
      <c r="W1911" s="7"/>
      <c r="X1911" s="13"/>
      <c r="Y1911" s="13" t="s">
        <v>7829</v>
      </c>
    </row>
    <row r="1912" customFormat="false" ht="15.75" hidden="false" customHeight="true" outlineLevel="0" collapsed="false">
      <c r="A1912" s="7" t="s">
        <v>7830</v>
      </c>
      <c r="B1912" s="8" t="n">
        <v>1992</v>
      </c>
      <c r="C1912" s="8" t="s">
        <v>26</v>
      </c>
      <c r="D1912" s="8" t="n">
        <v>138</v>
      </c>
      <c r="E1912" s="7" t="s">
        <v>469</v>
      </c>
      <c r="F1912" s="8" t="n">
        <v>7.8</v>
      </c>
      <c r="G1912" s="8" t="n">
        <v>6</v>
      </c>
      <c r="H1912" s="9" t="n">
        <v>320406</v>
      </c>
      <c r="I1912" s="7" t="s">
        <v>46</v>
      </c>
      <c r="J1912" s="7" t="s">
        <v>131</v>
      </c>
      <c r="K1912" s="7" t="s">
        <v>47</v>
      </c>
      <c r="L1912" s="10" t="s">
        <v>210</v>
      </c>
      <c r="M1912" s="7" t="s">
        <v>7831</v>
      </c>
      <c r="N1912" s="8" t="n">
        <v>0</v>
      </c>
      <c r="O1912" s="8" t="n">
        <v>0</v>
      </c>
      <c r="P1912" s="8" t="n">
        <v>0</v>
      </c>
      <c r="Q1912" s="8" t="n">
        <v>4</v>
      </c>
      <c r="R1912" s="8" t="n">
        <v>0</v>
      </c>
      <c r="S1912" s="8" t="n">
        <v>0</v>
      </c>
      <c r="T1912" s="13"/>
      <c r="U1912" s="11" t="n">
        <f aca="false">O1912*4 + P1912*2 + MAX(0,N1912-O1912-P1912)*1 + Q1912*0.2 + R1912*2 + S1912*1 + IF(T1912="",0,IF(T1912&lt;=10,8,IF(T1912&lt;=50,6,IF(T1912&lt;=100,4,2))))</f>
        <v>0.8</v>
      </c>
      <c r="V1912" s="7"/>
      <c r="W1912" s="7"/>
      <c r="X1912" s="13"/>
      <c r="Y1912" s="13" t="s">
        <v>7832</v>
      </c>
    </row>
    <row r="1913" customFormat="false" ht="15.75" hidden="false" customHeight="true" outlineLevel="0" collapsed="false">
      <c r="A1913" s="7" t="s">
        <v>7833</v>
      </c>
      <c r="B1913" s="8" t="n">
        <v>2015</v>
      </c>
      <c r="C1913" s="8" t="s">
        <v>176</v>
      </c>
      <c r="D1913" s="8" t="n">
        <v>105</v>
      </c>
      <c r="E1913" s="7" t="s">
        <v>5248</v>
      </c>
      <c r="F1913" s="8" t="n">
        <v>5.6</v>
      </c>
      <c r="G1913" s="8" t="n">
        <v>3</v>
      </c>
      <c r="H1913" s="9" t="n">
        <v>182352</v>
      </c>
      <c r="I1913" s="7" t="s">
        <v>46</v>
      </c>
      <c r="J1913" s="7" t="s">
        <v>112</v>
      </c>
      <c r="K1913" s="7" t="s">
        <v>39</v>
      </c>
      <c r="L1913" s="10"/>
      <c r="M1913" s="10" t="s">
        <v>7834</v>
      </c>
      <c r="N1913" s="8" t="n">
        <v>0</v>
      </c>
      <c r="O1913" s="8" t="n">
        <v>0</v>
      </c>
      <c r="P1913" s="8" t="n">
        <v>0</v>
      </c>
      <c r="Q1913" s="8" t="n">
        <v>0</v>
      </c>
      <c r="R1913" s="13" t="n">
        <v>0</v>
      </c>
      <c r="S1913" s="13" t="n">
        <v>0</v>
      </c>
      <c r="T1913" s="13"/>
      <c r="U1913" s="11" t="n">
        <f aca="false">O1913*4 + P1913*2 + MAX(0,N1913-O1913-P1913)*1 + Q1913*0.2 + R1913*2 + S1913*1 + IF(T1913="",0,IF(T1913&lt;=10,8,IF(T1913&lt;=50,6,IF(T1913&lt;=100,4,2))))</f>
        <v>0</v>
      </c>
      <c r="V1913" s="7"/>
      <c r="W1913" s="7"/>
      <c r="X1913" s="13"/>
      <c r="Y1913" s="13" t="s">
        <v>7835</v>
      </c>
    </row>
    <row r="1914" customFormat="false" ht="15.75" hidden="false" customHeight="true" outlineLevel="0" collapsed="false">
      <c r="A1914" s="7" t="s">
        <v>7836</v>
      </c>
      <c r="B1914" s="8" t="n">
        <v>2006</v>
      </c>
      <c r="C1914" s="8" t="s">
        <v>35</v>
      </c>
      <c r="D1914" s="8" t="n">
        <v>120</v>
      </c>
      <c r="E1914" s="7" t="s">
        <v>7837</v>
      </c>
      <c r="F1914" s="8" t="n">
        <v>7.2</v>
      </c>
      <c r="G1914" s="8" t="n">
        <v>6</v>
      </c>
      <c r="H1914" s="9" t="n">
        <v>31744</v>
      </c>
      <c r="I1914" s="7" t="s">
        <v>2011</v>
      </c>
      <c r="J1914" s="7" t="s">
        <v>29</v>
      </c>
      <c r="K1914" s="7" t="s">
        <v>75</v>
      </c>
      <c r="L1914" s="10"/>
      <c r="M1914" s="10" t="s">
        <v>7838</v>
      </c>
      <c r="N1914" s="8" t="n">
        <v>0</v>
      </c>
      <c r="O1914" s="8" t="n">
        <v>0</v>
      </c>
      <c r="P1914" s="8" t="n">
        <v>0</v>
      </c>
      <c r="Q1914" s="8" t="n">
        <v>0</v>
      </c>
      <c r="R1914" s="13" t="n">
        <v>0</v>
      </c>
      <c r="S1914" s="13" t="n">
        <v>0</v>
      </c>
      <c r="T1914" s="13"/>
      <c r="U1914" s="11" t="n">
        <f aca="false">O1914*4 + P1914*2 + MAX(0,N1914-O1914-P1914)*1 + Q1914*0.2 + R1914*2 + S1914*1 + IF(T1914="",0,IF(T1914&lt;=10,8,IF(T1914&lt;=50,6,IF(T1914&lt;=100,4,2))))</f>
        <v>0</v>
      </c>
      <c r="V1914" s="7"/>
      <c r="W1914" s="7"/>
      <c r="X1914" s="13"/>
      <c r="Y1914" s="13" t="s">
        <v>7839</v>
      </c>
    </row>
    <row r="1915" customFormat="false" ht="15.75" hidden="false" customHeight="true" outlineLevel="0" collapsed="false">
      <c r="A1915" s="7" t="s">
        <v>7840</v>
      </c>
      <c r="B1915" s="8" t="n">
        <v>2001</v>
      </c>
      <c r="C1915" s="8" t="s">
        <v>35</v>
      </c>
      <c r="D1915" s="8" t="n">
        <v>89</v>
      </c>
      <c r="E1915" s="7" t="s">
        <v>7841</v>
      </c>
      <c r="F1915" s="8" t="n">
        <v>5.8</v>
      </c>
      <c r="G1915" s="8" t="n">
        <v>7</v>
      </c>
      <c r="H1915" s="9" t="n">
        <v>128055</v>
      </c>
      <c r="I1915" s="7" t="s">
        <v>46</v>
      </c>
      <c r="J1915" s="7" t="s">
        <v>29</v>
      </c>
      <c r="K1915" s="7" t="s">
        <v>30</v>
      </c>
      <c r="L1915" s="10" t="s">
        <v>113</v>
      </c>
      <c r="M1915" s="10" t="s">
        <v>7842</v>
      </c>
      <c r="N1915" s="8" t="n">
        <v>0</v>
      </c>
      <c r="O1915" s="8" t="n">
        <v>0</v>
      </c>
      <c r="P1915" s="8" t="n">
        <v>0</v>
      </c>
      <c r="Q1915" s="8" t="n">
        <v>0</v>
      </c>
      <c r="R1915" s="13" t="n">
        <v>0</v>
      </c>
      <c r="S1915" s="13" t="n">
        <v>0</v>
      </c>
      <c r="T1915" s="13"/>
      <c r="U1915" s="11" t="n">
        <f aca="false">O1915*4 + P1915*2 + MAX(0,N1915-O1915-P1915)*1 + Q1915*0.2 + R1915*2 + S1915*1 + IF(T1915="",0,IF(T1915&lt;=10,8,IF(T1915&lt;=50,6,IF(T1915&lt;=100,4,2))))</f>
        <v>0</v>
      </c>
      <c r="V1915" s="7"/>
      <c r="W1915" s="7"/>
      <c r="X1915" s="13"/>
      <c r="Y1915" s="13" t="s">
        <v>7843</v>
      </c>
    </row>
    <row r="1916" customFormat="false" ht="15.75" hidden="false" customHeight="true" outlineLevel="0" collapsed="false">
      <c r="A1916" s="7" t="s">
        <v>7844</v>
      </c>
      <c r="B1916" s="8" t="n">
        <v>2010</v>
      </c>
      <c r="C1916" s="8" t="s">
        <v>176</v>
      </c>
      <c r="D1916" s="8" t="n">
        <v>117</v>
      </c>
      <c r="E1916" s="7" t="s">
        <v>5511</v>
      </c>
      <c r="F1916" s="8" t="n">
        <v>7.6</v>
      </c>
      <c r="G1916" s="8" t="n">
        <v>7</v>
      </c>
      <c r="H1916" s="9" t="n">
        <v>623483</v>
      </c>
      <c r="I1916" s="7" t="s">
        <v>359</v>
      </c>
      <c r="J1916" s="7" t="s">
        <v>112</v>
      </c>
      <c r="K1916" s="7" t="s">
        <v>54</v>
      </c>
      <c r="L1916" s="10"/>
      <c r="M1916" s="7" t="s">
        <v>7845</v>
      </c>
      <c r="N1916" s="8" t="n">
        <v>0</v>
      </c>
      <c r="O1916" s="8" t="n">
        <v>0</v>
      </c>
      <c r="P1916" s="8" t="n">
        <v>0</v>
      </c>
      <c r="Q1916" s="8" t="n">
        <v>0</v>
      </c>
      <c r="R1916" s="13" t="n">
        <v>0</v>
      </c>
      <c r="S1916" s="13" t="n">
        <v>0</v>
      </c>
      <c r="T1916" s="13"/>
      <c r="U1916" s="11" t="n">
        <f aca="false">O1916*4 + P1916*2 + MAX(0,N1916-O1916-P1916)*1 + Q1916*0.2 + R1916*2 + S1916*1 + IF(T1916="",0,IF(T1916&lt;=10,8,IF(T1916&lt;=50,6,IF(T1916&lt;=100,4,2))))</f>
        <v>0</v>
      </c>
      <c r="V1916" s="7"/>
      <c r="W1916" s="7"/>
      <c r="X1916" s="13"/>
      <c r="Y1916" s="13" t="s">
        <v>7846</v>
      </c>
    </row>
    <row r="1917" customFormat="false" ht="15.75" hidden="false" customHeight="true" outlineLevel="0" collapsed="false">
      <c r="A1917" s="7" t="s">
        <v>7847</v>
      </c>
      <c r="B1917" s="8" t="n">
        <v>2016</v>
      </c>
      <c r="C1917" s="8" t="s">
        <v>176</v>
      </c>
      <c r="D1917" s="8" t="n">
        <v>108</v>
      </c>
      <c r="E1917" s="7" t="s">
        <v>7848</v>
      </c>
      <c r="F1917" s="8" t="n">
        <v>8</v>
      </c>
      <c r="G1917" s="8" t="n">
        <v>7</v>
      </c>
      <c r="H1917" s="9" t="n">
        <v>1266568</v>
      </c>
      <c r="I1917" s="7" t="s">
        <v>46</v>
      </c>
      <c r="J1917" s="7" t="s">
        <v>111</v>
      </c>
      <c r="K1917" s="7" t="s">
        <v>5160</v>
      </c>
      <c r="L1917" s="10" t="s">
        <v>177</v>
      </c>
      <c r="M1917" s="7" t="s">
        <v>7849</v>
      </c>
      <c r="N1917" s="8" t="n">
        <v>0</v>
      </c>
      <c r="O1917" s="8" t="n">
        <v>0</v>
      </c>
      <c r="P1917" s="8" t="n">
        <v>0</v>
      </c>
      <c r="Q1917" s="8" t="n">
        <v>0</v>
      </c>
      <c r="R1917" s="8" t="n">
        <v>0</v>
      </c>
      <c r="S1917" s="13" t="n">
        <v>0</v>
      </c>
      <c r="T1917" s="8"/>
      <c r="U1917" s="11" t="n">
        <f aca="false">O1917*4 + P1917*2 + MAX(0,N1917-O1917-P1917)*1 + Q1917*0.2 + R1917*2 + S1917*1 + IF(T1917="",0,IF(T1917&lt;=10,8,IF(T1917&lt;=50,6,IF(T1917&lt;=100,4,2))))</f>
        <v>0</v>
      </c>
      <c r="V1917" s="7"/>
      <c r="W1917" s="7"/>
      <c r="X1917" s="13"/>
      <c r="Y1917" s="13" t="s">
        <v>7850</v>
      </c>
    </row>
    <row r="1918" customFormat="false" ht="15.75" hidden="false" customHeight="true" outlineLevel="0" collapsed="false">
      <c r="A1918" s="7" t="s">
        <v>7851</v>
      </c>
      <c r="B1918" s="8" t="n">
        <v>2007</v>
      </c>
      <c r="C1918" s="8" t="s">
        <v>35</v>
      </c>
      <c r="D1918" s="8" t="n">
        <v>96</v>
      </c>
      <c r="E1918" s="7" t="s">
        <v>1327</v>
      </c>
      <c r="F1918" s="8" t="n">
        <v>7.4</v>
      </c>
      <c r="G1918" s="8" t="n">
        <v>7</v>
      </c>
      <c r="H1918" s="9" t="n">
        <v>574480</v>
      </c>
      <c r="I1918" s="7" t="s">
        <v>46</v>
      </c>
      <c r="J1918" s="7" t="s">
        <v>30</v>
      </c>
      <c r="K1918" s="7" t="s">
        <v>5697</v>
      </c>
      <c r="L1918" s="10" t="s">
        <v>2616</v>
      </c>
      <c r="M1918" s="7" t="s">
        <v>7852</v>
      </c>
      <c r="N1918" s="8" t="n">
        <v>1</v>
      </c>
      <c r="O1918" s="8" t="n">
        <v>0</v>
      </c>
      <c r="P1918" s="8" t="n">
        <v>0</v>
      </c>
      <c r="Q1918" s="8" t="n">
        <v>4</v>
      </c>
      <c r="R1918" s="8" t="n">
        <v>0</v>
      </c>
      <c r="S1918" s="8" t="n">
        <v>0</v>
      </c>
      <c r="T1918" s="13"/>
      <c r="U1918" s="11" t="n">
        <f aca="false">O1918*4 + P1918*2 + MAX(0,N1918-O1918-P1918)*1 + Q1918*0.2 + R1918*2 + S1918*1 + IF(T1918="",0,IF(T1918&lt;=10,8,IF(T1918&lt;=50,6,IF(T1918&lt;=100,4,2))))</f>
        <v>1.8</v>
      </c>
      <c r="V1918" s="7"/>
      <c r="W1918" s="7"/>
      <c r="X1918" s="13"/>
      <c r="Y1918" s="13" t="s">
        <v>7853</v>
      </c>
    </row>
    <row r="1919" customFormat="false" ht="15.75" hidden="false" customHeight="true" outlineLevel="0" collapsed="false">
      <c r="A1919" s="7" t="s">
        <v>7854</v>
      </c>
      <c r="B1919" s="8" t="n">
        <v>2015</v>
      </c>
      <c r="C1919" s="8" t="s">
        <v>176</v>
      </c>
      <c r="D1919" s="8" t="n">
        <v>116</v>
      </c>
      <c r="E1919" s="7" t="s">
        <v>1196</v>
      </c>
      <c r="F1919" s="8" t="n">
        <v>7.2</v>
      </c>
      <c r="G1919" s="8" t="n">
        <v>6</v>
      </c>
      <c r="H1919" s="9" t="n">
        <v>359091</v>
      </c>
      <c r="I1919" s="7" t="s">
        <v>46</v>
      </c>
      <c r="J1919" s="7" t="s">
        <v>112</v>
      </c>
      <c r="K1919" s="7" t="s">
        <v>39</v>
      </c>
      <c r="L1919" s="10" t="s">
        <v>972</v>
      </c>
      <c r="M1919" s="7" t="s">
        <v>7855</v>
      </c>
      <c r="N1919" s="8" t="n">
        <v>0</v>
      </c>
      <c r="O1919" s="8" t="n">
        <v>0</v>
      </c>
      <c r="P1919" s="8" t="n">
        <v>0</v>
      </c>
      <c r="Q1919" s="8" t="n">
        <v>0</v>
      </c>
      <c r="R1919" s="13" t="n">
        <v>0</v>
      </c>
      <c r="S1919" s="13" t="n">
        <v>0</v>
      </c>
      <c r="T1919" s="13"/>
      <c r="U1919" s="11" t="n">
        <f aca="false">O1919*4 + P1919*2 + MAX(0,N1919-O1919-P1919)*1 + Q1919*0.2 + R1919*2 + S1919*1 + IF(T1919="",0,IF(T1919&lt;=10,8,IF(T1919&lt;=50,6,IF(T1919&lt;=100,4,2))))</f>
        <v>0</v>
      </c>
      <c r="V1919" s="7"/>
      <c r="W1919" s="7"/>
      <c r="X1919" s="13"/>
      <c r="Y1919" s="13" t="s">
        <v>7856</v>
      </c>
    </row>
    <row r="1920" customFormat="false" ht="15.75" hidden="false" customHeight="true" outlineLevel="0" collapsed="false">
      <c r="A1920" s="7" t="s">
        <v>7857</v>
      </c>
      <c r="B1920" s="8" t="n">
        <v>2015</v>
      </c>
      <c r="C1920" s="8" t="s">
        <v>176</v>
      </c>
      <c r="D1920" s="8" t="n">
        <v>99</v>
      </c>
      <c r="E1920" s="7" t="s">
        <v>7028</v>
      </c>
      <c r="F1920" s="8" t="n">
        <v>5.4</v>
      </c>
      <c r="G1920" s="8" t="n">
        <v>4</v>
      </c>
      <c r="H1920" s="9" t="n">
        <v>8648</v>
      </c>
      <c r="I1920" s="7" t="s">
        <v>232</v>
      </c>
      <c r="J1920" s="7" t="s">
        <v>29</v>
      </c>
      <c r="K1920" s="7" t="s">
        <v>30</v>
      </c>
      <c r="L1920" s="10" t="s">
        <v>636</v>
      </c>
      <c r="M1920" s="10" t="s">
        <v>7858</v>
      </c>
      <c r="N1920" s="8" t="n">
        <v>0</v>
      </c>
      <c r="O1920" s="8" t="n">
        <v>0</v>
      </c>
      <c r="P1920" s="8" t="n">
        <v>0</v>
      </c>
      <c r="Q1920" s="8" t="n">
        <v>0</v>
      </c>
      <c r="R1920" s="13" t="n">
        <v>0</v>
      </c>
      <c r="S1920" s="13" t="n">
        <v>0</v>
      </c>
      <c r="T1920" s="13"/>
      <c r="U1920" s="11" t="n">
        <f aca="false">O1920*4 + P1920*2 + MAX(0,N1920-O1920-P1920)*1 + Q1920*0.2 + R1920*2 + S1920*1 + IF(T1920="",0,IF(T1920&lt;=10,8,IF(T1920&lt;=50,6,IF(T1920&lt;=100,4,2))))</f>
        <v>0</v>
      </c>
      <c r="V1920" s="7"/>
      <c r="W1920" s="7"/>
      <c r="X1920" s="13"/>
      <c r="Y1920" s="13" t="s">
        <v>7859</v>
      </c>
    </row>
    <row r="1921" customFormat="false" ht="15.75" hidden="false" customHeight="true" outlineLevel="0" collapsed="false">
      <c r="A1921" s="7" t="s">
        <v>7860</v>
      </c>
      <c r="B1921" s="8" t="n">
        <v>2016</v>
      </c>
      <c r="C1921" s="8" t="s">
        <v>176</v>
      </c>
      <c r="D1921" s="8" t="n">
        <v>151</v>
      </c>
      <c r="E1921" s="7" t="s">
        <v>2044</v>
      </c>
      <c r="F1921" s="8" t="n">
        <v>6.4</v>
      </c>
      <c r="G1921" s="8" t="n">
        <v>2</v>
      </c>
      <c r="H1921" s="9" t="n">
        <v>796805</v>
      </c>
      <c r="I1921" s="7" t="s">
        <v>46</v>
      </c>
      <c r="J1921" s="7" t="s">
        <v>111</v>
      </c>
      <c r="K1921" s="7"/>
      <c r="L1921" s="10" t="s">
        <v>5649</v>
      </c>
      <c r="M1921" s="7" t="s">
        <v>7861</v>
      </c>
      <c r="N1921" s="8" t="n">
        <v>0</v>
      </c>
      <c r="O1921" s="8" t="n">
        <v>0</v>
      </c>
      <c r="P1921" s="8" t="n">
        <v>0</v>
      </c>
      <c r="Q1921" s="8" t="n">
        <v>0</v>
      </c>
      <c r="R1921" s="13" t="n">
        <v>0</v>
      </c>
      <c r="S1921" s="13" t="n">
        <v>0</v>
      </c>
      <c r="T1921" s="13"/>
      <c r="U1921" s="11" t="n">
        <f aca="false">O1921*4 + P1921*2 + MAX(0,N1921-O1921-P1921)*1 + Q1921*0.2 + R1921*2 + S1921*1 + IF(T1921="",0,IF(T1921&lt;=10,8,IF(T1921&lt;=50,6,IF(T1921&lt;=100,4,2))))</f>
        <v>0</v>
      </c>
      <c r="V1921" s="7"/>
      <c r="W1921" s="7"/>
      <c r="X1921" s="13"/>
      <c r="Y1921" s="13" t="s">
        <v>7862</v>
      </c>
    </row>
    <row r="1922" customFormat="false" ht="15.75" hidden="false" customHeight="true" outlineLevel="0" collapsed="false">
      <c r="A1922" s="7" t="s">
        <v>7863</v>
      </c>
      <c r="B1922" s="8" t="n">
        <v>2007</v>
      </c>
      <c r="C1922" s="8" t="s">
        <v>35</v>
      </c>
      <c r="D1922" s="8" t="n">
        <v>121</v>
      </c>
      <c r="E1922" s="7" t="s">
        <v>7269</v>
      </c>
      <c r="F1922" s="8" t="n">
        <v>7.8</v>
      </c>
      <c r="G1922" s="8" t="n">
        <v>8</v>
      </c>
      <c r="H1922" s="9" t="n">
        <v>571210</v>
      </c>
      <c r="I1922" s="7" t="s">
        <v>280</v>
      </c>
      <c r="J1922" s="7" t="s">
        <v>112</v>
      </c>
      <c r="K1922" s="7" t="s">
        <v>125</v>
      </c>
      <c r="L1922" s="10" t="s">
        <v>7864</v>
      </c>
      <c r="M1922" s="7" t="s">
        <v>7865</v>
      </c>
      <c r="N1922" s="8" t="n">
        <v>0</v>
      </c>
      <c r="O1922" s="8" t="n">
        <v>0</v>
      </c>
      <c r="P1922" s="8" t="n">
        <v>0</v>
      </c>
      <c r="Q1922" s="8" t="n">
        <v>0</v>
      </c>
      <c r="R1922" s="13" t="n">
        <v>0</v>
      </c>
      <c r="S1922" s="13" t="n">
        <v>0</v>
      </c>
      <c r="T1922" s="13"/>
      <c r="U1922" s="11" t="n">
        <f aca="false">O1922*4 + P1922*2 + MAX(0,N1922-O1922-P1922)*1 + Q1922*0.2 + R1922*2 + S1922*1 + IF(T1922="",0,IF(T1922&lt;=10,8,IF(T1922&lt;=50,6,IF(T1922&lt;=100,4,2))))</f>
        <v>0</v>
      </c>
      <c r="V1922" s="7"/>
      <c r="W1922" s="7"/>
      <c r="X1922" s="13"/>
      <c r="Y1922" s="13" t="s">
        <v>7866</v>
      </c>
    </row>
    <row r="1923" customFormat="false" ht="15.75" hidden="false" customHeight="true" outlineLevel="0" collapsed="false">
      <c r="A1923" s="7" t="s">
        <v>7867</v>
      </c>
      <c r="B1923" s="8" t="n">
        <v>2007</v>
      </c>
      <c r="C1923" s="8" t="s">
        <v>35</v>
      </c>
      <c r="D1923" s="8" t="n">
        <v>92</v>
      </c>
      <c r="E1923" s="7" t="s">
        <v>7868</v>
      </c>
      <c r="F1923" s="8" t="n">
        <v>5.3</v>
      </c>
      <c r="G1923" s="8" t="n">
        <v>3</v>
      </c>
      <c r="H1923" s="9" t="n">
        <v>106911</v>
      </c>
      <c r="I1923" s="7" t="s">
        <v>46</v>
      </c>
      <c r="J1923" s="7" t="s">
        <v>579</v>
      </c>
      <c r="K1923" s="7" t="s">
        <v>39</v>
      </c>
      <c r="L1923" s="10" t="s">
        <v>2290</v>
      </c>
      <c r="M1923" s="10" t="s">
        <v>7869</v>
      </c>
      <c r="N1923" s="8" t="n">
        <v>0</v>
      </c>
      <c r="O1923" s="8" t="n">
        <v>0</v>
      </c>
      <c r="P1923" s="8" t="n">
        <v>0</v>
      </c>
      <c r="Q1923" s="8" t="n">
        <v>0</v>
      </c>
      <c r="R1923" s="13" t="n">
        <v>0</v>
      </c>
      <c r="S1923" s="13" t="n">
        <v>0</v>
      </c>
      <c r="T1923" s="13"/>
      <c r="U1923" s="11" t="n">
        <f aca="false">O1923*4 + P1923*2 + MAX(0,N1923-O1923-P1923)*1 + Q1923*0.2 + R1923*2 + S1923*1 + IF(T1923="",0,IF(T1923&lt;=10,8,IF(T1923&lt;=50,6,IF(T1923&lt;=100,4,2))))</f>
        <v>0</v>
      </c>
      <c r="V1923" s="7"/>
      <c r="W1923" s="7"/>
      <c r="X1923" s="13"/>
      <c r="Y1923" s="13" t="s">
        <v>7870</v>
      </c>
    </row>
    <row r="1924" customFormat="false" ht="15.75" hidden="false" customHeight="true" outlineLevel="0" collapsed="false">
      <c r="A1924" s="7" t="s">
        <v>7871</v>
      </c>
      <c r="B1924" s="8" t="n">
        <v>1979</v>
      </c>
      <c r="C1924" s="8" t="s">
        <v>61</v>
      </c>
      <c r="D1924" s="8" t="n">
        <v>119</v>
      </c>
      <c r="E1924" s="7" t="s">
        <v>5494</v>
      </c>
      <c r="F1924" s="8" t="n">
        <v>7.3</v>
      </c>
      <c r="G1924" s="8" t="n">
        <v>7</v>
      </c>
      <c r="H1924" s="9" t="n">
        <v>253082</v>
      </c>
      <c r="I1924" s="7" t="s">
        <v>46</v>
      </c>
      <c r="J1924" s="7" t="s">
        <v>47</v>
      </c>
      <c r="K1924" s="7" t="s">
        <v>75</v>
      </c>
      <c r="L1924" s="10" t="s">
        <v>113</v>
      </c>
      <c r="M1924" s="10" t="s">
        <v>7872</v>
      </c>
      <c r="N1924" s="8" t="n">
        <v>0</v>
      </c>
      <c r="O1924" s="8" t="n">
        <v>0</v>
      </c>
      <c r="P1924" s="8" t="n">
        <v>0</v>
      </c>
      <c r="Q1924" s="8" t="n">
        <v>0</v>
      </c>
      <c r="R1924" s="13" t="n">
        <v>0</v>
      </c>
      <c r="S1924" s="13" t="n">
        <v>0</v>
      </c>
      <c r="T1924" s="13"/>
      <c r="U1924" s="11" t="n">
        <f aca="false">O1924*4 + P1924*2 + MAX(0,N1924-O1924-P1924)*1 + Q1924*0.2 + R1924*2 + S1924*1 + IF(T1924="",0,IF(T1924&lt;=10,8,IF(T1924&lt;=50,6,IF(T1924&lt;=100,4,2))))</f>
        <v>0</v>
      </c>
      <c r="V1924" s="7"/>
      <c r="W1924" s="7"/>
      <c r="X1924" s="13"/>
      <c r="Y1924" s="13" t="s">
        <v>7873</v>
      </c>
    </row>
    <row r="1925" customFormat="false" ht="15.75" hidden="false" customHeight="true" outlineLevel="0" collapsed="false">
      <c r="A1925" s="7" t="s">
        <v>7874</v>
      </c>
      <c r="B1925" s="8" t="n">
        <v>1982</v>
      </c>
      <c r="C1925" s="8" t="s">
        <v>109</v>
      </c>
      <c r="D1925" s="8" t="n">
        <v>99</v>
      </c>
      <c r="E1925" s="7" t="s">
        <v>5494</v>
      </c>
      <c r="F1925" s="8" t="n">
        <v>6.9</v>
      </c>
      <c r="G1925" s="8" t="n">
        <v>6</v>
      </c>
      <c r="H1925" s="9" t="n">
        <v>231408</v>
      </c>
      <c r="I1925" s="7" t="s">
        <v>46</v>
      </c>
      <c r="J1925" s="7" t="s">
        <v>47</v>
      </c>
      <c r="K1925" s="7" t="s">
        <v>75</v>
      </c>
      <c r="L1925" s="10" t="s">
        <v>113</v>
      </c>
      <c r="M1925" s="10" t="s">
        <v>7875</v>
      </c>
      <c r="N1925" s="8" t="n">
        <v>0</v>
      </c>
      <c r="O1925" s="8" t="n">
        <v>0</v>
      </c>
      <c r="P1925" s="8" t="n">
        <v>0</v>
      </c>
      <c r="Q1925" s="8" t="n">
        <v>1</v>
      </c>
      <c r="R1925" s="8" t="n">
        <v>0</v>
      </c>
      <c r="S1925" s="8" t="n">
        <v>0</v>
      </c>
      <c r="T1925" s="13"/>
      <c r="U1925" s="11" t="n">
        <f aca="false">O1925*4 + P1925*2 + MAX(0,N1925-O1925-P1925)*1 + Q1925*0.2 + R1925*2 + S1925*1 + IF(T1925="",0,IF(T1925&lt;=10,8,IF(T1925&lt;=50,6,IF(T1925&lt;=100,4,2))))</f>
        <v>0.2</v>
      </c>
      <c r="V1925" s="7"/>
      <c r="W1925" s="7"/>
      <c r="X1925" s="13"/>
      <c r="Y1925" s="13" t="s">
        <v>7876</v>
      </c>
    </row>
    <row r="1926" customFormat="false" ht="15.75" hidden="false" customHeight="true" outlineLevel="0" collapsed="false">
      <c r="A1926" s="7" t="s">
        <v>7877</v>
      </c>
      <c r="B1926" s="8" t="n">
        <v>2004</v>
      </c>
      <c r="C1926" s="8" t="s">
        <v>35</v>
      </c>
      <c r="D1926" s="8" t="n">
        <v>85</v>
      </c>
      <c r="E1926" s="7" t="s">
        <v>7878</v>
      </c>
      <c r="F1926" s="8" t="n">
        <v>5.6</v>
      </c>
      <c r="G1926" s="8" t="n">
        <v>5</v>
      </c>
      <c r="H1926" s="9" t="n">
        <v>34382</v>
      </c>
      <c r="I1926" s="7" t="s">
        <v>4016</v>
      </c>
      <c r="J1926" s="7" t="s">
        <v>147</v>
      </c>
      <c r="K1926" s="7" t="s">
        <v>125</v>
      </c>
      <c r="L1926" s="10" t="s">
        <v>1048</v>
      </c>
      <c r="M1926" s="10" t="s">
        <v>7879</v>
      </c>
      <c r="N1926" s="8" t="n">
        <v>0</v>
      </c>
      <c r="O1926" s="8" t="n">
        <v>0</v>
      </c>
      <c r="P1926" s="8" t="n">
        <v>0</v>
      </c>
      <c r="Q1926" s="8" t="n">
        <v>0</v>
      </c>
      <c r="R1926" s="13" t="n">
        <v>0</v>
      </c>
      <c r="S1926" s="13" t="n">
        <v>0</v>
      </c>
      <c r="T1926" s="13"/>
      <c r="U1926" s="11" t="n">
        <f aca="false">O1926*4 + P1926*2 + MAX(0,N1926-O1926-P1926)*1 + Q1926*0.2 + R1926*2 + S1926*1 + IF(T1926="",0,IF(T1926&lt;=10,8,IF(T1926&lt;=50,6,IF(T1926&lt;=100,4,2))))</f>
        <v>0</v>
      </c>
      <c r="V1926" s="7"/>
      <c r="W1926" s="7"/>
      <c r="X1926" s="13"/>
      <c r="Y1926" s="13" t="s">
        <v>7880</v>
      </c>
    </row>
    <row r="1927" customFormat="false" ht="15.75" hidden="false" customHeight="true" outlineLevel="0" collapsed="false">
      <c r="A1927" s="7" t="s">
        <v>7881</v>
      </c>
      <c r="B1927" s="8" t="n">
        <v>1985</v>
      </c>
      <c r="C1927" s="8" t="s">
        <v>109</v>
      </c>
      <c r="D1927" s="8" t="n">
        <v>91</v>
      </c>
      <c r="E1927" s="7" t="s">
        <v>5494</v>
      </c>
      <c r="F1927" s="8" t="n">
        <v>6.9</v>
      </c>
      <c r="G1927" s="8" t="n">
        <v>5</v>
      </c>
      <c r="H1927" s="9" t="n">
        <v>248324</v>
      </c>
      <c r="I1927" s="7" t="s">
        <v>46</v>
      </c>
      <c r="J1927" s="7" t="s">
        <v>47</v>
      </c>
      <c r="K1927" s="7" t="s">
        <v>75</v>
      </c>
      <c r="L1927" s="10" t="s">
        <v>113</v>
      </c>
      <c r="M1927" s="10" t="s">
        <v>7882</v>
      </c>
      <c r="N1927" s="8" t="n">
        <v>0</v>
      </c>
      <c r="O1927" s="8" t="n">
        <v>0</v>
      </c>
      <c r="P1927" s="8" t="n">
        <v>0</v>
      </c>
      <c r="Q1927" s="8" t="n">
        <v>0</v>
      </c>
      <c r="R1927" s="13" t="n">
        <v>0</v>
      </c>
      <c r="S1927" s="13" t="n">
        <v>0</v>
      </c>
      <c r="T1927" s="13"/>
      <c r="U1927" s="11" t="n">
        <f aca="false">O1927*4 + P1927*2 + MAX(0,N1927-O1927-P1927)*1 + Q1927*0.2 + R1927*2 + S1927*1 + IF(T1927="",0,IF(T1927&lt;=10,8,IF(T1927&lt;=50,6,IF(T1927&lt;=100,4,2))))</f>
        <v>0</v>
      </c>
      <c r="V1927" s="7"/>
      <c r="W1927" s="7"/>
      <c r="X1927" s="13"/>
      <c r="Y1927" s="13" t="s">
        <v>7883</v>
      </c>
    </row>
    <row r="1928" customFormat="false" ht="15.75" hidden="false" customHeight="true" outlineLevel="0" collapsed="false">
      <c r="A1928" s="7" t="s">
        <v>7884</v>
      </c>
      <c r="B1928" s="8" t="n">
        <v>1990</v>
      </c>
      <c r="C1928" s="8" t="s">
        <v>26</v>
      </c>
      <c r="D1928" s="8" t="n">
        <v>104</v>
      </c>
      <c r="E1928" s="7" t="s">
        <v>5377</v>
      </c>
      <c r="F1928" s="8" t="n">
        <v>5.4</v>
      </c>
      <c r="G1928" s="8" t="n">
        <v>4</v>
      </c>
      <c r="H1928" s="9" t="n">
        <v>163386</v>
      </c>
      <c r="I1928" s="7" t="s">
        <v>46</v>
      </c>
      <c r="J1928" s="7" t="s">
        <v>47</v>
      </c>
      <c r="K1928" s="7" t="s">
        <v>75</v>
      </c>
      <c r="L1928" s="10" t="s">
        <v>113</v>
      </c>
      <c r="M1928" s="10" t="s">
        <v>7885</v>
      </c>
      <c r="N1928" s="8" t="n">
        <v>0</v>
      </c>
      <c r="O1928" s="8" t="n">
        <v>0</v>
      </c>
      <c r="P1928" s="8" t="n">
        <v>0</v>
      </c>
      <c r="Q1928" s="8" t="n">
        <v>0</v>
      </c>
      <c r="R1928" s="13" t="n">
        <v>0</v>
      </c>
      <c r="S1928" s="13" t="n">
        <v>0</v>
      </c>
      <c r="T1928" s="13"/>
      <c r="U1928" s="11" t="n">
        <f aca="false">O1928*4 + P1928*2 + MAX(0,N1928-O1928-P1928)*1 + Q1928*0.2 + R1928*2 + S1928*1 + IF(T1928="",0,IF(T1928&lt;=10,8,IF(T1928&lt;=50,6,IF(T1928&lt;=100,4,2))))</f>
        <v>0</v>
      </c>
      <c r="V1928" s="7"/>
      <c r="W1928" s="7"/>
      <c r="X1928" s="13"/>
      <c r="Y1928" s="13" t="s">
        <v>7886</v>
      </c>
    </row>
    <row r="1929" customFormat="false" ht="15.75" hidden="false" customHeight="true" outlineLevel="0" collapsed="false">
      <c r="A1929" s="7" t="s">
        <v>7887</v>
      </c>
      <c r="B1929" s="8" t="n">
        <v>2006</v>
      </c>
      <c r="C1929" s="8" t="s">
        <v>35</v>
      </c>
      <c r="D1929" s="8" t="n">
        <v>102</v>
      </c>
      <c r="E1929" s="7" t="s">
        <v>5494</v>
      </c>
      <c r="F1929" s="8" t="n">
        <v>7.1</v>
      </c>
      <c r="G1929" s="8" t="n">
        <v>6</v>
      </c>
      <c r="H1929" s="9" t="n">
        <v>244982</v>
      </c>
      <c r="I1929" s="7" t="s">
        <v>46</v>
      </c>
      <c r="J1929" s="7" t="s">
        <v>47</v>
      </c>
      <c r="K1929" s="7" t="s">
        <v>75</v>
      </c>
      <c r="L1929" s="10" t="s">
        <v>113</v>
      </c>
      <c r="M1929" s="10" t="s">
        <v>7888</v>
      </c>
      <c r="N1929" s="8" t="n">
        <v>0</v>
      </c>
      <c r="O1929" s="8" t="n">
        <v>0</v>
      </c>
      <c r="P1929" s="8" t="n">
        <v>0</v>
      </c>
      <c r="Q1929" s="8" t="n">
        <v>0</v>
      </c>
      <c r="R1929" s="13" t="n">
        <v>0</v>
      </c>
      <c r="S1929" s="13" t="n">
        <v>0</v>
      </c>
      <c r="T1929" s="13"/>
      <c r="U1929" s="11" t="n">
        <f aca="false">O1929*4 + P1929*2 + MAX(0,N1929-O1929-P1929)*1 + Q1929*0.2 + R1929*2 + S1929*1 + IF(T1929="",0,IF(T1929&lt;=10,8,IF(T1929&lt;=50,6,IF(T1929&lt;=100,4,2))))</f>
        <v>0</v>
      </c>
      <c r="V1929" s="7"/>
      <c r="W1929" s="7"/>
      <c r="X1929" s="13"/>
      <c r="Y1929" s="13" t="s">
        <v>7889</v>
      </c>
    </row>
    <row r="1930" customFormat="false" ht="15.75" hidden="false" customHeight="true" outlineLevel="0" collapsed="false">
      <c r="A1930" s="7" t="s">
        <v>7890</v>
      </c>
      <c r="B1930" s="8" t="n">
        <v>2008</v>
      </c>
      <c r="C1930" s="8" t="s">
        <v>35</v>
      </c>
      <c r="D1930" s="8" t="n">
        <v>75</v>
      </c>
      <c r="E1930" s="7" t="s">
        <v>7891</v>
      </c>
      <c r="F1930" s="8" t="n">
        <v>4.8</v>
      </c>
      <c r="G1930" s="8" t="n">
        <v>3</v>
      </c>
      <c r="H1930" s="9" t="n">
        <v>85531</v>
      </c>
      <c r="I1930" s="7" t="s">
        <v>46</v>
      </c>
      <c r="J1930" s="7" t="s">
        <v>111</v>
      </c>
      <c r="K1930" s="7" t="s">
        <v>5160</v>
      </c>
      <c r="L1930" s="10"/>
      <c r="M1930" s="10" t="s">
        <v>7892</v>
      </c>
      <c r="N1930" s="8" t="n">
        <v>0</v>
      </c>
      <c r="O1930" s="8" t="n">
        <v>0</v>
      </c>
      <c r="P1930" s="8" t="n">
        <v>0</v>
      </c>
      <c r="Q1930" s="8" t="n">
        <v>0</v>
      </c>
      <c r="R1930" s="13" t="n">
        <v>0</v>
      </c>
      <c r="S1930" s="13" t="n">
        <v>0</v>
      </c>
      <c r="T1930" s="13"/>
      <c r="U1930" s="11" t="n">
        <f aca="false">O1930*4 + P1930*2 + MAX(0,N1930-O1930-P1930)*1 + Q1930*0.2 + R1930*2 + S1930*1 + IF(T1930="",0,IF(T1930&lt;=10,8,IF(T1930&lt;=50,6,IF(T1930&lt;=100,4,2))))</f>
        <v>0</v>
      </c>
      <c r="V1930" s="7"/>
      <c r="W1930" s="7"/>
      <c r="X1930" s="13"/>
      <c r="Y1930" s="13" t="s">
        <v>7893</v>
      </c>
    </row>
    <row r="1931" customFormat="false" ht="15.75" hidden="false" customHeight="true" outlineLevel="0" collapsed="false">
      <c r="A1931" s="7" t="s">
        <v>7894</v>
      </c>
      <c r="B1931" s="8" t="n">
        <v>2014</v>
      </c>
      <c r="C1931" s="8" t="s">
        <v>176</v>
      </c>
      <c r="D1931" s="8" t="n">
        <v>114</v>
      </c>
      <c r="E1931" s="7" t="s">
        <v>7895</v>
      </c>
      <c r="F1931" s="8" t="n">
        <v>6.5</v>
      </c>
      <c r="G1931" s="8" t="n">
        <v>6</v>
      </c>
      <c r="H1931" s="9" t="n">
        <v>132284</v>
      </c>
      <c r="I1931" s="7" t="s">
        <v>46</v>
      </c>
      <c r="J1931" s="7" t="s">
        <v>112</v>
      </c>
      <c r="K1931" s="7" t="s">
        <v>54</v>
      </c>
      <c r="L1931" s="10" t="s">
        <v>161</v>
      </c>
      <c r="M1931" s="10" t="s">
        <v>7896</v>
      </c>
      <c r="N1931" s="8" t="n">
        <v>0</v>
      </c>
      <c r="O1931" s="8" t="n">
        <v>0</v>
      </c>
      <c r="P1931" s="8" t="n">
        <v>0</v>
      </c>
      <c r="Q1931" s="8" t="n">
        <v>0</v>
      </c>
      <c r="R1931" s="13" t="n">
        <v>0</v>
      </c>
      <c r="S1931" s="13" t="n">
        <v>0</v>
      </c>
      <c r="T1931" s="13"/>
      <c r="U1931" s="11" t="n">
        <f aca="false">O1931*4 + P1931*2 + MAX(0,N1931-O1931-P1931)*1 + Q1931*0.2 + R1931*2 + S1931*1 + IF(T1931="",0,IF(T1931&lt;=10,8,IF(T1931&lt;=50,6,IF(T1931&lt;=100,4,2))))</f>
        <v>0</v>
      </c>
      <c r="V1931" s="7"/>
      <c r="W1931" s="7"/>
      <c r="X1931" s="13"/>
      <c r="Y1931" s="13" t="s">
        <v>7897</v>
      </c>
    </row>
    <row r="1932" customFormat="false" ht="15.75" hidden="false" customHeight="true" outlineLevel="0" collapsed="false">
      <c r="A1932" s="7" t="s">
        <v>7898</v>
      </c>
      <c r="B1932" s="8" t="n">
        <v>2014</v>
      </c>
      <c r="C1932" s="8" t="s">
        <v>176</v>
      </c>
      <c r="D1932" s="8" t="n">
        <v>150</v>
      </c>
      <c r="E1932" s="7" t="s">
        <v>1074</v>
      </c>
      <c r="F1932" s="8" t="n">
        <v>6</v>
      </c>
      <c r="G1932" s="8" t="n">
        <v>5</v>
      </c>
      <c r="H1932" s="9" t="n">
        <v>187807</v>
      </c>
      <c r="I1932" s="7" t="s">
        <v>7432</v>
      </c>
      <c r="J1932" s="7" t="s">
        <v>112</v>
      </c>
      <c r="K1932" s="7" t="s">
        <v>39</v>
      </c>
      <c r="L1932" s="10" t="s">
        <v>552</v>
      </c>
      <c r="M1932" s="10" t="s">
        <v>7899</v>
      </c>
      <c r="N1932" s="8" t="n">
        <v>0</v>
      </c>
      <c r="O1932" s="8" t="n">
        <v>0</v>
      </c>
      <c r="P1932" s="8" t="n">
        <v>0</v>
      </c>
      <c r="Q1932" s="8" t="n">
        <v>0</v>
      </c>
      <c r="R1932" s="13" t="n">
        <v>0</v>
      </c>
      <c r="S1932" s="13" t="n">
        <v>0</v>
      </c>
      <c r="T1932" s="13"/>
      <c r="U1932" s="11" t="n">
        <f aca="false">O1932*4 + P1932*2 + MAX(0,N1932-O1932-P1932)*1 + Q1932*0.2 + R1932*2 + S1932*1 + IF(T1932="",0,IF(T1932&lt;=10,8,IF(T1932&lt;=50,6,IF(T1932&lt;=100,4,2))))</f>
        <v>0</v>
      </c>
      <c r="V1932" s="7"/>
      <c r="W1932" s="7"/>
      <c r="X1932" s="13"/>
      <c r="Y1932" s="13" t="s">
        <v>7900</v>
      </c>
    </row>
    <row r="1933" customFormat="false" ht="15.75" hidden="false" customHeight="true" outlineLevel="0" collapsed="false">
      <c r="A1933" s="7" t="s">
        <v>7901</v>
      </c>
      <c r="B1933" s="8" t="n">
        <v>1997</v>
      </c>
      <c r="C1933" s="8" t="s">
        <v>26</v>
      </c>
      <c r="D1933" s="8" t="n">
        <v>133</v>
      </c>
      <c r="E1933" s="7" t="s">
        <v>1646</v>
      </c>
      <c r="F1933" s="8" t="n">
        <v>8.3</v>
      </c>
      <c r="G1933" s="8" t="n">
        <v>6</v>
      </c>
      <c r="H1933" s="9" t="n">
        <v>488740</v>
      </c>
      <c r="I1933" s="7" t="s">
        <v>124</v>
      </c>
      <c r="J1933" s="7" t="s">
        <v>579</v>
      </c>
      <c r="K1933" s="7" t="s">
        <v>38</v>
      </c>
      <c r="L1933" s="10" t="s">
        <v>238</v>
      </c>
      <c r="M1933" s="7" t="s">
        <v>7902</v>
      </c>
      <c r="N1933" s="8" t="n">
        <v>0</v>
      </c>
      <c r="O1933" s="8" t="n">
        <v>0</v>
      </c>
      <c r="P1933" s="8" t="n">
        <v>0</v>
      </c>
      <c r="Q1933" s="8" t="n">
        <v>0</v>
      </c>
      <c r="R1933" s="13" t="n">
        <v>0</v>
      </c>
      <c r="S1933" s="13" t="n">
        <v>0</v>
      </c>
      <c r="T1933" s="13"/>
      <c r="U1933" s="11" t="n">
        <f aca="false">O1933*4 + P1933*2 + MAX(0,N1933-O1933-P1933)*1 + Q1933*0.2 + R1933*2 + S1933*1 + IF(T1933="",0,IF(T1933&lt;=10,8,IF(T1933&lt;=50,6,IF(T1933&lt;=100,4,2))))</f>
        <v>0</v>
      </c>
      <c r="V1933" s="7"/>
      <c r="W1933" s="7"/>
      <c r="X1933" s="13"/>
      <c r="Y1933" s="13" t="s">
        <v>7903</v>
      </c>
    </row>
    <row r="1934" customFormat="false" ht="15.75" hidden="false" customHeight="true" outlineLevel="0" collapsed="false">
      <c r="A1934" s="7" t="s">
        <v>7904</v>
      </c>
      <c r="B1934" s="8" t="n">
        <v>1994</v>
      </c>
      <c r="C1934" s="8" t="s">
        <v>26</v>
      </c>
      <c r="D1934" s="8" t="n">
        <v>119</v>
      </c>
      <c r="E1934" s="7" t="s">
        <v>1132</v>
      </c>
      <c r="F1934" s="8" t="n">
        <v>7.2</v>
      </c>
      <c r="G1934" s="8" t="n">
        <v>6</v>
      </c>
      <c r="H1934" s="9" t="n">
        <v>269480</v>
      </c>
      <c r="I1934" s="7" t="s">
        <v>46</v>
      </c>
      <c r="J1934" s="7" t="s">
        <v>29</v>
      </c>
      <c r="K1934" s="7" t="s">
        <v>54</v>
      </c>
      <c r="L1934" s="10" t="s">
        <v>7905</v>
      </c>
      <c r="M1934" s="7" t="s">
        <v>7906</v>
      </c>
      <c r="N1934" s="8" t="n">
        <v>0</v>
      </c>
      <c r="O1934" s="8" t="n">
        <v>0</v>
      </c>
      <c r="P1934" s="8" t="n">
        <v>0</v>
      </c>
      <c r="Q1934" s="8" t="n">
        <v>0</v>
      </c>
      <c r="R1934" s="13" t="n">
        <v>0</v>
      </c>
      <c r="S1934" s="13" t="n">
        <v>0</v>
      </c>
      <c r="T1934" s="13"/>
      <c r="U1934" s="11" t="n">
        <f aca="false">O1934*4 + P1934*2 + MAX(0,N1934-O1934-P1934)*1 + Q1934*0.2 + R1934*2 + S1934*1 + IF(T1934="",0,IF(T1934&lt;=10,8,IF(T1934&lt;=50,6,IF(T1934&lt;=100,4,2))))</f>
        <v>0</v>
      </c>
      <c r="V1934" s="7"/>
      <c r="W1934" s="7"/>
      <c r="X1934" s="13"/>
      <c r="Y1934" s="13" t="s">
        <v>7907</v>
      </c>
    </row>
    <row r="1935" customFormat="false" ht="15.75" hidden="false" customHeight="true" outlineLevel="0" collapsed="false">
      <c r="A1935" s="7" t="s">
        <v>7908</v>
      </c>
      <c r="B1935" s="8" t="n">
        <v>2015</v>
      </c>
      <c r="C1935" s="8" t="s">
        <v>176</v>
      </c>
      <c r="D1935" s="8" t="n">
        <v>120</v>
      </c>
      <c r="E1935" s="7" t="s">
        <v>5776</v>
      </c>
      <c r="F1935" s="8" t="n">
        <v>6.8</v>
      </c>
      <c r="G1935" s="8" t="n">
        <v>5</v>
      </c>
      <c r="H1935" s="9" t="n">
        <v>285378</v>
      </c>
      <c r="I1935" s="7" t="s">
        <v>7909</v>
      </c>
      <c r="J1935" s="7" t="s">
        <v>112</v>
      </c>
      <c r="K1935" s="7" t="s">
        <v>54</v>
      </c>
      <c r="L1935" s="10"/>
      <c r="M1935" s="7" t="s">
        <v>7910</v>
      </c>
      <c r="N1935" s="8" t="n">
        <v>0</v>
      </c>
      <c r="O1935" s="8" t="n">
        <v>0</v>
      </c>
      <c r="P1935" s="8" t="n">
        <v>0</v>
      </c>
      <c r="Q1935" s="8" t="n">
        <v>0</v>
      </c>
      <c r="R1935" s="13" t="n">
        <v>0</v>
      </c>
      <c r="S1935" s="13" t="n">
        <v>0</v>
      </c>
      <c r="T1935" s="13"/>
      <c r="U1935" s="11" t="n">
        <f aca="false">O1935*4 + P1935*2 + MAX(0,N1935-O1935-P1935)*1 + Q1935*0.2 + R1935*2 + S1935*1 + IF(T1935="",0,IF(T1935&lt;=10,8,IF(T1935&lt;=50,6,IF(T1935&lt;=100,4,2))))</f>
        <v>0</v>
      </c>
      <c r="V1935" s="7"/>
      <c r="W1935" s="7"/>
      <c r="X1935" s="13"/>
      <c r="Y1935" s="13" t="s">
        <v>7911</v>
      </c>
    </row>
    <row r="1936" customFormat="false" ht="15.75" hidden="false" customHeight="true" outlineLevel="0" collapsed="false">
      <c r="A1936" s="7" t="s">
        <v>7912</v>
      </c>
      <c r="B1936" s="8" t="n">
        <v>1987</v>
      </c>
      <c r="C1936" s="8" t="s">
        <v>109</v>
      </c>
      <c r="D1936" s="8" t="n">
        <v>153</v>
      </c>
      <c r="E1936" s="7" t="s">
        <v>45</v>
      </c>
      <c r="F1936" s="8" t="n">
        <v>7.7</v>
      </c>
      <c r="G1936" s="8" t="n">
        <v>7</v>
      </c>
      <c r="H1936" s="9" t="n">
        <v>144442</v>
      </c>
      <c r="I1936" s="7" t="s">
        <v>46</v>
      </c>
      <c r="J1936" s="7" t="s">
        <v>154</v>
      </c>
      <c r="K1936" s="7" t="s">
        <v>47</v>
      </c>
      <c r="L1936" s="10" t="s">
        <v>7913</v>
      </c>
      <c r="M1936" s="10" t="s">
        <v>7914</v>
      </c>
      <c r="N1936" s="8" t="n">
        <v>0</v>
      </c>
      <c r="O1936" s="8" t="n">
        <v>0</v>
      </c>
      <c r="P1936" s="8" t="n">
        <v>0</v>
      </c>
      <c r="Q1936" s="8" t="n">
        <v>6</v>
      </c>
      <c r="R1936" s="8" t="n">
        <v>0</v>
      </c>
      <c r="S1936" s="8" t="n">
        <v>0</v>
      </c>
      <c r="T1936" s="13"/>
      <c r="U1936" s="11" t="n">
        <f aca="false">O1936*4 + P1936*2 + MAX(0,N1936-O1936-P1936)*1 + Q1936*0.2 + R1936*2 + S1936*1 + IF(T1936="",0,IF(T1936&lt;=10,8,IF(T1936&lt;=50,6,IF(T1936&lt;=100,4,2))))</f>
        <v>1.2</v>
      </c>
      <c r="V1936" s="7"/>
      <c r="W1936" s="7"/>
      <c r="X1936" s="13"/>
      <c r="Y1936" s="13" t="s">
        <v>7915</v>
      </c>
    </row>
    <row r="1937" customFormat="false" ht="15.75" hidden="false" customHeight="true" outlineLevel="0" collapsed="false">
      <c r="A1937" s="7" t="s">
        <v>7916</v>
      </c>
      <c r="B1937" s="8" t="n">
        <v>2011</v>
      </c>
      <c r="C1937" s="8" t="s">
        <v>176</v>
      </c>
      <c r="D1937" s="8" t="n">
        <v>113</v>
      </c>
      <c r="E1937" s="7" t="s">
        <v>7917</v>
      </c>
      <c r="F1937" s="8" t="n">
        <v>5.3</v>
      </c>
      <c r="G1937" s="8" t="n">
        <v>4</v>
      </c>
      <c r="H1937" s="9" t="n">
        <v>629</v>
      </c>
      <c r="I1937" s="7" t="s">
        <v>232</v>
      </c>
      <c r="J1937" s="7" t="s">
        <v>30</v>
      </c>
      <c r="K1937" s="7"/>
      <c r="L1937" s="10" t="s">
        <v>5259</v>
      </c>
      <c r="M1937" s="10" t="s">
        <v>7918</v>
      </c>
      <c r="N1937" s="8" t="n">
        <v>0</v>
      </c>
      <c r="O1937" s="8" t="n">
        <v>0</v>
      </c>
      <c r="P1937" s="8" t="n">
        <v>0</v>
      </c>
      <c r="Q1937" s="8" t="n">
        <v>0</v>
      </c>
      <c r="R1937" s="13" t="n">
        <v>0</v>
      </c>
      <c r="S1937" s="13" t="n">
        <v>0</v>
      </c>
      <c r="T1937" s="13"/>
      <c r="U1937" s="11" t="n">
        <f aca="false">O1937*4 + P1937*2 + MAX(0,N1937-O1937-P1937)*1 + Q1937*0.2 + R1937*2 + S1937*1 + IF(T1937="",0,IF(T1937&lt;=10,8,IF(T1937&lt;=50,6,IF(T1937&lt;=100,4,2))))</f>
        <v>0</v>
      </c>
      <c r="V1937" s="7"/>
      <c r="W1937" s="7"/>
      <c r="X1937" s="13"/>
      <c r="Y1937" s="13" t="s">
        <v>7919</v>
      </c>
    </row>
    <row r="1938" customFormat="false" ht="15.75" hidden="false" customHeight="true" outlineLevel="0" collapsed="false">
      <c r="A1938" s="7" t="s">
        <v>7920</v>
      </c>
      <c r="B1938" s="8" t="n">
        <v>1997</v>
      </c>
      <c r="C1938" s="8" t="s">
        <v>26</v>
      </c>
      <c r="D1938" s="8" t="n">
        <v>91</v>
      </c>
      <c r="E1938" s="7" t="s">
        <v>7921</v>
      </c>
      <c r="F1938" s="8" t="n">
        <v>7.2</v>
      </c>
      <c r="G1938" s="8" t="n">
        <v>6</v>
      </c>
      <c r="H1938" s="9" t="n">
        <v>120572</v>
      </c>
      <c r="I1938" s="7" t="s">
        <v>280</v>
      </c>
      <c r="J1938" s="7" t="s">
        <v>30</v>
      </c>
      <c r="K1938" s="7" t="s">
        <v>47</v>
      </c>
      <c r="L1938" s="10" t="s">
        <v>177</v>
      </c>
      <c r="M1938" s="10" t="s">
        <v>7922</v>
      </c>
      <c r="N1938" s="8" t="n">
        <v>1</v>
      </c>
      <c r="O1938" s="8" t="n">
        <v>0</v>
      </c>
      <c r="P1938" s="8" t="n">
        <v>0</v>
      </c>
      <c r="Q1938" s="8" t="n">
        <v>4</v>
      </c>
      <c r="R1938" s="8" t="n">
        <v>0</v>
      </c>
      <c r="S1938" s="8" t="n">
        <v>0</v>
      </c>
      <c r="T1938" s="13"/>
      <c r="U1938" s="11" t="n">
        <f aca="false">O1938*4 + P1938*2 + MAX(0,N1938-O1938-P1938)*1 + Q1938*0.2 + R1938*2 + S1938*1 + IF(T1938="",0,IF(T1938&lt;=10,8,IF(T1938&lt;=50,6,IF(T1938&lt;=100,4,2))))</f>
        <v>1.8</v>
      </c>
      <c r="V1938" s="7"/>
      <c r="W1938" s="7"/>
      <c r="X1938" s="13"/>
      <c r="Y1938" s="13" t="s">
        <v>7923</v>
      </c>
    </row>
    <row r="1939" customFormat="false" ht="15.75" hidden="false" customHeight="true" outlineLevel="0" collapsed="false">
      <c r="A1939" s="7" t="s">
        <v>7924</v>
      </c>
      <c r="B1939" s="8" t="n">
        <v>1996</v>
      </c>
      <c r="C1939" s="8" t="s">
        <v>26</v>
      </c>
      <c r="D1939" s="8" t="n">
        <v>125</v>
      </c>
      <c r="E1939" s="7" t="s">
        <v>231</v>
      </c>
      <c r="F1939" s="8" t="n">
        <v>7.4</v>
      </c>
      <c r="G1939" s="8" t="n">
        <v>6</v>
      </c>
      <c r="H1939" s="9" t="n">
        <v>47042</v>
      </c>
      <c r="I1939" s="7" t="s">
        <v>232</v>
      </c>
      <c r="J1939" s="7" t="s">
        <v>147</v>
      </c>
      <c r="K1939" s="7" t="s">
        <v>464</v>
      </c>
      <c r="L1939" s="10" t="s">
        <v>7925</v>
      </c>
      <c r="M1939" s="10" t="s">
        <v>7926</v>
      </c>
      <c r="N1939" s="8" t="n">
        <v>0</v>
      </c>
      <c r="O1939" s="8" t="n">
        <v>0</v>
      </c>
      <c r="P1939" s="8" t="n">
        <v>0</v>
      </c>
      <c r="Q1939" s="8" t="n">
        <v>0</v>
      </c>
      <c r="R1939" s="13" t="n">
        <v>0</v>
      </c>
      <c r="S1939" s="13" t="n">
        <v>0</v>
      </c>
      <c r="T1939" s="13"/>
      <c r="U1939" s="11" t="n">
        <f aca="false">O1939*4 + P1939*2 + MAX(0,N1939-O1939-P1939)*1 + Q1939*0.2 + R1939*2 + S1939*1 + IF(T1939="",0,IF(T1939&lt;=10,8,IF(T1939&lt;=50,6,IF(T1939&lt;=100,4,2))))</f>
        <v>0</v>
      </c>
      <c r="V1939" s="7"/>
      <c r="W1939" s="7"/>
      <c r="X1939" s="13"/>
      <c r="Y1939" s="13" t="s">
        <v>7927</v>
      </c>
    </row>
    <row r="1940" customFormat="false" ht="15.75" hidden="false" customHeight="true" outlineLevel="0" collapsed="false">
      <c r="A1940" s="7" t="s">
        <v>7928</v>
      </c>
      <c r="B1940" s="8" t="n">
        <v>2010</v>
      </c>
      <c r="C1940" s="8" t="s">
        <v>176</v>
      </c>
      <c r="D1940" s="8" t="n">
        <v>98</v>
      </c>
      <c r="E1940" s="7" t="s">
        <v>7408</v>
      </c>
      <c r="F1940" s="8" t="n">
        <v>5.5</v>
      </c>
      <c r="G1940" s="8" t="n">
        <v>5</v>
      </c>
      <c r="H1940" s="9" t="n">
        <v>127154</v>
      </c>
      <c r="I1940" s="7" t="s">
        <v>46</v>
      </c>
      <c r="J1940" s="7" t="s">
        <v>29</v>
      </c>
      <c r="K1940" s="7" t="s">
        <v>30</v>
      </c>
      <c r="L1940" s="10"/>
      <c r="M1940" s="10" t="s">
        <v>7929</v>
      </c>
      <c r="N1940" s="8" t="n">
        <v>0</v>
      </c>
      <c r="O1940" s="8" t="n">
        <v>0</v>
      </c>
      <c r="P1940" s="8" t="n">
        <v>0</v>
      </c>
      <c r="Q1940" s="8" t="n">
        <v>0</v>
      </c>
      <c r="R1940" s="13" t="n">
        <v>0</v>
      </c>
      <c r="S1940" s="13" t="n">
        <v>0</v>
      </c>
      <c r="T1940" s="13"/>
      <c r="U1940" s="11" t="n">
        <f aca="false">O1940*4 + P1940*2 + MAX(0,N1940-O1940-P1940)*1 + Q1940*0.2 + R1940*2 + S1940*1 + IF(T1940="",0,IF(T1940&lt;=10,8,IF(T1940&lt;=50,6,IF(T1940&lt;=100,4,2))))</f>
        <v>0</v>
      </c>
      <c r="V1940" s="7"/>
      <c r="W1940" s="7"/>
      <c r="X1940" s="13"/>
      <c r="Y1940" s="13" t="s">
        <v>7930</v>
      </c>
    </row>
    <row r="1941" customFormat="false" ht="15.75" hidden="false" customHeight="true" outlineLevel="0" collapsed="false">
      <c r="A1941" s="7" t="s">
        <v>6862</v>
      </c>
      <c r="B1941" s="8" t="n">
        <v>2016</v>
      </c>
      <c r="C1941" s="8" t="s">
        <v>176</v>
      </c>
      <c r="D1941" s="8" t="n">
        <v>106</v>
      </c>
      <c r="E1941" s="7" t="s">
        <v>5676</v>
      </c>
      <c r="F1941" s="8" t="n">
        <v>7.3</v>
      </c>
      <c r="G1941" s="8" t="n">
        <v>7</v>
      </c>
      <c r="H1941" s="9" t="n">
        <v>307352</v>
      </c>
      <c r="I1941" s="7" t="s">
        <v>359</v>
      </c>
      <c r="J1941" s="7" t="s">
        <v>579</v>
      </c>
      <c r="K1941" s="7" t="s">
        <v>112</v>
      </c>
      <c r="L1941" s="10" t="s">
        <v>177</v>
      </c>
      <c r="M1941" s="10" t="s">
        <v>6863</v>
      </c>
      <c r="N1941" s="8" t="n">
        <v>1</v>
      </c>
      <c r="O1941" s="8" t="n">
        <v>0</v>
      </c>
      <c r="P1941" s="8" t="n">
        <v>0</v>
      </c>
      <c r="Q1941" s="8" t="n">
        <v>1</v>
      </c>
      <c r="R1941" s="8" t="n">
        <v>0</v>
      </c>
      <c r="S1941" s="8" t="n">
        <v>0</v>
      </c>
      <c r="T1941" s="13"/>
      <c r="U1941" s="11" t="n">
        <f aca="false">O1941*4 + P1941*2 + MAX(0,N1941-O1941-P1941)*1 + Q1941*0.2 + R1941*2 + S1941*1 + IF(T1941="",0,IF(T1941&lt;=10,8,IF(T1941&lt;=50,6,IF(T1941&lt;=100,4,2))))</f>
        <v>1.2</v>
      </c>
      <c r="V1941" s="7"/>
      <c r="W1941" s="7"/>
      <c r="X1941" s="13"/>
      <c r="Y1941" s="13" t="s">
        <v>7931</v>
      </c>
    </row>
    <row r="1942" customFormat="false" ht="15.75" hidden="false" customHeight="true" outlineLevel="0" collapsed="false">
      <c r="A1942" s="7" t="s">
        <v>7932</v>
      </c>
      <c r="B1942" s="8" t="n">
        <v>2008</v>
      </c>
      <c r="C1942" s="8" t="s">
        <v>35</v>
      </c>
      <c r="D1942" s="8" t="n">
        <v>87</v>
      </c>
      <c r="E1942" s="7" t="s">
        <v>7933</v>
      </c>
      <c r="F1942" s="8" t="n">
        <v>2.8</v>
      </c>
      <c r="G1942" s="8" t="n">
        <v>2</v>
      </c>
      <c r="H1942" s="9" t="n">
        <v>113538</v>
      </c>
      <c r="I1942" s="7" t="s">
        <v>46</v>
      </c>
      <c r="J1942" s="7" t="s">
        <v>38</v>
      </c>
      <c r="K1942" s="7" t="s">
        <v>30</v>
      </c>
      <c r="L1942" s="10" t="s">
        <v>954</v>
      </c>
      <c r="M1942" s="10" t="s">
        <v>7934</v>
      </c>
      <c r="N1942" s="8" t="n">
        <v>0</v>
      </c>
      <c r="O1942" s="8" t="n">
        <v>0</v>
      </c>
      <c r="P1942" s="8" t="n">
        <v>0</v>
      </c>
      <c r="Q1942" s="8" t="n">
        <v>0</v>
      </c>
      <c r="R1942" s="13" t="n">
        <v>0</v>
      </c>
      <c r="S1942" s="13" t="n">
        <v>0</v>
      </c>
      <c r="T1942" s="13"/>
      <c r="U1942" s="11" t="n">
        <f aca="false">O1942*4 + P1942*2 + MAX(0,N1942-O1942-P1942)*1 + Q1942*0.2 + R1942*2 + S1942*1 + IF(T1942="",0,IF(T1942&lt;=10,8,IF(T1942&lt;=50,6,IF(T1942&lt;=100,4,2))))</f>
        <v>0</v>
      </c>
      <c r="V1942" s="7"/>
      <c r="W1942" s="7"/>
      <c r="X1942" s="13"/>
      <c r="Y1942" s="13" t="s">
        <v>7935</v>
      </c>
    </row>
    <row r="1943" customFormat="false" ht="15.75" hidden="false" customHeight="true" outlineLevel="0" collapsed="false">
      <c r="A1943" s="7" t="s">
        <v>7936</v>
      </c>
      <c r="B1943" s="8" t="n">
        <v>2009</v>
      </c>
      <c r="C1943" s="8" t="s">
        <v>35</v>
      </c>
      <c r="D1943" s="8" t="n">
        <v>102</v>
      </c>
      <c r="E1943" s="7" t="s">
        <v>7937</v>
      </c>
      <c r="F1943" s="8" t="n">
        <v>5.4</v>
      </c>
      <c r="G1943" s="8" t="n">
        <v>2</v>
      </c>
      <c r="H1943" s="9" t="n">
        <v>80630</v>
      </c>
      <c r="I1943" s="7" t="s">
        <v>46</v>
      </c>
      <c r="J1943" s="7" t="s">
        <v>112</v>
      </c>
      <c r="K1943" s="7" t="s">
        <v>39</v>
      </c>
      <c r="L1943" s="10"/>
      <c r="M1943" s="10" t="s">
        <v>7938</v>
      </c>
      <c r="N1943" s="8" t="n">
        <v>0</v>
      </c>
      <c r="O1943" s="8" t="n">
        <v>0</v>
      </c>
      <c r="P1943" s="8" t="n">
        <v>0</v>
      </c>
      <c r="Q1943" s="8" t="n">
        <v>0</v>
      </c>
      <c r="R1943" s="13" t="n">
        <v>0</v>
      </c>
      <c r="S1943" s="13" t="n">
        <v>0</v>
      </c>
      <c r="T1943" s="13"/>
      <c r="U1943" s="11" t="n">
        <f aca="false">O1943*4 + P1943*2 + MAX(0,N1943-O1943-P1943)*1 + Q1943*0.2 + R1943*2 + S1943*1 + IF(T1943="",0,IF(T1943&lt;=10,8,IF(T1943&lt;=50,6,IF(T1943&lt;=100,4,2))))</f>
        <v>0</v>
      </c>
      <c r="V1943" s="7"/>
      <c r="W1943" s="7"/>
      <c r="X1943" s="13"/>
      <c r="Y1943" s="13" t="s">
        <v>7939</v>
      </c>
    </row>
    <row r="1944" customFormat="false" ht="15.75" hidden="false" customHeight="true" outlineLevel="0" collapsed="false">
      <c r="A1944" s="7" t="s">
        <v>7940</v>
      </c>
      <c r="B1944" s="8" t="n">
        <v>1985</v>
      </c>
      <c r="C1944" s="8" t="s">
        <v>109</v>
      </c>
      <c r="D1944" s="8" t="n">
        <v>116</v>
      </c>
      <c r="E1944" s="7" t="s">
        <v>327</v>
      </c>
      <c r="F1944" s="8" t="n">
        <v>8.5</v>
      </c>
      <c r="G1944" s="8" t="n">
        <v>7</v>
      </c>
      <c r="H1944" s="9" t="n">
        <v>1468956</v>
      </c>
      <c r="I1944" s="7" t="s">
        <v>46</v>
      </c>
      <c r="J1944" s="7" t="s">
        <v>111</v>
      </c>
      <c r="K1944" s="7" t="s">
        <v>39</v>
      </c>
      <c r="L1944" s="10" t="s">
        <v>5259</v>
      </c>
      <c r="M1944" s="7" t="s">
        <v>7941</v>
      </c>
      <c r="N1944" s="8" t="n">
        <v>1</v>
      </c>
      <c r="O1944" s="8" t="n">
        <v>0</v>
      </c>
      <c r="P1944" s="8" t="n">
        <v>0</v>
      </c>
      <c r="Q1944" s="8" t="n">
        <v>4</v>
      </c>
      <c r="R1944" s="8" t="n">
        <v>0</v>
      </c>
      <c r="S1944" s="8" t="n">
        <v>0</v>
      </c>
      <c r="T1944" s="8"/>
      <c r="U1944" s="11" t="n">
        <f aca="false">O1944*4 + P1944*2 + MAX(0,N1944-O1944-P1944)*1 + Q1944*0.2 + R1944*2 + S1944*1 + IF(T1944="",0,IF(T1944&lt;=10,8,IF(T1944&lt;=50,6,IF(T1944&lt;=100,4,2))))</f>
        <v>1.8</v>
      </c>
      <c r="V1944" s="7"/>
      <c r="W1944" s="7"/>
      <c r="X1944" s="13"/>
      <c r="Y1944" s="13" t="s">
        <v>7942</v>
      </c>
    </row>
    <row r="1945" customFormat="false" ht="15.75" hidden="false" customHeight="true" outlineLevel="0" collapsed="false">
      <c r="A1945" s="7" t="s">
        <v>7943</v>
      </c>
      <c r="B1945" s="8" t="n">
        <v>1981</v>
      </c>
      <c r="C1945" s="8" t="s">
        <v>109</v>
      </c>
      <c r="D1945" s="8" t="n">
        <v>115</v>
      </c>
      <c r="E1945" s="7" t="s">
        <v>45</v>
      </c>
      <c r="F1945" s="8" t="n">
        <v>8.4</v>
      </c>
      <c r="G1945" s="8" t="n">
        <v>7</v>
      </c>
      <c r="H1945" s="9" t="n">
        <v>1117748</v>
      </c>
      <c r="I1945" s="7" t="s">
        <v>46</v>
      </c>
      <c r="J1945" s="7" t="s">
        <v>39</v>
      </c>
      <c r="K1945" s="7"/>
      <c r="L1945" s="10" t="s">
        <v>192</v>
      </c>
      <c r="M1945" s="7" t="s">
        <v>7944</v>
      </c>
      <c r="N1945" s="8" t="n">
        <v>5</v>
      </c>
      <c r="O1945" s="8" t="n">
        <v>0</v>
      </c>
      <c r="P1945" s="8" t="n">
        <v>0</v>
      </c>
      <c r="Q1945" s="8" t="n">
        <v>9</v>
      </c>
      <c r="R1945" s="8" t="n">
        <v>0</v>
      </c>
      <c r="S1945" s="8" t="n">
        <v>0</v>
      </c>
      <c r="T1945" s="8" t="n">
        <v>211</v>
      </c>
      <c r="U1945" s="11" t="n">
        <f aca="false">O1945*4 + P1945*2 + MAX(0,N1945-O1945-P1945)*1 + Q1945*0.2 + R1945*2 + S1945*1 + IF(T1945="",0,IF(T1945&lt;=10,8,IF(T1945&lt;=50,6,IF(T1945&lt;=100,4,2))))</f>
        <v>8.8</v>
      </c>
      <c r="V1945" s="10" t="s">
        <v>7945</v>
      </c>
      <c r="W1945" s="7"/>
      <c r="X1945" s="13"/>
      <c r="Y1945" s="13" t="s">
        <v>7946</v>
      </c>
    </row>
    <row r="1946" customFormat="false" ht="15.75" hidden="false" customHeight="true" outlineLevel="0" collapsed="false">
      <c r="A1946" s="7" t="s">
        <v>7947</v>
      </c>
      <c r="B1946" s="8" t="n">
        <v>1973</v>
      </c>
      <c r="C1946" s="8" t="s">
        <v>61</v>
      </c>
      <c r="D1946" s="8" t="n">
        <v>89</v>
      </c>
      <c r="E1946" s="7" t="s">
        <v>388</v>
      </c>
      <c r="F1946" s="8" t="n">
        <v>7.1</v>
      </c>
      <c r="G1946" s="8" t="n">
        <v>7</v>
      </c>
      <c r="H1946" s="9" t="n">
        <v>45591</v>
      </c>
      <c r="I1946" s="7" t="s">
        <v>46</v>
      </c>
      <c r="J1946" s="7" t="s">
        <v>111</v>
      </c>
      <c r="K1946" s="7" t="s">
        <v>30</v>
      </c>
      <c r="L1946" s="10"/>
      <c r="M1946" s="10" t="s">
        <v>7948</v>
      </c>
      <c r="N1946" s="8" t="n">
        <v>0</v>
      </c>
      <c r="O1946" s="8" t="n">
        <v>0</v>
      </c>
      <c r="P1946" s="8" t="n">
        <v>0</v>
      </c>
      <c r="Q1946" s="8" t="n">
        <v>0</v>
      </c>
      <c r="R1946" s="13" t="n">
        <v>0</v>
      </c>
      <c r="S1946" s="13" t="n">
        <v>0</v>
      </c>
      <c r="T1946" s="13"/>
      <c r="U1946" s="11" t="n">
        <f aca="false">O1946*4 + P1946*2 + MAX(0,N1946-O1946-P1946)*1 + Q1946*0.2 + R1946*2 + S1946*1 + IF(T1946="",0,IF(T1946&lt;=10,8,IF(T1946&lt;=50,6,IF(T1946&lt;=100,4,2))))</f>
        <v>0</v>
      </c>
      <c r="V1946" s="7"/>
      <c r="W1946" s="7"/>
      <c r="X1946" s="13"/>
      <c r="Y1946" s="13" t="s">
        <v>7949</v>
      </c>
    </row>
    <row r="1947" customFormat="false" ht="15.75" hidden="false" customHeight="true" outlineLevel="0" collapsed="false">
      <c r="A1947" s="7" t="s">
        <v>7950</v>
      </c>
      <c r="B1947" s="8" t="n">
        <v>1992</v>
      </c>
      <c r="C1947" s="8" t="s">
        <v>26</v>
      </c>
      <c r="D1947" s="8" t="n">
        <v>110</v>
      </c>
      <c r="E1947" s="7" t="s">
        <v>6034</v>
      </c>
      <c r="F1947" s="8" t="n">
        <v>6.7</v>
      </c>
      <c r="G1947" s="8" t="n">
        <v>7</v>
      </c>
      <c r="H1947" s="9" t="n">
        <v>56511</v>
      </c>
      <c r="I1947" s="7" t="s">
        <v>46</v>
      </c>
      <c r="J1947" s="7" t="s">
        <v>131</v>
      </c>
      <c r="K1947" s="7" t="s">
        <v>47</v>
      </c>
      <c r="L1947" s="10" t="s">
        <v>177</v>
      </c>
      <c r="M1947" s="10" t="s">
        <v>7951</v>
      </c>
      <c r="N1947" s="8" t="n">
        <v>0</v>
      </c>
      <c r="O1947" s="8" t="n">
        <v>0</v>
      </c>
      <c r="P1947" s="8" t="n">
        <v>0</v>
      </c>
      <c r="Q1947" s="8" t="n">
        <v>0</v>
      </c>
      <c r="R1947" s="13" t="n">
        <v>0</v>
      </c>
      <c r="S1947" s="13" t="n">
        <v>0</v>
      </c>
      <c r="T1947" s="13"/>
      <c r="U1947" s="11" t="n">
        <f aca="false">O1947*4 + P1947*2 + MAX(0,N1947-O1947-P1947)*1 + Q1947*0.2 + R1947*2 + S1947*1 + IF(T1947="",0,IF(T1947&lt;=10,8,IF(T1947&lt;=50,6,IF(T1947&lt;=100,4,2))))</f>
        <v>0</v>
      </c>
      <c r="V1947" s="7"/>
      <c r="W1947" s="7"/>
      <c r="X1947" s="13"/>
      <c r="Y1947" s="13" t="s">
        <v>7952</v>
      </c>
    </row>
    <row r="1948" customFormat="false" ht="15.75" hidden="false" customHeight="true" outlineLevel="0" collapsed="false">
      <c r="A1948" s="7" t="s">
        <v>7953</v>
      </c>
      <c r="B1948" s="8" t="n">
        <v>1997</v>
      </c>
      <c r="C1948" s="8" t="s">
        <v>26</v>
      </c>
      <c r="D1948" s="8" t="n">
        <v>89</v>
      </c>
      <c r="E1948" s="7" t="s">
        <v>1530</v>
      </c>
      <c r="F1948" s="8" t="n">
        <v>7</v>
      </c>
      <c r="G1948" s="8" t="n">
        <v>7</v>
      </c>
      <c r="H1948" s="9" t="n">
        <v>275430</v>
      </c>
      <c r="I1948" s="7" t="s">
        <v>2011</v>
      </c>
      <c r="J1948" s="7" t="s">
        <v>39</v>
      </c>
      <c r="K1948" s="7" t="s">
        <v>30</v>
      </c>
      <c r="L1948" s="10" t="s">
        <v>210</v>
      </c>
      <c r="M1948" s="7" t="s">
        <v>7954</v>
      </c>
      <c r="N1948" s="8" t="n">
        <v>0</v>
      </c>
      <c r="O1948" s="8" t="n">
        <v>0</v>
      </c>
      <c r="P1948" s="8" t="n">
        <v>0</v>
      </c>
      <c r="Q1948" s="8" t="n">
        <v>0</v>
      </c>
      <c r="R1948" s="13" t="n">
        <v>0</v>
      </c>
      <c r="S1948" s="13" t="n">
        <v>0</v>
      </c>
      <c r="T1948" s="13"/>
      <c r="U1948" s="11" t="n">
        <f aca="false">O1948*4 + P1948*2 + MAX(0,N1948-O1948-P1948)*1 + Q1948*0.2 + R1948*2 + S1948*1 + IF(T1948="",0,IF(T1948&lt;=10,8,IF(T1948&lt;=50,6,IF(T1948&lt;=100,4,2))))</f>
        <v>0</v>
      </c>
      <c r="V1948" s="7"/>
      <c r="W1948" s="7"/>
      <c r="X1948" s="13"/>
      <c r="Y1948" s="13" t="s">
        <v>7955</v>
      </c>
    </row>
    <row r="1949" customFormat="false" ht="15.75" hidden="false" customHeight="true" outlineLevel="0" collapsed="false">
      <c r="A1949" s="7" t="s">
        <v>7956</v>
      </c>
      <c r="B1949" s="8" t="n">
        <v>2016</v>
      </c>
      <c r="C1949" s="8" t="s">
        <v>176</v>
      </c>
      <c r="D1949" s="8" t="n">
        <v>123</v>
      </c>
      <c r="E1949" s="7" t="s">
        <v>2470</v>
      </c>
      <c r="F1949" s="8" t="n">
        <v>6.7</v>
      </c>
      <c r="G1949" s="8" t="n">
        <v>8</v>
      </c>
      <c r="H1949" s="9" t="n">
        <v>297411</v>
      </c>
      <c r="I1949" s="7" t="s">
        <v>7957</v>
      </c>
      <c r="J1949" s="7" t="s">
        <v>38</v>
      </c>
      <c r="K1949" s="7" t="s">
        <v>112</v>
      </c>
      <c r="L1949" s="10" t="s">
        <v>238</v>
      </c>
      <c r="M1949" s="7" t="s">
        <v>7958</v>
      </c>
      <c r="N1949" s="8" t="n">
        <v>0</v>
      </c>
      <c r="O1949" s="8" t="n">
        <v>0</v>
      </c>
      <c r="P1949" s="8" t="n">
        <v>0</v>
      </c>
      <c r="Q1949" s="8" t="n">
        <v>0</v>
      </c>
      <c r="R1949" s="13" t="n">
        <v>0</v>
      </c>
      <c r="S1949" s="13" t="n">
        <v>0</v>
      </c>
      <c r="T1949" s="13"/>
      <c r="U1949" s="11" t="n">
        <f aca="false">O1949*4 + P1949*2 + MAX(0,N1949-O1949-P1949)*1 + Q1949*0.2 + R1949*2 + S1949*1 + IF(T1949="",0,IF(T1949&lt;=10,8,IF(T1949&lt;=50,6,IF(T1949&lt;=100,4,2))))</f>
        <v>0</v>
      </c>
      <c r="V1949" s="7"/>
      <c r="W1949" s="7"/>
      <c r="X1949" s="13"/>
      <c r="Y1949" s="13" t="s">
        <v>7959</v>
      </c>
    </row>
    <row r="1950" customFormat="false" ht="15.75" hidden="false" customHeight="true" outlineLevel="0" collapsed="false">
      <c r="A1950" s="7" t="s">
        <v>7960</v>
      </c>
      <c r="B1950" s="8" t="n">
        <v>2011</v>
      </c>
      <c r="C1950" s="8" t="s">
        <v>176</v>
      </c>
      <c r="D1950" s="8" t="n">
        <v>102</v>
      </c>
      <c r="E1950" s="7" t="s">
        <v>5479</v>
      </c>
      <c r="F1950" s="8" t="n">
        <v>5.5</v>
      </c>
      <c r="G1950" s="8" t="n">
        <v>4</v>
      </c>
      <c r="H1950" s="9" t="n">
        <v>108215</v>
      </c>
      <c r="I1950" s="7" t="s">
        <v>46</v>
      </c>
      <c r="J1950" s="7" t="s">
        <v>112</v>
      </c>
      <c r="K1950" s="7" t="s">
        <v>39</v>
      </c>
      <c r="L1950" s="10"/>
      <c r="M1950" s="10" t="s">
        <v>7961</v>
      </c>
      <c r="N1950" s="8" t="n">
        <v>0</v>
      </c>
      <c r="O1950" s="8" t="n">
        <v>0</v>
      </c>
      <c r="P1950" s="8" t="n">
        <v>0</v>
      </c>
      <c r="Q1950" s="8" t="n">
        <v>0</v>
      </c>
      <c r="R1950" s="13" t="n">
        <v>0</v>
      </c>
      <c r="S1950" s="13" t="n">
        <v>0</v>
      </c>
      <c r="T1950" s="13"/>
      <c r="U1950" s="11" t="n">
        <f aca="false">O1950*4 + P1950*2 + MAX(0,N1950-O1950-P1950)*1 + Q1950*0.2 + R1950*2 + S1950*1 + IF(T1950="",0,IF(T1950&lt;=10,8,IF(T1950&lt;=50,6,IF(T1950&lt;=100,4,2))))</f>
        <v>0</v>
      </c>
      <c r="V1950" s="7"/>
      <c r="W1950" s="7"/>
      <c r="X1950" s="13"/>
      <c r="Y1950" s="13" t="s">
        <v>7962</v>
      </c>
    </row>
    <row r="1951" customFormat="false" ht="15.75" hidden="false" customHeight="true" outlineLevel="0" collapsed="false">
      <c r="A1951" s="7" t="s">
        <v>7963</v>
      </c>
      <c r="B1951" s="8" t="n">
        <v>2004</v>
      </c>
      <c r="C1951" s="8" t="s">
        <v>35</v>
      </c>
      <c r="D1951" s="8" t="n">
        <v>87</v>
      </c>
      <c r="E1951" s="7" t="s">
        <v>7964</v>
      </c>
      <c r="F1951" s="8" t="n">
        <v>5.9</v>
      </c>
      <c r="G1951" s="8" t="n">
        <v>6</v>
      </c>
      <c r="H1951" s="9" t="n">
        <v>445</v>
      </c>
      <c r="I1951" s="7" t="s">
        <v>232</v>
      </c>
      <c r="J1951" s="7" t="s">
        <v>29</v>
      </c>
      <c r="K1951" s="7" t="s">
        <v>30</v>
      </c>
      <c r="L1951" s="10" t="s">
        <v>447</v>
      </c>
      <c r="M1951" s="10" t="s">
        <v>7965</v>
      </c>
      <c r="N1951" s="8" t="n">
        <v>0</v>
      </c>
      <c r="O1951" s="8" t="n">
        <v>0</v>
      </c>
      <c r="P1951" s="8" t="n">
        <v>0</v>
      </c>
      <c r="Q1951" s="8" t="n">
        <v>0</v>
      </c>
      <c r="R1951" s="13" t="n">
        <v>0</v>
      </c>
      <c r="S1951" s="13" t="n">
        <v>0</v>
      </c>
      <c r="T1951" s="13"/>
      <c r="U1951" s="11" t="n">
        <f aca="false">O1951*4 + P1951*2 + MAX(0,N1951-O1951-P1951)*1 + Q1951*0.2 + R1951*2 + S1951*1 + IF(T1951="",0,IF(T1951&lt;=10,8,IF(T1951&lt;=50,6,IF(T1951&lt;=100,4,2))))</f>
        <v>0</v>
      </c>
      <c r="V1951" s="7"/>
      <c r="W1951" s="7"/>
      <c r="X1951" s="13"/>
      <c r="Y1951" s="13" t="s">
        <v>7966</v>
      </c>
    </row>
    <row r="1952" customFormat="false" ht="15.75" hidden="false" customHeight="true" outlineLevel="0" collapsed="false">
      <c r="A1952" s="7" t="s">
        <v>7967</v>
      </c>
      <c r="B1952" s="8" t="n">
        <v>2002</v>
      </c>
      <c r="C1952" s="8" t="s">
        <v>35</v>
      </c>
      <c r="D1952" s="8" t="n">
        <v>94</v>
      </c>
      <c r="E1952" s="7" t="s">
        <v>7968</v>
      </c>
      <c r="F1952" s="8" t="n">
        <v>5.5</v>
      </c>
      <c r="G1952" s="8" t="n">
        <v>3</v>
      </c>
      <c r="H1952" s="9" t="n">
        <v>72128</v>
      </c>
      <c r="I1952" s="7" t="s">
        <v>1111</v>
      </c>
      <c r="J1952" s="7" t="s">
        <v>147</v>
      </c>
      <c r="K1952" s="7" t="s">
        <v>125</v>
      </c>
      <c r="L1952" s="10"/>
      <c r="M1952" s="10" t="s">
        <v>7969</v>
      </c>
      <c r="N1952" s="8" t="n">
        <v>0</v>
      </c>
      <c r="O1952" s="8" t="n">
        <v>0</v>
      </c>
      <c r="P1952" s="8" t="n">
        <v>0</v>
      </c>
      <c r="Q1952" s="8" t="n">
        <v>0</v>
      </c>
      <c r="R1952" s="13" t="n">
        <v>0</v>
      </c>
      <c r="S1952" s="13" t="n">
        <v>0</v>
      </c>
      <c r="T1952" s="13"/>
      <c r="U1952" s="11" t="n">
        <f aca="false">O1952*4 + P1952*2 + MAX(0,N1952-O1952-P1952)*1 + Q1952*0.2 + R1952*2 + S1952*1 + IF(T1952="",0,IF(T1952&lt;=10,8,IF(T1952&lt;=50,6,IF(T1952&lt;=100,4,2))))</f>
        <v>0</v>
      </c>
      <c r="V1952" s="7"/>
      <c r="W1952" s="7"/>
      <c r="X1952" s="13"/>
      <c r="Y1952" s="13" t="s">
        <v>7970</v>
      </c>
    </row>
    <row r="1953" customFormat="false" ht="15.75" hidden="false" customHeight="true" outlineLevel="0" collapsed="false">
      <c r="A1953" s="7" t="s">
        <v>4850</v>
      </c>
      <c r="B1953" s="8" t="n">
        <v>2011</v>
      </c>
      <c r="C1953" s="8" t="s">
        <v>176</v>
      </c>
      <c r="D1953" s="8" t="n">
        <v>101</v>
      </c>
      <c r="E1953" s="7" t="s">
        <v>3217</v>
      </c>
      <c r="F1953" s="8" t="n">
        <v>7.6</v>
      </c>
      <c r="G1953" s="8" t="n">
        <v>6</v>
      </c>
      <c r="H1953" s="9" t="n">
        <v>232533</v>
      </c>
      <c r="I1953" s="7" t="s">
        <v>7971</v>
      </c>
      <c r="J1953" s="7" t="s">
        <v>131</v>
      </c>
      <c r="K1953" s="7" t="s">
        <v>54</v>
      </c>
      <c r="L1953" s="10" t="s">
        <v>210</v>
      </c>
      <c r="M1953" s="10" t="s">
        <v>4851</v>
      </c>
      <c r="N1953" s="8" t="n">
        <v>0</v>
      </c>
      <c r="O1953" s="8" t="n">
        <v>0</v>
      </c>
      <c r="P1953" s="8" t="n">
        <v>0</v>
      </c>
      <c r="Q1953" s="8" t="n">
        <v>0</v>
      </c>
      <c r="R1953" s="13" t="n">
        <v>0</v>
      </c>
      <c r="S1953" s="13" t="n">
        <v>0</v>
      </c>
      <c r="T1953" s="13"/>
      <c r="U1953" s="11" t="n">
        <f aca="false">O1953*4 + P1953*2 + MAX(0,N1953-O1953-P1953)*1 + Q1953*0.2 + R1953*2 + S1953*1 + IF(T1953="",0,IF(T1953&lt;=10,8,IF(T1953&lt;=50,6,IF(T1953&lt;=100,4,2))))</f>
        <v>0</v>
      </c>
      <c r="V1953" s="7"/>
      <c r="W1953" s="7"/>
      <c r="X1953" s="13"/>
      <c r="Y1953" s="13" t="s">
        <v>4853</v>
      </c>
    </row>
    <row r="1954" customFormat="false" ht="15.75" hidden="false" customHeight="true" outlineLevel="0" collapsed="false">
      <c r="A1954" s="7" t="s">
        <v>7972</v>
      </c>
      <c r="B1954" s="8" t="n">
        <v>2015</v>
      </c>
      <c r="C1954" s="8" t="s">
        <v>176</v>
      </c>
      <c r="D1954" s="8" t="n">
        <v>133</v>
      </c>
      <c r="E1954" s="7" t="s">
        <v>5507</v>
      </c>
      <c r="F1954" s="8" t="n">
        <v>7.6</v>
      </c>
      <c r="G1954" s="8" t="n">
        <v>8</v>
      </c>
      <c r="H1954" s="9" t="n">
        <v>338544</v>
      </c>
      <c r="I1954" s="7" t="s">
        <v>46</v>
      </c>
      <c r="J1954" s="7" t="s">
        <v>112</v>
      </c>
      <c r="K1954" s="7" t="s">
        <v>75</v>
      </c>
      <c r="L1954" s="10" t="s">
        <v>113</v>
      </c>
      <c r="M1954" s="7" t="s">
        <v>7973</v>
      </c>
      <c r="N1954" s="8" t="n">
        <v>0</v>
      </c>
      <c r="O1954" s="8" t="n">
        <v>0</v>
      </c>
      <c r="P1954" s="8" t="n">
        <v>0</v>
      </c>
      <c r="Q1954" s="8" t="n">
        <v>1</v>
      </c>
      <c r="R1954" s="8" t="n">
        <v>0</v>
      </c>
      <c r="S1954" s="8" t="n">
        <v>0</v>
      </c>
      <c r="T1954" s="13"/>
      <c r="U1954" s="11" t="n">
        <f aca="false">O1954*4 + P1954*2 + MAX(0,N1954-O1954-P1954)*1 + Q1954*0.2 + R1954*2 + S1954*1 + IF(T1954="",0,IF(T1954&lt;=10,8,IF(T1954&lt;=50,6,IF(T1954&lt;=100,4,2))))</f>
        <v>0.2</v>
      </c>
      <c r="V1954" s="7"/>
      <c r="W1954" s="7"/>
      <c r="X1954" s="13"/>
      <c r="Y1954" s="13" t="s">
        <v>7974</v>
      </c>
    </row>
    <row r="1955" customFormat="false" ht="15.75" hidden="false" customHeight="true" outlineLevel="0" collapsed="false">
      <c r="A1955" s="7" t="s">
        <v>7975</v>
      </c>
      <c r="B1955" s="8" t="n">
        <v>2005</v>
      </c>
      <c r="C1955" s="8" t="s">
        <v>35</v>
      </c>
      <c r="D1955" s="8" t="n">
        <v>103</v>
      </c>
      <c r="E1955" s="7" t="s">
        <v>5534</v>
      </c>
      <c r="F1955" s="8" t="n">
        <v>7.4</v>
      </c>
      <c r="G1955" s="8" t="n">
        <v>6</v>
      </c>
      <c r="H1955" s="9" t="n">
        <v>250826</v>
      </c>
      <c r="I1955" s="7" t="s">
        <v>46</v>
      </c>
      <c r="J1955" s="7" t="s">
        <v>30</v>
      </c>
      <c r="K1955" s="7" t="s">
        <v>54</v>
      </c>
      <c r="L1955" s="10" t="s">
        <v>210</v>
      </c>
      <c r="M1955" s="10" t="s">
        <v>7976</v>
      </c>
      <c r="N1955" s="8" t="n">
        <v>0</v>
      </c>
      <c r="O1955" s="8" t="n">
        <v>0</v>
      </c>
      <c r="P1955" s="8" t="n">
        <v>0</v>
      </c>
      <c r="Q1955" s="8" t="n">
        <v>0</v>
      </c>
      <c r="R1955" s="13" t="n">
        <v>0</v>
      </c>
      <c r="S1955" s="13" t="n">
        <v>0</v>
      </c>
      <c r="T1955" s="13"/>
      <c r="U1955" s="11" t="n">
        <f aca="false">O1955*4 + P1955*2 + MAX(0,N1955-O1955-P1955)*1 + Q1955*0.2 + R1955*2 + S1955*1 + IF(T1955="",0,IF(T1955&lt;=10,8,IF(T1955&lt;=50,6,IF(T1955&lt;=100,4,2))))</f>
        <v>0</v>
      </c>
      <c r="V1955" s="7"/>
      <c r="W1955" s="7"/>
      <c r="X1955" s="13"/>
      <c r="Y1955" s="13" t="s">
        <v>7977</v>
      </c>
    </row>
    <row r="1956" customFormat="false" ht="15.75" hidden="false" customHeight="true" outlineLevel="0" collapsed="false">
      <c r="A1956" s="7" t="s">
        <v>7978</v>
      </c>
      <c r="B1956" s="8" t="n">
        <v>1998</v>
      </c>
      <c r="C1956" s="8" t="s">
        <v>26</v>
      </c>
      <c r="D1956" s="8" t="n">
        <v>97</v>
      </c>
      <c r="E1956" s="7" t="s">
        <v>7457</v>
      </c>
      <c r="F1956" s="8" t="n">
        <v>6.8</v>
      </c>
      <c r="G1956" s="8" t="n">
        <v>9</v>
      </c>
      <c r="H1956" s="9" t="n">
        <v>15411</v>
      </c>
      <c r="I1956" s="7" t="s">
        <v>232</v>
      </c>
      <c r="J1956" s="7" t="s">
        <v>30</v>
      </c>
      <c r="K1956" s="7" t="s">
        <v>54</v>
      </c>
      <c r="L1956" s="10" t="s">
        <v>7458</v>
      </c>
      <c r="M1956" s="10" t="s">
        <v>7979</v>
      </c>
      <c r="N1956" s="8" t="n">
        <v>0</v>
      </c>
      <c r="O1956" s="8" t="n">
        <v>0</v>
      </c>
      <c r="P1956" s="8" t="n">
        <v>0</v>
      </c>
      <c r="Q1956" s="8" t="n">
        <v>0</v>
      </c>
      <c r="R1956" s="13" t="n">
        <v>0</v>
      </c>
      <c r="S1956" s="13" t="n">
        <v>0</v>
      </c>
      <c r="T1956" s="13"/>
      <c r="U1956" s="11" t="n">
        <f aca="false">O1956*4 + P1956*2 + MAX(0,N1956-O1956-P1956)*1 + Q1956*0.2 + R1956*2 + S1956*1 + IF(T1956="",0,IF(T1956&lt;=10,8,IF(T1956&lt;=50,6,IF(T1956&lt;=100,4,2))))</f>
        <v>0</v>
      </c>
      <c r="V1956" s="7"/>
      <c r="W1956" s="7"/>
      <c r="X1956" s="13"/>
      <c r="Y1956" s="13" t="s">
        <v>7980</v>
      </c>
    </row>
    <row r="1957" customFormat="false" ht="15.75" hidden="false" customHeight="true" outlineLevel="0" collapsed="false">
      <c r="A1957" s="7" t="s">
        <v>7981</v>
      </c>
      <c r="B1957" s="8" t="n">
        <v>2026</v>
      </c>
      <c r="C1957" s="8" t="s">
        <v>378</v>
      </c>
      <c r="D1957" s="8" t="n">
        <v>102</v>
      </c>
      <c r="E1957" s="7" t="s">
        <v>7457</v>
      </c>
      <c r="F1957" s="8" t="n">
        <v>5.6</v>
      </c>
      <c r="G1957" s="8" t="n">
        <v>7</v>
      </c>
      <c r="H1957" s="9" t="n">
        <v>4036</v>
      </c>
      <c r="I1957" s="7"/>
      <c r="J1957" s="7" t="s">
        <v>30</v>
      </c>
      <c r="K1957" s="7"/>
      <c r="L1957" s="10" t="s">
        <v>238</v>
      </c>
      <c r="M1957" s="10" t="s">
        <v>7982</v>
      </c>
      <c r="N1957" s="8" t="n">
        <v>0</v>
      </c>
      <c r="O1957" s="8" t="n">
        <v>0</v>
      </c>
      <c r="P1957" s="8" t="n">
        <v>0</v>
      </c>
      <c r="Q1957" s="8" t="n">
        <v>0</v>
      </c>
      <c r="R1957" s="13" t="n">
        <v>0</v>
      </c>
      <c r="S1957" s="13" t="n">
        <v>0</v>
      </c>
      <c r="T1957" s="13"/>
      <c r="U1957" s="11" t="n">
        <f aca="false">O1957*4 + P1957*2 + MAX(0,N1957-O1957-P1957)*1 + Q1957*0.2 + R1957*2 + S1957*1 + IF(T1957="",0,IF(T1957&lt;=10,8,IF(T1957&lt;=50,6,IF(T1957&lt;=100,4,2))))</f>
        <v>0</v>
      </c>
      <c r="V1957" s="7"/>
      <c r="W1957" s="7"/>
      <c r="X1957" s="13"/>
      <c r="Y1957" s="13" t="s">
        <v>7983</v>
      </c>
    </row>
    <row r="1958" customFormat="false" ht="15.75" hidden="false" customHeight="true" outlineLevel="0" collapsed="false">
      <c r="A1958" s="7" t="s">
        <v>7984</v>
      </c>
      <c r="B1958" s="8" t="n">
        <v>1976</v>
      </c>
      <c r="C1958" s="8" t="s">
        <v>61</v>
      </c>
      <c r="D1958" s="8" t="n">
        <v>120</v>
      </c>
      <c r="E1958" s="7" t="s">
        <v>5377</v>
      </c>
      <c r="F1958" s="8" t="n">
        <v>8.1</v>
      </c>
      <c r="G1958" s="8" t="n">
        <v>8</v>
      </c>
      <c r="H1958" s="9" t="n">
        <v>698330</v>
      </c>
      <c r="I1958" s="7" t="s">
        <v>46</v>
      </c>
      <c r="J1958" s="7" t="s">
        <v>47</v>
      </c>
      <c r="K1958" s="7" t="s">
        <v>75</v>
      </c>
      <c r="L1958" s="10" t="s">
        <v>1936</v>
      </c>
      <c r="M1958" s="7" t="s">
        <v>7985</v>
      </c>
      <c r="N1958" s="8" t="n">
        <v>3</v>
      </c>
      <c r="O1958" s="8" t="n">
        <v>1</v>
      </c>
      <c r="P1958" s="8" t="n">
        <v>1</v>
      </c>
      <c r="Q1958" s="8" t="n">
        <v>10</v>
      </c>
      <c r="R1958" s="8" t="n">
        <v>0</v>
      </c>
      <c r="S1958" s="8" t="n">
        <v>1</v>
      </c>
      <c r="T1958" s="13"/>
      <c r="U1958" s="11" t="n">
        <f aca="false">O1958*4 + P1958*2 + MAX(0,N1958-O1958-P1958)*1 + Q1958*0.2 + R1958*2 + S1958*1 + IF(T1958="",0,IF(T1958&lt;=10,8,IF(T1958&lt;=50,6,IF(T1958&lt;=100,4,2))))</f>
        <v>10</v>
      </c>
      <c r="V1958" s="7"/>
      <c r="W1958" s="7"/>
      <c r="X1958" s="13"/>
      <c r="Y1958" s="13" t="s">
        <v>7986</v>
      </c>
    </row>
    <row r="1959" customFormat="false" ht="15.75" hidden="false" customHeight="true" outlineLevel="0" collapsed="false">
      <c r="A1959" s="7" t="s">
        <v>7987</v>
      </c>
      <c r="B1959" s="8" t="n">
        <v>2004</v>
      </c>
      <c r="C1959" s="8" t="s">
        <v>35</v>
      </c>
      <c r="D1959" s="8" t="n">
        <v>104</v>
      </c>
      <c r="E1959" s="7" t="s">
        <v>7988</v>
      </c>
      <c r="F1959" s="8" t="n">
        <v>5.7</v>
      </c>
      <c r="G1959" s="8" t="n">
        <v>7</v>
      </c>
      <c r="H1959" s="9" t="n">
        <v>32971</v>
      </c>
      <c r="I1959" s="7" t="s">
        <v>46</v>
      </c>
      <c r="J1959" s="7" t="s">
        <v>147</v>
      </c>
      <c r="K1959" s="7" t="s">
        <v>125</v>
      </c>
      <c r="L1959" s="10"/>
      <c r="M1959" s="10" t="s">
        <v>7989</v>
      </c>
      <c r="N1959" s="8" t="n">
        <v>0</v>
      </c>
      <c r="O1959" s="8" t="n">
        <v>0</v>
      </c>
      <c r="P1959" s="8" t="n">
        <v>0</v>
      </c>
      <c r="Q1959" s="8" t="n">
        <v>0</v>
      </c>
      <c r="R1959" s="13" t="n">
        <v>0</v>
      </c>
      <c r="S1959" s="13" t="n">
        <v>0</v>
      </c>
      <c r="T1959" s="13"/>
      <c r="U1959" s="11" t="n">
        <f aca="false">O1959*4 + P1959*2 + MAX(0,N1959-O1959-P1959)*1 + Q1959*0.2 + R1959*2 + S1959*1 + IF(T1959="",0,IF(T1959&lt;=10,8,IF(T1959&lt;=50,6,IF(T1959&lt;=100,4,2))))</f>
        <v>0</v>
      </c>
      <c r="V1959" s="7"/>
      <c r="W1959" s="7"/>
      <c r="X1959" s="13"/>
      <c r="Y1959" s="13" t="s">
        <v>7990</v>
      </c>
    </row>
    <row r="1960" customFormat="false" ht="15.75" hidden="false" customHeight="true" outlineLevel="0" collapsed="false">
      <c r="A1960" s="7" t="s">
        <v>7991</v>
      </c>
      <c r="B1960" s="8" t="n">
        <v>2016</v>
      </c>
      <c r="C1960" s="8" t="s">
        <v>176</v>
      </c>
      <c r="D1960" s="8" t="n">
        <v>95</v>
      </c>
      <c r="E1960" s="7" t="s">
        <v>7992</v>
      </c>
      <c r="F1960" s="8" t="n">
        <v>7.1</v>
      </c>
      <c r="G1960" s="8" t="n">
        <v>5</v>
      </c>
      <c r="H1960" s="9" t="n">
        <v>222247</v>
      </c>
      <c r="I1960" s="7" t="s">
        <v>2276</v>
      </c>
      <c r="J1960" s="7" t="s">
        <v>579</v>
      </c>
      <c r="K1960" s="7" t="s">
        <v>2711</v>
      </c>
      <c r="L1960" s="10" t="s">
        <v>5259</v>
      </c>
      <c r="M1960" s="10" t="s">
        <v>7993</v>
      </c>
      <c r="N1960" s="8" t="n">
        <v>0</v>
      </c>
      <c r="O1960" s="8" t="n">
        <v>0</v>
      </c>
      <c r="P1960" s="8" t="n">
        <v>0</v>
      </c>
      <c r="Q1960" s="8" t="n">
        <v>0</v>
      </c>
      <c r="R1960" s="13" t="n">
        <v>0</v>
      </c>
      <c r="S1960" s="13" t="n">
        <v>0</v>
      </c>
      <c r="T1960" s="13"/>
      <c r="U1960" s="11" t="n">
        <f aca="false">O1960*4 + P1960*2 + MAX(0,N1960-O1960-P1960)*1 + Q1960*0.2 + R1960*2 + S1960*1 + IF(T1960="",0,IF(T1960&lt;=10,8,IF(T1960&lt;=50,6,IF(T1960&lt;=100,4,2))))</f>
        <v>0</v>
      </c>
      <c r="V1960" s="7"/>
      <c r="W1960" s="7"/>
      <c r="X1960" s="13"/>
      <c r="Y1960" s="13" t="s">
        <v>7994</v>
      </c>
    </row>
    <row r="1961" customFormat="false" ht="15.75" hidden="false" customHeight="true" outlineLevel="0" collapsed="false">
      <c r="A1961" s="7" t="s">
        <v>7995</v>
      </c>
      <c r="B1961" s="8" t="n">
        <v>2015</v>
      </c>
      <c r="C1961" s="8" t="s">
        <v>176</v>
      </c>
      <c r="D1961" s="8" t="n">
        <v>106</v>
      </c>
      <c r="E1961" s="7" t="s">
        <v>231</v>
      </c>
      <c r="F1961" s="8" t="n">
        <v>5.6</v>
      </c>
      <c r="G1961" s="8" t="n">
        <v>6</v>
      </c>
      <c r="H1961" s="9" t="n">
        <v>45287</v>
      </c>
      <c r="I1961" s="7" t="s">
        <v>7996</v>
      </c>
      <c r="J1961" s="7" t="s">
        <v>47</v>
      </c>
      <c r="K1961" s="7" t="s">
        <v>54</v>
      </c>
      <c r="L1961" s="10"/>
      <c r="M1961" s="10" t="s">
        <v>7997</v>
      </c>
      <c r="N1961" s="8" t="n">
        <v>0</v>
      </c>
      <c r="O1961" s="8" t="n">
        <v>0</v>
      </c>
      <c r="P1961" s="8" t="n">
        <v>0</v>
      </c>
      <c r="Q1961" s="8" t="n">
        <v>0</v>
      </c>
      <c r="R1961" s="13" t="n">
        <v>0</v>
      </c>
      <c r="S1961" s="13" t="n">
        <v>0</v>
      </c>
      <c r="T1961" s="13"/>
      <c r="U1961" s="11" t="n">
        <f aca="false">O1961*4 + P1961*2 + MAX(0,N1961-O1961-P1961)*1 + Q1961*0.2 + R1961*2 + S1961*1 + IF(T1961="",0,IF(T1961&lt;=10,8,IF(T1961&lt;=50,6,IF(T1961&lt;=100,4,2))))</f>
        <v>0</v>
      </c>
      <c r="V1961" s="7"/>
      <c r="W1961" s="7"/>
      <c r="X1961" s="13"/>
      <c r="Y1961" s="13" t="s">
        <v>7998</v>
      </c>
    </row>
    <row r="1962" customFormat="false" ht="15.75" hidden="false" customHeight="true" outlineLevel="0" collapsed="false">
      <c r="A1962" s="7" t="s">
        <v>7999</v>
      </c>
      <c r="B1962" s="8" t="n">
        <v>2006</v>
      </c>
      <c r="C1962" s="8" t="s">
        <v>35</v>
      </c>
      <c r="D1962" s="8" t="n">
        <v>151</v>
      </c>
      <c r="E1962" s="7" t="s">
        <v>2032</v>
      </c>
      <c r="F1962" s="8" t="n">
        <v>7.4</v>
      </c>
      <c r="G1962" s="8" t="n">
        <v>8</v>
      </c>
      <c r="H1962" s="9" t="n">
        <v>833959</v>
      </c>
      <c r="I1962" s="7" t="s">
        <v>46</v>
      </c>
      <c r="J1962" s="7" t="s">
        <v>38</v>
      </c>
      <c r="K1962" s="7" t="s">
        <v>112</v>
      </c>
      <c r="L1962" s="10" t="s">
        <v>177</v>
      </c>
      <c r="M1962" s="7" t="s">
        <v>8000</v>
      </c>
      <c r="N1962" s="8" t="n">
        <v>1</v>
      </c>
      <c r="O1962" s="8" t="n">
        <v>0</v>
      </c>
      <c r="P1962" s="8" t="n">
        <v>0</v>
      </c>
      <c r="Q1962" s="8" t="n">
        <v>4</v>
      </c>
      <c r="R1962" s="8" t="n">
        <v>0</v>
      </c>
      <c r="S1962" s="8" t="n">
        <v>0</v>
      </c>
      <c r="T1962" s="13"/>
      <c r="U1962" s="11" t="n">
        <f aca="false">O1962*4 + P1962*2 + MAX(0,N1962-O1962-P1962)*1 + Q1962*0.2 + R1962*2 + S1962*1 + IF(T1962="",0,IF(T1962&lt;=10,8,IF(T1962&lt;=50,6,IF(T1962&lt;=100,4,2))))</f>
        <v>1.8</v>
      </c>
      <c r="V1962" s="7"/>
      <c r="W1962" s="7"/>
      <c r="X1962" s="13"/>
      <c r="Y1962" s="13" t="s">
        <v>8001</v>
      </c>
    </row>
    <row r="1963" customFormat="false" ht="15.75" hidden="false" customHeight="true" outlineLevel="0" collapsed="false">
      <c r="A1963" s="7" t="s">
        <v>8002</v>
      </c>
      <c r="B1963" s="8" t="n">
        <v>2014</v>
      </c>
      <c r="C1963" s="8" t="s">
        <v>176</v>
      </c>
      <c r="D1963" s="8" t="n">
        <v>112</v>
      </c>
      <c r="E1963" s="7" t="s">
        <v>5239</v>
      </c>
      <c r="F1963" s="8" t="n">
        <v>7</v>
      </c>
      <c r="G1963" s="8" t="n">
        <v>5</v>
      </c>
      <c r="H1963" s="9" t="n">
        <v>444381</v>
      </c>
      <c r="I1963" s="7" t="s">
        <v>46</v>
      </c>
      <c r="J1963" s="7" t="s">
        <v>112</v>
      </c>
      <c r="K1963" s="7" t="s">
        <v>54</v>
      </c>
      <c r="L1963" s="10" t="s">
        <v>187</v>
      </c>
      <c r="M1963" s="7" t="s">
        <v>8003</v>
      </c>
      <c r="N1963" s="8" t="n">
        <v>0</v>
      </c>
      <c r="O1963" s="8" t="n">
        <v>0</v>
      </c>
      <c r="P1963" s="8" t="n">
        <v>0</v>
      </c>
      <c r="Q1963" s="8" t="n">
        <v>0</v>
      </c>
      <c r="R1963" s="13" t="n">
        <v>0</v>
      </c>
      <c r="S1963" s="13" t="n">
        <v>0</v>
      </c>
      <c r="T1963" s="13"/>
      <c r="U1963" s="11" t="n">
        <f aca="false">O1963*4 + P1963*2 + MAX(0,N1963-O1963-P1963)*1 + Q1963*0.2 + R1963*2 + S1963*1 + IF(T1963="",0,IF(T1963&lt;=10,8,IF(T1963&lt;=50,6,IF(T1963&lt;=100,4,2))))</f>
        <v>0</v>
      </c>
      <c r="V1963" s="7"/>
      <c r="W1963" s="7"/>
      <c r="X1963" s="13"/>
      <c r="Y1963" s="13" t="s">
        <v>8004</v>
      </c>
    </row>
    <row r="1964" customFormat="false" ht="15.75" hidden="false" customHeight="true" outlineLevel="0" collapsed="false">
      <c r="A1964" s="7" t="s">
        <v>8005</v>
      </c>
      <c r="B1964" s="8" t="n">
        <v>2016</v>
      </c>
      <c r="C1964" s="8" t="s">
        <v>176</v>
      </c>
      <c r="D1964" s="8" t="n">
        <v>123</v>
      </c>
      <c r="E1964" s="7" t="s">
        <v>2266</v>
      </c>
      <c r="F1964" s="8" t="n">
        <v>6.6</v>
      </c>
      <c r="G1964" s="8" t="n">
        <v>6</v>
      </c>
      <c r="H1964" s="9" t="n">
        <v>259391</v>
      </c>
      <c r="I1964" s="7" t="s">
        <v>7375</v>
      </c>
      <c r="J1964" s="7" t="s">
        <v>131</v>
      </c>
      <c r="K1964" s="7" t="s">
        <v>112</v>
      </c>
      <c r="L1964" s="10" t="s">
        <v>210</v>
      </c>
      <c r="M1964" s="7" t="s">
        <v>8006</v>
      </c>
      <c r="N1964" s="8" t="n">
        <v>0</v>
      </c>
      <c r="O1964" s="8" t="n">
        <v>0</v>
      </c>
      <c r="P1964" s="8" t="n">
        <v>0</v>
      </c>
      <c r="Q1964" s="8" t="n">
        <v>0</v>
      </c>
      <c r="R1964" s="13" t="n">
        <v>0</v>
      </c>
      <c r="S1964" s="13" t="n">
        <v>0</v>
      </c>
      <c r="T1964" s="13"/>
      <c r="U1964" s="11" t="n">
        <f aca="false">O1964*4 + P1964*2 + MAX(0,N1964-O1964-P1964)*1 + Q1964*0.2 + R1964*2 + S1964*1 + IF(T1964="",0,IF(T1964&lt;=10,8,IF(T1964&lt;=50,6,IF(T1964&lt;=100,4,2))))</f>
        <v>0</v>
      </c>
      <c r="V1964" s="7"/>
      <c r="W1964" s="7"/>
      <c r="X1964" s="13"/>
      <c r="Y1964" s="13" t="s">
        <v>8007</v>
      </c>
    </row>
    <row r="1965" customFormat="false" ht="15.75" hidden="false" customHeight="true" outlineLevel="0" collapsed="false">
      <c r="A1965" s="7" t="s">
        <v>8008</v>
      </c>
      <c r="B1965" s="8" t="n">
        <v>2012</v>
      </c>
      <c r="C1965" s="8" t="s">
        <v>176</v>
      </c>
      <c r="D1965" s="8" t="n">
        <v>135</v>
      </c>
      <c r="E1965" s="7" t="s">
        <v>8009</v>
      </c>
      <c r="F1965" s="8" t="n">
        <v>6.6</v>
      </c>
      <c r="G1965" s="8" t="n">
        <v>5</v>
      </c>
      <c r="H1965" s="9" t="n">
        <v>329698</v>
      </c>
      <c r="I1965" s="7" t="s">
        <v>46</v>
      </c>
      <c r="J1965" s="7" t="s">
        <v>131</v>
      </c>
      <c r="K1965" s="7" t="s">
        <v>112</v>
      </c>
      <c r="L1965" s="10" t="s">
        <v>507</v>
      </c>
      <c r="M1965" s="7" t="s">
        <v>8010</v>
      </c>
      <c r="N1965" s="8" t="n">
        <v>0</v>
      </c>
      <c r="O1965" s="8" t="n">
        <v>0</v>
      </c>
      <c r="P1965" s="8" t="n">
        <v>0</v>
      </c>
      <c r="Q1965" s="8" t="n">
        <v>0</v>
      </c>
      <c r="R1965" s="13" t="n">
        <v>0</v>
      </c>
      <c r="S1965" s="13" t="n">
        <v>0</v>
      </c>
      <c r="T1965" s="13"/>
      <c r="U1965" s="11" t="n">
        <f aca="false">O1965*4 + P1965*2 + MAX(0,N1965-O1965-P1965)*1 + Q1965*0.2 + R1965*2 + S1965*1 + IF(T1965="",0,IF(T1965&lt;=10,8,IF(T1965&lt;=50,6,IF(T1965&lt;=100,4,2))))</f>
        <v>0</v>
      </c>
      <c r="V1965" s="7"/>
      <c r="W1965" s="7"/>
      <c r="X1965" s="13"/>
      <c r="Y1965" s="13" t="s">
        <v>8011</v>
      </c>
    </row>
    <row r="1966" customFormat="false" ht="15.75" hidden="false" customHeight="true" outlineLevel="0" collapsed="false">
      <c r="A1966" s="7" t="s">
        <v>8012</v>
      </c>
      <c r="B1966" s="8" t="n">
        <v>2011</v>
      </c>
      <c r="C1966" s="8" t="s">
        <v>176</v>
      </c>
      <c r="D1966" s="8" t="n">
        <v>109</v>
      </c>
      <c r="E1966" s="7" t="s">
        <v>6068</v>
      </c>
      <c r="F1966" s="8" t="n">
        <v>7</v>
      </c>
      <c r="G1966" s="8" t="n">
        <v>5</v>
      </c>
      <c r="H1966" s="9" t="n">
        <v>65571</v>
      </c>
      <c r="I1966" s="7" t="s">
        <v>3104</v>
      </c>
      <c r="J1966" s="7" t="s">
        <v>131</v>
      </c>
      <c r="K1966" s="7" t="s">
        <v>48</v>
      </c>
      <c r="L1966" s="10"/>
      <c r="M1966" s="10" t="s">
        <v>8013</v>
      </c>
      <c r="N1966" s="8" t="n">
        <v>0</v>
      </c>
      <c r="O1966" s="8" t="n">
        <v>0</v>
      </c>
      <c r="P1966" s="8" t="n">
        <v>0</v>
      </c>
      <c r="Q1966" s="8" t="n">
        <v>0</v>
      </c>
      <c r="R1966" s="13" t="n">
        <v>0</v>
      </c>
      <c r="S1966" s="13" t="n">
        <v>0</v>
      </c>
      <c r="T1966" s="13"/>
      <c r="U1966" s="11" t="n">
        <f aca="false">O1966*4 + P1966*2 + MAX(0,N1966-O1966-P1966)*1 + Q1966*0.2 + R1966*2 + S1966*1 + IF(T1966="",0,IF(T1966&lt;=10,8,IF(T1966&lt;=50,6,IF(T1966&lt;=100,4,2))))</f>
        <v>0</v>
      </c>
      <c r="V1966" s="7"/>
      <c r="W1966" s="7"/>
      <c r="X1966" s="13"/>
      <c r="Y1966" s="13" t="s">
        <v>8014</v>
      </c>
    </row>
    <row r="1967" customFormat="false" ht="15.75" hidden="false" customHeight="true" outlineLevel="0" collapsed="false">
      <c r="A1967" s="7" t="s">
        <v>8015</v>
      </c>
      <c r="B1967" s="8" t="n">
        <v>2016</v>
      </c>
      <c r="C1967" s="8" t="s">
        <v>176</v>
      </c>
      <c r="D1967" s="8" t="n">
        <v>110</v>
      </c>
      <c r="E1967" s="7" t="s">
        <v>2351</v>
      </c>
      <c r="F1967" s="8" t="n">
        <v>6.2</v>
      </c>
      <c r="G1967" s="8" t="n">
        <v>6</v>
      </c>
      <c r="H1967" s="9" t="n">
        <v>199040</v>
      </c>
      <c r="I1967" s="7" t="s">
        <v>6644</v>
      </c>
      <c r="J1967" s="7" t="s">
        <v>112</v>
      </c>
      <c r="K1967" s="7" t="s">
        <v>39</v>
      </c>
      <c r="L1967" s="10" t="s">
        <v>636</v>
      </c>
      <c r="M1967" s="10" t="s">
        <v>8016</v>
      </c>
      <c r="N1967" s="8" t="n">
        <v>0</v>
      </c>
      <c r="O1967" s="8" t="n">
        <v>0</v>
      </c>
      <c r="P1967" s="8" t="n">
        <v>0</v>
      </c>
      <c r="Q1967" s="8" t="n">
        <v>0</v>
      </c>
      <c r="R1967" s="13" t="n">
        <v>0</v>
      </c>
      <c r="S1967" s="13" t="n">
        <v>0</v>
      </c>
      <c r="T1967" s="13"/>
      <c r="U1967" s="11" t="n">
        <f aca="false">O1967*4 + P1967*2 + MAX(0,N1967-O1967-P1967)*1 + Q1967*0.2 + R1967*2 + S1967*1 + IF(T1967="",0,IF(T1967&lt;=10,8,IF(T1967&lt;=50,6,IF(T1967&lt;=100,4,2))))</f>
        <v>0</v>
      </c>
      <c r="V1967" s="7"/>
      <c r="W1967" s="7"/>
      <c r="X1967" s="13"/>
      <c r="Y1967" s="13" t="s">
        <v>8017</v>
      </c>
    </row>
    <row r="1968" customFormat="false" ht="15.75" hidden="false" customHeight="true" outlineLevel="0" collapsed="false">
      <c r="A1968" s="7" t="s">
        <v>8018</v>
      </c>
      <c r="B1968" s="8" t="n">
        <v>2016</v>
      </c>
      <c r="C1968" s="8" t="s">
        <v>176</v>
      </c>
      <c r="D1968" s="8" t="n">
        <v>112</v>
      </c>
      <c r="E1968" s="7" t="s">
        <v>8019</v>
      </c>
      <c r="F1968" s="8" t="n">
        <v>5.2</v>
      </c>
      <c r="G1968" s="8" t="n">
        <v>3</v>
      </c>
      <c r="H1968" s="9" t="n">
        <v>127317</v>
      </c>
      <c r="I1968" s="7" t="s">
        <v>46</v>
      </c>
      <c r="J1968" s="7" t="s">
        <v>111</v>
      </c>
      <c r="K1968" s="7" t="s">
        <v>112</v>
      </c>
      <c r="L1968" s="10"/>
      <c r="M1968" s="10" t="s">
        <v>8020</v>
      </c>
      <c r="N1968" s="8" t="n">
        <v>0</v>
      </c>
      <c r="O1968" s="8" t="n">
        <v>0</v>
      </c>
      <c r="P1968" s="8" t="n">
        <v>0</v>
      </c>
      <c r="Q1968" s="8" t="n">
        <v>0</v>
      </c>
      <c r="R1968" s="13" t="n">
        <v>0</v>
      </c>
      <c r="S1968" s="13" t="n">
        <v>0</v>
      </c>
      <c r="T1968" s="13"/>
      <c r="U1968" s="11" t="n">
        <f aca="false">O1968*4 + P1968*2 + MAX(0,N1968-O1968-P1968)*1 + Q1968*0.2 + R1968*2 + S1968*1 + IF(T1968="",0,IF(T1968&lt;=10,8,IF(T1968&lt;=50,6,IF(T1968&lt;=100,4,2))))</f>
        <v>0</v>
      </c>
      <c r="V1968" s="7"/>
      <c r="W1968" s="7"/>
      <c r="X1968" s="13"/>
      <c r="Y1968" s="13" t="s">
        <v>8021</v>
      </c>
    </row>
    <row r="1969" customFormat="false" ht="15.75" hidden="false" customHeight="true" outlineLevel="0" collapsed="false">
      <c r="A1969" s="7" t="s">
        <v>8022</v>
      </c>
      <c r="B1969" s="8" t="n">
        <v>2008</v>
      </c>
      <c r="C1969" s="8" t="s">
        <v>35</v>
      </c>
      <c r="D1969" s="8" t="n">
        <v>96</v>
      </c>
      <c r="E1969" s="7" t="s">
        <v>388</v>
      </c>
      <c r="F1969" s="8" t="n">
        <v>7.1</v>
      </c>
      <c r="G1969" s="8" t="n">
        <v>7</v>
      </c>
      <c r="H1969" s="9" t="n">
        <v>281985</v>
      </c>
      <c r="I1969" s="7" t="s">
        <v>2451</v>
      </c>
      <c r="J1969" s="7" t="s">
        <v>29</v>
      </c>
      <c r="K1969" s="7" t="s">
        <v>30</v>
      </c>
      <c r="L1969" s="10" t="s">
        <v>5259</v>
      </c>
      <c r="M1969" s="7" t="s">
        <v>8023</v>
      </c>
      <c r="N1969" s="8" t="n">
        <v>1</v>
      </c>
      <c r="O1969" s="8" t="n">
        <v>0</v>
      </c>
      <c r="P1969" s="8" t="n">
        <v>0</v>
      </c>
      <c r="Q1969" s="8" t="n">
        <v>1</v>
      </c>
      <c r="R1969" s="8" t="n">
        <v>0</v>
      </c>
      <c r="S1969" s="8" t="n">
        <v>1</v>
      </c>
      <c r="T1969" s="13"/>
      <c r="U1969" s="11" t="n">
        <f aca="false">O1969*4 + P1969*2 + MAX(0,N1969-O1969-P1969)*1 + Q1969*0.2 + R1969*2 + S1969*1 + IF(T1969="",0,IF(T1969&lt;=10,8,IF(T1969&lt;=50,6,IF(T1969&lt;=100,4,2))))</f>
        <v>2.2</v>
      </c>
      <c r="V1969" s="7"/>
      <c r="W1969" s="7"/>
      <c r="X1969" s="13"/>
      <c r="Y1969" s="13" t="s">
        <v>8024</v>
      </c>
    </row>
    <row r="1970" customFormat="false" ht="15.75" hidden="false" customHeight="true" outlineLevel="0" collapsed="false">
      <c r="A1970" s="7" t="s">
        <v>8025</v>
      </c>
      <c r="B1970" s="8" t="n">
        <v>2007</v>
      </c>
      <c r="C1970" s="8" t="s">
        <v>35</v>
      </c>
      <c r="D1970" s="8" t="n">
        <v>127</v>
      </c>
      <c r="E1970" s="7" t="s">
        <v>53</v>
      </c>
      <c r="F1970" s="8" t="n">
        <v>7</v>
      </c>
      <c r="G1970" s="8" t="n">
        <v>7</v>
      </c>
      <c r="H1970" s="9" t="n">
        <v>336098</v>
      </c>
      <c r="I1970" s="7" t="s">
        <v>46</v>
      </c>
      <c r="J1970" s="7" t="s">
        <v>131</v>
      </c>
      <c r="K1970" s="7" t="s">
        <v>8026</v>
      </c>
      <c r="L1970" s="10" t="s">
        <v>133</v>
      </c>
      <c r="M1970" s="7" t="s">
        <v>8027</v>
      </c>
      <c r="N1970" s="8" t="n">
        <v>0</v>
      </c>
      <c r="O1970" s="8" t="n">
        <v>0</v>
      </c>
      <c r="P1970" s="8" t="n">
        <v>0</v>
      </c>
      <c r="Q1970" s="8" t="n">
        <v>0</v>
      </c>
      <c r="R1970" s="13" t="n">
        <v>0</v>
      </c>
      <c r="S1970" s="13" t="n">
        <v>0</v>
      </c>
      <c r="T1970" s="13"/>
      <c r="U1970" s="11" t="n">
        <f aca="false">O1970*4 + P1970*2 + MAX(0,N1970-O1970-P1970)*1 + Q1970*0.2 + R1970*2 + S1970*1 + IF(T1970="",0,IF(T1970&lt;=10,8,IF(T1970&lt;=50,6,IF(T1970&lt;=100,4,2))))</f>
        <v>0</v>
      </c>
      <c r="V1970" s="7"/>
      <c r="W1970" s="7"/>
      <c r="X1970" s="13"/>
      <c r="Y1970" s="13" t="s">
        <v>8028</v>
      </c>
    </row>
    <row r="1971" customFormat="false" ht="15.75" hidden="false" customHeight="true" outlineLevel="0" collapsed="false">
      <c r="A1971" s="7" t="s">
        <v>8029</v>
      </c>
      <c r="B1971" s="8" t="n">
        <v>2014</v>
      </c>
      <c r="C1971" s="8" t="s">
        <v>176</v>
      </c>
      <c r="D1971" s="8" t="n">
        <v>118</v>
      </c>
      <c r="E1971" s="7" t="s">
        <v>5306</v>
      </c>
      <c r="F1971" s="8" t="n">
        <v>6.2</v>
      </c>
      <c r="G1971" s="8" t="n">
        <v>6</v>
      </c>
      <c r="H1971" s="9" t="n">
        <v>91592</v>
      </c>
      <c r="I1971" s="7" t="s">
        <v>46</v>
      </c>
      <c r="J1971" s="7" t="s">
        <v>147</v>
      </c>
      <c r="K1971" s="7" t="s">
        <v>54</v>
      </c>
      <c r="L1971" s="10"/>
      <c r="M1971" s="10" t="s">
        <v>8030</v>
      </c>
      <c r="N1971" s="8" t="n">
        <v>0</v>
      </c>
      <c r="O1971" s="8" t="n">
        <v>0</v>
      </c>
      <c r="P1971" s="8" t="n">
        <v>0</v>
      </c>
      <c r="Q1971" s="8" t="n">
        <v>0</v>
      </c>
      <c r="R1971" s="13" t="n">
        <v>0</v>
      </c>
      <c r="S1971" s="13" t="n">
        <v>0</v>
      </c>
      <c r="T1971" s="13"/>
      <c r="U1971" s="11" t="n">
        <f aca="false">O1971*4 + P1971*2 + MAX(0,N1971-O1971-P1971)*1 + Q1971*0.2 + R1971*2 + S1971*1 + IF(T1971="",0,IF(T1971&lt;=10,8,IF(T1971&lt;=50,6,IF(T1971&lt;=100,4,2))))</f>
        <v>0</v>
      </c>
      <c r="V1971" s="7"/>
      <c r="W1971" s="7"/>
      <c r="X1971" s="13"/>
      <c r="Y1971" s="13" t="s">
        <v>8031</v>
      </c>
    </row>
    <row r="1972" customFormat="false" ht="15.75" hidden="false" customHeight="true" outlineLevel="0" collapsed="false">
      <c r="A1972" s="7" t="s">
        <v>8032</v>
      </c>
      <c r="B1972" s="8" t="n">
        <v>1995</v>
      </c>
      <c r="C1972" s="8" t="s">
        <v>26</v>
      </c>
      <c r="D1972" s="8" t="n">
        <v>99</v>
      </c>
      <c r="E1972" s="7" t="s">
        <v>6983</v>
      </c>
      <c r="F1972" s="8" t="n">
        <v>7.3</v>
      </c>
      <c r="G1972" s="8" t="n">
        <v>7</v>
      </c>
      <c r="H1972" s="9" t="n">
        <v>25033</v>
      </c>
      <c r="I1972" s="7" t="s">
        <v>8033</v>
      </c>
      <c r="J1972" s="7" t="s">
        <v>112</v>
      </c>
      <c r="K1972" s="7" t="s">
        <v>54</v>
      </c>
      <c r="L1972" s="10" t="s">
        <v>8034</v>
      </c>
      <c r="M1972" s="10" t="s">
        <v>8035</v>
      </c>
      <c r="N1972" s="8" t="n">
        <v>0</v>
      </c>
      <c r="O1972" s="8" t="n">
        <v>0</v>
      </c>
      <c r="P1972" s="8" t="n">
        <v>0</v>
      </c>
      <c r="Q1972" s="8" t="n">
        <v>0</v>
      </c>
      <c r="R1972" s="13" t="n">
        <v>0</v>
      </c>
      <c r="S1972" s="13" t="n">
        <v>0</v>
      </c>
      <c r="T1972" s="13"/>
      <c r="U1972" s="11" t="n">
        <f aca="false">O1972*4 + P1972*2 + MAX(0,N1972-O1972-P1972)*1 + Q1972*0.2 + R1972*2 + S1972*1 + IF(T1972="",0,IF(T1972&lt;=10,8,IF(T1972&lt;=50,6,IF(T1972&lt;=100,4,2))))</f>
        <v>0</v>
      </c>
      <c r="V1972" s="7"/>
      <c r="W1972" s="7"/>
      <c r="X1972" s="13"/>
      <c r="Y1972" s="13" t="s">
        <v>8036</v>
      </c>
    </row>
    <row r="1973" customFormat="false" ht="15.75" hidden="false" customHeight="true" outlineLevel="0" collapsed="false">
      <c r="A1973" s="7" t="s">
        <v>8037</v>
      </c>
      <c r="B1973" s="8" t="n">
        <v>2016</v>
      </c>
      <c r="C1973" s="8" t="s">
        <v>176</v>
      </c>
      <c r="D1973" s="8" t="n">
        <v>101</v>
      </c>
      <c r="E1973" s="7" t="s">
        <v>5588</v>
      </c>
      <c r="F1973" s="8" t="n">
        <v>4.7</v>
      </c>
      <c r="G1973" s="8" t="n">
        <v>3</v>
      </c>
      <c r="H1973" s="9" t="n">
        <v>82343</v>
      </c>
      <c r="I1973" s="7" t="s">
        <v>46</v>
      </c>
      <c r="J1973" s="7" t="s">
        <v>112</v>
      </c>
      <c r="K1973" s="7" t="s">
        <v>39</v>
      </c>
      <c r="L1973" s="10" t="s">
        <v>192</v>
      </c>
      <c r="M1973" s="10" t="s">
        <v>8038</v>
      </c>
      <c r="N1973" s="8" t="n">
        <v>0</v>
      </c>
      <c r="O1973" s="8" t="n">
        <v>0</v>
      </c>
      <c r="P1973" s="8" t="n">
        <v>0</v>
      </c>
      <c r="Q1973" s="8" t="n">
        <v>0</v>
      </c>
      <c r="R1973" s="13" t="n">
        <v>0</v>
      </c>
      <c r="S1973" s="13" t="n">
        <v>0</v>
      </c>
      <c r="T1973" s="13"/>
      <c r="U1973" s="11" t="n">
        <f aca="false">O1973*4 + P1973*2 + MAX(0,N1973-O1973-P1973)*1 + Q1973*0.2 + R1973*2 + S1973*1 + IF(T1973="",0,IF(T1973&lt;=10,8,IF(T1973&lt;=50,6,IF(T1973&lt;=100,4,2))))</f>
        <v>0</v>
      </c>
      <c r="V1973" s="7"/>
      <c r="W1973" s="7"/>
      <c r="X1973" s="13"/>
      <c r="Y1973" s="13" t="s">
        <v>8039</v>
      </c>
    </row>
    <row r="1974" customFormat="false" ht="15.75" hidden="false" customHeight="true" outlineLevel="0" collapsed="false">
      <c r="A1974" s="7" t="s">
        <v>8040</v>
      </c>
      <c r="B1974" s="8" t="n">
        <v>1974</v>
      </c>
      <c r="C1974" s="8" t="s">
        <v>61</v>
      </c>
      <c r="D1974" s="8" t="n">
        <v>106</v>
      </c>
      <c r="E1974" s="7" t="s">
        <v>8041</v>
      </c>
      <c r="F1974" s="8" t="n">
        <v>8</v>
      </c>
      <c r="G1974" s="8" t="n">
        <v>7</v>
      </c>
      <c r="H1974" s="9" t="n">
        <v>181267</v>
      </c>
      <c r="I1974" s="7" t="s">
        <v>46</v>
      </c>
      <c r="J1974" s="7" t="s">
        <v>30</v>
      </c>
      <c r="K1974" s="7"/>
      <c r="L1974" s="10"/>
      <c r="M1974" s="10" t="s">
        <v>8042</v>
      </c>
      <c r="N1974" s="8" t="n">
        <v>0</v>
      </c>
      <c r="O1974" s="8" t="n">
        <v>0</v>
      </c>
      <c r="P1974" s="8" t="n">
        <v>0</v>
      </c>
      <c r="Q1974" s="8" t="n">
        <v>2</v>
      </c>
      <c r="R1974" s="8" t="n">
        <v>0</v>
      </c>
      <c r="S1974" s="8" t="n">
        <v>0</v>
      </c>
      <c r="T1974" s="13"/>
      <c r="U1974" s="11" t="n">
        <f aca="false">O1974*4 + P1974*2 + MAX(0,N1974-O1974-P1974)*1 + Q1974*0.2 + R1974*2 + S1974*1 + IF(T1974="",0,IF(T1974&lt;=10,8,IF(T1974&lt;=50,6,IF(T1974&lt;=100,4,2))))</f>
        <v>0.4</v>
      </c>
      <c r="V1974" s="7"/>
      <c r="W1974" s="7"/>
      <c r="X1974" s="13"/>
      <c r="Y1974" s="13" t="s">
        <v>8043</v>
      </c>
    </row>
    <row r="1975" customFormat="false" ht="15.75" hidden="false" customHeight="true" outlineLevel="0" collapsed="false">
      <c r="A1975" s="7" t="s">
        <v>8044</v>
      </c>
      <c r="B1975" s="8" t="n">
        <v>2009</v>
      </c>
      <c r="C1975" s="8" t="s">
        <v>35</v>
      </c>
      <c r="D1975" s="8" t="n">
        <v>95</v>
      </c>
      <c r="E1975" s="7" t="s">
        <v>5630</v>
      </c>
      <c r="F1975" s="8" t="n">
        <v>7.6</v>
      </c>
      <c r="G1975" s="8" t="n">
        <v>7</v>
      </c>
      <c r="H1975" s="9" t="n">
        <v>625183</v>
      </c>
      <c r="I1975" s="7" t="s">
        <v>46</v>
      </c>
      <c r="J1975" s="7" t="s">
        <v>29</v>
      </c>
      <c r="K1975" s="7" t="s">
        <v>30</v>
      </c>
      <c r="L1975" s="10"/>
      <c r="M1975" s="7" t="s">
        <v>8045</v>
      </c>
      <c r="N1975" s="8" t="n">
        <v>0</v>
      </c>
      <c r="O1975" s="8" t="n">
        <v>0</v>
      </c>
      <c r="P1975" s="8" t="n">
        <v>0</v>
      </c>
      <c r="Q1975" s="8" t="n">
        <v>0</v>
      </c>
      <c r="R1975" s="13" t="n">
        <v>0</v>
      </c>
      <c r="S1975" s="13" t="n">
        <v>0</v>
      </c>
      <c r="T1975" s="13"/>
      <c r="U1975" s="11" t="n">
        <f aca="false">O1975*4 + P1975*2 + MAX(0,N1975-O1975-P1975)*1 + Q1975*0.2 + R1975*2 + S1975*1 + IF(T1975="",0,IF(T1975&lt;=10,8,IF(T1975&lt;=50,6,IF(T1975&lt;=100,4,2))))</f>
        <v>0</v>
      </c>
      <c r="V1975" s="7"/>
      <c r="W1975" s="7"/>
      <c r="X1975" s="13"/>
      <c r="Y1975" s="13" t="s">
        <v>8046</v>
      </c>
    </row>
    <row r="1976" customFormat="false" ht="15.75" hidden="false" customHeight="true" outlineLevel="0" collapsed="false">
      <c r="A1976" s="7" t="s">
        <v>8047</v>
      </c>
      <c r="B1976" s="8" t="n">
        <v>2016</v>
      </c>
      <c r="C1976" s="8" t="s">
        <v>176</v>
      </c>
      <c r="D1976" s="8" t="n">
        <v>123</v>
      </c>
      <c r="E1976" s="7" t="s">
        <v>7374</v>
      </c>
      <c r="F1976" s="8" t="n">
        <v>5.9</v>
      </c>
      <c r="G1976" s="8" t="n">
        <v>3</v>
      </c>
      <c r="H1976" s="9" t="n">
        <v>764399</v>
      </c>
      <c r="I1976" s="7" t="s">
        <v>46</v>
      </c>
      <c r="J1976" s="7" t="s">
        <v>38</v>
      </c>
      <c r="K1976" s="7" t="s">
        <v>112</v>
      </c>
      <c r="L1976" s="10" t="s">
        <v>2295</v>
      </c>
      <c r="M1976" s="7" t="s">
        <v>8048</v>
      </c>
      <c r="N1976" s="8" t="n">
        <v>1</v>
      </c>
      <c r="O1976" s="8" t="n">
        <v>0</v>
      </c>
      <c r="P1976" s="8" t="n">
        <v>0</v>
      </c>
      <c r="Q1976" s="8" t="n">
        <v>1</v>
      </c>
      <c r="R1976" s="8" t="n">
        <v>0</v>
      </c>
      <c r="S1976" s="8" t="n">
        <v>0</v>
      </c>
      <c r="T1976" s="13"/>
      <c r="U1976" s="11" t="n">
        <f aca="false">O1976*4 + P1976*2 + MAX(0,N1976-O1976-P1976)*1 + Q1976*0.2 + R1976*2 + S1976*1 + IF(T1976="",0,IF(T1976&lt;=10,8,IF(T1976&lt;=50,6,IF(T1976&lt;=100,4,2))))</f>
        <v>1.2</v>
      </c>
      <c r="V1976" s="7"/>
      <c r="W1976" s="7"/>
      <c r="X1976" s="13"/>
      <c r="Y1976" s="13" t="s">
        <v>8049</v>
      </c>
    </row>
    <row r="1977" customFormat="false" ht="15.75" hidden="false" customHeight="true" outlineLevel="0" collapsed="false">
      <c r="A1977" s="7" t="s">
        <v>8050</v>
      </c>
      <c r="B1977" s="8" t="n">
        <v>1996</v>
      </c>
      <c r="C1977" s="8" t="s">
        <v>26</v>
      </c>
      <c r="D1977" s="8" t="n">
        <v>120</v>
      </c>
      <c r="E1977" s="7" t="s">
        <v>5724</v>
      </c>
      <c r="F1977" s="8" t="n">
        <v>6.7</v>
      </c>
      <c r="G1977" s="8" t="n">
        <v>5</v>
      </c>
      <c r="H1977" s="9" t="n">
        <v>262726</v>
      </c>
      <c r="I1977" s="7" t="s">
        <v>46</v>
      </c>
      <c r="J1977" s="7" t="s">
        <v>29</v>
      </c>
      <c r="K1977" s="7" t="s">
        <v>47</v>
      </c>
      <c r="L1977" s="10" t="s">
        <v>2616</v>
      </c>
      <c r="M1977" s="7" t="s">
        <v>8051</v>
      </c>
      <c r="N1977" s="8" t="n">
        <v>0</v>
      </c>
      <c r="O1977" s="8" t="n">
        <v>0</v>
      </c>
      <c r="P1977" s="8" t="n">
        <v>0</v>
      </c>
      <c r="Q1977" s="8" t="n">
        <v>1</v>
      </c>
      <c r="R1977" s="8" t="n">
        <v>0</v>
      </c>
      <c r="S1977" s="8" t="n">
        <v>0</v>
      </c>
      <c r="T1977" s="13"/>
      <c r="U1977" s="11" t="n">
        <f aca="false">O1977*4 + P1977*2 + MAX(0,N1977-O1977-P1977)*1 + Q1977*0.2 + R1977*2 + S1977*1 + IF(T1977="",0,IF(T1977&lt;=10,8,IF(T1977&lt;=50,6,IF(T1977&lt;=100,4,2))))</f>
        <v>0.2</v>
      </c>
      <c r="V1977" s="7"/>
      <c r="W1977" s="7"/>
      <c r="X1977" s="13"/>
      <c r="Y1977" s="13" t="s">
        <v>8052</v>
      </c>
    </row>
    <row r="1978" customFormat="false" ht="15.75" hidden="false" customHeight="true" outlineLevel="0" collapsed="false">
      <c r="A1978" s="7" t="s">
        <v>8053</v>
      </c>
      <c r="B1978" s="8" t="n">
        <v>2014</v>
      </c>
      <c r="C1978" s="8" t="s">
        <v>176</v>
      </c>
      <c r="D1978" s="8" t="n">
        <v>109</v>
      </c>
      <c r="E1978" s="7" t="s">
        <v>8054</v>
      </c>
      <c r="F1978" s="8" t="n">
        <v>6.8</v>
      </c>
      <c r="G1978" s="8" t="n">
        <v>6</v>
      </c>
      <c r="H1978" s="9" t="n">
        <v>3321</v>
      </c>
      <c r="I1978" s="7" t="s">
        <v>4256</v>
      </c>
      <c r="J1978" s="7" t="s">
        <v>47</v>
      </c>
      <c r="K1978" s="7" t="s">
        <v>54</v>
      </c>
      <c r="L1978" s="10" t="s">
        <v>1280</v>
      </c>
      <c r="M1978" s="10" t="s">
        <v>8055</v>
      </c>
      <c r="N1978" s="8" t="n">
        <v>0</v>
      </c>
      <c r="O1978" s="8" t="n">
        <v>0</v>
      </c>
      <c r="P1978" s="8" t="n">
        <v>0</v>
      </c>
      <c r="Q1978" s="8" t="n">
        <v>0</v>
      </c>
      <c r="R1978" s="13" t="n">
        <v>0</v>
      </c>
      <c r="S1978" s="13" t="n">
        <v>0</v>
      </c>
      <c r="T1978" s="13"/>
      <c r="U1978" s="11" t="n">
        <f aca="false">O1978*4 + P1978*2 + MAX(0,N1978-O1978-P1978)*1 + Q1978*0.2 + R1978*2 + S1978*1 + IF(T1978="",0,IF(T1978&lt;=10,8,IF(T1978&lt;=50,6,IF(T1978&lt;=100,4,2))))</f>
        <v>0</v>
      </c>
      <c r="V1978" s="7"/>
      <c r="W1978" s="7"/>
      <c r="X1978" s="13"/>
      <c r="Y1978" s="13" t="s">
        <v>8056</v>
      </c>
    </row>
    <row r="1979" customFormat="false" ht="15.75" hidden="false" customHeight="true" outlineLevel="0" collapsed="false">
      <c r="A1979" s="7" t="s">
        <v>8057</v>
      </c>
      <c r="B1979" s="8" t="n">
        <v>1985</v>
      </c>
      <c r="C1979" s="8" t="s">
        <v>109</v>
      </c>
      <c r="D1979" s="8" t="n">
        <v>122</v>
      </c>
      <c r="E1979" s="7" t="s">
        <v>788</v>
      </c>
      <c r="F1979" s="8" t="n">
        <v>7.5</v>
      </c>
      <c r="G1979" s="8" t="n">
        <v>7</v>
      </c>
      <c r="H1979" s="9" t="n">
        <v>2376</v>
      </c>
      <c r="I1979" s="7" t="s">
        <v>232</v>
      </c>
      <c r="J1979" s="7" t="s">
        <v>154</v>
      </c>
      <c r="K1979" s="7" t="s">
        <v>30</v>
      </c>
      <c r="L1979" s="10" t="s">
        <v>714</v>
      </c>
      <c r="M1979" s="10" t="s">
        <v>8058</v>
      </c>
      <c r="N1979" s="8" t="n">
        <v>0</v>
      </c>
      <c r="O1979" s="8" t="n">
        <v>0</v>
      </c>
      <c r="P1979" s="8" t="n">
        <v>0</v>
      </c>
      <c r="Q1979" s="8" t="n">
        <v>0</v>
      </c>
      <c r="R1979" s="13" t="n">
        <v>0</v>
      </c>
      <c r="S1979" s="13" t="n">
        <v>0</v>
      </c>
      <c r="T1979" s="13"/>
      <c r="U1979" s="11" t="n">
        <f aca="false">O1979*4 + P1979*2 + MAX(0,N1979-O1979-P1979)*1 + Q1979*0.2 + R1979*2 + S1979*1 + IF(T1979="",0,IF(T1979&lt;=10,8,IF(T1979&lt;=50,6,IF(T1979&lt;=100,4,2))))</f>
        <v>0</v>
      </c>
      <c r="V1979" s="7"/>
      <c r="W1979" s="7"/>
      <c r="X1979" s="13"/>
      <c r="Y1979" s="13" t="s">
        <v>8059</v>
      </c>
    </row>
    <row r="1980" customFormat="false" ht="15.75" hidden="false" customHeight="true" outlineLevel="0" collapsed="false">
      <c r="A1980" s="7" t="s">
        <v>8060</v>
      </c>
      <c r="B1980" s="8" t="n">
        <v>1987</v>
      </c>
      <c r="C1980" s="8" t="s">
        <v>109</v>
      </c>
      <c r="D1980" s="8" t="n">
        <v>88</v>
      </c>
      <c r="E1980" s="7" t="s">
        <v>388</v>
      </c>
      <c r="F1980" s="8" t="n">
        <v>7.4</v>
      </c>
      <c r="G1980" s="8" t="n">
        <v>7</v>
      </c>
      <c r="H1980" s="9" t="n">
        <v>39053</v>
      </c>
      <c r="I1980" s="7" t="s">
        <v>46</v>
      </c>
      <c r="J1980" s="7" t="s">
        <v>30</v>
      </c>
      <c r="K1980" s="7"/>
      <c r="L1980" s="10" t="s">
        <v>187</v>
      </c>
      <c r="M1980" s="10" t="s">
        <v>8061</v>
      </c>
      <c r="N1980" s="8" t="n">
        <v>0</v>
      </c>
      <c r="O1980" s="8" t="n">
        <v>0</v>
      </c>
      <c r="P1980" s="8" t="n">
        <v>0</v>
      </c>
      <c r="Q1980" s="8" t="n">
        <v>2</v>
      </c>
      <c r="R1980" s="8" t="n">
        <v>0</v>
      </c>
      <c r="S1980" s="8" t="n">
        <v>0</v>
      </c>
      <c r="T1980" s="13"/>
      <c r="U1980" s="11" t="n">
        <f aca="false">O1980*4 + P1980*2 + MAX(0,N1980-O1980-P1980)*1 + Q1980*0.2 + R1980*2 + S1980*1 + IF(T1980="",0,IF(T1980&lt;=10,8,IF(T1980&lt;=50,6,IF(T1980&lt;=100,4,2))))</f>
        <v>0.4</v>
      </c>
      <c r="V1980" s="7"/>
      <c r="W1980" s="7"/>
      <c r="X1980" s="13"/>
      <c r="Y1980" s="13" t="s">
        <v>8062</v>
      </c>
    </row>
    <row r="1981" customFormat="false" ht="15.75" hidden="false" customHeight="true" outlineLevel="0" collapsed="false">
      <c r="A1981" s="7" t="s">
        <v>8063</v>
      </c>
      <c r="B1981" s="8" t="n">
        <v>2013</v>
      </c>
      <c r="C1981" s="8" t="s">
        <v>176</v>
      </c>
      <c r="D1981" s="8" t="n">
        <v>109</v>
      </c>
      <c r="E1981" s="7" t="s">
        <v>7823</v>
      </c>
      <c r="F1981" s="8" t="n">
        <v>6.7</v>
      </c>
      <c r="G1981" s="8" t="n">
        <v>4</v>
      </c>
      <c r="H1981" s="9" t="n">
        <v>238780</v>
      </c>
      <c r="I1981" s="7" t="s">
        <v>46</v>
      </c>
      <c r="J1981" s="7" t="s">
        <v>112</v>
      </c>
      <c r="K1981" s="7" t="s">
        <v>54</v>
      </c>
      <c r="L1981" s="10" t="s">
        <v>6276</v>
      </c>
      <c r="M1981" s="10" t="s">
        <v>8064</v>
      </c>
      <c r="N1981" s="8" t="n">
        <v>0</v>
      </c>
      <c r="O1981" s="8" t="n">
        <v>0</v>
      </c>
      <c r="P1981" s="8" t="n">
        <v>0</v>
      </c>
      <c r="Q1981" s="8" t="n">
        <v>0</v>
      </c>
      <c r="R1981" s="13" t="n">
        <v>0</v>
      </c>
      <c r="S1981" s="13" t="n">
        <v>0</v>
      </c>
      <c r="T1981" s="13"/>
      <c r="U1981" s="11" t="n">
        <f aca="false">O1981*4 + P1981*2 + MAX(0,N1981-O1981-P1981)*1 + Q1981*0.2 + R1981*2 + S1981*1 + IF(T1981="",0,IF(T1981&lt;=10,8,IF(T1981&lt;=50,6,IF(T1981&lt;=100,4,2))))</f>
        <v>0</v>
      </c>
      <c r="V1981" s="7"/>
      <c r="W1981" s="7"/>
      <c r="X1981" s="13"/>
      <c r="Y1981" s="13" t="s">
        <v>8065</v>
      </c>
    </row>
    <row r="1982" customFormat="false" ht="15.75" hidden="false" customHeight="true" outlineLevel="0" collapsed="false">
      <c r="A1982" s="7" t="s">
        <v>8066</v>
      </c>
      <c r="B1982" s="8" t="n">
        <v>2016</v>
      </c>
      <c r="C1982" s="8" t="s">
        <v>176</v>
      </c>
      <c r="D1982" s="8" t="n">
        <v>96</v>
      </c>
      <c r="E1982" s="7" t="s">
        <v>74</v>
      </c>
      <c r="F1982" s="8" t="n">
        <v>7.4</v>
      </c>
      <c r="G1982" s="8" t="n">
        <v>7</v>
      </c>
      <c r="H1982" s="9" t="n">
        <v>324993</v>
      </c>
      <c r="I1982" s="7" t="s">
        <v>46</v>
      </c>
      <c r="J1982" s="7" t="s">
        <v>47</v>
      </c>
      <c r="K1982" s="7" t="s">
        <v>48</v>
      </c>
      <c r="L1982" s="10" t="s">
        <v>636</v>
      </c>
      <c r="M1982" s="7" t="s">
        <v>8067</v>
      </c>
      <c r="N1982" s="8" t="n">
        <v>0</v>
      </c>
      <c r="O1982" s="8" t="n">
        <v>0</v>
      </c>
      <c r="P1982" s="8" t="n">
        <v>0</v>
      </c>
      <c r="Q1982" s="8" t="n">
        <v>1</v>
      </c>
      <c r="R1982" s="8" t="n">
        <v>0</v>
      </c>
      <c r="S1982" s="8" t="n">
        <v>0</v>
      </c>
      <c r="T1982" s="13"/>
      <c r="U1982" s="11" t="n">
        <f aca="false">O1982*4 + P1982*2 + MAX(0,N1982-O1982-P1982)*1 + Q1982*0.2 + R1982*2 + S1982*1 + IF(T1982="",0,IF(T1982&lt;=10,8,IF(T1982&lt;=50,6,IF(T1982&lt;=100,4,2))))</f>
        <v>0.2</v>
      </c>
      <c r="V1982" s="7"/>
      <c r="W1982" s="7"/>
      <c r="X1982" s="13"/>
      <c r="Y1982" s="13" t="s">
        <v>8068</v>
      </c>
    </row>
    <row r="1983" customFormat="false" ht="15.75" hidden="false" customHeight="true" outlineLevel="0" collapsed="false">
      <c r="A1983" s="7" t="s">
        <v>8069</v>
      </c>
      <c r="B1983" s="8" t="n">
        <v>1997</v>
      </c>
      <c r="C1983" s="8" t="s">
        <v>26</v>
      </c>
      <c r="D1983" s="8" t="n">
        <v>124</v>
      </c>
      <c r="E1983" s="7" t="s">
        <v>8070</v>
      </c>
      <c r="F1983" s="8" t="n">
        <v>6.7</v>
      </c>
      <c r="G1983" s="8" t="n">
        <v>7</v>
      </c>
      <c r="H1983" s="9" t="n">
        <v>5422</v>
      </c>
      <c r="I1983" s="7" t="s">
        <v>8071</v>
      </c>
      <c r="J1983" s="7" t="s">
        <v>112</v>
      </c>
      <c r="K1983" s="7" t="s">
        <v>54</v>
      </c>
      <c r="L1983" s="10"/>
      <c r="M1983" s="10" t="s">
        <v>8072</v>
      </c>
      <c r="N1983" s="8" t="n">
        <v>0</v>
      </c>
      <c r="O1983" s="8" t="n">
        <v>0</v>
      </c>
      <c r="P1983" s="8" t="n">
        <v>0</v>
      </c>
      <c r="Q1983" s="8" t="n">
        <v>0</v>
      </c>
      <c r="R1983" s="13" t="n">
        <v>0</v>
      </c>
      <c r="S1983" s="13" t="n">
        <v>0</v>
      </c>
      <c r="T1983" s="13"/>
      <c r="U1983" s="11" t="n">
        <f aca="false">O1983*4 + P1983*2 + MAX(0,N1983-O1983-P1983)*1 + Q1983*0.2 + R1983*2 + S1983*1 + IF(T1983="",0,IF(T1983&lt;=10,8,IF(T1983&lt;=50,6,IF(T1983&lt;=100,4,2))))</f>
        <v>0</v>
      </c>
      <c r="V1983" s="7"/>
      <c r="W1983" s="7"/>
      <c r="X1983" s="13"/>
      <c r="Y1983" s="13" t="s">
        <v>8073</v>
      </c>
    </row>
    <row r="1984" customFormat="false" ht="15.75" hidden="false" customHeight="true" outlineLevel="0" collapsed="false">
      <c r="A1984" s="7" t="s">
        <v>8074</v>
      </c>
      <c r="B1984" s="8" t="n">
        <v>2016</v>
      </c>
      <c r="C1984" s="8" t="s">
        <v>176</v>
      </c>
      <c r="D1984" s="8" t="n">
        <v>96</v>
      </c>
      <c r="E1984" s="7" t="s">
        <v>8075</v>
      </c>
      <c r="F1984" s="8" t="n">
        <v>8.2</v>
      </c>
      <c r="G1984" s="8" t="n">
        <v>7</v>
      </c>
      <c r="H1984" s="9" t="n">
        <v>29741</v>
      </c>
      <c r="I1984" s="7" t="s">
        <v>46</v>
      </c>
      <c r="J1984" s="7" t="s">
        <v>2730</v>
      </c>
      <c r="K1984" s="7"/>
      <c r="L1984" s="10" t="s">
        <v>177</v>
      </c>
      <c r="M1984" s="10" t="s">
        <v>8076</v>
      </c>
      <c r="N1984" s="8" t="n">
        <v>0</v>
      </c>
      <c r="O1984" s="8" t="n">
        <v>0</v>
      </c>
      <c r="P1984" s="8" t="n">
        <v>0</v>
      </c>
      <c r="Q1984" s="8" t="n">
        <v>0</v>
      </c>
      <c r="R1984" s="13" t="n">
        <v>0</v>
      </c>
      <c r="S1984" s="13" t="n">
        <v>0</v>
      </c>
      <c r="T1984" s="13"/>
      <c r="U1984" s="11" t="n">
        <f aca="false">O1984*4 + P1984*2 + MAX(0,N1984-O1984-P1984)*1 + Q1984*0.2 + R1984*2 + S1984*1 + IF(T1984="",0,IF(T1984&lt;=10,8,IF(T1984&lt;=50,6,IF(T1984&lt;=100,4,2))))</f>
        <v>0</v>
      </c>
      <c r="V1984" s="7"/>
      <c r="W1984" s="7"/>
      <c r="X1984" s="13"/>
      <c r="Y1984" s="13" t="s">
        <v>8077</v>
      </c>
    </row>
    <row r="1985" customFormat="false" ht="15.75" hidden="false" customHeight="true" outlineLevel="0" collapsed="false">
      <c r="A1985" s="7" t="s">
        <v>8078</v>
      </c>
      <c r="B1985" s="8" t="n">
        <v>2011</v>
      </c>
      <c r="C1985" s="8" t="s">
        <v>176</v>
      </c>
      <c r="D1985" s="8" t="n">
        <v>116</v>
      </c>
      <c r="E1985" s="7" t="s">
        <v>8079</v>
      </c>
      <c r="F1985" s="8" t="n">
        <v>6.4</v>
      </c>
      <c r="G1985" s="8" t="n">
        <v>3</v>
      </c>
      <c r="H1985" s="9" t="n">
        <v>141762</v>
      </c>
      <c r="I1985" s="7" t="s">
        <v>2330</v>
      </c>
      <c r="J1985" s="7" t="s">
        <v>131</v>
      </c>
      <c r="K1985" s="7" t="s">
        <v>54</v>
      </c>
      <c r="L1985" s="10" t="s">
        <v>507</v>
      </c>
      <c r="M1985" s="10" t="s">
        <v>8080</v>
      </c>
      <c r="N1985" s="8" t="n">
        <v>0</v>
      </c>
      <c r="O1985" s="8" t="n">
        <v>0</v>
      </c>
      <c r="P1985" s="8" t="n">
        <v>0</v>
      </c>
      <c r="Q1985" s="8" t="n">
        <v>0</v>
      </c>
      <c r="R1985" s="13" t="n">
        <v>0</v>
      </c>
      <c r="S1985" s="13" t="n">
        <v>0</v>
      </c>
      <c r="T1985" s="13"/>
      <c r="U1985" s="11" t="n">
        <f aca="false">O1985*4 + P1985*2 + MAX(0,N1985-O1985-P1985)*1 + Q1985*0.2 + R1985*2 + S1985*1 + IF(T1985="",0,IF(T1985&lt;=10,8,IF(T1985&lt;=50,6,IF(T1985&lt;=100,4,2))))</f>
        <v>0</v>
      </c>
      <c r="V1985" s="7"/>
      <c r="W1985" s="7"/>
      <c r="X1985" s="13"/>
      <c r="Y1985" s="13" t="s">
        <v>8081</v>
      </c>
    </row>
    <row r="1986" customFormat="false" ht="15.75" hidden="false" customHeight="true" outlineLevel="0" collapsed="false">
      <c r="A1986" s="7" t="s">
        <v>8082</v>
      </c>
      <c r="B1986" s="8" t="n">
        <v>1990</v>
      </c>
      <c r="C1986" s="8" t="s">
        <v>26</v>
      </c>
      <c r="D1986" s="8" t="n">
        <v>134</v>
      </c>
      <c r="E1986" s="7" t="s">
        <v>8083</v>
      </c>
      <c r="F1986" s="8" t="n">
        <v>7.1</v>
      </c>
      <c r="G1986" s="8" t="n">
        <v>7</v>
      </c>
      <c r="H1986" s="9" t="n">
        <v>29683</v>
      </c>
      <c r="I1986" s="7" t="s">
        <v>153</v>
      </c>
      <c r="J1986" s="7" t="s">
        <v>112</v>
      </c>
      <c r="K1986" s="7" t="s">
        <v>54</v>
      </c>
      <c r="L1986" s="10" t="s">
        <v>113</v>
      </c>
      <c r="M1986" s="10" t="s">
        <v>8084</v>
      </c>
      <c r="N1986" s="8" t="n">
        <v>0</v>
      </c>
      <c r="O1986" s="8" t="n">
        <v>0</v>
      </c>
      <c r="P1986" s="8" t="n">
        <v>0</v>
      </c>
      <c r="Q1986" s="8" t="n">
        <v>0</v>
      </c>
      <c r="R1986" s="13" t="n">
        <v>0</v>
      </c>
      <c r="S1986" s="13" t="n">
        <v>0</v>
      </c>
      <c r="T1986" s="13"/>
      <c r="U1986" s="11" t="n">
        <f aca="false">O1986*4 + P1986*2 + MAX(0,N1986-O1986-P1986)*1 + Q1986*0.2 + R1986*2 + S1986*1 + IF(T1986="",0,IF(T1986&lt;=10,8,IF(T1986&lt;=50,6,IF(T1986&lt;=100,4,2))))</f>
        <v>0</v>
      </c>
      <c r="V1986" s="7"/>
      <c r="W1986" s="7"/>
      <c r="X1986" s="13"/>
      <c r="Y1986" s="13" t="s">
        <v>8085</v>
      </c>
    </row>
    <row r="1987" customFormat="false" ht="15.75" hidden="false" customHeight="true" outlineLevel="0" collapsed="false">
      <c r="A1987" s="7" t="s">
        <v>8086</v>
      </c>
      <c r="B1987" s="8" t="n">
        <v>1992</v>
      </c>
      <c r="C1987" s="8" t="s">
        <v>26</v>
      </c>
      <c r="D1987" s="8" t="n">
        <v>104</v>
      </c>
      <c r="E1987" s="7" t="s">
        <v>36</v>
      </c>
      <c r="F1987" s="8" t="n">
        <v>7.4</v>
      </c>
      <c r="G1987" s="8" t="n">
        <v>7</v>
      </c>
      <c r="H1987" s="9" t="n">
        <v>110460</v>
      </c>
      <c r="I1987" s="7" t="s">
        <v>669</v>
      </c>
      <c r="J1987" s="7" t="s">
        <v>147</v>
      </c>
      <c r="K1987" s="7" t="s">
        <v>38</v>
      </c>
      <c r="L1987" s="10" t="s">
        <v>205</v>
      </c>
      <c r="M1987" s="10" t="s">
        <v>8087</v>
      </c>
      <c r="N1987" s="8" t="n">
        <v>0</v>
      </c>
      <c r="O1987" s="8" t="n">
        <v>0</v>
      </c>
      <c r="P1987" s="8" t="n">
        <v>0</v>
      </c>
      <c r="Q1987" s="8" t="n">
        <v>0</v>
      </c>
      <c r="R1987" s="13" t="n">
        <v>0</v>
      </c>
      <c r="S1987" s="13" t="n">
        <v>0</v>
      </c>
      <c r="T1987" s="13"/>
      <c r="U1987" s="11" t="n">
        <f aca="false">O1987*4 + P1987*2 + MAX(0,N1987-O1987-P1987)*1 + Q1987*0.2 + R1987*2 + S1987*1 + IF(T1987="",0,IF(T1987&lt;=10,8,IF(T1987&lt;=50,6,IF(T1987&lt;=100,4,2))))</f>
        <v>0</v>
      </c>
      <c r="V1987" s="7"/>
      <c r="W1987" s="7"/>
      <c r="X1987" s="13"/>
      <c r="Y1987" s="13" t="s">
        <v>8088</v>
      </c>
    </row>
    <row r="1988" customFormat="false" ht="15.75" hidden="false" customHeight="true" outlineLevel="0" collapsed="false">
      <c r="A1988" s="7" t="s">
        <v>8089</v>
      </c>
      <c r="B1988" s="8" t="n">
        <v>2016</v>
      </c>
      <c r="C1988" s="8" t="s">
        <v>176</v>
      </c>
      <c r="D1988" s="8" t="n">
        <v>102</v>
      </c>
      <c r="E1988" s="7" t="s">
        <v>8090</v>
      </c>
      <c r="F1988" s="8" t="n">
        <v>6.4</v>
      </c>
      <c r="G1988" s="8" t="n">
        <v>6</v>
      </c>
      <c r="H1988" s="9" t="n">
        <v>6807</v>
      </c>
      <c r="I1988" s="7" t="s">
        <v>232</v>
      </c>
      <c r="J1988" s="7" t="s">
        <v>29</v>
      </c>
      <c r="K1988" s="7" t="s">
        <v>30</v>
      </c>
      <c r="L1988" s="10"/>
      <c r="M1988" s="10" t="s">
        <v>8091</v>
      </c>
      <c r="N1988" s="8" t="n">
        <v>0</v>
      </c>
      <c r="O1988" s="8" t="n">
        <v>0</v>
      </c>
      <c r="P1988" s="8" t="n">
        <v>0</v>
      </c>
      <c r="Q1988" s="8" t="n">
        <v>0</v>
      </c>
      <c r="R1988" s="13" t="n">
        <v>0</v>
      </c>
      <c r="S1988" s="13" t="n">
        <v>0</v>
      </c>
      <c r="T1988" s="13"/>
      <c r="U1988" s="11" t="n">
        <f aca="false">O1988*4 + P1988*2 + MAX(0,N1988-O1988-P1988)*1 + Q1988*0.2 + R1988*2 + S1988*1 + IF(T1988="",0,IF(T1988&lt;=10,8,IF(T1988&lt;=50,6,IF(T1988&lt;=100,4,2))))</f>
        <v>0</v>
      </c>
      <c r="V1988" s="7"/>
      <c r="W1988" s="7"/>
      <c r="X1988" s="13"/>
      <c r="Y1988" s="13" t="s">
        <v>8092</v>
      </c>
    </row>
    <row r="1989" customFormat="false" ht="15.75" hidden="false" customHeight="true" outlineLevel="0" collapsed="false">
      <c r="A1989" s="7" t="s">
        <v>8093</v>
      </c>
      <c r="B1989" s="8" t="n">
        <v>2016</v>
      </c>
      <c r="C1989" s="8" t="s">
        <v>176</v>
      </c>
      <c r="D1989" s="8" t="n">
        <v>132</v>
      </c>
      <c r="E1989" s="7" t="s">
        <v>2351</v>
      </c>
      <c r="F1989" s="8" t="n">
        <v>7.2</v>
      </c>
      <c r="G1989" s="8" t="n">
        <v>7</v>
      </c>
      <c r="H1989" s="9" t="n">
        <v>544054</v>
      </c>
      <c r="I1989" s="7" t="s">
        <v>359</v>
      </c>
      <c r="J1989" s="7" t="s">
        <v>38</v>
      </c>
      <c r="K1989" s="7" t="s">
        <v>259</v>
      </c>
      <c r="L1989" s="10" t="s">
        <v>55</v>
      </c>
      <c r="M1989" s="7" t="s">
        <v>8094</v>
      </c>
      <c r="N1989" s="8" t="n">
        <v>1</v>
      </c>
      <c r="O1989" s="8" t="n">
        <v>0</v>
      </c>
      <c r="P1989" s="8" t="n">
        <v>0</v>
      </c>
      <c r="Q1989" s="8" t="n">
        <v>2</v>
      </c>
      <c r="R1989" s="8" t="n">
        <v>0</v>
      </c>
      <c r="S1989" s="8" t="n">
        <v>0</v>
      </c>
      <c r="T1989" s="13"/>
      <c r="U1989" s="11" t="n">
        <f aca="false">O1989*4 + P1989*2 + MAX(0,N1989-O1989-P1989)*1 + Q1989*0.2 + R1989*2 + S1989*1 + IF(T1989="",0,IF(T1989&lt;=10,8,IF(T1989&lt;=50,6,IF(T1989&lt;=100,4,2))))</f>
        <v>1.4</v>
      </c>
      <c r="V1989" s="7"/>
      <c r="W1989" s="7"/>
      <c r="X1989" s="13"/>
      <c r="Y1989" s="13" t="s">
        <v>8095</v>
      </c>
    </row>
    <row r="1990" customFormat="false" ht="15.75" hidden="false" customHeight="true" outlineLevel="0" collapsed="false">
      <c r="A1990" s="7" t="s">
        <v>8096</v>
      </c>
      <c r="B1990" s="8" t="n">
        <v>2013</v>
      </c>
      <c r="C1990" s="8" t="s">
        <v>176</v>
      </c>
      <c r="D1990" s="8" t="n">
        <v>131</v>
      </c>
      <c r="E1990" s="7" t="s">
        <v>1657</v>
      </c>
      <c r="F1990" s="8" t="n">
        <v>6.9</v>
      </c>
      <c r="G1990" s="8" t="n">
        <v>7</v>
      </c>
      <c r="H1990" s="9" t="n">
        <v>562688</v>
      </c>
      <c r="I1990" s="7" t="s">
        <v>5720</v>
      </c>
      <c r="J1990" s="7" t="s">
        <v>111</v>
      </c>
      <c r="K1990" s="7" t="s">
        <v>953</v>
      </c>
      <c r="L1990" s="10" t="s">
        <v>5649</v>
      </c>
      <c r="M1990" s="7" t="s">
        <v>8097</v>
      </c>
      <c r="N1990" s="8" t="n">
        <v>0</v>
      </c>
      <c r="O1990" s="8" t="n">
        <v>0</v>
      </c>
      <c r="P1990" s="8" t="n">
        <v>0</v>
      </c>
      <c r="Q1990" s="8" t="n">
        <v>0</v>
      </c>
      <c r="R1990" s="13" t="n">
        <v>0</v>
      </c>
      <c r="S1990" s="13" t="n">
        <v>0</v>
      </c>
      <c r="T1990" s="13"/>
      <c r="U1990" s="11" t="n">
        <f aca="false">O1990*4 + P1990*2 + MAX(0,N1990-O1990-P1990)*1 + Q1990*0.2 + R1990*2 + S1990*1 + IF(T1990="",0,IF(T1990&lt;=10,8,IF(T1990&lt;=50,6,IF(T1990&lt;=100,4,2))))</f>
        <v>0</v>
      </c>
      <c r="V1990" s="7"/>
      <c r="W1990" s="7"/>
      <c r="X1990" s="13"/>
      <c r="Y1990" s="13" t="s">
        <v>8098</v>
      </c>
    </row>
    <row r="1991" customFormat="false" ht="15.75" hidden="false" customHeight="true" outlineLevel="0" collapsed="false">
      <c r="A1991" s="7" t="s">
        <v>8099</v>
      </c>
      <c r="B1991" s="8" t="n">
        <v>2016</v>
      </c>
      <c r="C1991" s="8" t="s">
        <v>176</v>
      </c>
      <c r="D1991" s="8" t="n">
        <v>107</v>
      </c>
      <c r="E1991" s="7" t="s">
        <v>7158</v>
      </c>
      <c r="F1991" s="8" t="n">
        <v>6.3</v>
      </c>
      <c r="G1991" s="8" t="n">
        <v>5</v>
      </c>
      <c r="H1991" s="9" t="n">
        <v>241471</v>
      </c>
      <c r="I1991" s="7" t="s">
        <v>46</v>
      </c>
      <c r="J1991" s="7" t="s">
        <v>112</v>
      </c>
      <c r="K1991" s="7" t="s">
        <v>54</v>
      </c>
      <c r="L1991" s="10"/>
      <c r="M1991" s="10" t="s">
        <v>8100</v>
      </c>
      <c r="N1991" s="8" t="n">
        <v>0</v>
      </c>
      <c r="O1991" s="8" t="n">
        <v>0</v>
      </c>
      <c r="P1991" s="8" t="n">
        <v>0</v>
      </c>
      <c r="Q1991" s="8" t="n">
        <v>0</v>
      </c>
      <c r="R1991" s="13" t="n">
        <v>0</v>
      </c>
      <c r="S1991" s="13" t="n">
        <v>0</v>
      </c>
      <c r="T1991" s="13"/>
      <c r="U1991" s="11" t="n">
        <f aca="false">O1991*4 + P1991*2 + MAX(0,N1991-O1991-P1991)*1 + Q1991*0.2 + R1991*2 + S1991*1 + IF(T1991="",0,IF(T1991&lt;=10,8,IF(T1991&lt;=50,6,IF(T1991&lt;=100,4,2))))</f>
        <v>0</v>
      </c>
      <c r="V1991" s="7"/>
      <c r="W1991" s="7"/>
      <c r="X1991" s="13"/>
      <c r="Y1991" s="13" t="s">
        <v>8101</v>
      </c>
    </row>
    <row r="1992" customFormat="false" ht="15.75" hidden="false" customHeight="true" outlineLevel="0" collapsed="false">
      <c r="A1992" s="7" t="s">
        <v>8102</v>
      </c>
      <c r="B1992" s="8" t="n">
        <v>1984</v>
      </c>
      <c r="C1992" s="8" t="s">
        <v>109</v>
      </c>
      <c r="D1992" s="8" t="n">
        <v>90</v>
      </c>
      <c r="E1992" s="7" t="s">
        <v>8103</v>
      </c>
      <c r="F1992" s="8" t="n">
        <v>7.2</v>
      </c>
      <c r="G1992" s="8" t="n">
        <v>9</v>
      </c>
      <c r="H1992" s="9" t="n">
        <v>83402</v>
      </c>
      <c r="I1992" s="7" t="s">
        <v>359</v>
      </c>
      <c r="J1992" s="7" t="s">
        <v>90</v>
      </c>
      <c r="K1992" s="7" t="s">
        <v>245</v>
      </c>
      <c r="L1992" s="10"/>
      <c r="M1992" s="10" t="s">
        <v>8104</v>
      </c>
      <c r="N1992" s="8" t="n">
        <v>0</v>
      </c>
      <c r="O1992" s="8" t="n">
        <v>0</v>
      </c>
      <c r="P1992" s="8" t="n">
        <v>0</v>
      </c>
      <c r="Q1992" s="8" t="n">
        <v>0</v>
      </c>
      <c r="R1992" s="13" t="n">
        <v>0</v>
      </c>
      <c r="S1992" s="13" t="n">
        <v>0</v>
      </c>
      <c r="T1992" s="13"/>
      <c r="U1992" s="11" t="n">
        <f aca="false">O1992*4 + P1992*2 + MAX(0,N1992-O1992-P1992)*1 + Q1992*0.2 + R1992*2 + S1992*1 + IF(T1992="",0,IF(T1992&lt;=10,8,IF(T1992&lt;=50,6,IF(T1992&lt;=100,4,2))))</f>
        <v>0</v>
      </c>
      <c r="V1992" s="7"/>
      <c r="W1992" s="7"/>
      <c r="X1992" s="13"/>
      <c r="Y1992" s="13" t="s">
        <v>8105</v>
      </c>
    </row>
    <row r="1993" customFormat="false" ht="15.75" hidden="false" customHeight="true" outlineLevel="0" collapsed="false">
      <c r="A1993" s="7" t="s">
        <v>8106</v>
      </c>
      <c r="B1993" s="8" t="n">
        <v>1988</v>
      </c>
      <c r="C1993" s="8" t="s">
        <v>109</v>
      </c>
      <c r="D1993" s="8" t="n">
        <v>108</v>
      </c>
      <c r="E1993" s="7" t="s">
        <v>8107</v>
      </c>
      <c r="F1993" s="8" t="n">
        <v>7.5</v>
      </c>
      <c r="G1993" s="8" t="n">
        <v>8</v>
      </c>
      <c r="H1993" s="9" t="n">
        <v>166733</v>
      </c>
      <c r="I1993" s="7" t="s">
        <v>359</v>
      </c>
      <c r="J1993" s="7" t="s">
        <v>30</v>
      </c>
      <c r="K1993" s="7" t="s">
        <v>54</v>
      </c>
      <c r="L1993" s="10" t="s">
        <v>573</v>
      </c>
      <c r="M1993" s="10" t="s">
        <v>8108</v>
      </c>
      <c r="N1993" s="8" t="n">
        <v>1</v>
      </c>
      <c r="O1993" s="8" t="n">
        <v>0</v>
      </c>
      <c r="P1993" s="8" t="n">
        <v>0</v>
      </c>
      <c r="Q1993" s="8" t="n">
        <v>3</v>
      </c>
      <c r="R1993" s="8" t="n">
        <v>0</v>
      </c>
      <c r="S1993" s="8" t="n">
        <v>0</v>
      </c>
      <c r="T1993" s="13"/>
      <c r="U1993" s="11" t="n">
        <f aca="false">O1993*4 + P1993*2 + MAX(0,N1993-O1993-P1993)*1 + Q1993*0.2 + R1993*2 + S1993*1 + IF(T1993="",0,IF(T1993&lt;=10,8,IF(T1993&lt;=50,6,IF(T1993&lt;=100,4,2))))</f>
        <v>1.6</v>
      </c>
      <c r="V1993" s="7"/>
      <c r="W1993" s="7"/>
      <c r="X1993" s="13"/>
      <c r="Y1993" s="13" t="s">
        <v>8109</v>
      </c>
    </row>
    <row r="1994" customFormat="false" ht="15.75" hidden="false" customHeight="true" outlineLevel="0" collapsed="false">
      <c r="A1994" s="7" t="s">
        <v>8110</v>
      </c>
      <c r="B1994" s="8" t="n">
        <v>2011</v>
      </c>
      <c r="C1994" s="8" t="s">
        <v>176</v>
      </c>
      <c r="D1994" s="8" t="n">
        <v>110</v>
      </c>
      <c r="E1994" s="7" t="s">
        <v>2974</v>
      </c>
      <c r="F1994" s="8" t="n">
        <v>6</v>
      </c>
      <c r="G1994" s="8" t="n">
        <v>4</v>
      </c>
      <c r="H1994" s="9" t="n">
        <v>184476</v>
      </c>
      <c r="I1994" s="7" t="s">
        <v>46</v>
      </c>
      <c r="J1994" s="7" t="s">
        <v>38</v>
      </c>
      <c r="K1994" s="7" t="s">
        <v>112</v>
      </c>
      <c r="L1994" s="10" t="s">
        <v>238</v>
      </c>
      <c r="M1994" s="10" t="s">
        <v>8111</v>
      </c>
      <c r="N1994" s="8" t="n">
        <v>0</v>
      </c>
      <c r="O1994" s="8" t="n">
        <v>0</v>
      </c>
      <c r="P1994" s="8" t="n">
        <v>0</v>
      </c>
      <c r="Q1994" s="8" t="n">
        <v>0</v>
      </c>
      <c r="R1994" s="13" t="n">
        <v>0</v>
      </c>
      <c r="S1994" s="13" t="n">
        <v>0</v>
      </c>
      <c r="T1994" s="13"/>
      <c r="U1994" s="11" t="n">
        <f aca="false">O1994*4 + P1994*2 + MAX(0,N1994-O1994-P1994)*1 + Q1994*0.2 + R1994*2 + S1994*1 + IF(T1994="",0,IF(T1994&lt;=10,8,IF(T1994&lt;=50,6,IF(T1994&lt;=100,4,2))))</f>
        <v>0</v>
      </c>
      <c r="V1994" s="7"/>
      <c r="W1994" s="7"/>
      <c r="X1994" s="13"/>
      <c r="Y1994" s="13" t="s">
        <v>8112</v>
      </c>
    </row>
    <row r="1995" customFormat="false" ht="15.75" hidden="false" customHeight="true" outlineLevel="0" collapsed="false">
      <c r="A1995" s="7" t="s">
        <v>8113</v>
      </c>
      <c r="B1995" s="8" t="n">
        <v>1978</v>
      </c>
      <c r="C1995" s="8" t="s">
        <v>61</v>
      </c>
      <c r="D1995" s="8" t="n">
        <v>95</v>
      </c>
      <c r="E1995" s="7" t="s">
        <v>788</v>
      </c>
      <c r="F1995" s="8" t="n">
        <v>7.3</v>
      </c>
      <c r="G1995" s="8" t="n">
        <v>7</v>
      </c>
      <c r="H1995" s="9" t="n">
        <v>2543</v>
      </c>
      <c r="I1995" s="7" t="s">
        <v>232</v>
      </c>
      <c r="J1995" s="7" t="s">
        <v>30</v>
      </c>
      <c r="K1995" s="7" t="s">
        <v>1221</v>
      </c>
      <c r="L1995" s="10" t="s">
        <v>252</v>
      </c>
      <c r="M1995" s="10" t="s">
        <v>8114</v>
      </c>
      <c r="N1995" s="8" t="n">
        <v>0</v>
      </c>
      <c r="O1995" s="8" t="n">
        <v>0</v>
      </c>
      <c r="P1995" s="8" t="n">
        <v>0</v>
      </c>
      <c r="Q1995" s="8" t="n">
        <v>0</v>
      </c>
      <c r="R1995" s="13" t="n">
        <v>0</v>
      </c>
      <c r="S1995" s="13" t="n">
        <v>0</v>
      </c>
      <c r="T1995" s="13"/>
      <c r="U1995" s="11" t="n">
        <f aca="false">O1995*4 + P1995*2 + MAX(0,N1995-O1995-P1995)*1 + Q1995*0.2 + R1995*2 + S1995*1 + IF(T1995="",0,IF(T1995&lt;=10,8,IF(T1995&lt;=50,6,IF(T1995&lt;=100,4,2))))</f>
        <v>0</v>
      </c>
      <c r="V1995" s="7"/>
      <c r="W1995" s="7"/>
      <c r="X1995" s="13"/>
      <c r="Y1995" s="13" t="s">
        <v>8115</v>
      </c>
    </row>
    <row r="1996" customFormat="false" ht="15.75" hidden="false" customHeight="true" outlineLevel="0" collapsed="false">
      <c r="A1996" s="7" t="s">
        <v>8116</v>
      </c>
      <c r="B1996" s="8" t="n">
        <v>2015</v>
      </c>
      <c r="C1996" s="8" t="s">
        <v>176</v>
      </c>
      <c r="D1996" s="8" t="n">
        <v>116</v>
      </c>
      <c r="E1996" s="7" t="s">
        <v>8117</v>
      </c>
      <c r="F1996" s="8" t="n">
        <v>7</v>
      </c>
      <c r="G1996" s="8" t="n">
        <v>5</v>
      </c>
      <c r="H1996" s="9" t="n">
        <v>54414</v>
      </c>
      <c r="I1996" s="7" t="s">
        <v>258</v>
      </c>
      <c r="J1996" s="7" t="s">
        <v>38</v>
      </c>
      <c r="K1996" s="7" t="s">
        <v>30</v>
      </c>
      <c r="L1996" s="10"/>
      <c r="M1996" s="10" t="s">
        <v>8118</v>
      </c>
      <c r="N1996" s="8" t="n">
        <v>0</v>
      </c>
      <c r="O1996" s="8" t="n">
        <v>0</v>
      </c>
      <c r="P1996" s="8" t="n">
        <v>0</v>
      </c>
      <c r="Q1996" s="8" t="n">
        <v>0</v>
      </c>
      <c r="R1996" s="13" t="n">
        <v>0</v>
      </c>
      <c r="S1996" s="13" t="n">
        <v>0</v>
      </c>
      <c r="T1996" s="13"/>
      <c r="U1996" s="11" t="n">
        <f aca="false">O1996*4 + P1996*2 + MAX(0,N1996-O1996-P1996)*1 + Q1996*0.2 + R1996*2 + S1996*1 + IF(T1996="",0,IF(T1996&lt;=10,8,IF(T1996&lt;=50,6,IF(T1996&lt;=100,4,2))))</f>
        <v>0</v>
      </c>
      <c r="V1996" s="7"/>
      <c r="W1996" s="7"/>
      <c r="X1996" s="13"/>
      <c r="Y1996" s="13" t="s">
        <v>8119</v>
      </c>
    </row>
    <row r="1997" customFormat="false" ht="15.75" hidden="false" customHeight="true" outlineLevel="0" collapsed="false">
      <c r="A1997" s="7" t="s">
        <v>8120</v>
      </c>
      <c r="B1997" s="8" t="n">
        <v>2016</v>
      </c>
      <c r="C1997" s="8" t="s">
        <v>176</v>
      </c>
      <c r="D1997" s="8" t="n">
        <v>94</v>
      </c>
      <c r="E1997" s="7" t="s">
        <v>8121</v>
      </c>
      <c r="F1997" s="8" t="n">
        <v>5.7</v>
      </c>
      <c r="G1997" s="8" t="n">
        <v>4</v>
      </c>
      <c r="H1997" s="9" t="n">
        <v>87422</v>
      </c>
      <c r="I1997" s="7" t="s">
        <v>46</v>
      </c>
      <c r="J1997" s="7" t="s">
        <v>579</v>
      </c>
      <c r="K1997" s="7" t="s">
        <v>112</v>
      </c>
      <c r="L1997" s="10" t="s">
        <v>177</v>
      </c>
      <c r="M1997" s="10" t="s">
        <v>8122</v>
      </c>
      <c r="N1997" s="8" t="n">
        <v>0</v>
      </c>
      <c r="O1997" s="8" t="n">
        <v>0</v>
      </c>
      <c r="P1997" s="8" t="n">
        <v>0</v>
      </c>
      <c r="Q1997" s="8" t="n">
        <v>0</v>
      </c>
      <c r="R1997" s="13" t="n">
        <v>0</v>
      </c>
      <c r="S1997" s="13" t="n">
        <v>0</v>
      </c>
      <c r="T1997" s="13"/>
      <c r="U1997" s="11" t="n">
        <f aca="false">O1997*4 + P1997*2 + MAX(0,N1997-O1997-P1997)*1 + Q1997*0.2 + R1997*2 + S1997*1 + IF(T1997="",0,IF(T1997&lt;=10,8,IF(T1997&lt;=50,6,IF(T1997&lt;=100,4,2))))</f>
        <v>0</v>
      </c>
      <c r="V1997" s="7"/>
      <c r="W1997" s="7"/>
      <c r="X1997" s="13"/>
      <c r="Y1997" s="13" t="s">
        <v>8123</v>
      </c>
    </row>
    <row r="1998" customFormat="false" ht="15.75" hidden="false" customHeight="true" outlineLevel="0" collapsed="false">
      <c r="A1998" s="7" t="s">
        <v>8124</v>
      </c>
      <c r="B1998" s="8" t="n">
        <v>2016</v>
      </c>
      <c r="C1998" s="8" t="s">
        <v>176</v>
      </c>
      <c r="D1998" s="8" t="n">
        <v>117</v>
      </c>
      <c r="E1998" s="7" t="s">
        <v>1894</v>
      </c>
      <c r="F1998" s="8" t="n">
        <v>7.3</v>
      </c>
      <c r="G1998" s="8" t="n">
        <v>7</v>
      </c>
      <c r="H1998" s="9" t="n">
        <v>628159</v>
      </c>
      <c r="I1998" s="7" t="s">
        <v>46</v>
      </c>
      <c r="J1998" s="7" t="s">
        <v>147</v>
      </c>
      <c r="K1998" s="7" t="s">
        <v>131</v>
      </c>
      <c r="L1998" s="10" t="s">
        <v>192</v>
      </c>
      <c r="M1998" s="7" t="s">
        <v>8125</v>
      </c>
      <c r="N1998" s="8" t="n">
        <v>0</v>
      </c>
      <c r="O1998" s="8" t="n">
        <v>0</v>
      </c>
      <c r="P1998" s="8" t="n">
        <v>0</v>
      </c>
      <c r="Q1998" s="8" t="n">
        <v>0</v>
      </c>
      <c r="R1998" s="13" t="n">
        <v>0</v>
      </c>
      <c r="S1998" s="13" t="n">
        <v>0</v>
      </c>
      <c r="T1998" s="13"/>
      <c r="U1998" s="11" t="n">
        <f aca="false">O1998*4 + P1998*2 + MAX(0,N1998-O1998-P1998)*1 + Q1998*0.2 + R1998*2 + S1998*1 + IF(T1998="",0,IF(T1998&lt;=10,8,IF(T1998&lt;=50,6,IF(T1998&lt;=100,4,2))))</f>
        <v>0</v>
      </c>
      <c r="V1998" s="7"/>
      <c r="W1998" s="7"/>
      <c r="X1998" s="13"/>
      <c r="Y1998" s="13" t="s">
        <v>8126</v>
      </c>
    </row>
    <row r="1999" customFormat="false" ht="15.75" hidden="false" customHeight="true" outlineLevel="0" collapsed="false">
      <c r="A1999" s="7" t="s">
        <v>8127</v>
      </c>
      <c r="B1999" s="8" t="n">
        <v>1996</v>
      </c>
      <c r="C1999" s="8" t="s">
        <v>26</v>
      </c>
      <c r="D1999" s="8" t="n">
        <v>81</v>
      </c>
      <c r="E1999" s="7" t="s">
        <v>8128</v>
      </c>
      <c r="F1999" s="8" t="n">
        <v>6.3</v>
      </c>
      <c r="G1999" s="8" t="n">
        <v>6</v>
      </c>
      <c r="H1999" s="9" t="n">
        <v>41013</v>
      </c>
      <c r="I1999" s="7" t="s">
        <v>46</v>
      </c>
      <c r="J1999" s="7" t="s">
        <v>90</v>
      </c>
      <c r="K1999" s="7" t="s">
        <v>259</v>
      </c>
      <c r="L1999" s="10" t="s">
        <v>177</v>
      </c>
      <c r="M1999" s="10" t="s">
        <v>8129</v>
      </c>
      <c r="N1999" s="8" t="n">
        <v>0</v>
      </c>
      <c r="O1999" s="8" t="n">
        <v>0</v>
      </c>
      <c r="P1999" s="8" t="n">
        <v>0</v>
      </c>
      <c r="Q1999" s="8" t="n">
        <v>0</v>
      </c>
      <c r="R1999" s="13" t="n">
        <v>0</v>
      </c>
      <c r="S1999" s="13" t="n">
        <v>0</v>
      </c>
      <c r="T1999" s="13"/>
      <c r="U1999" s="11" t="n">
        <f aca="false">O1999*4 + P1999*2 + MAX(0,N1999-O1999-P1999)*1 + Q1999*0.2 + R1999*2 + S1999*1 + IF(T1999="",0,IF(T1999&lt;=10,8,IF(T1999&lt;=50,6,IF(T1999&lt;=100,4,2))))</f>
        <v>0</v>
      </c>
      <c r="V1999" s="7"/>
      <c r="W1999" s="7"/>
      <c r="X1999" s="13"/>
      <c r="Y1999" s="13" t="s">
        <v>8130</v>
      </c>
    </row>
    <row r="2000" customFormat="false" ht="15.75" hidden="false" customHeight="true" outlineLevel="0" collapsed="false">
      <c r="A2000" s="7" t="s">
        <v>8131</v>
      </c>
      <c r="B2000" s="8" t="n">
        <v>2001</v>
      </c>
      <c r="C2000" s="8" t="s">
        <v>35</v>
      </c>
      <c r="D2000" s="8" t="n">
        <v>120</v>
      </c>
      <c r="E2000" s="7" t="s">
        <v>561</v>
      </c>
      <c r="F2000" s="8" t="n">
        <v>5.7</v>
      </c>
      <c r="G2000" s="8" t="n">
        <v>7</v>
      </c>
      <c r="H2000" s="9" t="n">
        <v>242836</v>
      </c>
      <c r="I2000" s="7" t="s">
        <v>46</v>
      </c>
      <c r="J2000" s="7" t="s">
        <v>111</v>
      </c>
      <c r="K2000" s="7" t="s">
        <v>112</v>
      </c>
      <c r="L2000" s="10" t="s">
        <v>177</v>
      </c>
      <c r="M2000" s="10" t="s">
        <v>8132</v>
      </c>
      <c r="N2000" s="8" t="n">
        <v>0</v>
      </c>
      <c r="O2000" s="8" t="n">
        <v>0</v>
      </c>
      <c r="P2000" s="8" t="n">
        <v>0</v>
      </c>
      <c r="Q2000" s="8" t="n">
        <v>0</v>
      </c>
      <c r="R2000" s="13" t="n">
        <v>0</v>
      </c>
      <c r="S2000" s="13" t="n">
        <v>0</v>
      </c>
      <c r="T2000" s="13"/>
      <c r="U2000" s="11" t="n">
        <f aca="false">O2000*4 + P2000*2 + MAX(0,N2000-O2000-P2000)*1 + Q2000*0.2 + R2000*2 + S2000*1 + IF(T2000="",0,IF(T2000&lt;=10,8,IF(T2000&lt;=50,6,IF(T2000&lt;=100,4,2))))</f>
        <v>0</v>
      </c>
      <c r="V2000" s="7"/>
      <c r="W2000" s="7"/>
      <c r="X2000" s="13"/>
      <c r="Y2000" s="13" t="s">
        <v>8133</v>
      </c>
    </row>
    <row r="2001" customFormat="false" ht="15.75" hidden="false" customHeight="true" outlineLevel="0" collapsed="false">
      <c r="A2001" s="7" t="s">
        <v>8134</v>
      </c>
      <c r="B2001" s="8" t="n">
        <v>2010</v>
      </c>
      <c r="C2001" s="8" t="s">
        <v>176</v>
      </c>
      <c r="D2001" s="8" t="n">
        <v>108</v>
      </c>
      <c r="E2001" s="7" t="s">
        <v>8135</v>
      </c>
      <c r="F2001" s="8" t="n">
        <v>6.9</v>
      </c>
      <c r="G2001" s="8" t="n">
        <v>7</v>
      </c>
      <c r="H2001" s="9" t="n">
        <v>5261</v>
      </c>
      <c r="I2001" s="7" t="s">
        <v>232</v>
      </c>
      <c r="J2001" s="7" t="s">
        <v>47</v>
      </c>
      <c r="K2001" s="7" t="s">
        <v>54</v>
      </c>
      <c r="L2001" s="10" t="s">
        <v>205</v>
      </c>
      <c r="M2001" s="10" t="s">
        <v>8136</v>
      </c>
      <c r="N2001" s="8" t="n">
        <v>0</v>
      </c>
      <c r="O2001" s="8" t="n">
        <v>0</v>
      </c>
      <c r="P2001" s="8" t="n">
        <v>0</v>
      </c>
      <c r="Q2001" s="8" t="n">
        <v>0</v>
      </c>
      <c r="R2001" s="13" t="n">
        <v>0</v>
      </c>
      <c r="S2001" s="13" t="n">
        <v>0</v>
      </c>
      <c r="T2001" s="13"/>
      <c r="U2001" s="11" t="n">
        <f aca="false">O2001*4 + P2001*2 + MAX(0,N2001-O2001-P2001)*1 + Q2001*0.2 + R2001*2 + S2001*1 + IF(T2001="",0,IF(T2001&lt;=10,8,IF(T2001&lt;=50,6,IF(T2001&lt;=100,4,2))))</f>
        <v>0</v>
      </c>
      <c r="V2001" s="7"/>
      <c r="W2001" s="7"/>
      <c r="X2001" s="13"/>
      <c r="Y2001" s="13" t="s">
        <v>8137</v>
      </c>
    </row>
    <row r="2002" customFormat="false" ht="15.75" hidden="false" customHeight="true" outlineLevel="0" collapsed="false">
      <c r="A2002" s="7" t="s">
        <v>8138</v>
      </c>
      <c r="B2002" s="8" t="n">
        <v>2016</v>
      </c>
      <c r="C2002" s="8" t="s">
        <v>176</v>
      </c>
      <c r="D2002" s="8" t="n">
        <v>139</v>
      </c>
      <c r="E2002" s="7" t="s">
        <v>1604</v>
      </c>
      <c r="F2002" s="8" t="n">
        <v>6.9</v>
      </c>
      <c r="G2002" s="8" t="n">
        <v>6</v>
      </c>
      <c r="H2002" s="9" t="n">
        <v>68656</v>
      </c>
      <c r="I2002" s="7" t="s">
        <v>46</v>
      </c>
      <c r="J2002" s="7" t="s">
        <v>112</v>
      </c>
      <c r="K2002" s="7" t="s">
        <v>48</v>
      </c>
      <c r="L2002" s="10" t="s">
        <v>507</v>
      </c>
      <c r="M2002" s="10" t="s">
        <v>8139</v>
      </c>
      <c r="N2002" s="8" t="n">
        <v>0</v>
      </c>
      <c r="O2002" s="8" t="n">
        <v>0</v>
      </c>
      <c r="P2002" s="8" t="n">
        <v>0</v>
      </c>
      <c r="Q2002" s="8" t="n">
        <v>0</v>
      </c>
      <c r="R2002" s="13" t="n">
        <v>0</v>
      </c>
      <c r="S2002" s="13" t="n">
        <v>0</v>
      </c>
      <c r="T2002" s="13"/>
      <c r="U2002" s="11" t="n">
        <f aca="false">O2002*4 + P2002*2 + MAX(0,N2002-O2002-P2002)*1 + Q2002*0.2 + R2002*2 + S2002*1 + IF(T2002="",0,IF(T2002&lt;=10,8,IF(T2002&lt;=50,6,IF(T2002&lt;=100,4,2))))</f>
        <v>0</v>
      </c>
      <c r="V2002" s="7"/>
      <c r="W2002" s="7"/>
      <c r="X2002" s="13"/>
      <c r="Y2002" s="13" t="s">
        <v>8140</v>
      </c>
    </row>
    <row r="2003" customFormat="false" ht="15.75" hidden="false" customHeight="true" outlineLevel="0" collapsed="false">
      <c r="A2003" s="7" t="s">
        <v>8141</v>
      </c>
      <c r="B2003" s="8" t="n">
        <v>2016</v>
      </c>
      <c r="C2003" s="8" t="s">
        <v>176</v>
      </c>
      <c r="D2003" s="8" t="n">
        <v>92</v>
      </c>
      <c r="E2003" s="7" t="s">
        <v>8142</v>
      </c>
      <c r="F2003" s="8" t="n">
        <v>6.7</v>
      </c>
      <c r="G2003" s="8" t="n">
        <v>5</v>
      </c>
      <c r="H2003" s="9" t="n">
        <v>13169</v>
      </c>
      <c r="I2003" s="7" t="s">
        <v>232</v>
      </c>
      <c r="J2003" s="7" t="s">
        <v>131</v>
      </c>
      <c r="K2003" s="7" t="s">
        <v>132</v>
      </c>
      <c r="L2003" s="10" t="s">
        <v>431</v>
      </c>
      <c r="M2003" s="10" t="s">
        <v>8143</v>
      </c>
      <c r="N2003" s="8" t="n">
        <v>0</v>
      </c>
      <c r="O2003" s="8" t="n">
        <v>0</v>
      </c>
      <c r="P2003" s="8" t="n">
        <v>0</v>
      </c>
      <c r="Q2003" s="8" t="n">
        <v>0</v>
      </c>
      <c r="R2003" s="13" t="n">
        <v>0</v>
      </c>
      <c r="S2003" s="13" t="n">
        <v>0</v>
      </c>
      <c r="T2003" s="13"/>
      <c r="U2003" s="11" t="n">
        <f aca="false">O2003*4 + P2003*2 + MAX(0,N2003-O2003-P2003)*1 + Q2003*0.2 + R2003*2 + S2003*1 + IF(T2003="",0,IF(T2003&lt;=10,8,IF(T2003&lt;=50,6,IF(T2003&lt;=100,4,2))))</f>
        <v>0</v>
      </c>
      <c r="V2003" s="7"/>
      <c r="W2003" s="7"/>
      <c r="X2003" s="13"/>
      <c r="Y2003" s="13" t="s">
        <v>8144</v>
      </c>
    </row>
    <row r="2004" customFormat="false" ht="15.75" hidden="false" customHeight="true" outlineLevel="0" collapsed="false">
      <c r="A2004" s="7" t="s">
        <v>8145</v>
      </c>
      <c r="B2004" s="8" t="n">
        <v>1991</v>
      </c>
      <c r="C2004" s="8" t="s">
        <v>26</v>
      </c>
      <c r="D2004" s="8" t="n">
        <v>122</v>
      </c>
      <c r="E2004" s="7" t="s">
        <v>4878</v>
      </c>
      <c r="F2004" s="8" t="n">
        <v>7.3</v>
      </c>
      <c r="G2004" s="8" t="n">
        <v>5</v>
      </c>
      <c r="H2004" s="9" t="n">
        <v>228272</v>
      </c>
      <c r="I2004" s="7" t="s">
        <v>46</v>
      </c>
      <c r="J2004" s="7" t="s">
        <v>131</v>
      </c>
      <c r="K2004" s="7" t="s">
        <v>54</v>
      </c>
      <c r="L2004" s="10" t="s">
        <v>7042</v>
      </c>
      <c r="M2004" s="10" t="s">
        <v>8146</v>
      </c>
      <c r="N2004" s="8" t="n">
        <v>0</v>
      </c>
      <c r="O2004" s="8" t="n">
        <v>0</v>
      </c>
      <c r="P2004" s="8" t="n">
        <v>0</v>
      </c>
      <c r="Q2004" s="8" t="n">
        <v>0</v>
      </c>
      <c r="R2004" s="13" t="n">
        <v>0</v>
      </c>
      <c r="S2004" s="13" t="n">
        <v>0</v>
      </c>
      <c r="T2004" s="13"/>
      <c r="U2004" s="11" t="n">
        <f aca="false">O2004*4 + P2004*2 + MAX(0,N2004-O2004-P2004)*1 + Q2004*0.2 + R2004*2 + S2004*1 + IF(T2004="",0,IF(T2004&lt;=10,8,IF(T2004&lt;=50,6,IF(T2004&lt;=100,4,2))))</f>
        <v>0</v>
      </c>
      <c r="V2004" s="7"/>
      <c r="W2004" s="7"/>
      <c r="X2004" s="13"/>
      <c r="Y2004" s="13" t="s">
        <v>8147</v>
      </c>
    </row>
    <row r="2005" customFormat="false" ht="15.75" hidden="false" customHeight="true" outlineLevel="0" collapsed="false">
      <c r="A2005" s="7" t="s">
        <v>8148</v>
      </c>
      <c r="B2005" s="8" t="n">
        <v>2007</v>
      </c>
      <c r="C2005" s="8" t="s">
        <v>35</v>
      </c>
      <c r="D2005" s="8" t="n">
        <v>85</v>
      </c>
      <c r="E2005" s="7" t="s">
        <v>8149</v>
      </c>
      <c r="F2005" s="8" t="n">
        <v>5.3</v>
      </c>
      <c r="G2005" s="8" t="n">
        <v>6</v>
      </c>
      <c r="H2005" s="9" t="n">
        <v>71361</v>
      </c>
      <c r="I2005" s="7" t="s">
        <v>46</v>
      </c>
      <c r="J2005" s="7" t="s">
        <v>30</v>
      </c>
      <c r="K2005" s="7"/>
      <c r="L2005" s="10"/>
      <c r="M2005" s="10" t="s">
        <v>8150</v>
      </c>
      <c r="N2005" s="8" t="n">
        <v>0</v>
      </c>
      <c r="O2005" s="8" t="n">
        <v>0</v>
      </c>
      <c r="P2005" s="8" t="n">
        <v>0</v>
      </c>
      <c r="Q2005" s="8" t="n">
        <v>0</v>
      </c>
      <c r="R2005" s="13" t="n">
        <v>0</v>
      </c>
      <c r="S2005" s="13" t="n">
        <v>0</v>
      </c>
      <c r="T2005" s="13"/>
      <c r="U2005" s="11" t="n">
        <f aca="false">O2005*4 + P2005*2 + MAX(0,N2005-O2005-P2005)*1 + Q2005*0.2 + R2005*2 + S2005*1 + IF(T2005="",0,IF(T2005&lt;=10,8,IF(T2005&lt;=50,6,IF(T2005&lt;=100,4,2))))</f>
        <v>0</v>
      </c>
      <c r="V2005" s="7"/>
      <c r="W2005" s="7"/>
      <c r="X2005" s="13"/>
      <c r="Y2005" s="13" t="s">
        <v>8151</v>
      </c>
    </row>
    <row r="2006" customFormat="false" ht="15.75" hidden="false" customHeight="true" outlineLevel="0" collapsed="false">
      <c r="A2006" s="7" t="s">
        <v>8152</v>
      </c>
      <c r="B2006" s="8" t="n">
        <v>2016</v>
      </c>
      <c r="C2006" s="8" t="s">
        <v>176</v>
      </c>
      <c r="D2006" s="8" t="n">
        <v>132</v>
      </c>
      <c r="E2006" s="7" t="s">
        <v>2372</v>
      </c>
      <c r="F2006" s="8" t="n">
        <v>6.9</v>
      </c>
      <c r="G2006" s="8" t="n">
        <v>6</v>
      </c>
      <c r="H2006" s="9" t="n">
        <v>247917</v>
      </c>
      <c r="I2006" s="7" t="s">
        <v>46</v>
      </c>
      <c r="J2006" s="7" t="s">
        <v>112</v>
      </c>
      <c r="K2006" s="7" t="s">
        <v>39</v>
      </c>
      <c r="L2006" s="10" t="s">
        <v>187</v>
      </c>
      <c r="M2006" s="10" t="s">
        <v>8153</v>
      </c>
      <c r="N2006" s="8" t="n">
        <v>0</v>
      </c>
      <c r="O2006" s="8" t="n">
        <v>0</v>
      </c>
      <c r="P2006" s="8" t="n">
        <v>0</v>
      </c>
      <c r="Q2006" s="8" t="n">
        <v>1</v>
      </c>
      <c r="R2006" s="8" t="n">
        <v>0</v>
      </c>
      <c r="S2006" s="13" t="n">
        <v>0</v>
      </c>
      <c r="T2006" s="8"/>
      <c r="U2006" s="11" t="n">
        <f aca="false">O2006*4 + P2006*2 + MAX(0,N2006-O2006-P2006)*1 + Q2006*0.2 + R2006*2 + S2006*1 + IF(T2006="",0,IF(T2006&lt;=10,8,IF(T2006&lt;=50,6,IF(T2006&lt;=100,4,2))))</f>
        <v>0.2</v>
      </c>
      <c r="V2006" s="7"/>
      <c r="W2006" s="7"/>
      <c r="X2006" s="13"/>
      <c r="Y2006" s="13" t="s">
        <v>8154</v>
      </c>
    </row>
    <row r="2007" customFormat="false" ht="15.75" hidden="false" customHeight="true" outlineLevel="0" collapsed="false">
      <c r="A2007" s="7" t="s">
        <v>8155</v>
      </c>
      <c r="B2007" s="8" t="n">
        <v>2009</v>
      </c>
      <c r="C2007" s="8" t="s">
        <v>35</v>
      </c>
      <c r="D2007" s="8" t="n">
        <v>92</v>
      </c>
      <c r="E2007" s="7" t="s">
        <v>8156</v>
      </c>
      <c r="F2007" s="8" t="n">
        <v>5.6</v>
      </c>
      <c r="G2007" s="8" t="n">
        <v>4</v>
      </c>
      <c r="H2007" s="9" t="n">
        <v>52140</v>
      </c>
      <c r="I2007" s="7" t="s">
        <v>46</v>
      </c>
      <c r="J2007" s="7" t="s">
        <v>112</v>
      </c>
      <c r="K2007" s="7" t="s">
        <v>39</v>
      </c>
      <c r="L2007" s="10" t="s">
        <v>573</v>
      </c>
      <c r="M2007" s="10" t="s">
        <v>8157</v>
      </c>
      <c r="N2007" s="8" t="n">
        <v>0</v>
      </c>
      <c r="O2007" s="8" t="n">
        <v>0</v>
      </c>
      <c r="P2007" s="8" t="n">
        <v>0</v>
      </c>
      <c r="Q2007" s="8" t="n">
        <v>0</v>
      </c>
      <c r="R2007" s="13" t="n">
        <v>0</v>
      </c>
      <c r="S2007" s="13" t="n">
        <v>0</v>
      </c>
      <c r="T2007" s="13"/>
      <c r="U2007" s="11" t="n">
        <f aca="false">O2007*4 + P2007*2 + MAX(0,N2007-O2007-P2007)*1 + Q2007*0.2 + R2007*2 + S2007*1 + IF(T2007="",0,IF(T2007&lt;=10,8,IF(T2007&lt;=50,6,IF(T2007&lt;=100,4,2))))</f>
        <v>0</v>
      </c>
      <c r="V2007" s="7"/>
      <c r="W2007" s="7"/>
      <c r="X2007" s="13"/>
      <c r="Y2007" s="13" t="s">
        <v>8158</v>
      </c>
    </row>
    <row r="2008" customFormat="false" ht="15.75" hidden="false" customHeight="true" outlineLevel="0" collapsed="false">
      <c r="A2008" s="7" t="s">
        <v>8159</v>
      </c>
      <c r="B2008" s="8" t="n">
        <v>2016</v>
      </c>
      <c r="C2008" s="8" t="s">
        <v>176</v>
      </c>
      <c r="D2008" s="8" t="n">
        <v>97</v>
      </c>
      <c r="E2008" s="7" t="s">
        <v>8160</v>
      </c>
      <c r="F2008" s="8" t="n">
        <v>6.3</v>
      </c>
      <c r="G2008" s="8" t="n">
        <v>4</v>
      </c>
      <c r="H2008" s="9" t="n">
        <v>120359</v>
      </c>
      <c r="I2008" s="7" t="s">
        <v>8161</v>
      </c>
      <c r="J2008" s="7" t="s">
        <v>579</v>
      </c>
      <c r="K2008" s="7" t="s">
        <v>112</v>
      </c>
      <c r="L2008" s="10" t="s">
        <v>238</v>
      </c>
      <c r="M2008" s="10" t="s">
        <v>8162</v>
      </c>
      <c r="N2008" s="8" t="n">
        <v>0</v>
      </c>
      <c r="O2008" s="8" t="n">
        <v>0</v>
      </c>
      <c r="P2008" s="8" t="n">
        <v>0</v>
      </c>
      <c r="Q2008" s="8" t="n">
        <v>0</v>
      </c>
      <c r="R2008" s="13" t="n">
        <v>0</v>
      </c>
      <c r="S2008" s="13" t="n">
        <v>0</v>
      </c>
      <c r="T2008" s="13"/>
      <c r="U2008" s="11" t="n">
        <f aca="false">O2008*4 + P2008*2 + MAX(0,N2008-O2008-P2008)*1 + Q2008*0.2 + R2008*2 + S2008*1 + IF(T2008="",0,IF(T2008&lt;=10,8,IF(T2008&lt;=50,6,IF(T2008&lt;=100,4,2))))</f>
        <v>0</v>
      </c>
      <c r="V2008" s="7"/>
      <c r="W2008" s="7"/>
      <c r="X2008" s="13"/>
      <c r="Y2008" s="13" t="s">
        <v>8163</v>
      </c>
    </row>
    <row r="2009" customFormat="false" ht="15.75" hidden="false" customHeight="true" outlineLevel="0" collapsed="false">
      <c r="A2009" s="7" t="s">
        <v>8164</v>
      </c>
      <c r="B2009" s="8" t="n">
        <v>2016</v>
      </c>
      <c r="C2009" s="8" t="s">
        <v>176</v>
      </c>
      <c r="D2009" s="8" t="n">
        <v>89</v>
      </c>
      <c r="E2009" s="7" t="s">
        <v>8165</v>
      </c>
      <c r="F2009" s="8" t="n">
        <v>5.8</v>
      </c>
      <c r="G2009" s="8" t="n">
        <v>5</v>
      </c>
      <c r="H2009" s="9" t="n">
        <v>8689</v>
      </c>
      <c r="I2009" s="7" t="s">
        <v>46</v>
      </c>
      <c r="J2009" s="7" t="s">
        <v>30</v>
      </c>
      <c r="K2009" s="7"/>
      <c r="L2009" s="10" t="s">
        <v>238</v>
      </c>
      <c r="M2009" s="10" t="s">
        <v>8166</v>
      </c>
      <c r="N2009" s="8" t="n">
        <v>0</v>
      </c>
      <c r="O2009" s="8" t="n">
        <v>0</v>
      </c>
      <c r="P2009" s="8" t="n">
        <v>0</v>
      </c>
      <c r="Q2009" s="8" t="n">
        <v>0</v>
      </c>
      <c r="R2009" s="13" t="n">
        <v>0</v>
      </c>
      <c r="S2009" s="13" t="n">
        <v>0</v>
      </c>
      <c r="T2009" s="13"/>
      <c r="U2009" s="11" t="n">
        <f aca="false">O2009*4 + P2009*2 + MAX(0,N2009-O2009-P2009)*1 + Q2009*0.2 + R2009*2 + S2009*1 + IF(T2009="",0,IF(T2009&lt;=10,8,IF(T2009&lt;=50,6,IF(T2009&lt;=100,4,2))))</f>
        <v>0</v>
      </c>
      <c r="V2009" s="7"/>
      <c r="W2009" s="7"/>
      <c r="X2009" s="13"/>
      <c r="Y2009" s="13" t="s">
        <v>8167</v>
      </c>
    </row>
    <row r="2010" customFormat="false" ht="15.75" hidden="false" customHeight="true" outlineLevel="0" collapsed="false">
      <c r="A2010" s="7" t="s">
        <v>8168</v>
      </c>
      <c r="B2010" s="8" t="n">
        <v>1996</v>
      </c>
      <c r="C2010" s="8" t="s">
        <v>26</v>
      </c>
      <c r="D2010" s="8" t="n">
        <v>89</v>
      </c>
      <c r="E2010" s="7" t="s">
        <v>8169</v>
      </c>
      <c r="F2010" s="8" t="n">
        <v>6.6</v>
      </c>
      <c r="G2010" s="8" t="n">
        <v>7</v>
      </c>
      <c r="H2010" s="9" t="n">
        <v>67762</v>
      </c>
      <c r="I2010" s="7" t="s">
        <v>46</v>
      </c>
      <c r="J2010" s="7" t="s">
        <v>30</v>
      </c>
      <c r="K2010" s="7" t="s">
        <v>54</v>
      </c>
      <c r="L2010" s="10" t="s">
        <v>192</v>
      </c>
      <c r="M2010" s="10" t="s">
        <v>8170</v>
      </c>
      <c r="N2010" s="8" t="n">
        <v>0</v>
      </c>
      <c r="O2010" s="8" t="n">
        <v>0</v>
      </c>
      <c r="P2010" s="8" t="n">
        <v>0</v>
      </c>
      <c r="Q2010" s="8" t="n">
        <v>0</v>
      </c>
      <c r="R2010" s="13" t="n">
        <v>0</v>
      </c>
      <c r="S2010" s="13" t="n">
        <v>0</v>
      </c>
      <c r="T2010" s="13"/>
      <c r="U2010" s="11" t="n">
        <f aca="false">O2010*4 + P2010*2 + MAX(0,N2010-O2010-P2010)*1 + Q2010*0.2 + R2010*2 + S2010*1 + IF(T2010="",0,IF(T2010&lt;=10,8,IF(T2010&lt;=50,6,IF(T2010&lt;=100,4,2))))</f>
        <v>0</v>
      </c>
      <c r="V2010" s="7"/>
      <c r="W2010" s="7"/>
      <c r="X2010" s="13"/>
      <c r="Y2010" s="13" t="s">
        <v>8171</v>
      </c>
    </row>
    <row r="2011" customFormat="false" ht="15.75" hidden="false" customHeight="true" outlineLevel="0" collapsed="false">
      <c r="A2011" s="7" t="s">
        <v>8172</v>
      </c>
      <c r="B2011" s="8" t="n">
        <v>2017</v>
      </c>
      <c r="C2011" s="8" t="s">
        <v>176</v>
      </c>
      <c r="D2011" s="8" t="n">
        <v>118</v>
      </c>
      <c r="E2011" s="7" t="s">
        <v>8173</v>
      </c>
      <c r="F2011" s="8" t="n">
        <v>6.7</v>
      </c>
      <c r="G2011" s="8" t="n">
        <v>6</v>
      </c>
      <c r="H2011" s="9" t="n">
        <v>377662</v>
      </c>
      <c r="I2011" s="7" t="s">
        <v>46</v>
      </c>
      <c r="J2011" s="7" t="s">
        <v>38</v>
      </c>
      <c r="K2011" s="7" t="s">
        <v>112</v>
      </c>
      <c r="L2011" s="10" t="s">
        <v>113</v>
      </c>
      <c r="M2011" s="7" t="s">
        <v>8174</v>
      </c>
      <c r="N2011" s="8" t="n">
        <v>0</v>
      </c>
      <c r="O2011" s="8" t="n">
        <v>0</v>
      </c>
      <c r="P2011" s="8" t="n">
        <v>0</v>
      </c>
      <c r="Q2011" s="8" t="n">
        <v>1</v>
      </c>
      <c r="R2011" s="8" t="n">
        <v>0</v>
      </c>
      <c r="S2011" s="8" t="n">
        <v>0</v>
      </c>
      <c r="T2011" s="13"/>
      <c r="U2011" s="11" t="n">
        <f aca="false">O2011*4 + P2011*2 + MAX(0,N2011-O2011-P2011)*1 + Q2011*0.2 + R2011*2 + S2011*1 + IF(T2011="",0,IF(T2011&lt;=10,8,IF(T2011&lt;=50,6,IF(T2011&lt;=100,4,2))))</f>
        <v>0.2</v>
      </c>
      <c r="V2011" s="7"/>
      <c r="W2011" s="7"/>
      <c r="X2011" s="13"/>
      <c r="Y2011" s="13" t="s">
        <v>8175</v>
      </c>
    </row>
    <row r="2012" customFormat="false" ht="15.75" hidden="false" customHeight="true" outlineLevel="0" collapsed="false">
      <c r="A2012" s="7" t="s">
        <v>8176</v>
      </c>
      <c r="B2012" s="8" t="n">
        <v>2012</v>
      </c>
      <c r="C2012" s="8" t="s">
        <v>176</v>
      </c>
      <c r="D2012" s="8" t="n">
        <v>144</v>
      </c>
      <c r="E2012" s="7" t="s">
        <v>1254</v>
      </c>
      <c r="F2012" s="8" t="n">
        <v>7.9</v>
      </c>
      <c r="G2012" s="8" t="n">
        <v>9</v>
      </c>
      <c r="H2012" s="9" t="n">
        <v>15018</v>
      </c>
      <c r="I2012" s="7" t="s">
        <v>359</v>
      </c>
      <c r="J2012" s="7" t="s">
        <v>2730</v>
      </c>
      <c r="K2012" s="7" t="s">
        <v>48</v>
      </c>
      <c r="L2012" s="10" t="s">
        <v>8177</v>
      </c>
      <c r="M2012" s="10" t="s">
        <v>8178</v>
      </c>
      <c r="N2012" s="8" t="n">
        <v>0</v>
      </c>
      <c r="O2012" s="8" t="n">
        <v>0</v>
      </c>
      <c r="P2012" s="8" t="n">
        <v>0</v>
      </c>
      <c r="Q2012" s="8" t="n">
        <v>0</v>
      </c>
      <c r="R2012" s="13" t="n">
        <v>0</v>
      </c>
      <c r="S2012" s="13" t="n">
        <v>0</v>
      </c>
      <c r="T2012" s="13"/>
      <c r="U2012" s="11" t="n">
        <f aca="false">O2012*4 + P2012*2 + MAX(0,N2012-O2012-P2012)*1 + Q2012*0.2 + R2012*2 + S2012*1 + IF(T2012="",0,IF(T2012&lt;=10,8,IF(T2012&lt;=50,6,IF(T2012&lt;=100,4,2))))</f>
        <v>0</v>
      </c>
      <c r="V2012" s="7"/>
      <c r="W2012" s="7"/>
      <c r="X2012" s="13"/>
      <c r="Y2012" s="13" t="s">
        <v>8179</v>
      </c>
    </row>
    <row r="2013" customFormat="false" ht="15.75" hidden="false" customHeight="true" outlineLevel="0" collapsed="false">
      <c r="A2013" s="7" t="s">
        <v>8180</v>
      </c>
      <c r="B2013" s="8" t="n">
        <v>2016</v>
      </c>
      <c r="C2013" s="8" t="s">
        <v>176</v>
      </c>
      <c r="D2013" s="8" t="n">
        <v>105</v>
      </c>
      <c r="E2013" s="7" t="s">
        <v>8181</v>
      </c>
      <c r="F2013" s="8" t="n">
        <v>5.9</v>
      </c>
      <c r="G2013" s="8" t="n">
        <v>3</v>
      </c>
      <c r="H2013" s="9" t="n">
        <v>94698</v>
      </c>
      <c r="I2013" s="7" t="s">
        <v>46</v>
      </c>
      <c r="J2013" s="7" t="s">
        <v>30</v>
      </c>
      <c r="K2013" s="7"/>
      <c r="L2013" s="10" t="s">
        <v>161</v>
      </c>
      <c r="M2013" s="10" t="s">
        <v>8182</v>
      </c>
      <c r="N2013" s="8" t="n">
        <v>0</v>
      </c>
      <c r="O2013" s="8" t="n">
        <v>0</v>
      </c>
      <c r="P2013" s="8" t="n">
        <v>0</v>
      </c>
      <c r="Q2013" s="8" t="n">
        <v>0</v>
      </c>
      <c r="R2013" s="13" t="n">
        <v>0</v>
      </c>
      <c r="S2013" s="13" t="n">
        <v>0</v>
      </c>
      <c r="T2013" s="13"/>
      <c r="U2013" s="11" t="n">
        <f aca="false">O2013*4 + P2013*2 + MAX(0,N2013-O2013-P2013)*1 + Q2013*0.2 + R2013*2 + S2013*1 + IF(T2013="",0,IF(T2013&lt;=10,8,IF(T2013&lt;=50,6,IF(T2013&lt;=100,4,2))))</f>
        <v>0</v>
      </c>
      <c r="V2013" s="7"/>
      <c r="W2013" s="7"/>
      <c r="X2013" s="13"/>
      <c r="Y2013" s="13" t="s">
        <v>8183</v>
      </c>
    </row>
    <row r="2014" customFormat="false" ht="15.75" hidden="false" customHeight="true" outlineLevel="0" collapsed="false">
      <c r="A2014" s="7" t="s">
        <v>8184</v>
      </c>
      <c r="B2014" s="8" t="n">
        <v>2014</v>
      </c>
      <c r="C2014" s="8" t="s">
        <v>176</v>
      </c>
      <c r="D2014" s="8" t="n">
        <v>106</v>
      </c>
      <c r="E2014" s="7" t="s">
        <v>8185</v>
      </c>
      <c r="F2014" s="8" t="n">
        <v>7.1</v>
      </c>
      <c r="G2014" s="8" t="n">
        <v>6</v>
      </c>
      <c r="H2014" s="9" t="n">
        <v>4200</v>
      </c>
      <c r="I2014" s="7" t="s">
        <v>46</v>
      </c>
      <c r="J2014" s="7" t="s">
        <v>2730</v>
      </c>
      <c r="K2014" s="7" t="s">
        <v>48</v>
      </c>
      <c r="L2014" s="10"/>
      <c r="M2014" s="10" t="s">
        <v>8186</v>
      </c>
      <c r="N2014" s="8" t="n">
        <v>0</v>
      </c>
      <c r="O2014" s="8" t="n">
        <v>0</v>
      </c>
      <c r="P2014" s="8" t="n">
        <v>0</v>
      </c>
      <c r="Q2014" s="8" t="n">
        <v>0</v>
      </c>
      <c r="R2014" s="13" t="n">
        <v>0</v>
      </c>
      <c r="S2014" s="13" t="n">
        <v>0</v>
      </c>
      <c r="T2014" s="13"/>
      <c r="U2014" s="11" t="n">
        <f aca="false">O2014*4 + P2014*2 + MAX(0,N2014-O2014-P2014)*1 + Q2014*0.2 + R2014*2 + S2014*1 + IF(T2014="",0,IF(T2014&lt;=10,8,IF(T2014&lt;=50,6,IF(T2014&lt;=100,4,2))))</f>
        <v>0</v>
      </c>
      <c r="V2014" s="7"/>
      <c r="W2014" s="7"/>
      <c r="X2014" s="13"/>
      <c r="Y2014" s="13" t="s">
        <v>8187</v>
      </c>
    </row>
    <row r="2015" customFormat="false" ht="15.75" hidden="false" customHeight="true" outlineLevel="0" collapsed="false">
      <c r="A2015" s="7" t="s">
        <v>8188</v>
      </c>
      <c r="B2015" s="8" t="n">
        <v>2017</v>
      </c>
      <c r="C2015" s="8" t="s">
        <v>176</v>
      </c>
      <c r="D2015" s="8" t="n">
        <v>136</v>
      </c>
      <c r="E2015" s="7" t="s">
        <v>1706</v>
      </c>
      <c r="F2015" s="8" t="n">
        <v>6.6</v>
      </c>
      <c r="G2015" s="8" t="n">
        <v>5</v>
      </c>
      <c r="H2015" s="9" t="n">
        <v>277345</v>
      </c>
      <c r="I2015" s="7" t="s">
        <v>46</v>
      </c>
      <c r="J2015" s="7" t="s">
        <v>131</v>
      </c>
      <c r="K2015" s="7" t="s">
        <v>54</v>
      </c>
      <c r="L2015" s="10" t="s">
        <v>5302</v>
      </c>
      <c r="M2015" s="7" t="s">
        <v>8189</v>
      </c>
      <c r="N2015" s="8" t="n">
        <v>0</v>
      </c>
      <c r="O2015" s="8" t="n">
        <v>0</v>
      </c>
      <c r="P2015" s="8" t="n">
        <v>0</v>
      </c>
      <c r="Q2015" s="8" t="n">
        <v>0</v>
      </c>
      <c r="R2015" s="13" t="n">
        <v>0</v>
      </c>
      <c r="S2015" s="13" t="n">
        <v>0</v>
      </c>
      <c r="T2015" s="13"/>
      <c r="U2015" s="11" t="n">
        <f aca="false">O2015*4 + P2015*2 + MAX(0,N2015-O2015-P2015)*1 + Q2015*0.2 + R2015*2 + S2015*1 + IF(T2015="",0,IF(T2015&lt;=10,8,IF(T2015&lt;=50,6,IF(T2015&lt;=100,4,2))))</f>
        <v>0</v>
      </c>
      <c r="V2015" s="7"/>
      <c r="W2015" s="7"/>
      <c r="X2015" s="13"/>
      <c r="Y2015" s="13" t="s">
        <v>8190</v>
      </c>
    </row>
    <row r="2016" customFormat="false" ht="15.75" hidden="false" customHeight="true" outlineLevel="0" collapsed="false">
      <c r="A2016" s="7" t="s">
        <v>8191</v>
      </c>
      <c r="B2016" s="8" t="n">
        <v>2014</v>
      </c>
      <c r="C2016" s="8" t="s">
        <v>176</v>
      </c>
      <c r="D2016" s="8" t="n">
        <v>132</v>
      </c>
      <c r="E2016" s="7" t="s">
        <v>2372</v>
      </c>
      <c r="F2016" s="8" t="n">
        <v>7.3</v>
      </c>
      <c r="G2016" s="8" t="n">
        <v>6</v>
      </c>
      <c r="H2016" s="9" t="n">
        <v>470729</v>
      </c>
      <c r="I2016" s="7" t="s">
        <v>46</v>
      </c>
      <c r="J2016" s="7" t="s">
        <v>131</v>
      </c>
      <c r="K2016" s="7" t="s">
        <v>54</v>
      </c>
      <c r="L2016" s="10" t="s">
        <v>552</v>
      </c>
      <c r="M2016" s="7" t="s">
        <v>8192</v>
      </c>
      <c r="N2016" s="8" t="n">
        <v>0</v>
      </c>
      <c r="O2016" s="8" t="n">
        <v>0</v>
      </c>
      <c r="P2016" s="8" t="n">
        <v>0</v>
      </c>
      <c r="Q2016" s="8" t="n">
        <v>0</v>
      </c>
      <c r="R2016" s="13" t="n">
        <v>0</v>
      </c>
      <c r="S2016" s="13" t="n">
        <v>0</v>
      </c>
      <c r="T2016" s="13"/>
      <c r="U2016" s="11" t="n">
        <f aca="false">O2016*4 + P2016*2 + MAX(0,N2016-O2016-P2016)*1 + Q2016*0.2 + R2016*2 + S2016*1 + IF(T2016="",0,IF(T2016&lt;=10,8,IF(T2016&lt;=50,6,IF(T2016&lt;=100,4,2))))</f>
        <v>0</v>
      </c>
      <c r="V2016" s="7"/>
      <c r="W2016" s="7"/>
      <c r="X2016" s="13"/>
      <c r="Y2016" s="13" t="s">
        <v>8193</v>
      </c>
    </row>
    <row r="2017" customFormat="false" ht="15.75" hidden="false" customHeight="true" outlineLevel="0" collapsed="false">
      <c r="A2017" s="7" t="s">
        <v>8194</v>
      </c>
      <c r="B2017" s="8" t="n">
        <v>2016</v>
      </c>
      <c r="C2017" s="8" t="s">
        <v>176</v>
      </c>
      <c r="D2017" s="8" t="n">
        <v>114</v>
      </c>
      <c r="E2017" s="7" t="s">
        <v>2294</v>
      </c>
      <c r="F2017" s="8" t="n">
        <v>7.1</v>
      </c>
      <c r="G2017" s="8" t="n">
        <v>7</v>
      </c>
      <c r="H2017" s="9" t="n">
        <v>305893</v>
      </c>
      <c r="I2017" s="7" t="s">
        <v>8195</v>
      </c>
      <c r="J2017" s="7" t="s">
        <v>30</v>
      </c>
      <c r="K2017" s="7" t="s">
        <v>54</v>
      </c>
      <c r="L2017" s="10" t="s">
        <v>636</v>
      </c>
      <c r="M2017" s="7" t="s">
        <v>8196</v>
      </c>
      <c r="N2017" s="8" t="n">
        <v>0</v>
      </c>
      <c r="O2017" s="8" t="n">
        <v>0</v>
      </c>
      <c r="P2017" s="8" t="n">
        <v>0</v>
      </c>
      <c r="Q2017" s="8" t="n">
        <v>0</v>
      </c>
      <c r="R2017" s="13" t="n">
        <v>0</v>
      </c>
      <c r="S2017" s="13" t="n">
        <v>0</v>
      </c>
      <c r="T2017" s="13"/>
      <c r="U2017" s="11" t="n">
        <f aca="false">O2017*4 + P2017*2 + MAX(0,N2017-O2017-P2017)*1 + Q2017*0.2 + R2017*2 + S2017*1 + IF(T2017="",0,IF(T2017&lt;=10,8,IF(T2017&lt;=50,6,IF(T2017&lt;=100,4,2))))</f>
        <v>0</v>
      </c>
      <c r="V2017" s="7"/>
      <c r="W2017" s="7"/>
      <c r="X2017" s="13"/>
      <c r="Y2017" s="13" t="s">
        <v>8197</v>
      </c>
    </row>
    <row r="2018" customFormat="false" ht="15.75" hidden="false" customHeight="true" outlineLevel="0" collapsed="false">
      <c r="A2018" s="7" t="s">
        <v>8198</v>
      </c>
      <c r="B2018" s="8" t="n">
        <v>2017</v>
      </c>
      <c r="C2018" s="8" t="s">
        <v>176</v>
      </c>
      <c r="D2018" s="8" t="n">
        <v>122</v>
      </c>
      <c r="E2018" s="7" t="s">
        <v>1074</v>
      </c>
      <c r="F2018" s="8" t="n">
        <v>6.4</v>
      </c>
      <c r="G2018" s="8" t="n">
        <v>6</v>
      </c>
      <c r="H2018" s="9" t="n">
        <v>347890</v>
      </c>
      <c r="I2018" s="7" t="s">
        <v>8199</v>
      </c>
      <c r="J2018" s="7" t="s">
        <v>147</v>
      </c>
      <c r="K2018" s="7" t="s">
        <v>852</v>
      </c>
      <c r="L2018" s="10" t="s">
        <v>177</v>
      </c>
      <c r="M2018" s="7" t="s">
        <v>8200</v>
      </c>
      <c r="N2018" s="8" t="n">
        <v>0</v>
      </c>
      <c r="O2018" s="8" t="n">
        <v>0</v>
      </c>
      <c r="P2018" s="8" t="n">
        <v>0</v>
      </c>
      <c r="Q2018" s="8" t="n">
        <v>0</v>
      </c>
      <c r="R2018" s="13" t="n">
        <v>0</v>
      </c>
      <c r="S2018" s="13" t="n">
        <v>0</v>
      </c>
      <c r="T2018" s="13"/>
      <c r="U2018" s="11" t="n">
        <f aca="false">O2018*4 + P2018*2 + MAX(0,N2018-O2018-P2018)*1 + Q2018*0.2 + R2018*2 + S2018*1 + IF(T2018="",0,IF(T2018&lt;=10,8,IF(T2018&lt;=50,6,IF(T2018&lt;=100,4,2))))</f>
        <v>0</v>
      </c>
      <c r="V2018" s="7"/>
      <c r="W2018" s="7"/>
      <c r="X2018" s="13"/>
      <c r="Y2018" s="13" t="s">
        <v>8201</v>
      </c>
    </row>
    <row r="2019" customFormat="false" ht="15.75" hidden="false" customHeight="true" outlineLevel="0" collapsed="false">
      <c r="A2019" s="7" t="s">
        <v>8202</v>
      </c>
      <c r="B2019" s="8" t="n">
        <v>2016</v>
      </c>
      <c r="C2019" s="8" t="s">
        <v>176</v>
      </c>
      <c r="D2019" s="8" t="n">
        <v>109</v>
      </c>
      <c r="E2019" s="7" t="s">
        <v>8203</v>
      </c>
      <c r="F2019" s="8" t="n">
        <v>4.5</v>
      </c>
      <c r="G2019" s="8" t="n">
        <v>3</v>
      </c>
      <c r="H2019" s="9" t="n">
        <v>3160</v>
      </c>
      <c r="I2019" s="7" t="s">
        <v>2562</v>
      </c>
      <c r="J2019" s="7" t="s">
        <v>38</v>
      </c>
      <c r="K2019" s="7" t="s">
        <v>5160</v>
      </c>
      <c r="L2019" s="10"/>
      <c r="M2019" s="10" t="s">
        <v>8204</v>
      </c>
      <c r="N2019" s="8" t="n">
        <v>0</v>
      </c>
      <c r="O2019" s="8" t="n">
        <v>0</v>
      </c>
      <c r="P2019" s="8" t="n">
        <v>0</v>
      </c>
      <c r="Q2019" s="8" t="n">
        <v>0</v>
      </c>
      <c r="R2019" s="13" t="n">
        <v>0</v>
      </c>
      <c r="S2019" s="13" t="n">
        <v>0</v>
      </c>
      <c r="T2019" s="13"/>
      <c r="U2019" s="11" t="n">
        <f aca="false">O2019*4 + P2019*2 + MAX(0,N2019-O2019-P2019)*1 + Q2019*0.2 + R2019*2 + S2019*1 + IF(T2019="",0,IF(T2019&lt;=10,8,IF(T2019&lt;=50,6,IF(T2019&lt;=100,4,2))))</f>
        <v>0</v>
      </c>
      <c r="V2019" s="7"/>
      <c r="W2019" s="7"/>
      <c r="X2019" s="13"/>
      <c r="Y2019" s="13" t="s">
        <v>8205</v>
      </c>
    </row>
    <row r="2020" customFormat="false" ht="15.75" hidden="false" customHeight="true" outlineLevel="0" collapsed="false">
      <c r="A2020" s="7" t="s">
        <v>8206</v>
      </c>
      <c r="B2020" s="8" t="n">
        <v>2017</v>
      </c>
      <c r="C2020" s="8" t="s">
        <v>176</v>
      </c>
      <c r="D2020" s="8" t="n">
        <v>129</v>
      </c>
      <c r="E2020" s="7" t="s">
        <v>6854</v>
      </c>
      <c r="F2020" s="8" t="n">
        <v>6.5</v>
      </c>
      <c r="G2020" s="8" t="n">
        <v>4</v>
      </c>
      <c r="H2020" s="9" t="n">
        <v>389859</v>
      </c>
      <c r="I2020" s="7" t="s">
        <v>46</v>
      </c>
      <c r="J2020" s="7" t="s">
        <v>38</v>
      </c>
      <c r="K2020" s="7" t="s">
        <v>112</v>
      </c>
      <c r="L2020" s="10" t="s">
        <v>177</v>
      </c>
      <c r="M2020" s="7" t="s">
        <v>8207</v>
      </c>
      <c r="N2020" s="8" t="n">
        <v>0</v>
      </c>
      <c r="O2020" s="8" t="n">
        <v>0</v>
      </c>
      <c r="P2020" s="8" t="n">
        <v>0</v>
      </c>
      <c r="Q2020" s="8" t="n">
        <v>0</v>
      </c>
      <c r="R2020" s="13" t="n">
        <v>0</v>
      </c>
      <c r="S2020" s="13" t="n">
        <v>0</v>
      </c>
      <c r="T2020" s="13"/>
      <c r="U2020" s="11" t="n">
        <f aca="false">O2020*4 + P2020*2 + MAX(0,N2020-O2020-P2020)*1 + Q2020*0.2 + R2020*2 + S2020*1 + IF(T2020="",0,IF(T2020&lt;=10,8,IF(T2020&lt;=50,6,IF(T2020&lt;=100,4,2))))</f>
        <v>0</v>
      </c>
      <c r="V2020" s="7"/>
      <c r="W2020" s="7"/>
      <c r="X2020" s="13"/>
      <c r="Y2020" s="13" t="s">
        <v>8208</v>
      </c>
    </row>
    <row r="2021" customFormat="false" ht="15.75" hidden="false" customHeight="true" outlineLevel="0" collapsed="false">
      <c r="A2021" s="7" t="s">
        <v>8209</v>
      </c>
      <c r="B2021" s="8" t="n">
        <v>2016</v>
      </c>
      <c r="C2021" s="8" t="s">
        <v>176</v>
      </c>
      <c r="D2021" s="8" t="n">
        <v>108</v>
      </c>
      <c r="E2021" s="7" t="s">
        <v>8210</v>
      </c>
      <c r="F2021" s="8" t="n">
        <v>7.1</v>
      </c>
      <c r="G2021" s="8" t="n">
        <v>6</v>
      </c>
      <c r="H2021" s="9" t="n">
        <v>215705</v>
      </c>
      <c r="I2021" s="7" t="s">
        <v>46</v>
      </c>
      <c r="J2021" s="7" t="s">
        <v>579</v>
      </c>
      <c r="K2021" s="7" t="s">
        <v>259</v>
      </c>
      <c r="L2021" s="10" t="s">
        <v>5259</v>
      </c>
      <c r="M2021" s="10" t="s">
        <v>8211</v>
      </c>
      <c r="N2021" s="8" t="n">
        <v>0</v>
      </c>
      <c r="O2021" s="8" t="n">
        <v>0</v>
      </c>
      <c r="P2021" s="8" t="n">
        <v>0</v>
      </c>
      <c r="Q2021" s="8" t="n">
        <v>0</v>
      </c>
      <c r="R2021" s="13" t="n">
        <v>0</v>
      </c>
      <c r="S2021" s="13" t="n">
        <v>0</v>
      </c>
      <c r="T2021" s="13"/>
      <c r="U2021" s="11" t="n">
        <f aca="false">O2021*4 + P2021*2 + MAX(0,N2021-O2021-P2021)*1 + Q2021*0.2 + R2021*2 + S2021*1 + IF(T2021="",0,IF(T2021&lt;=10,8,IF(T2021&lt;=50,6,IF(T2021&lt;=100,4,2))))</f>
        <v>0</v>
      </c>
      <c r="V2021" s="7"/>
      <c r="W2021" s="7"/>
      <c r="X2021" s="13"/>
      <c r="Y2021" s="13" t="s">
        <v>8212</v>
      </c>
    </row>
    <row r="2022" customFormat="false" ht="15.75" hidden="false" customHeight="true" outlineLevel="0" collapsed="false">
      <c r="A2022" s="7" t="s">
        <v>8213</v>
      </c>
      <c r="B2022" s="8" t="n">
        <v>2017</v>
      </c>
      <c r="C2022" s="8" t="s">
        <v>176</v>
      </c>
      <c r="D2022" s="8" t="n">
        <v>137</v>
      </c>
      <c r="E2022" s="7" t="s">
        <v>1165</v>
      </c>
      <c r="F2022" s="8" t="n">
        <v>8.1</v>
      </c>
      <c r="G2022" s="8" t="n">
        <v>5</v>
      </c>
      <c r="H2022" s="9" t="n">
        <v>935888</v>
      </c>
      <c r="I2022" s="7" t="s">
        <v>46</v>
      </c>
      <c r="J2022" s="7" t="s">
        <v>111</v>
      </c>
      <c r="K2022" s="7" t="s">
        <v>5160</v>
      </c>
      <c r="L2022" s="10" t="s">
        <v>177</v>
      </c>
      <c r="M2022" s="7" t="s">
        <v>8214</v>
      </c>
      <c r="N2022" s="8" t="n">
        <v>0</v>
      </c>
      <c r="O2022" s="8" t="n">
        <v>0</v>
      </c>
      <c r="P2022" s="8" t="n">
        <v>0</v>
      </c>
      <c r="Q2022" s="8" t="n">
        <v>1</v>
      </c>
      <c r="R2022" s="8" t="n">
        <v>0</v>
      </c>
      <c r="S2022" s="8" t="n">
        <v>0</v>
      </c>
      <c r="T2022" s="8"/>
      <c r="U2022" s="11" t="n">
        <f aca="false">O2022*4 + P2022*2 + MAX(0,N2022-O2022-P2022)*1 + Q2022*0.2 + R2022*2 + S2022*1 + IF(T2022="",0,IF(T2022&lt;=10,8,IF(T2022&lt;=50,6,IF(T2022&lt;=100,4,2))))</f>
        <v>0.2</v>
      </c>
      <c r="V2022" s="7"/>
      <c r="W2022" s="7"/>
      <c r="X2022" s="13"/>
      <c r="Y2022" s="13" t="s">
        <v>8215</v>
      </c>
    </row>
    <row r="2023" customFormat="false" ht="15.75" hidden="false" customHeight="true" outlineLevel="0" collapsed="false">
      <c r="A2023" s="7" t="s">
        <v>8216</v>
      </c>
      <c r="B2023" s="8" t="n">
        <v>2017</v>
      </c>
      <c r="C2023" s="8" t="s">
        <v>176</v>
      </c>
      <c r="D2023" s="8" t="n">
        <v>140</v>
      </c>
      <c r="E2023" s="7" t="s">
        <v>5554</v>
      </c>
      <c r="F2023" s="8" t="n">
        <v>7.4</v>
      </c>
      <c r="G2023" s="8" t="n">
        <v>3</v>
      </c>
      <c r="H2023" s="9" t="n">
        <v>329251</v>
      </c>
      <c r="I2023" s="7" t="s">
        <v>2168</v>
      </c>
      <c r="J2023" s="7" t="s">
        <v>112</v>
      </c>
      <c r="K2023" s="7" t="s">
        <v>39</v>
      </c>
      <c r="L2023" s="10" t="s">
        <v>177</v>
      </c>
      <c r="M2023" s="7" t="s">
        <v>8217</v>
      </c>
      <c r="N2023" s="8" t="n">
        <v>0</v>
      </c>
      <c r="O2023" s="8" t="n">
        <v>0</v>
      </c>
      <c r="P2023" s="8" t="n">
        <v>0</v>
      </c>
      <c r="Q2023" s="8" t="n">
        <v>1</v>
      </c>
      <c r="R2023" s="8" t="n">
        <v>0</v>
      </c>
      <c r="S2023" s="8" t="n">
        <v>0</v>
      </c>
      <c r="T2023" s="13"/>
      <c r="U2023" s="11" t="n">
        <f aca="false">O2023*4 + P2023*2 + MAX(0,N2023-O2023-P2023)*1 + Q2023*0.2 + R2023*2 + S2023*1 + IF(T2023="",0,IF(T2023&lt;=10,8,IF(T2023&lt;=50,6,IF(T2023&lt;=100,4,2))))</f>
        <v>0.2</v>
      </c>
      <c r="V2023" s="7"/>
      <c r="W2023" s="7"/>
      <c r="X2023" s="13"/>
      <c r="Y2023" s="13" t="s">
        <v>8218</v>
      </c>
    </row>
    <row r="2024" customFormat="false" ht="15.75" hidden="false" customHeight="true" outlineLevel="0" collapsed="false">
      <c r="A2024" s="7" t="s">
        <v>8219</v>
      </c>
      <c r="B2024" s="8" t="n">
        <v>2001</v>
      </c>
      <c r="C2024" s="8" t="s">
        <v>35</v>
      </c>
      <c r="D2024" s="8" t="n">
        <v>100</v>
      </c>
      <c r="E2024" s="7" t="s">
        <v>7988</v>
      </c>
      <c r="F2024" s="8" t="n">
        <v>7</v>
      </c>
      <c r="G2024" s="8" t="n">
        <v>6</v>
      </c>
      <c r="H2024" s="9" t="n">
        <v>120068</v>
      </c>
      <c r="I2024" s="7" t="s">
        <v>46</v>
      </c>
      <c r="J2024" s="7" t="s">
        <v>30</v>
      </c>
      <c r="K2024" s="7" t="s">
        <v>54</v>
      </c>
      <c r="L2024" s="10" t="s">
        <v>177</v>
      </c>
      <c r="M2024" s="10" t="s">
        <v>8220</v>
      </c>
      <c r="N2024" s="8" t="n">
        <v>0</v>
      </c>
      <c r="O2024" s="8" t="n">
        <v>0</v>
      </c>
      <c r="P2024" s="8" t="n">
        <v>0</v>
      </c>
      <c r="Q2024" s="8" t="n">
        <v>0</v>
      </c>
      <c r="R2024" s="13" t="n">
        <v>0</v>
      </c>
      <c r="S2024" s="13" t="n">
        <v>0</v>
      </c>
      <c r="T2024" s="13"/>
      <c r="U2024" s="11" t="n">
        <f aca="false">O2024*4 + P2024*2 + MAX(0,N2024-O2024-P2024)*1 + Q2024*0.2 + R2024*2 + S2024*1 + IF(T2024="",0,IF(T2024&lt;=10,8,IF(T2024&lt;=50,6,IF(T2024&lt;=100,4,2))))</f>
        <v>0</v>
      </c>
      <c r="V2024" s="7"/>
      <c r="W2024" s="7"/>
      <c r="X2024" s="13"/>
      <c r="Y2024" s="13" t="s">
        <v>8221</v>
      </c>
    </row>
    <row r="2025" customFormat="false" ht="15.75" hidden="false" customHeight="true" outlineLevel="0" collapsed="false">
      <c r="A2025" s="7" t="s">
        <v>8222</v>
      </c>
      <c r="B2025" s="8" t="n">
        <v>2016</v>
      </c>
      <c r="C2025" s="8" t="s">
        <v>176</v>
      </c>
      <c r="D2025" s="8" t="n">
        <v>116</v>
      </c>
      <c r="E2025" s="7" t="s">
        <v>2411</v>
      </c>
      <c r="F2025" s="8" t="n">
        <v>7</v>
      </c>
      <c r="G2025" s="8" t="n">
        <v>5</v>
      </c>
      <c r="H2025" s="9" t="n">
        <v>503292</v>
      </c>
      <c r="I2025" s="7" t="s">
        <v>46</v>
      </c>
      <c r="J2025" s="7" t="s">
        <v>111</v>
      </c>
      <c r="K2025" s="7" t="s">
        <v>852</v>
      </c>
      <c r="L2025" s="10" t="s">
        <v>210</v>
      </c>
      <c r="M2025" s="7" t="s">
        <v>8223</v>
      </c>
      <c r="N2025" s="8" t="n">
        <v>0</v>
      </c>
      <c r="O2025" s="8" t="n">
        <v>0</v>
      </c>
      <c r="P2025" s="8" t="n">
        <v>0</v>
      </c>
      <c r="Q2025" s="8" t="n">
        <v>2</v>
      </c>
      <c r="R2025" s="8" t="n">
        <v>0</v>
      </c>
      <c r="S2025" s="8" t="n">
        <v>0</v>
      </c>
      <c r="T2025" s="13"/>
      <c r="U2025" s="11" t="n">
        <f aca="false">O2025*4 + P2025*2 + MAX(0,N2025-O2025-P2025)*1 + Q2025*0.2 + R2025*2 + S2025*1 + IF(T2025="",0,IF(T2025&lt;=10,8,IF(T2025&lt;=50,6,IF(T2025&lt;=100,4,2))))</f>
        <v>0.4</v>
      </c>
      <c r="V2025" s="7"/>
      <c r="W2025" s="7"/>
      <c r="X2025" s="13"/>
      <c r="Y2025" s="13" t="s">
        <v>8224</v>
      </c>
    </row>
    <row r="2026" customFormat="false" ht="15.75" hidden="false" customHeight="true" outlineLevel="0" collapsed="false">
      <c r="A2026" s="7" t="s">
        <v>8225</v>
      </c>
      <c r="B2026" s="8" t="n">
        <v>2017</v>
      </c>
      <c r="C2026" s="8" t="s">
        <v>176</v>
      </c>
      <c r="D2026" s="8" t="n">
        <v>135</v>
      </c>
      <c r="E2026" s="7" t="s">
        <v>6802</v>
      </c>
      <c r="F2026" s="8" t="n">
        <v>7.3</v>
      </c>
      <c r="G2026" s="8" t="n">
        <v>7</v>
      </c>
      <c r="H2026" s="9" t="n">
        <v>705888</v>
      </c>
      <c r="I2026" s="7" t="s">
        <v>8226</v>
      </c>
      <c r="J2026" s="7" t="s">
        <v>147</v>
      </c>
      <c r="K2026" s="7" t="s">
        <v>8227</v>
      </c>
      <c r="L2026" s="10" t="s">
        <v>8228</v>
      </c>
      <c r="M2026" s="7" t="s">
        <v>8229</v>
      </c>
      <c r="N2026" s="8" t="n">
        <v>0</v>
      </c>
      <c r="O2026" s="8" t="n">
        <v>0</v>
      </c>
      <c r="P2026" s="8" t="n">
        <v>0</v>
      </c>
      <c r="Q2026" s="8" t="n">
        <v>0</v>
      </c>
      <c r="R2026" s="13" t="n">
        <v>0</v>
      </c>
      <c r="S2026" s="13" t="n">
        <v>0</v>
      </c>
      <c r="T2026" s="13"/>
      <c r="U2026" s="11" t="n">
        <f aca="false">O2026*4 + P2026*2 + MAX(0,N2026-O2026-P2026)*1 + Q2026*0.2 + R2026*2 + S2026*1 + IF(T2026="",0,IF(T2026&lt;=10,8,IF(T2026&lt;=50,6,IF(T2026&lt;=100,4,2))))</f>
        <v>0</v>
      </c>
      <c r="V2026" s="7"/>
      <c r="W2026" s="7"/>
      <c r="X2026" s="13"/>
      <c r="Y2026" s="13" t="s">
        <v>8230</v>
      </c>
    </row>
    <row r="2027" customFormat="false" ht="15.75" hidden="false" customHeight="true" outlineLevel="0" collapsed="false">
      <c r="A2027" s="7" t="s">
        <v>8231</v>
      </c>
      <c r="B2027" s="8" t="n">
        <v>2015</v>
      </c>
      <c r="C2027" s="8" t="s">
        <v>176</v>
      </c>
      <c r="D2027" s="8" t="n">
        <v>106</v>
      </c>
      <c r="E2027" s="7" t="s">
        <v>8232</v>
      </c>
      <c r="F2027" s="8" t="n">
        <v>5.9</v>
      </c>
      <c r="G2027" s="8" t="n">
        <v>3</v>
      </c>
      <c r="H2027" s="9" t="n">
        <v>117363</v>
      </c>
      <c r="I2027" s="7" t="s">
        <v>46</v>
      </c>
      <c r="J2027" s="7" t="s">
        <v>38</v>
      </c>
      <c r="K2027" s="7" t="s">
        <v>112</v>
      </c>
      <c r="L2027" s="10" t="s">
        <v>161</v>
      </c>
      <c r="M2027" s="10" t="s">
        <v>8233</v>
      </c>
      <c r="N2027" s="8" t="n">
        <v>0</v>
      </c>
      <c r="O2027" s="8" t="n">
        <v>0</v>
      </c>
      <c r="P2027" s="8" t="n">
        <v>0</v>
      </c>
      <c r="Q2027" s="8" t="n">
        <v>0</v>
      </c>
      <c r="R2027" s="13" t="n">
        <v>0</v>
      </c>
      <c r="S2027" s="13" t="n">
        <v>0</v>
      </c>
      <c r="T2027" s="13"/>
      <c r="U2027" s="11" t="n">
        <f aca="false">O2027*4 + P2027*2 + MAX(0,N2027-O2027-P2027)*1 + Q2027*0.2 + R2027*2 + S2027*1 + IF(T2027="",0,IF(T2027&lt;=10,8,IF(T2027&lt;=50,6,IF(T2027&lt;=100,4,2))))</f>
        <v>0</v>
      </c>
      <c r="V2027" s="7"/>
      <c r="W2027" s="7"/>
      <c r="X2027" s="13"/>
      <c r="Y2027" s="13" t="s">
        <v>8234</v>
      </c>
    </row>
    <row r="2028" customFormat="false" ht="15.75" hidden="false" customHeight="true" outlineLevel="0" collapsed="false">
      <c r="A2028" s="7" t="s">
        <v>8235</v>
      </c>
      <c r="B2028" s="8" t="n">
        <v>2011</v>
      </c>
      <c r="C2028" s="8" t="s">
        <v>176</v>
      </c>
      <c r="D2028" s="8" t="n">
        <v>95</v>
      </c>
      <c r="E2028" s="7" t="s">
        <v>8236</v>
      </c>
      <c r="F2028" s="8" t="n">
        <v>7</v>
      </c>
      <c r="G2028" s="8" t="n">
        <v>4</v>
      </c>
      <c r="H2028" s="9" t="n">
        <v>494228</v>
      </c>
      <c r="I2028" s="7" t="s">
        <v>46</v>
      </c>
      <c r="J2028" s="7" t="s">
        <v>147</v>
      </c>
      <c r="K2028" s="7" t="s">
        <v>125</v>
      </c>
      <c r="L2028" s="10" t="s">
        <v>8237</v>
      </c>
      <c r="M2028" s="7" t="s">
        <v>8238</v>
      </c>
      <c r="N2028" s="8" t="n">
        <v>0</v>
      </c>
      <c r="O2028" s="8" t="n">
        <v>0</v>
      </c>
      <c r="P2028" s="8" t="n">
        <v>0</v>
      </c>
      <c r="Q2028" s="8" t="n">
        <v>0</v>
      </c>
      <c r="R2028" s="13" t="n">
        <v>0</v>
      </c>
      <c r="S2028" s="13" t="n">
        <v>0</v>
      </c>
      <c r="T2028" s="13"/>
      <c r="U2028" s="11" t="n">
        <f aca="false">O2028*4 + P2028*2 + MAX(0,N2028-O2028-P2028)*1 + Q2028*0.2 + R2028*2 + S2028*1 + IF(T2028="",0,IF(T2028&lt;=10,8,IF(T2028&lt;=50,6,IF(T2028&lt;=100,4,2))))</f>
        <v>0</v>
      </c>
      <c r="V2028" s="7"/>
      <c r="W2028" s="7"/>
      <c r="X2028" s="13"/>
      <c r="Y2028" s="13" t="s">
        <v>8239</v>
      </c>
    </row>
    <row r="2029" customFormat="false" ht="15.75" hidden="false" customHeight="true" outlineLevel="0" collapsed="false">
      <c r="A2029" s="7" t="s">
        <v>8240</v>
      </c>
      <c r="B2029" s="8" t="n">
        <v>2017</v>
      </c>
      <c r="C2029" s="8" t="s">
        <v>176</v>
      </c>
      <c r="D2029" s="8" t="n">
        <v>109</v>
      </c>
      <c r="E2029" s="7" t="s">
        <v>8241</v>
      </c>
      <c r="F2029" s="8" t="n">
        <v>6.5</v>
      </c>
      <c r="G2029" s="8" t="n">
        <v>7</v>
      </c>
      <c r="H2029" s="9" t="n">
        <v>172115</v>
      </c>
      <c r="I2029" s="7" t="s">
        <v>46</v>
      </c>
      <c r="J2029" s="7" t="s">
        <v>147</v>
      </c>
      <c r="K2029" s="7" t="s">
        <v>125</v>
      </c>
      <c r="L2029" s="10" t="s">
        <v>1401</v>
      </c>
      <c r="M2029" s="10" t="s">
        <v>8242</v>
      </c>
      <c r="N2029" s="8" t="n">
        <v>0</v>
      </c>
      <c r="O2029" s="8" t="n">
        <v>0</v>
      </c>
      <c r="P2029" s="8" t="n">
        <v>0</v>
      </c>
      <c r="Q2029" s="8" t="n">
        <v>0</v>
      </c>
      <c r="R2029" s="13" t="n">
        <v>0</v>
      </c>
      <c r="S2029" s="13" t="n">
        <v>0</v>
      </c>
      <c r="T2029" s="13"/>
      <c r="U2029" s="11" t="n">
        <f aca="false">O2029*4 + P2029*2 + MAX(0,N2029-O2029-P2029)*1 + Q2029*0.2 + R2029*2 + S2029*1 + IF(T2029="",0,IF(T2029&lt;=10,8,IF(T2029&lt;=50,6,IF(T2029&lt;=100,4,2))))</f>
        <v>0</v>
      </c>
      <c r="V2029" s="7"/>
      <c r="W2029" s="7"/>
      <c r="X2029" s="13"/>
      <c r="Y2029" s="13" t="s">
        <v>8243</v>
      </c>
    </row>
    <row r="2030" customFormat="false" ht="15.75" hidden="false" customHeight="true" outlineLevel="0" collapsed="false">
      <c r="A2030" s="7" t="s">
        <v>8244</v>
      </c>
      <c r="B2030" s="8" t="n">
        <v>2017</v>
      </c>
      <c r="C2030" s="8" t="s">
        <v>176</v>
      </c>
      <c r="D2030" s="8" t="n">
        <v>115</v>
      </c>
      <c r="E2030" s="7" t="s">
        <v>2153</v>
      </c>
      <c r="F2030" s="8" t="n">
        <v>7.2</v>
      </c>
      <c r="G2030" s="8" t="n">
        <v>7</v>
      </c>
      <c r="H2030" s="9" t="n">
        <v>235367</v>
      </c>
      <c r="I2030" s="7" t="s">
        <v>8245</v>
      </c>
      <c r="J2030" s="7" t="s">
        <v>112</v>
      </c>
      <c r="K2030" s="7" t="s">
        <v>54</v>
      </c>
      <c r="L2030" s="10" t="s">
        <v>6276</v>
      </c>
      <c r="M2030" s="10" t="s">
        <v>8246</v>
      </c>
      <c r="N2030" s="8" t="n">
        <v>0</v>
      </c>
      <c r="O2030" s="8" t="n">
        <v>0</v>
      </c>
      <c r="P2030" s="8" t="n">
        <v>0</v>
      </c>
      <c r="Q2030" s="8" t="n">
        <v>0</v>
      </c>
      <c r="R2030" s="13" t="n">
        <v>0</v>
      </c>
      <c r="S2030" s="13" t="n">
        <v>0</v>
      </c>
      <c r="T2030" s="13"/>
      <c r="U2030" s="11" t="n">
        <f aca="false">O2030*4 + P2030*2 + MAX(0,N2030-O2030-P2030)*1 + Q2030*0.2 + R2030*2 + S2030*1 + IF(T2030="",0,IF(T2030&lt;=10,8,IF(T2030&lt;=50,6,IF(T2030&lt;=100,4,2))))</f>
        <v>0</v>
      </c>
      <c r="V2030" s="7"/>
      <c r="W2030" s="7"/>
      <c r="X2030" s="13"/>
      <c r="Y2030" s="13" t="s">
        <v>8247</v>
      </c>
    </row>
    <row r="2031" customFormat="false" ht="15.75" hidden="false" customHeight="true" outlineLevel="0" collapsed="false">
      <c r="A2031" s="7" t="s">
        <v>8248</v>
      </c>
      <c r="B2031" s="8" t="n">
        <v>2017</v>
      </c>
      <c r="C2031" s="8" t="s">
        <v>176</v>
      </c>
      <c r="D2031" s="8" t="n">
        <v>110</v>
      </c>
      <c r="E2031" s="7" t="s">
        <v>8249</v>
      </c>
      <c r="F2031" s="8" t="n">
        <v>6.7</v>
      </c>
      <c r="G2031" s="8" t="n">
        <v>8</v>
      </c>
      <c r="H2031" s="9" t="n">
        <v>51229</v>
      </c>
      <c r="I2031" s="7" t="s">
        <v>2270</v>
      </c>
      <c r="J2031" s="7" t="s">
        <v>147</v>
      </c>
      <c r="K2031" s="7" t="s">
        <v>125</v>
      </c>
      <c r="L2031" s="10" t="s">
        <v>210</v>
      </c>
      <c r="M2031" s="10" t="s">
        <v>8250</v>
      </c>
      <c r="N2031" s="8" t="n">
        <v>0</v>
      </c>
      <c r="O2031" s="8" t="n">
        <v>0</v>
      </c>
      <c r="P2031" s="8" t="n">
        <v>0</v>
      </c>
      <c r="Q2031" s="8" t="n">
        <v>0</v>
      </c>
      <c r="R2031" s="13" t="n">
        <v>0</v>
      </c>
      <c r="S2031" s="13" t="n">
        <v>0</v>
      </c>
      <c r="T2031" s="13"/>
      <c r="U2031" s="11" t="n">
        <f aca="false">O2031*4 + P2031*2 + MAX(0,N2031-O2031-P2031)*1 + Q2031*0.2 + R2031*2 + S2031*1 + IF(T2031="",0,IF(T2031&lt;=10,8,IF(T2031&lt;=50,6,IF(T2031&lt;=100,4,2))))</f>
        <v>0</v>
      </c>
      <c r="V2031" s="7"/>
      <c r="W2031" s="7"/>
      <c r="X2031" s="13"/>
      <c r="Y2031" s="13" t="s">
        <v>8251</v>
      </c>
    </row>
    <row r="2032" customFormat="false" ht="15.75" hidden="false" customHeight="true" outlineLevel="0" collapsed="false">
      <c r="A2032" s="7" t="s">
        <v>8252</v>
      </c>
      <c r="B2032" s="8" t="n">
        <v>2017</v>
      </c>
      <c r="C2032" s="8" t="s">
        <v>176</v>
      </c>
      <c r="D2032" s="8" t="n">
        <v>152</v>
      </c>
      <c r="E2032" s="7" t="s">
        <v>679</v>
      </c>
      <c r="F2032" s="8" t="n">
        <v>6.8</v>
      </c>
      <c r="G2032" s="8" t="n">
        <v>8</v>
      </c>
      <c r="H2032" s="9" t="n">
        <v>724916</v>
      </c>
      <c r="I2032" s="7" t="s">
        <v>46</v>
      </c>
      <c r="J2032" s="7" t="s">
        <v>38</v>
      </c>
      <c r="K2032" s="7" t="s">
        <v>112</v>
      </c>
      <c r="L2032" s="10" t="s">
        <v>177</v>
      </c>
      <c r="M2032" s="7" t="s">
        <v>8253</v>
      </c>
      <c r="N2032" s="8" t="n">
        <v>0</v>
      </c>
      <c r="O2032" s="8" t="n">
        <v>0</v>
      </c>
      <c r="P2032" s="8" t="n">
        <v>0</v>
      </c>
      <c r="Q2032" s="8" t="n">
        <v>4</v>
      </c>
      <c r="R2032" s="8" t="n">
        <v>0</v>
      </c>
      <c r="S2032" s="8" t="n">
        <v>0</v>
      </c>
      <c r="T2032" s="13"/>
      <c r="U2032" s="11" t="n">
        <f aca="false">O2032*4 + P2032*2 + MAX(0,N2032-O2032-P2032)*1 + Q2032*0.2 + R2032*2 + S2032*1 + IF(T2032="",0,IF(T2032&lt;=10,8,IF(T2032&lt;=50,6,IF(T2032&lt;=100,4,2))))</f>
        <v>0.8</v>
      </c>
      <c r="V2032" s="7"/>
      <c r="W2032" s="7"/>
      <c r="X2032" s="13"/>
      <c r="Y2032" s="13" t="s">
        <v>8254</v>
      </c>
    </row>
    <row r="2033" customFormat="false" ht="15.75" hidden="false" customHeight="true" outlineLevel="0" collapsed="false">
      <c r="A2033" s="7" t="s">
        <v>8255</v>
      </c>
      <c r="B2033" s="8" t="n">
        <v>2015</v>
      </c>
      <c r="C2033" s="8" t="s">
        <v>176</v>
      </c>
      <c r="D2033" s="8" t="n">
        <v>138</v>
      </c>
      <c r="E2033" s="7" t="s">
        <v>5542</v>
      </c>
      <c r="F2033" s="8" t="n">
        <v>7.7</v>
      </c>
      <c r="G2033" s="8" t="n">
        <v>9</v>
      </c>
      <c r="H2033" s="9" t="n">
        <v>1032914</v>
      </c>
      <c r="I2033" s="7" t="s">
        <v>46</v>
      </c>
      <c r="J2033" s="7" t="s">
        <v>111</v>
      </c>
      <c r="K2033" s="7" t="s">
        <v>112</v>
      </c>
      <c r="L2033" s="10" t="s">
        <v>177</v>
      </c>
      <c r="M2033" s="7" t="s">
        <v>8256</v>
      </c>
      <c r="N2033" s="8" t="n">
        <v>0</v>
      </c>
      <c r="O2033" s="8" t="n">
        <v>0</v>
      </c>
      <c r="P2033" s="8" t="n">
        <v>0</v>
      </c>
      <c r="Q2033" s="8" t="n">
        <v>5</v>
      </c>
      <c r="R2033" s="8" t="n">
        <v>0</v>
      </c>
      <c r="S2033" s="8" t="n">
        <v>0</v>
      </c>
      <c r="T2033" s="8"/>
      <c r="U2033" s="11" t="n">
        <f aca="false">O2033*4 + P2033*2 + MAX(0,N2033-O2033-P2033)*1 + Q2033*0.2 + R2033*2 + S2033*1 + IF(T2033="",0,IF(T2033&lt;=10,8,IF(T2033&lt;=50,6,IF(T2033&lt;=100,4,2))))</f>
        <v>1</v>
      </c>
      <c r="V2033" s="7"/>
      <c r="W2033" s="7"/>
      <c r="X2033" s="13"/>
      <c r="Y2033" s="13" t="s">
        <v>8257</v>
      </c>
    </row>
    <row r="2034" customFormat="false" ht="15.75" hidden="false" customHeight="true" outlineLevel="0" collapsed="false">
      <c r="A2034" s="7" t="s">
        <v>8258</v>
      </c>
      <c r="B2034" s="8" t="n">
        <v>2017</v>
      </c>
      <c r="C2034" s="8" t="s">
        <v>176</v>
      </c>
      <c r="D2034" s="8" t="n">
        <v>104</v>
      </c>
      <c r="E2034" s="7" t="s">
        <v>5128</v>
      </c>
      <c r="F2034" s="8" t="n">
        <v>7.8</v>
      </c>
      <c r="G2034" s="8" t="n">
        <v>7</v>
      </c>
      <c r="H2034" s="9" t="n">
        <v>832436</v>
      </c>
      <c r="I2034" s="7" t="s">
        <v>46</v>
      </c>
      <c r="J2034" s="7" t="s">
        <v>147</v>
      </c>
      <c r="K2034" s="7" t="s">
        <v>125</v>
      </c>
      <c r="L2034" s="10" t="s">
        <v>5259</v>
      </c>
      <c r="M2034" s="7" t="s">
        <v>8259</v>
      </c>
      <c r="N2034" s="8" t="n">
        <v>1</v>
      </c>
      <c r="O2034" s="8" t="n">
        <v>0</v>
      </c>
      <c r="P2034" s="8" t="n">
        <v>0</v>
      </c>
      <c r="Q2034" s="8" t="n">
        <v>4</v>
      </c>
      <c r="R2034" s="8" t="n">
        <v>0</v>
      </c>
      <c r="S2034" s="8" t="n">
        <v>0</v>
      </c>
      <c r="T2034" s="8" t="n">
        <v>95</v>
      </c>
      <c r="U2034" s="11" t="n">
        <f aca="false">O2034*4 + P2034*2 + MAX(0,N2034-O2034-P2034)*1 + Q2034*0.2 + R2034*2 + S2034*1 + IF(T2034="",0,IF(T2034&lt;=10,8,IF(T2034&lt;=50,6,IF(T2034&lt;=100,4,2))))</f>
        <v>5.8</v>
      </c>
      <c r="V2034" s="10" t="s">
        <v>8260</v>
      </c>
      <c r="W2034" s="7"/>
      <c r="X2034" s="13"/>
      <c r="Y2034" s="13" t="s">
        <v>8261</v>
      </c>
    </row>
    <row r="2035" customFormat="false" ht="15.75" hidden="false" customHeight="true" outlineLevel="0" collapsed="false">
      <c r="A2035" s="7" t="s">
        <v>8262</v>
      </c>
      <c r="B2035" s="8" t="n">
        <v>2016</v>
      </c>
      <c r="C2035" s="8" t="s">
        <v>176</v>
      </c>
      <c r="D2035" s="8" t="n">
        <v>88</v>
      </c>
      <c r="E2035" s="7" t="s">
        <v>8263</v>
      </c>
      <c r="F2035" s="8" t="n">
        <v>7.1</v>
      </c>
      <c r="G2035" s="8" t="n">
        <v>5</v>
      </c>
      <c r="H2035" s="9" t="n">
        <v>333922</v>
      </c>
      <c r="I2035" s="7" t="s">
        <v>46</v>
      </c>
      <c r="J2035" s="7" t="s">
        <v>147</v>
      </c>
      <c r="K2035" s="7" t="s">
        <v>54</v>
      </c>
      <c r="L2035" s="10" t="s">
        <v>220</v>
      </c>
      <c r="M2035" s="7" t="s">
        <v>8264</v>
      </c>
      <c r="N2035" s="8" t="n">
        <v>0</v>
      </c>
      <c r="O2035" s="8" t="n">
        <v>0</v>
      </c>
      <c r="P2035" s="8" t="n">
        <v>0</v>
      </c>
      <c r="Q2035" s="8" t="n">
        <v>0</v>
      </c>
      <c r="R2035" s="13" t="n">
        <v>0</v>
      </c>
      <c r="S2035" s="13" t="n">
        <v>0</v>
      </c>
      <c r="T2035" s="13"/>
      <c r="U2035" s="11" t="n">
        <f aca="false">O2035*4 + P2035*2 + MAX(0,N2035-O2035-P2035)*1 + Q2035*0.2 + R2035*2 + S2035*1 + IF(T2035="",0,IF(T2035&lt;=10,8,IF(T2035&lt;=50,6,IF(T2035&lt;=100,4,2))))</f>
        <v>0</v>
      </c>
      <c r="V2035" s="7"/>
      <c r="W2035" s="7"/>
      <c r="X2035" s="13"/>
      <c r="Y2035" s="13" t="s">
        <v>8265</v>
      </c>
    </row>
    <row r="2036" customFormat="false" ht="15.75" hidden="false" customHeight="true" outlineLevel="0" collapsed="false">
      <c r="A2036" s="7" t="s">
        <v>8266</v>
      </c>
      <c r="B2036" s="8" t="n">
        <v>2016</v>
      </c>
      <c r="C2036" s="8" t="s">
        <v>176</v>
      </c>
      <c r="D2036" s="8" t="n">
        <v>134</v>
      </c>
      <c r="E2036" s="7" t="s">
        <v>2158</v>
      </c>
      <c r="F2036" s="8" t="n">
        <v>7.3</v>
      </c>
      <c r="G2036" s="8" t="n">
        <v>5</v>
      </c>
      <c r="H2036" s="9" t="n">
        <v>347531</v>
      </c>
      <c r="I2036" s="7" t="s">
        <v>2168</v>
      </c>
      <c r="J2036" s="7" t="s">
        <v>147</v>
      </c>
      <c r="K2036" s="7" t="s">
        <v>125</v>
      </c>
      <c r="L2036" s="10" t="s">
        <v>8267</v>
      </c>
      <c r="M2036" s="7" t="s">
        <v>8268</v>
      </c>
      <c r="N2036" s="8" t="n">
        <v>0</v>
      </c>
      <c r="O2036" s="8" t="n">
        <v>0</v>
      </c>
      <c r="P2036" s="8" t="n">
        <v>0</v>
      </c>
      <c r="Q2036" s="8" t="n">
        <v>0</v>
      </c>
      <c r="R2036" s="13" t="n">
        <v>0</v>
      </c>
      <c r="S2036" s="13" t="n">
        <v>0</v>
      </c>
      <c r="T2036" s="13"/>
      <c r="U2036" s="11" t="n">
        <f aca="false">O2036*4 + P2036*2 + MAX(0,N2036-O2036-P2036)*1 + Q2036*0.2 + R2036*2 + S2036*1 + IF(T2036="",0,IF(T2036&lt;=10,8,IF(T2036&lt;=50,6,IF(T2036&lt;=100,4,2))))</f>
        <v>0</v>
      </c>
      <c r="V2036" s="7"/>
      <c r="W2036" s="7"/>
      <c r="X2036" s="13"/>
      <c r="Y2036" s="13" t="s">
        <v>8269</v>
      </c>
    </row>
    <row r="2037" customFormat="false" ht="15.75" hidden="false" customHeight="true" outlineLevel="0" collapsed="false">
      <c r="A2037" s="7" t="s">
        <v>8270</v>
      </c>
      <c r="B2037" s="8" t="n">
        <v>2005</v>
      </c>
      <c r="C2037" s="8" t="s">
        <v>35</v>
      </c>
      <c r="D2037" s="8" t="n">
        <v>119</v>
      </c>
      <c r="E2037" s="7" t="s">
        <v>8271</v>
      </c>
      <c r="F2037" s="8" t="n">
        <v>7</v>
      </c>
      <c r="G2037" s="8" t="n">
        <v>4</v>
      </c>
      <c r="H2037" s="9" t="n">
        <v>401216</v>
      </c>
      <c r="I2037" s="7" t="s">
        <v>46</v>
      </c>
      <c r="J2037" s="7" t="s">
        <v>29</v>
      </c>
      <c r="K2037" s="7" t="s">
        <v>30</v>
      </c>
      <c r="L2037" s="10" t="s">
        <v>113</v>
      </c>
      <c r="M2037" s="7" t="s">
        <v>8272</v>
      </c>
      <c r="N2037" s="8" t="n">
        <v>0</v>
      </c>
      <c r="O2037" s="8" t="n">
        <v>0</v>
      </c>
      <c r="P2037" s="8" t="n">
        <v>0</v>
      </c>
      <c r="Q2037" s="8" t="n">
        <v>0</v>
      </c>
      <c r="R2037" s="13" t="n">
        <v>0</v>
      </c>
      <c r="S2037" s="13" t="n">
        <v>0</v>
      </c>
      <c r="T2037" s="13"/>
      <c r="U2037" s="11" t="n">
        <f aca="false">O2037*4 + P2037*2 + MAX(0,N2037-O2037-P2037)*1 + Q2037*0.2 + R2037*2 + S2037*1 + IF(T2037="",0,IF(T2037&lt;=10,8,IF(T2037&lt;=50,6,IF(T2037&lt;=100,4,2))))</f>
        <v>0</v>
      </c>
      <c r="V2037" s="7"/>
      <c r="W2037" s="7"/>
      <c r="X2037" s="13"/>
      <c r="Y2037" s="13" t="s">
        <v>8273</v>
      </c>
    </row>
    <row r="2038" customFormat="false" ht="15.75" hidden="false" customHeight="true" outlineLevel="0" collapsed="false">
      <c r="A2038" s="7" t="s">
        <v>8274</v>
      </c>
      <c r="B2038" s="8" t="n">
        <v>2018</v>
      </c>
      <c r="C2038" s="8" t="s">
        <v>176</v>
      </c>
      <c r="D2038" s="8" t="n">
        <v>103</v>
      </c>
      <c r="E2038" s="7" t="s">
        <v>8275</v>
      </c>
      <c r="F2038" s="8" t="n">
        <v>5.7</v>
      </c>
      <c r="G2038" s="8" t="n">
        <v>5</v>
      </c>
      <c r="H2038" s="9" t="n">
        <v>81429</v>
      </c>
      <c r="I2038" s="7" t="s">
        <v>46</v>
      </c>
      <c r="J2038" s="7" t="s">
        <v>147</v>
      </c>
      <c r="K2038" s="7" t="s">
        <v>125</v>
      </c>
      <c r="L2038" s="10"/>
      <c r="M2038" s="10" t="s">
        <v>8276</v>
      </c>
      <c r="N2038" s="8" t="n">
        <v>0</v>
      </c>
      <c r="O2038" s="8" t="n">
        <v>0</v>
      </c>
      <c r="P2038" s="8" t="n">
        <v>0</v>
      </c>
      <c r="Q2038" s="8" t="n">
        <v>0</v>
      </c>
      <c r="R2038" s="13" t="n">
        <v>0</v>
      </c>
      <c r="S2038" s="13" t="n">
        <v>0</v>
      </c>
      <c r="T2038" s="13"/>
      <c r="U2038" s="11" t="n">
        <f aca="false">O2038*4 + P2038*2 + MAX(0,N2038-O2038-P2038)*1 + Q2038*0.2 + R2038*2 + S2038*1 + IF(T2038="",0,IF(T2038&lt;=10,8,IF(T2038&lt;=50,6,IF(T2038&lt;=100,4,2))))</f>
        <v>0</v>
      </c>
      <c r="V2038" s="7"/>
      <c r="W2038" s="7"/>
      <c r="X2038" s="13"/>
      <c r="Y2038" s="13" t="s">
        <v>8277</v>
      </c>
    </row>
    <row r="2039" customFormat="false" ht="15.75" hidden="false" customHeight="true" outlineLevel="0" collapsed="false">
      <c r="A2039" s="7" t="s">
        <v>8278</v>
      </c>
      <c r="B2039" s="8" t="n">
        <v>2017</v>
      </c>
      <c r="C2039" s="8" t="s">
        <v>176</v>
      </c>
      <c r="D2039" s="8" t="n">
        <v>123</v>
      </c>
      <c r="E2039" s="7" t="s">
        <v>1657</v>
      </c>
      <c r="F2039" s="8" t="n">
        <v>7.3</v>
      </c>
      <c r="G2039" s="8" t="n">
        <v>5</v>
      </c>
      <c r="H2039" s="9" t="n">
        <v>479059</v>
      </c>
      <c r="I2039" s="7" t="s">
        <v>46</v>
      </c>
      <c r="J2039" s="7" t="s">
        <v>38</v>
      </c>
      <c r="K2039" s="7" t="s">
        <v>29</v>
      </c>
      <c r="L2039" s="10" t="s">
        <v>2462</v>
      </c>
      <c r="M2039" s="7" t="s">
        <v>8279</v>
      </c>
      <c r="N2039" s="8" t="n">
        <v>4</v>
      </c>
      <c r="O2039" s="8" t="n">
        <v>1</v>
      </c>
      <c r="P2039" s="8" t="n">
        <v>1</v>
      </c>
      <c r="Q2039" s="8" t="n">
        <v>13</v>
      </c>
      <c r="R2039" s="8" t="n">
        <v>1</v>
      </c>
      <c r="S2039" s="8" t="n">
        <v>0</v>
      </c>
      <c r="T2039" s="13"/>
      <c r="U2039" s="11" t="n">
        <f aca="false">O2039*4 + P2039*2 + MAX(0,N2039-O2039-P2039)*1 + Q2039*0.2 + R2039*2 + S2039*1 + IF(T2039="",0,IF(T2039&lt;=10,8,IF(T2039&lt;=50,6,IF(T2039&lt;=100,4,2))))</f>
        <v>12.6</v>
      </c>
      <c r="V2039" s="7"/>
      <c r="W2039" s="7"/>
      <c r="X2039" s="13"/>
      <c r="Y2039" s="13" t="s">
        <v>8280</v>
      </c>
    </row>
    <row r="2040" customFormat="false" ht="15.75" hidden="false" customHeight="true" outlineLevel="0" collapsed="false">
      <c r="A2040" s="7" t="s">
        <v>8281</v>
      </c>
      <c r="B2040" s="8" t="n">
        <v>2018</v>
      </c>
      <c r="C2040" s="8" t="s">
        <v>176</v>
      </c>
      <c r="D2040" s="8" t="n">
        <v>126</v>
      </c>
      <c r="E2040" s="7" t="s">
        <v>2470</v>
      </c>
      <c r="F2040" s="8" t="n">
        <v>5.5</v>
      </c>
      <c r="G2040" s="8" t="n">
        <v>6</v>
      </c>
      <c r="H2040" s="9" t="n">
        <v>39761</v>
      </c>
      <c r="I2040" s="7" t="s">
        <v>4016</v>
      </c>
      <c r="J2040" s="7" t="s">
        <v>111</v>
      </c>
      <c r="K2040" s="7" t="s">
        <v>125</v>
      </c>
      <c r="L2040" s="10" t="s">
        <v>238</v>
      </c>
      <c r="M2040" s="10" t="s">
        <v>8282</v>
      </c>
      <c r="N2040" s="8" t="n">
        <v>0</v>
      </c>
      <c r="O2040" s="8" t="n">
        <v>0</v>
      </c>
      <c r="P2040" s="8" t="n">
        <v>0</v>
      </c>
      <c r="Q2040" s="8" t="n">
        <v>0</v>
      </c>
      <c r="R2040" s="13" t="n">
        <v>0</v>
      </c>
      <c r="S2040" s="13" t="n">
        <v>0</v>
      </c>
      <c r="T2040" s="13"/>
      <c r="U2040" s="11" t="n">
        <f aca="false">O2040*4 + P2040*2 + MAX(0,N2040-O2040-P2040)*1 + Q2040*0.2 + R2040*2 + S2040*1 + IF(T2040="",0,IF(T2040&lt;=10,8,IF(T2040&lt;=50,6,IF(T2040&lt;=100,4,2))))</f>
        <v>0</v>
      </c>
      <c r="V2040" s="7"/>
      <c r="W2040" s="7"/>
      <c r="X2040" s="13"/>
      <c r="Y2040" s="13" t="s">
        <v>8283</v>
      </c>
    </row>
    <row r="2041" customFormat="false" ht="15.75" hidden="false" customHeight="true" outlineLevel="0" collapsed="false">
      <c r="A2041" s="7" t="s">
        <v>8284</v>
      </c>
      <c r="B2041" s="8" t="n">
        <v>2004</v>
      </c>
      <c r="C2041" s="8" t="s">
        <v>35</v>
      </c>
      <c r="D2041" s="8" t="n">
        <v>94</v>
      </c>
      <c r="E2041" s="7" t="s">
        <v>8285</v>
      </c>
      <c r="F2041" s="8" t="n">
        <v>6.1</v>
      </c>
      <c r="G2041" s="8" t="n">
        <v>6</v>
      </c>
      <c r="H2041" s="9" t="n">
        <v>223001</v>
      </c>
      <c r="I2041" s="7" t="s">
        <v>8286</v>
      </c>
      <c r="J2041" s="7" t="s">
        <v>147</v>
      </c>
      <c r="K2041" s="7" t="s">
        <v>111</v>
      </c>
      <c r="L2041" s="10" t="s">
        <v>177</v>
      </c>
      <c r="M2041" s="10" t="s">
        <v>8287</v>
      </c>
      <c r="N2041" s="8" t="n">
        <v>0</v>
      </c>
      <c r="O2041" s="8" t="n">
        <v>0</v>
      </c>
      <c r="P2041" s="8" t="n">
        <v>0</v>
      </c>
      <c r="Q2041" s="8" t="n">
        <v>0</v>
      </c>
      <c r="R2041" s="13" t="n">
        <v>0</v>
      </c>
      <c r="S2041" s="13" t="n">
        <v>0</v>
      </c>
      <c r="T2041" s="13"/>
      <c r="U2041" s="11" t="n">
        <f aca="false">O2041*4 + P2041*2 + MAX(0,N2041-O2041-P2041)*1 + Q2041*0.2 + R2041*2 + S2041*1 + IF(T2041="",0,IF(T2041&lt;=10,8,IF(T2041&lt;=50,6,IF(T2041&lt;=100,4,2))))</f>
        <v>0</v>
      </c>
      <c r="V2041" s="7"/>
      <c r="W2041" s="7"/>
      <c r="X2041" s="13"/>
      <c r="Y2041" s="13" t="s">
        <v>8288</v>
      </c>
    </row>
    <row r="2042" customFormat="false" ht="15.75" hidden="false" customHeight="true" outlineLevel="0" collapsed="false">
      <c r="A2042" s="7" t="s">
        <v>8289</v>
      </c>
      <c r="B2042" s="8" t="n">
        <v>2007</v>
      </c>
      <c r="C2042" s="8" t="s">
        <v>35</v>
      </c>
      <c r="D2042" s="8" t="n">
        <v>94</v>
      </c>
      <c r="E2042" s="7" t="s">
        <v>546</v>
      </c>
      <c r="F2042" s="8" t="n">
        <v>6.2</v>
      </c>
      <c r="G2042" s="8" t="n">
        <v>4</v>
      </c>
      <c r="H2042" s="9" t="n">
        <v>217376</v>
      </c>
      <c r="I2042" s="7" t="s">
        <v>8290</v>
      </c>
      <c r="J2042" s="7" t="s">
        <v>147</v>
      </c>
      <c r="K2042" s="7" t="s">
        <v>111</v>
      </c>
      <c r="L2042" s="10" t="s">
        <v>8291</v>
      </c>
      <c r="M2042" s="10" t="s">
        <v>8292</v>
      </c>
      <c r="N2042" s="8" t="n">
        <v>0</v>
      </c>
      <c r="O2042" s="8" t="n">
        <v>0</v>
      </c>
      <c r="P2042" s="8" t="n">
        <v>0</v>
      </c>
      <c r="Q2042" s="8" t="n">
        <v>0</v>
      </c>
      <c r="R2042" s="13" t="n">
        <v>0</v>
      </c>
      <c r="S2042" s="13" t="n">
        <v>0</v>
      </c>
      <c r="T2042" s="13"/>
      <c r="U2042" s="11" t="n">
        <f aca="false">O2042*4 + P2042*2 + MAX(0,N2042-O2042-P2042)*1 + Q2042*0.2 + R2042*2 + S2042*1 + IF(T2042="",0,IF(T2042&lt;=10,8,IF(T2042&lt;=50,6,IF(T2042&lt;=100,4,2))))</f>
        <v>0</v>
      </c>
      <c r="V2042" s="7"/>
      <c r="W2042" s="7"/>
      <c r="X2042" s="13"/>
      <c r="Y2042" s="13" t="s">
        <v>8293</v>
      </c>
    </row>
    <row r="2043" customFormat="false" ht="15.75" hidden="false" customHeight="true" outlineLevel="0" collapsed="false">
      <c r="A2043" s="7" t="s">
        <v>8294</v>
      </c>
      <c r="B2043" s="8" t="n">
        <v>2010</v>
      </c>
      <c r="C2043" s="8" t="s">
        <v>176</v>
      </c>
      <c r="D2043" s="8" t="n">
        <v>96</v>
      </c>
      <c r="E2043" s="7" t="s">
        <v>5284</v>
      </c>
      <c r="F2043" s="8" t="n">
        <v>5.8</v>
      </c>
      <c r="G2043" s="8" t="n">
        <v>3</v>
      </c>
      <c r="H2043" s="9" t="n">
        <v>189152</v>
      </c>
      <c r="I2043" s="7" t="s">
        <v>8295</v>
      </c>
      <c r="J2043" s="7" t="s">
        <v>147</v>
      </c>
      <c r="K2043" s="7" t="s">
        <v>111</v>
      </c>
      <c r="L2043" s="10" t="s">
        <v>8291</v>
      </c>
      <c r="M2043" s="10" t="s">
        <v>8296</v>
      </c>
      <c r="N2043" s="8" t="n">
        <v>0</v>
      </c>
      <c r="O2043" s="8" t="n">
        <v>0</v>
      </c>
      <c r="P2043" s="8" t="n">
        <v>0</v>
      </c>
      <c r="Q2043" s="8" t="n">
        <v>0</v>
      </c>
      <c r="R2043" s="13" t="n">
        <v>0</v>
      </c>
      <c r="S2043" s="13" t="n">
        <v>0</v>
      </c>
      <c r="T2043" s="13"/>
      <c r="U2043" s="11" t="n">
        <f aca="false">O2043*4 + P2043*2 + MAX(0,N2043-O2043-P2043)*1 + Q2043*0.2 + R2043*2 + S2043*1 + IF(T2043="",0,IF(T2043&lt;=10,8,IF(T2043&lt;=50,6,IF(T2043&lt;=100,4,2))))</f>
        <v>0</v>
      </c>
      <c r="V2043" s="7"/>
      <c r="W2043" s="7"/>
      <c r="X2043" s="13"/>
      <c r="Y2043" s="13" t="s">
        <v>8297</v>
      </c>
    </row>
    <row r="2044" customFormat="false" ht="15.75" hidden="false" customHeight="true" outlineLevel="0" collapsed="false">
      <c r="A2044" s="7" t="s">
        <v>8298</v>
      </c>
      <c r="B2044" s="8" t="n">
        <v>2002</v>
      </c>
      <c r="C2044" s="8" t="s">
        <v>35</v>
      </c>
      <c r="D2044" s="8" t="n">
        <v>100</v>
      </c>
      <c r="E2044" s="7" t="s">
        <v>5284</v>
      </c>
      <c r="F2044" s="8" t="n">
        <v>6.6</v>
      </c>
      <c r="G2044" s="8" t="n">
        <v>8</v>
      </c>
      <c r="H2044" s="9" t="n">
        <v>313476</v>
      </c>
      <c r="I2044" s="7" t="s">
        <v>8299</v>
      </c>
      <c r="J2044" s="7" t="s">
        <v>147</v>
      </c>
      <c r="K2044" s="7" t="s">
        <v>8300</v>
      </c>
      <c r="L2044" s="10" t="s">
        <v>177</v>
      </c>
      <c r="M2044" s="7" t="s">
        <v>8301</v>
      </c>
      <c r="N2044" s="8" t="n">
        <v>0</v>
      </c>
      <c r="O2044" s="8" t="n">
        <v>0</v>
      </c>
      <c r="P2044" s="8" t="n">
        <v>0</v>
      </c>
      <c r="Q2044" s="8" t="n">
        <v>0</v>
      </c>
      <c r="R2044" s="13" t="n">
        <v>0</v>
      </c>
      <c r="S2044" s="13" t="n">
        <v>0</v>
      </c>
      <c r="T2044" s="13"/>
      <c r="U2044" s="11" t="n">
        <f aca="false">O2044*4 + P2044*2 + MAX(0,N2044-O2044-P2044)*1 + Q2044*0.2 + R2044*2 + S2044*1 + IF(T2044="",0,IF(T2044&lt;=10,8,IF(T2044&lt;=50,6,IF(T2044&lt;=100,4,2))))</f>
        <v>0</v>
      </c>
      <c r="V2044" s="7"/>
      <c r="W2044" s="7"/>
      <c r="X2044" s="13"/>
      <c r="Y2044" s="13" t="s">
        <v>8302</v>
      </c>
    </row>
    <row r="2045" customFormat="false" ht="15.75" hidden="false" customHeight="true" outlineLevel="0" collapsed="false">
      <c r="A2045" s="7" t="s">
        <v>8303</v>
      </c>
      <c r="B2045" s="8" t="n">
        <v>2018</v>
      </c>
      <c r="C2045" s="8" t="s">
        <v>176</v>
      </c>
      <c r="D2045" s="8" t="n">
        <v>119</v>
      </c>
      <c r="E2045" s="7" t="s">
        <v>8304</v>
      </c>
      <c r="F2045" s="8" t="n">
        <v>6.3</v>
      </c>
      <c r="G2045" s="8" t="n">
        <v>6</v>
      </c>
      <c r="H2045" s="9" t="n">
        <v>243548</v>
      </c>
      <c r="I2045" s="7" t="s">
        <v>8305</v>
      </c>
      <c r="J2045" s="7" t="s">
        <v>38</v>
      </c>
      <c r="K2045" s="7" t="s">
        <v>112</v>
      </c>
      <c r="L2045" s="10" t="s">
        <v>113</v>
      </c>
      <c r="M2045" s="10" t="s">
        <v>8306</v>
      </c>
      <c r="N2045" s="8" t="n">
        <v>0</v>
      </c>
      <c r="O2045" s="8" t="n">
        <v>0</v>
      </c>
      <c r="P2045" s="8" t="n">
        <v>0</v>
      </c>
      <c r="Q2045" s="8" t="n">
        <v>0</v>
      </c>
      <c r="R2045" s="13" t="n">
        <v>0</v>
      </c>
      <c r="S2045" s="13" t="n">
        <v>0</v>
      </c>
      <c r="T2045" s="13"/>
      <c r="U2045" s="11" t="n">
        <f aca="false">O2045*4 + P2045*2 + MAX(0,N2045-O2045-P2045)*1 + Q2045*0.2 + R2045*2 + S2045*1 + IF(T2045="",0,IF(T2045&lt;=10,8,IF(T2045&lt;=50,6,IF(T2045&lt;=100,4,2))))</f>
        <v>0</v>
      </c>
      <c r="V2045" s="7"/>
      <c r="W2045" s="7"/>
      <c r="X2045" s="13"/>
      <c r="Y2045" s="13" t="s">
        <v>8307</v>
      </c>
    </row>
    <row r="2046" customFormat="false" ht="15.75" hidden="false" customHeight="true" outlineLevel="0" collapsed="false">
      <c r="A2046" s="7" t="s">
        <v>8308</v>
      </c>
      <c r="B2046" s="8" t="n">
        <v>2017</v>
      </c>
      <c r="C2046" s="8" t="s">
        <v>176</v>
      </c>
      <c r="D2046" s="8" t="n">
        <v>143</v>
      </c>
      <c r="E2046" s="7" t="s">
        <v>4878</v>
      </c>
      <c r="F2046" s="8" t="n">
        <v>7.3</v>
      </c>
      <c r="G2046" s="8" t="n">
        <v>8</v>
      </c>
      <c r="H2046" s="9" t="n">
        <v>59281</v>
      </c>
      <c r="I2046" s="7" t="s">
        <v>46</v>
      </c>
      <c r="J2046" s="7" t="s">
        <v>47</v>
      </c>
      <c r="K2046" s="7" t="s">
        <v>54</v>
      </c>
      <c r="L2046" s="10" t="s">
        <v>161</v>
      </c>
      <c r="M2046" s="10" t="s">
        <v>8309</v>
      </c>
      <c r="N2046" s="8" t="n">
        <v>0</v>
      </c>
      <c r="O2046" s="8" t="n">
        <v>0</v>
      </c>
      <c r="P2046" s="8" t="n">
        <v>0</v>
      </c>
      <c r="Q2046" s="8" t="n">
        <v>0</v>
      </c>
      <c r="R2046" s="13" t="n">
        <v>0</v>
      </c>
      <c r="S2046" s="13" t="n">
        <v>0</v>
      </c>
      <c r="T2046" s="13"/>
      <c r="U2046" s="11" t="n">
        <f aca="false">O2046*4 + P2046*2 + MAX(0,N2046-O2046-P2046)*1 + Q2046*0.2 + R2046*2 + S2046*1 + IF(T2046="",0,IF(T2046&lt;=10,8,IF(T2046&lt;=50,6,IF(T2046&lt;=100,4,2))))</f>
        <v>0</v>
      </c>
      <c r="V2046" s="7"/>
      <c r="W2046" s="7"/>
      <c r="X2046" s="13"/>
      <c r="Y2046" s="13" t="s">
        <v>8310</v>
      </c>
    </row>
    <row r="2047" customFormat="false" ht="15.75" hidden="false" customHeight="true" outlineLevel="0" collapsed="false">
      <c r="A2047" s="7" t="s">
        <v>8311</v>
      </c>
      <c r="B2047" s="8" t="n">
        <v>2018</v>
      </c>
      <c r="C2047" s="8" t="s">
        <v>176</v>
      </c>
      <c r="D2047" s="8" t="n">
        <v>140</v>
      </c>
      <c r="E2047" s="7" t="s">
        <v>45</v>
      </c>
      <c r="F2047" s="8" t="n">
        <v>7.4</v>
      </c>
      <c r="G2047" s="8" t="n">
        <v>7</v>
      </c>
      <c r="H2047" s="9" t="n">
        <v>548692</v>
      </c>
      <c r="I2047" s="7" t="s">
        <v>46</v>
      </c>
      <c r="J2047" s="7" t="s">
        <v>39</v>
      </c>
      <c r="K2047" s="7" t="s">
        <v>30</v>
      </c>
      <c r="L2047" s="10" t="s">
        <v>8312</v>
      </c>
      <c r="M2047" s="7" t="s">
        <v>8313</v>
      </c>
      <c r="N2047" s="8" t="n">
        <v>0</v>
      </c>
      <c r="O2047" s="8" t="n">
        <v>0</v>
      </c>
      <c r="P2047" s="8" t="n">
        <v>0</v>
      </c>
      <c r="Q2047" s="8" t="n">
        <v>1</v>
      </c>
      <c r="R2047" s="8" t="n">
        <v>0</v>
      </c>
      <c r="S2047" s="8" t="n">
        <v>0</v>
      </c>
      <c r="T2047" s="13"/>
      <c r="U2047" s="11" t="n">
        <f aca="false">O2047*4 + P2047*2 + MAX(0,N2047-O2047-P2047)*1 + Q2047*0.2 + R2047*2 + S2047*1 + IF(T2047="",0,IF(T2047&lt;=10,8,IF(T2047&lt;=50,6,IF(T2047&lt;=100,4,2))))</f>
        <v>0.2</v>
      </c>
      <c r="V2047" s="7"/>
      <c r="W2047" s="7"/>
      <c r="X2047" s="13"/>
      <c r="Y2047" s="13" t="s">
        <v>8314</v>
      </c>
    </row>
    <row r="2048" customFormat="false" ht="15.75" hidden="false" customHeight="true" outlineLevel="0" collapsed="false">
      <c r="A2048" s="7" t="s">
        <v>8315</v>
      </c>
      <c r="B2048" s="8" t="n">
        <v>2015</v>
      </c>
      <c r="C2048" s="8" t="s">
        <v>176</v>
      </c>
      <c r="D2048" s="8" t="n">
        <v>100</v>
      </c>
      <c r="E2048" s="7" t="s">
        <v>8316</v>
      </c>
      <c r="F2048" s="8" t="n">
        <v>6.6</v>
      </c>
      <c r="G2048" s="8" t="n">
        <v>7</v>
      </c>
      <c r="H2048" s="9" t="n">
        <v>130714</v>
      </c>
      <c r="I2048" s="7" t="s">
        <v>46</v>
      </c>
      <c r="J2048" s="7" t="s">
        <v>147</v>
      </c>
      <c r="K2048" s="7" t="s">
        <v>125</v>
      </c>
      <c r="L2048" s="10"/>
      <c r="M2048" s="10" t="s">
        <v>8317</v>
      </c>
      <c r="N2048" s="8" t="n">
        <v>0</v>
      </c>
      <c r="O2048" s="8" t="n">
        <v>0</v>
      </c>
      <c r="P2048" s="8" t="n">
        <v>0</v>
      </c>
      <c r="Q2048" s="8" t="n">
        <v>0</v>
      </c>
      <c r="R2048" s="13" t="n">
        <v>0</v>
      </c>
      <c r="S2048" s="13" t="n">
        <v>0</v>
      </c>
      <c r="T2048" s="13"/>
      <c r="U2048" s="11" t="n">
        <f aca="false">O2048*4 + P2048*2 + MAX(0,N2048-O2048-P2048)*1 + Q2048*0.2 + R2048*2 + S2048*1 + IF(T2048="",0,IF(T2048&lt;=10,8,IF(T2048&lt;=50,6,IF(T2048&lt;=100,4,2))))</f>
        <v>0</v>
      </c>
      <c r="V2048" s="7"/>
      <c r="W2048" s="7"/>
      <c r="X2048" s="13"/>
      <c r="Y2048" s="13" t="s">
        <v>8318</v>
      </c>
    </row>
    <row r="2049" customFormat="false" ht="15.75" hidden="false" customHeight="true" outlineLevel="0" collapsed="false">
      <c r="A2049" s="7" t="s">
        <v>8319</v>
      </c>
      <c r="B2049" s="8" t="n">
        <v>2016</v>
      </c>
      <c r="C2049" s="8" t="s">
        <v>176</v>
      </c>
      <c r="D2049" s="8" t="n">
        <v>93</v>
      </c>
      <c r="E2049" s="7" t="s">
        <v>8320</v>
      </c>
      <c r="F2049" s="8" t="n">
        <v>4.8</v>
      </c>
      <c r="G2049" s="8" t="n">
        <v>2</v>
      </c>
      <c r="H2049" s="9" t="n">
        <v>48031</v>
      </c>
      <c r="I2049" s="7" t="s">
        <v>46</v>
      </c>
      <c r="J2049" s="7" t="s">
        <v>147</v>
      </c>
      <c r="K2049" s="7" t="s">
        <v>125</v>
      </c>
      <c r="L2049" s="10"/>
      <c r="M2049" s="10" t="s">
        <v>8321</v>
      </c>
      <c r="N2049" s="8" t="n">
        <v>0</v>
      </c>
      <c r="O2049" s="8" t="n">
        <v>0</v>
      </c>
      <c r="P2049" s="8" t="n">
        <v>0</v>
      </c>
      <c r="Q2049" s="8" t="n">
        <v>0</v>
      </c>
      <c r="R2049" s="13" t="n">
        <v>0</v>
      </c>
      <c r="S2049" s="13" t="n">
        <v>0</v>
      </c>
      <c r="T2049" s="13"/>
      <c r="U2049" s="11" t="n">
        <f aca="false">O2049*4 + P2049*2 + MAX(0,N2049-O2049-P2049)*1 + Q2049*0.2 + R2049*2 + S2049*1 + IF(T2049="",0,IF(T2049&lt;=10,8,IF(T2049&lt;=50,6,IF(T2049&lt;=100,4,2))))</f>
        <v>0</v>
      </c>
      <c r="V2049" s="7"/>
      <c r="W2049" s="7"/>
      <c r="X2049" s="13"/>
      <c r="Y2049" s="13" t="s">
        <v>8322</v>
      </c>
    </row>
    <row r="2050" customFormat="false" ht="15.75" hidden="false" customHeight="true" outlineLevel="0" collapsed="false">
      <c r="A2050" s="7" t="s">
        <v>8323</v>
      </c>
      <c r="B2050" s="8" t="n">
        <v>2016</v>
      </c>
      <c r="C2050" s="8" t="s">
        <v>176</v>
      </c>
      <c r="D2050" s="8" t="n">
        <v>147</v>
      </c>
      <c r="E2050" s="7" t="s">
        <v>5668</v>
      </c>
      <c r="F2050" s="8" t="n">
        <v>7.8</v>
      </c>
      <c r="G2050" s="8" t="n">
        <v>6</v>
      </c>
      <c r="H2050" s="9" t="n">
        <v>942276</v>
      </c>
      <c r="I2050" s="7" t="s">
        <v>46</v>
      </c>
      <c r="J2050" s="7" t="s">
        <v>111</v>
      </c>
      <c r="K2050" s="7" t="s">
        <v>112</v>
      </c>
      <c r="L2050" s="10" t="s">
        <v>177</v>
      </c>
      <c r="M2050" s="7" t="s">
        <v>8324</v>
      </c>
      <c r="N2050" s="8" t="n">
        <v>0</v>
      </c>
      <c r="O2050" s="8" t="n">
        <v>0</v>
      </c>
      <c r="P2050" s="8" t="n">
        <v>0</v>
      </c>
      <c r="Q2050" s="8" t="n">
        <v>0</v>
      </c>
      <c r="R2050" s="8" t="n">
        <v>0</v>
      </c>
      <c r="S2050" s="13" t="n">
        <v>0</v>
      </c>
      <c r="T2050" s="8"/>
      <c r="U2050" s="11" t="n">
        <f aca="false">O2050*4 + P2050*2 + MAX(0,N2050-O2050-P2050)*1 + Q2050*0.2 + R2050*2 + S2050*1 + IF(T2050="",0,IF(T2050&lt;=10,8,IF(T2050&lt;=50,6,IF(T2050&lt;=100,4,2))))</f>
        <v>0</v>
      </c>
      <c r="V2050" s="7"/>
      <c r="W2050" s="7"/>
      <c r="X2050" s="13"/>
      <c r="Y2050" s="13" t="s">
        <v>8325</v>
      </c>
    </row>
    <row r="2051" customFormat="false" ht="15.75" hidden="false" customHeight="true" outlineLevel="0" collapsed="false">
      <c r="A2051" s="7" t="s">
        <v>8326</v>
      </c>
      <c r="B2051" s="8" t="n">
        <v>2016</v>
      </c>
      <c r="C2051" s="8" t="s">
        <v>176</v>
      </c>
      <c r="D2051" s="8" t="n">
        <v>86</v>
      </c>
      <c r="E2051" s="7" t="s">
        <v>5326</v>
      </c>
      <c r="F2051" s="8" t="n">
        <v>6.3</v>
      </c>
      <c r="G2051" s="8" t="n">
        <v>5</v>
      </c>
      <c r="H2051" s="9" t="n">
        <v>154786</v>
      </c>
      <c r="I2051" s="7" t="s">
        <v>46</v>
      </c>
      <c r="J2051" s="7" t="s">
        <v>147</v>
      </c>
      <c r="K2051" s="7" t="s">
        <v>131</v>
      </c>
      <c r="L2051" s="10" t="s">
        <v>210</v>
      </c>
      <c r="M2051" s="10" t="s">
        <v>8327</v>
      </c>
      <c r="N2051" s="8" t="n">
        <v>0</v>
      </c>
      <c r="O2051" s="8" t="n">
        <v>0</v>
      </c>
      <c r="P2051" s="8" t="n">
        <v>0</v>
      </c>
      <c r="Q2051" s="8" t="n">
        <v>0</v>
      </c>
      <c r="R2051" s="13" t="n">
        <v>0</v>
      </c>
      <c r="S2051" s="13" t="n">
        <v>0</v>
      </c>
      <c r="T2051" s="13"/>
      <c r="U2051" s="11" t="n">
        <f aca="false">O2051*4 + P2051*2 + MAX(0,N2051-O2051-P2051)*1 + Q2051*0.2 + R2051*2 + S2051*1 + IF(T2051="",0,IF(T2051&lt;=10,8,IF(T2051&lt;=50,6,IF(T2051&lt;=100,4,2))))</f>
        <v>0</v>
      </c>
      <c r="V2051" s="7"/>
      <c r="W2051" s="7"/>
      <c r="X2051" s="13"/>
      <c r="Y2051" s="13" t="s">
        <v>8328</v>
      </c>
    </row>
    <row r="2052" customFormat="false" ht="15.75" hidden="false" customHeight="true" outlineLevel="0" collapsed="false">
      <c r="A2052" s="7" t="s">
        <v>8329</v>
      </c>
      <c r="B2052" s="8" t="n">
        <v>2018</v>
      </c>
      <c r="C2052" s="8" t="s">
        <v>176</v>
      </c>
      <c r="D2052" s="8" t="n">
        <v>90</v>
      </c>
      <c r="E2052" s="7" t="s">
        <v>5397</v>
      </c>
      <c r="F2052" s="8" t="n">
        <v>7.5</v>
      </c>
      <c r="G2052" s="8" t="n">
        <v>7</v>
      </c>
      <c r="H2052" s="9" t="n">
        <v>666436</v>
      </c>
      <c r="I2052" s="7" t="s">
        <v>46</v>
      </c>
      <c r="J2052" s="7" t="s">
        <v>147</v>
      </c>
      <c r="K2052" s="7" t="s">
        <v>111</v>
      </c>
      <c r="L2052" s="10"/>
      <c r="M2052" s="7" t="s">
        <v>8330</v>
      </c>
      <c r="N2052" s="8" t="n">
        <v>0</v>
      </c>
      <c r="O2052" s="8" t="n">
        <v>0</v>
      </c>
      <c r="P2052" s="8" t="n">
        <v>0</v>
      </c>
      <c r="Q2052" s="8" t="n">
        <v>1</v>
      </c>
      <c r="R2052" s="8" t="n">
        <v>0</v>
      </c>
      <c r="S2052" s="8" t="n">
        <v>0</v>
      </c>
      <c r="T2052" s="13"/>
      <c r="U2052" s="11" t="n">
        <f aca="false">O2052*4 + P2052*2 + MAX(0,N2052-O2052-P2052)*1 + Q2052*0.2 + R2052*2 + S2052*1 + IF(T2052="",0,IF(T2052&lt;=10,8,IF(T2052&lt;=50,6,IF(T2052&lt;=100,4,2))))</f>
        <v>0.2</v>
      </c>
      <c r="V2052" s="7"/>
      <c r="W2052" s="7"/>
      <c r="X2052" s="13"/>
      <c r="Y2052" s="13" t="s">
        <v>8331</v>
      </c>
    </row>
    <row r="2053" customFormat="false" ht="15.75" hidden="false" customHeight="true" outlineLevel="0" collapsed="false">
      <c r="A2053" s="7" t="s">
        <v>8332</v>
      </c>
      <c r="B2053" s="8" t="n">
        <v>2018</v>
      </c>
      <c r="C2053" s="8" t="s">
        <v>176</v>
      </c>
      <c r="D2053" s="8" t="n">
        <v>135</v>
      </c>
      <c r="E2053" s="7" t="s">
        <v>172</v>
      </c>
      <c r="F2053" s="8" t="n">
        <v>6.9</v>
      </c>
      <c r="G2053" s="8" t="n">
        <v>8</v>
      </c>
      <c r="H2053" s="9" t="n">
        <v>413473</v>
      </c>
      <c r="I2053" s="7" t="s">
        <v>46</v>
      </c>
      <c r="J2053" s="7" t="s">
        <v>111</v>
      </c>
      <c r="K2053" s="7" t="s">
        <v>112</v>
      </c>
      <c r="L2053" s="10" t="s">
        <v>177</v>
      </c>
      <c r="M2053" s="7" t="s">
        <v>8333</v>
      </c>
      <c r="N2053" s="8" t="n">
        <v>0</v>
      </c>
      <c r="O2053" s="8" t="n">
        <v>0</v>
      </c>
      <c r="P2053" s="8" t="n">
        <v>0</v>
      </c>
      <c r="Q2053" s="8" t="n">
        <v>1</v>
      </c>
      <c r="R2053" s="8" t="n">
        <v>0</v>
      </c>
      <c r="S2053" s="8" t="n">
        <v>0</v>
      </c>
      <c r="T2053" s="13"/>
      <c r="U2053" s="11" t="n">
        <f aca="false">O2053*4 + P2053*2 + MAX(0,N2053-O2053-P2053)*1 + Q2053*0.2 + R2053*2 + S2053*1 + IF(T2053="",0,IF(T2053&lt;=10,8,IF(T2053&lt;=50,6,IF(T2053&lt;=100,4,2))))</f>
        <v>0.2</v>
      </c>
      <c r="V2053" s="7"/>
      <c r="W2053" s="7"/>
      <c r="X2053" s="13"/>
      <c r="Y2053" s="13" t="s">
        <v>8334</v>
      </c>
    </row>
    <row r="2054" customFormat="false" ht="15.75" hidden="false" customHeight="true" outlineLevel="0" collapsed="false">
      <c r="A2054" s="7" t="s">
        <v>8335</v>
      </c>
      <c r="B2054" s="8" t="n">
        <v>2018</v>
      </c>
      <c r="C2054" s="8" t="s">
        <v>176</v>
      </c>
      <c r="D2054" s="8" t="n">
        <v>128</v>
      </c>
      <c r="E2054" s="7" t="s">
        <v>825</v>
      </c>
      <c r="F2054" s="8" t="n">
        <v>6.2</v>
      </c>
      <c r="G2054" s="8" t="n">
        <v>6</v>
      </c>
      <c r="H2054" s="9" t="n">
        <v>385766</v>
      </c>
      <c r="I2054" s="7" t="s">
        <v>46</v>
      </c>
      <c r="J2054" s="7" t="s">
        <v>111</v>
      </c>
      <c r="K2054" s="7" t="s">
        <v>112</v>
      </c>
      <c r="L2054" s="10" t="s">
        <v>2023</v>
      </c>
      <c r="M2054" s="7" t="s">
        <v>8336</v>
      </c>
      <c r="N2054" s="8" t="n">
        <v>0</v>
      </c>
      <c r="O2054" s="8" t="n">
        <v>0</v>
      </c>
      <c r="P2054" s="8" t="n">
        <v>0</v>
      </c>
      <c r="Q2054" s="8" t="n">
        <v>0</v>
      </c>
      <c r="R2054" s="13" t="n">
        <v>0</v>
      </c>
      <c r="S2054" s="13" t="n">
        <v>0</v>
      </c>
      <c r="T2054" s="13"/>
      <c r="U2054" s="11" t="n">
        <f aca="false">O2054*4 + P2054*2 + MAX(0,N2054-O2054-P2054)*1 + Q2054*0.2 + R2054*2 + S2054*1 + IF(T2054="",0,IF(T2054&lt;=10,8,IF(T2054&lt;=50,6,IF(T2054&lt;=100,4,2))))</f>
        <v>0</v>
      </c>
      <c r="V2054" s="7"/>
      <c r="W2054" s="7"/>
      <c r="X2054" s="13"/>
      <c r="Y2054" s="13" t="s">
        <v>8337</v>
      </c>
    </row>
    <row r="2055" customFormat="false" ht="15.75" hidden="false" customHeight="true" outlineLevel="0" collapsed="false">
      <c r="A2055" s="7" t="s">
        <v>8338</v>
      </c>
      <c r="B2055" s="8" t="n">
        <v>2018</v>
      </c>
      <c r="C2055" s="8" t="s">
        <v>176</v>
      </c>
      <c r="D2055" s="8" t="n">
        <v>134</v>
      </c>
      <c r="E2055" s="7" t="s">
        <v>5507</v>
      </c>
      <c r="F2055" s="8" t="n">
        <v>7.3</v>
      </c>
      <c r="G2055" s="8" t="n">
        <v>6</v>
      </c>
      <c r="H2055" s="9" t="n">
        <v>921156</v>
      </c>
      <c r="I2055" s="7" t="s">
        <v>46</v>
      </c>
      <c r="J2055" s="7" t="s">
        <v>111</v>
      </c>
      <c r="K2055" s="7" t="s">
        <v>112</v>
      </c>
      <c r="L2055" s="10" t="s">
        <v>177</v>
      </c>
      <c r="M2055" s="7" t="s">
        <v>8339</v>
      </c>
      <c r="N2055" s="8" t="n">
        <v>3</v>
      </c>
      <c r="O2055" s="8" t="n">
        <v>0</v>
      </c>
      <c r="P2055" s="8" t="n">
        <v>0</v>
      </c>
      <c r="Q2055" s="8" t="n">
        <v>7</v>
      </c>
      <c r="R2055" s="8" t="n">
        <v>0</v>
      </c>
      <c r="S2055" s="8" t="n">
        <v>0</v>
      </c>
      <c r="T2055" s="8"/>
      <c r="U2055" s="11" t="n">
        <f aca="false">O2055*4 + P2055*2 + MAX(0,N2055-O2055-P2055)*1 + Q2055*0.2 + R2055*2 + S2055*1 + IF(T2055="",0,IF(T2055&lt;=10,8,IF(T2055&lt;=50,6,IF(T2055&lt;=100,4,2))))</f>
        <v>4.4</v>
      </c>
      <c r="V2055" s="7"/>
      <c r="W2055" s="7"/>
      <c r="X2055" s="13"/>
      <c r="Y2055" s="13" t="s">
        <v>8340</v>
      </c>
    </row>
    <row r="2056" customFormat="false" ht="15.75" hidden="false" customHeight="true" outlineLevel="0" collapsed="false">
      <c r="A2056" s="7" t="s">
        <v>8341</v>
      </c>
      <c r="B2056" s="8" t="n">
        <v>2018</v>
      </c>
      <c r="C2056" s="8" t="s">
        <v>176</v>
      </c>
      <c r="D2056" s="8" t="n">
        <v>140</v>
      </c>
      <c r="E2056" s="7" t="s">
        <v>8342</v>
      </c>
      <c r="F2056" s="8" t="n">
        <v>7</v>
      </c>
      <c r="G2056" s="8" t="n">
        <v>7</v>
      </c>
      <c r="H2056" s="9" t="n">
        <v>154981</v>
      </c>
      <c r="I2056" s="7" t="s">
        <v>46</v>
      </c>
      <c r="J2056" s="7" t="s">
        <v>112</v>
      </c>
      <c r="K2056" s="7" t="s">
        <v>54</v>
      </c>
      <c r="L2056" s="10"/>
      <c r="M2056" s="10" t="s">
        <v>8343</v>
      </c>
      <c r="N2056" s="8" t="n">
        <v>0</v>
      </c>
      <c r="O2056" s="8" t="n">
        <v>0</v>
      </c>
      <c r="P2056" s="8" t="n">
        <v>0</v>
      </c>
      <c r="Q2056" s="8" t="n">
        <v>0</v>
      </c>
      <c r="R2056" s="13" t="n">
        <v>0</v>
      </c>
      <c r="S2056" s="13" t="n">
        <v>0</v>
      </c>
      <c r="T2056" s="13"/>
      <c r="U2056" s="11" t="n">
        <f aca="false">O2056*4 + P2056*2 + MAX(0,N2056-O2056-P2056)*1 + Q2056*0.2 + R2056*2 + S2056*1 + IF(T2056="",0,IF(T2056&lt;=10,8,IF(T2056&lt;=50,6,IF(T2056&lt;=100,4,2))))</f>
        <v>0</v>
      </c>
      <c r="V2056" s="7"/>
      <c r="W2056" s="7"/>
      <c r="X2056" s="13"/>
      <c r="Y2056" s="13" t="s">
        <v>8344</v>
      </c>
    </row>
    <row r="2057" customFormat="false" ht="15.75" hidden="false" customHeight="true" outlineLevel="0" collapsed="false">
      <c r="A2057" s="7" t="s">
        <v>8345</v>
      </c>
      <c r="B2057" s="8" t="n">
        <v>2010</v>
      </c>
      <c r="C2057" s="8" t="s">
        <v>176</v>
      </c>
      <c r="D2057" s="8" t="n">
        <v>100</v>
      </c>
      <c r="E2057" s="7" t="s">
        <v>8346</v>
      </c>
      <c r="F2057" s="8" t="n">
        <v>7</v>
      </c>
      <c r="G2057" s="8" t="n">
        <v>5</v>
      </c>
      <c r="H2057" s="9" t="n">
        <v>33331</v>
      </c>
      <c r="I2057" s="7" t="s">
        <v>803</v>
      </c>
      <c r="J2057" s="7" t="s">
        <v>112</v>
      </c>
      <c r="K2057" s="7" t="s">
        <v>48</v>
      </c>
      <c r="L2057" s="10" t="s">
        <v>205</v>
      </c>
      <c r="M2057" s="10" t="s">
        <v>8347</v>
      </c>
      <c r="N2057" s="8" t="n">
        <v>0</v>
      </c>
      <c r="O2057" s="8" t="n">
        <v>0</v>
      </c>
      <c r="P2057" s="8" t="n">
        <v>0</v>
      </c>
      <c r="Q2057" s="8" t="n">
        <v>0</v>
      </c>
      <c r="R2057" s="13" t="n">
        <v>0</v>
      </c>
      <c r="S2057" s="13" t="n">
        <v>0</v>
      </c>
      <c r="T2057" s="13"/>
      <c r="U2057" s="11" t="n">
        <f aca="false">O2057*4 + P2057*2 + MAX(0,N2057-O2057-P2057)*1 + Q2057*0.2 + R2057*2 + S2057*1 + IF(T2057="",0,IF(T2057&lt;=10,8,IF(T2057&lt;=50,6,IF(T2057&lt;=100,4,2))))</f>
        <v>0</v>
      </c>
      <c r="V2057" s="7"/>
      <c r="W2057" s="7"/>
      <c r="X2057" s="13"/>
      <c r="Y2057" s="13" t="s">
        <v>8348</v>
      </c>
    </row>
    <row r="2058" customFormat="false" ht="15.75" hidden="false" customHeight="true" outlineLevel="0" collapsed="false">
      <c r="A2058" s="7" t="s">
        <v>8349</v>
      </c>
      <c r="B2058" s="8" t="n">
        <v>2016</v>
      </c>
      <c r="C2058" s="8" t="s">
        <v>176</v>
      </c>
      <c r="D2058" s="8" t="n">
        <v>89</v>
      </c>
      <c r="E2058" s="7" t="s">
        <v>5310</v>
      </c>
      <c r="F2058" s="8" t="n">
        <v>5</v>
      </c>
      <c r="G2058" s="8" t="n">
        <v>2</v>
      </c>
      <c r="H2058" s="9" t="n">
        <v>53973</v>
      </c>
      <c r="I2058" s="7" t="s">
        <v>2168</v>
      </c>
      <c r="J2058" s="7" t="s">
        <v>147</v>
      </c>
      <c r="K2058" s="7" t="s">
        <v>125</v>
      </c>
      <c r="L2058" s="10" t="s">
        <v>4251</v>
      </c>
      <c r="M2058" s="10" t="s">
        <v>8350</v>
      </c>
      <c r="N2058" s="8" t="n">
        <v>0</v>
      </c>
      <c r="O2058" s="8" t="n">
        <v>0</v>
      </c>
      <c r="P2058" s="8" t="n">
        <v>0</v>
      </c>
      <c r="Q2058" s="8" t="n">
        <v>0</v>
      </c>
      <c r="R2058" s="13" t="n">
        <v>0</v>
      </c>
      <c r="S2058" s="13" t="n">
        <v>0</v>
      </c>
      <c r="T2058" s="13"/>
      <c r="U2058" s="11" t="n">
        <f aca="false">O2058*4 + P2058*2 + MAX(0,N2058-O2058-P2058)*1 + Q2058*0.2 + R2058*2 + S2058*1 + IF(T2058="",0,IF(T2058&lt;=10,8,IF(T2058&lt;=50,6,IF(T2058&lt;=100,4,2))))</f>
        <v>0</v>
      </c>
      <c r="V2058" s="7"/>
      <c r="W2058" s="7"/>
      <c r="X2058" s="13"/>
      <c r="Y2058" s="13" t="s">
        <v>8351</v>
      </c>
    </row>
    <row r="2059" customFormat="false" ht="15.75" hidden="false" customHeight="true" outlineLevel="0" collapsed="false">
      <c r="A2059" s="7" t="s">
        <v>8352</v>
      </c>
      <c r="B2059" s="8" t="n">
        <v>2000</v>
      </c>
      <c r="C2059" s="8" t="s">
        <v>35</v>
      </c>
      <c r="D2059" s="8" t="n">
        <v>119</v>
      </c>
      <c r="E2059" s="7" t="s">
        <v>5819</v>
      </c>
      <c r="F2059" s="8" t="n">
        <v>6.6</v>
      </c>
      <c r="G2059" s="8" t="n">
        <v>8</v>
      </c>
      <c r="H2059" s="9" t="n">
        <v>270551</v>
      </c>
      <c r="I2059" s="7" t="s">
        <v>359</v>
      </c>
      <c r="J2059" s="7" t="s">
        <v>39</v>
      </c>
      <c r="K2059" s="7" t="s">
        <v>29</v>
      </c>
      <c r="L2059" s="10" t="s">
        <v>177</v>
      </c>
      <c r="M2059" s="7" t="s">
        <v>8353</v>
      </c>
      <c r="N2059" s="8" t="n">
        <v>0</v>
      </c>
      <c r="O2059" s="8" t="n">
        <v>0</v>
      </c>
      <c r="P2059" s="8" t="n">
        <v>0</v>
      </c>
      <c r="Q2059" s="8" t="n">
        <v>0</v>
      </c>
      <c r="R2059" s="13" t="n">
        <v>0</v>
      </c>
      <c r="S2059" s="13" t="n">
        <v>0</v>
      </c>
      <c r="T2059" s="13"/>
      <c r="U2059" s="11" t="n">
        <f aca="false">O2059*4 + P2059*2 + MAX(0,N2059-O2059-P2059)*1 + Q2059*0.2 + R2059*2 + S2059*1 + IF(T2059="",0,IF(T2059&lt;=10,8,IF(T2059&lt;=50,6,IF(T2059&lt;=100,4,2))))</f>
        <v>0</v>
      </c>
      <c r="V2059" s="7"/>
      <c r="W2059" s="7"/>
      <c r="X2059" s="13"/>
      <c r="Y2059" s="13" t="s">
        <v>8354</v>
      </c>
    </row>
    <row r="2060" customFormat="false" ht="15.75" hidden="false" customHeight="true" outlineLevel="0" collapsed="false">
      <c r="A2060" s="7" t="s">
        <v>8355</v>
      </c>
      <c r="B2060" s="8" t="n">
        <v>2016</v>
      </c>
      <c r="C2060" s="8" t="s">
        <v>176</v>
      </c>
      <c r="D2060" s="8" t="n">
        <v>89</v>
      </c>
      <c r="E2060" s="7" t="s">
        <v>8356</v>
      </c>
      <c r="F2060" s="8" t="n">
        <v>6.1</v>
      </c>
      <c r="G2060" s="8" t="n">
        <v>7</v>
      </c>
      <c r="H2060" s="9" t="n">
        <v>228598</v>
      </c>
      <c r="I2060" s="7" t="s">
        <v>2168</v>
      </c>
      <c r="J2060" s="7" t="s">
        <v>579</v>
      </c>
      <c r="K2060" s="7" t="s">
        <v>39</v>
      </c>
      <c r="L2060" s="10" t="s">
        <v>210</v>
      </c>
      <c r="M2060" s="10" t="s">
        <v>8357</v>
      </c>
      <c r="N2060" s="8" t="n">
        <v>0</v>
      </c>
      <c r="O2060" s="8" t="n">
        <v>0</v>
      </c>
      <c r="P2060" s="8" t="n">
        <v>0</v>
      </c>
      <c r="Q2060" s="8" t="n">
        <v>0</v>
      </c>
      <c r="R2060" s="13" t="n">
        <v>0</v>
      </c>
      <c r="S2060" s="13" t="n">
        <v>0</v>
      </c>
      <c r="T2060" s="13"/>
      <c r="U2060" s="11" t="n">
        <f aca="false">O2060*4 + P2060*2 + MAX(0,N2060-O2060-P2060)*1 + Q2060*0.2 + R2060*2 + S2060*1 + IF(T2060="",0,IF(T2060&lt;=10,8,IF(T2060&lt;=50,6,IF(T2060&lt;=100,4,2))))</f>
        <v>0</v>
      </c>
      <c r="V2060" s="7"/>
      <c r="W2060" s="7"/>
      <c r="X2060" s="13"/>
      <c r="Y2060" s="13" t="s">
        <v>8358</v>
      </c>
    </row>
    <row r="2061" customFormat="false" ht="15.75" hidden="false" customHeight="true" outlineLevel="0" collapsed="false">
      <c r="A2061" s="7" t="s">
        <v>8359</v>
      </c>
      <c r="B2061" s="8" t="n">
        <v>2017</v>
      </c>
      <c r="C2061" s="8" t="s">
        <v>176</v>
      </c>
      <c r="D2061" s="8" t="n">
        <v>140</v>
      </c>
      <c r="E2061" s="7" t="s">
        <v>5190</v>
      </c>
      <c r="F2061" s="8" t="n">
        <v>6.7</v>
      </c>
      <c r="G2061" s="8" t="n">
        <v>5</v>
      </c>
      <c r="H2061" s="9" t="n">
        <v>20763</v>
      </c>
      <c r="I2061" s="7" t="s">
        <v>8360</v>
      </c>
      <c r="J2061" s="7" t="s">
        <v>112</v>
      </c>
      <c r="K2061" s="7" t="s">
        <v>453</v>
      </c>
      <c r="L2061" s="10" t="s">
        <v>238</v>
      </c>
      <c r="M2061" s="10" t="s">
        <v>8361</v>
      </c>
      <c r="N2061" s="8" t="n">
        <v>0</v>
      </c>
      <c r="O2061" s="8" t="n">
        <v>0</v>
      </c>
      <c r="P2061" s="8" t="n">
        <v>0</v>
      </c>
      <c r="Q2061" s="8" t="n">
        <v>0</v>
      </c>
      <c r="R2061" s="13" t="n">
        <v>0</v>
      </c>
      <c r="S2061" s="13" t="n">
        <v>0</v>
      </c>
      <c r="T2061" s="13"/>
      <c r="U2061" s="11" t="n">
        <f aca="false">O2061*4 + P2061*2 + MAX(0,N2061-O2061-P2061)*1 + Q2061*0.2 + R2061*2 + S2061*1 + IF(T2061="",0,IF(T2061&lt;=10,8,IF(T2061&lt;=50,6,IF(T2061&lt;=100,4,2))))</f>
        <v>0</v>
      </c>
      <c r="V2061" s="7"/>
      <c r="W2061" s="7"/>
      <c r="X2061" s="13"/>
      <c r="Y2061" s="13" t="s">
        <v>8362</v>
      </c>
    </row>
    <row r="2062" customFormat="false" ht="15.75" hidden="false" customHeight="true" outlineLevel="0" collapsed="false">
      <c r="A2062" s="7" t="s">
        <v>8363</v>
      </c>
      <c r="B2062" s="8" t="n">
        <v>2015</v>
      </c>
      <c r="C2062" s="8" t="s">
        <v>176</v>
      </c>
      <c r="D2062" s="8" t="n">
        <v>82</v>
      </c>
      <c r="E2062" s="7" t="s">
        <v>8364</v>
      </c>
      <c r="F2062" s="8" t="n">
        <v>5.4</v>
      </c>
      <c r="G2062" s="8" t="n">
        <v>3</v>
      </c>
      <c r="H2062" s="9" t="n">
        <v>15829</v>
      </c>
      <c r="I2062" s="7" t="s">
        <v>46</v>
      </c>
      <c r="J2062" s="7" t="s">
        <v>147</v>
      </c>
      <c r="K2062" s="7" t="s">
        <v>125</v>
      </c>
      <c r="L2062" s="10"/>
      <c r="M2062" s="10" t="s">
        <v>8365</v>
      </c>
      <c r="N2062" s="8" t="n">
        <v>0</v>
      </c>
      <c r="O2062" s="8" t="n">
        <v>0</v>
      </c>
      <c r="P2062" s="8" t="n">
        <v>0</v>
      </c>
      <c r="Q2062" s="8" t="n">
        <v>0</v>
      </c>
      <c r="R2062" s="13" t="n">
        <v>0</v>
      </c>
      <c r="S2062" s="13" t="n">
        <v>0</v>
      </c>
      <c r="T2062" s="13"/>
      <c r="U2062" s="11" t="n">
        <f aca="false">O2062*4 + P2062*2 + MAX(0,N2062-O2062-P2062)*1 + Q2062*0.2 + R2062*2 + S2062*1 + IF(T2062="",0,IF(T2062&lt;=10,8,IF(T2062&lt;=50,6,IF(T2062&lt;=100,4,2))))</f>
        <v>0</v>
      </c>
      <c r="V2062" s="7"/>
      <c r="W2062" s="7"/>
      <c r="X2062" s="13"/>
      <c r="Y2062" s="13" t="s">
        <v>8366</v>
      </c>
    </row>
    <row r="2063" customFormat="false" ht="15.75" hidden="false" customHeight="true" outlineLevel="0" collapsed="false">
      <c r="A2063" s="7" t="s">
        <v>8367</v>
      </c>
      <c r="B2063" s="8" t="n">
        <v>2002</v>
      </c>
      <c r="C2063" s="8" t="s">
        <v>35</v>
      </c>
      <c r="D2063" s="8" t="n">
        <v>119</v>
      </c>
      <c r="E2063" s="7" t="s">
        <v>2153</v>
      </c>
      <c r="F2063" s="8" t="n">
        <v>7.8</v>
      </c>
      <c r="G2063" s="8" t="n">
        <v>8</v>
      </c>
      <c r="H2063" s="9" t="n">
        <v>618436</v>
      </c>
      <c r="I2063" s="7" t="s">
        <v>8368</v>
      </c>
      <c r="J2063" s="7" t="s">
        <v>131</v>
      </c>
      <c r="K2063" s="7" t="s">
        <v>125</v>
      </c>
      <c r="L2063" s="10" t="s">
        <v>2154</v>
      </c>
      <c r="M2063" s="7" t="s">
        <v>2155</v>
      </c>
      <c r="N2063" s="8" t="n">
        <v>0</v>
      </c>
      <c r="O2063" s="8" t="n">
        <v>0</v>
      </c>
      <c r="P2063" s="8" t="n">
        <v>0</v>
      </c>
      <c r="Q2063" s="8" t="n">
        <v>0</v>
      </c>
      <c r="R2063" s="13" t="n">
        <v>0</v>
      </c>
      <c r="S2063" s="13" t="n">
        <v>0</v>
      </c>
      <c r="T2063" s="13"/>
      <c r="U2063" s="11" t="n">
        <f aca="false">O2063*4 + P2063*2 + MAX(0,N2063-O2063-P2063)*1 + Q2063*0.2 + R2063*2 + S2063*1 + IF(T2063="",0,IF(T2063&lt;=10,8,IF(T2063&lt;=50,6,IF(T2063&lt;=100,4,2))))</f>
        <v>0</v>
      </c>
      <c r="V2063" s="7"/>
      <c r="W2063" s="7"/>
      <c r="X2063" s="13"/>
      <c r="Y2063" s="13" t="s">
        <v>2156</v>
      </c>
    </row>
    <row r="2064" customFormat="false" ht="15.75" hidden="false" customHeight="true" outlineLevel="0" collapsed="false">
      <c r="A2064" s="7" t="s">
        <v>8369</v>
      </c>
      <c r="B2064" s="8" t="n">
        <v>2017</v>
      </c>
      <c r="C2064" s="8" t="s">
        <v>176</v>
      </c>
      <c r="D2064" s="8" t="n">
        <v>100</v>
      </c>
      <c r="E2064" s="7" t="s">
        <v>8370</v>
      </c>
      <c r="F2064" s="8" t="n">
        <v>4.6</v>
      </c>
      <c r="G2064" s="8" t="n">
        <v>7</v>
      </c>
      <c r="H2064" s="9" t="n">
        <v>3129</v>
      </c>
      <c r="I2064" s="7" t="s">
        <v>219</v>
      </c>
      <c r="J2064" s="7" t="s">
        <v>147</v>
      </c>
      <c r="K2064" s="7" t="s">
        <v>30</v>
      </c>
      <c r="L2064" s="10"/>
      <c r="M2064" s="10" t="s">
        <v>8371</v>
      </c>
      <c r="N2064" s="8" t="n">
        <v>0</v>
      </c>
      <c r="O2064" s="8" t="n">
        <v>0</v>
      </c>
      <c r="P2064" s="8" t="n">
        <v>0</v>
      </c>
      <c r="Q2064" s="8" t="n">
        <v>0</v>
      </c>
      <c r="R2064" s="13" t="n">
        <v>0</v>
      </c>
      <c r="S2064" s="13" t="n">
        <v>0</v>
      </c>
      <c r="T2064" s="13"/>
      <c r="U2064" s="11" t="n">
        <f aca="false">O2064*4 + P2064*2 + MAX(0,N2064-O2064-P2064)*1 + Q2064*0.2 + R2064*2 + S2064*1 + IF(T2064="",0,IF(T2064&lt;=10,8,IF(T2064&lt;=50,6,IF(T2064&lt;=100,4,2))))</f>
        <v>0</v>
      </c>
      <c r="V2064" s="7"/>
      <c r="W2064" s="7"/>
      <c r="X2064" s="13"/>
      <c r="Y2064" s="13" t="s">
        <v>8372</v>
      </c>
    </row>
    <row r="2065" customFormat="false" ht="15.75" hidden="false" customHeight="true" outlineLevel="0" collapsed="false">
      <c r="A2065" s="7" t="s">
        <v>8373</v>
      </c>
      <c r="B2065" s="8" t="n">
        <v>2018</v>
      </c>
      <c r="C2065" s="8" t="s">
        <v>176</v>
      </c>
      <c r="D2065" s="8" t="n">
        <v>147</v>
      </c>
      <c r="E2065" s="7" t="s">
        <v>4883</v>
      </c>
      <c r="F2065" s="8" t="n">
        <v>7.7</v>
      </c>
      <c r="G2065" s="8" t="n">
        <v>6</v>
      </c>
      <c r="H2065" s="9" t="n">
        <v>423240</v>
      </c>
      <c r="I2065" s="7" t="s">
        <v>46</v>
      </c>
      <c r="J2065" s="7" t="s">
        <v>131</v>
      </c>
      <c r="K2065" s="7" t="s">
        <v>112</v>
      </c>
      <c r="L2065" s="10" t="s">
        <v>2512</v>
      </c>
      <c r="M2065" s="7" t="s">
        <v>8374</v>
      </c>
      <c r="N2065" s="8" t="n">
        <v>0</v>
      </c>
      <c r="O2065" s="8" t="n">
        <v>0</v>
      </c>
      <c r="P2065" s="8" t="n">
        <v>0</v>
      </c>
      <c r="Q2065" s="8" t="n">
        <v>0</v>
      </c>
      <c r="R2065" s="13" t="n">
        <v>0</v>
      </c>
      <c r="S2065" s="13" t="n">
        <v>0</v>
      </c>
      <c r="T2065" s="13"/>
      <c r="U2065" s="11" t="n">
        <f aca="false">O2065*4 + P2065*2 + MAX(0,N2065-O2065-P2065)*1 + Q2065*0.2 + R2065*2 + S2065*1 + IF(T2065="",0,IF(T2065&lt;=10,8,IF(T2065&lt;=50,6,IF(T2065&lt;=100,4,2))))</f>
        <v>0</v>
      </c>
      <c r="V2065" s="7"/>
      <c r="W2065" s="7"/>
      <c r="X2065" s="13"/>
      <c r="Y2065" s="13" t="s">
        <v>8375</v>
      </c>
    </row>
    <row r="2066" customFormat="false" ht="15.75" hidden="false" customHeight="true" outlineLevel="0" collapsed="false">
      <c r="A2066" s="7" t="s">
        <v>8376</v>
      </c>
      <c r="B2066" s="8" t="n">
        <v>2001</v>
      </c>
      <c r="C2066" s="8" t="s">
        <v>35</v>
      </c>
      <c r="D2066" s="8" t="n">
        <v>97</v>
      </c>
      <c r="E2066" s="7" t="s">
        <v>2450</v>
      </c>
      <c r="F2066" s="8" t="n">
        <v>6.3</v>
      </c>
      <c r="G2066" s="8" t="n">
        <v>5</v>
      </c>
      <c r="H2066" s="9" t="n">
        <v>67720</v>
      </c>
      <c r="I2066" s="7" t="s">
        <v>46</v>
      </c>
      <c r="J2066" s="7" t="s">
        <v>147</v>
      </c>
      <c r="K2066" s="7" t="s">
        <v>1455</v>
      </c>
      <c r="L2066" s="10"/>
      <c r="M2066" s="10" t="s">
        <v>8377</v>
      </c>
      <c r="N2066" s="8" t="n">
        <v>0</v>
      </c>
      <c r="O2066" s="8" t="n">
        <v>0</v>
      </c>
      <c r="P2066" s="8" t="n">
        <v>0</v>
      </c>
      <c r="Q2066" s="8" t="n">
        <v>0</v>
      </c>
      <c r="R2066" s="13" t="n">
        <v>0</v>
      </c>
      <c r="S2066" s="13" t="n">
        <v>0</v>
      </c>
      <c r="T2066" s="13"/>
      <c r="U2066" s="11" t="n">
        <f aca="false">O2066*4 + P2066*2 + MAX(0,N2066-O2066-P2066)*1 + Q2066*0.2 + R2066*2 + S2066*1 + IF(T2066="",0,IF(T2066&lt;=10,8,IF(T2066&lt;=50,6,IF(T2066&lt;=100,4,2))))</f>
        <v>0</v>
      </c>
      <c r="V2066" s="7"/>
      <c r="W2066" s="7"/>
      <c r="X2066" s="13"/>
      <c r="Y2066" s="13" t="s">
        <v>8378</v>
      </c>
    </row>
    <row r="2067" customFormat="false" ht="15.75" hidden="false" customHeight="true" outlineLevel="0" collapsed="false">
      <c r="A2067" s="7" t="s">
        <v>8379</v>
      </c>
      <c r="B2067" s="8" t="n">
        <v>2018</v>
      </c>
      <c r="C2067" s="8" t="s">
        <v>176</v>
      </c>
      <c r="D2067" s="8" t="n">
        <v>119</v>
      </c>
      <c r="E2067" s="7" t="s">
        <v>5301</v>
      </c>
      <c r="F2067" s="8" t="n">
        <v>7.6</v>
      </c>
      <c r="G2067" s="8" t="n">
        <v>4</v>
      </c>
      <c r="H2067" s="9" t="n">
        <v>753668</v>
      </c>
      <c r="I2067" s="7" t="s">
        <v>46</v>
      </c>
      <c r="J2067" s="7" t="s">
        <v>112</v>
      </c>
      <c r="K2067" s="7" t="s">
        <v>39</v>
      </c>
      <c r="L2067" s="10" t="s">
        <v>177</v>
      </c>
      <c r="M2067" s="7" t="s">
        <v>8380</v>
      </c>
      <c r="N2067" s="8" t="n">
        <v>0</v>
      </c>
      <c r="O2067" s="8" t="n">
        <v>0</v>
      </c>
      <c r="P2067" s="8" t="n">
        <v>0</v>
      </c>
      <c r="Q2067" s="8" t="n">
        <v>0</v>
      </c>
      <c r="R2067" s="13" t="n">
        <v>0</v>
      </c>
      <c r="S2067" s="13" t="n">
        <v>0</v>
      </c>
      <c r="T2067" s="13"/>
      <c r="U2067" s="11" t="n">
        <f aca="false">O2067*4 + P2067*2 + MAX(0,N2067-O2067-P2067)*1 + Q2067*0.2 + R2067*2 + S2067*1 + IF(T2067="",0,IF(T2067&lt;=10,8,IF(T2067&lt;=50,6,IF(T2067&lt;=100,4,2))))</f>
        <v>0</v>
      </c>
      <c r="V2067" s="7"/>
      <c r="W2067" s="7"/>
      <c r="X2067" s="13"/>
      <c r="Y2067" s="13" t="s">
        <v>8381</v>
      </c>
    </row>
    <row r="2068" customFormat="false" ht="15.75" hidden="false" customHeight="true" outlineLevel="0" collapsed="false">
      <c r="A2068" s="7" t="s">
        <v>8382</v>
      </c>
      <c r="B2068" s="8" t="n">
        <v>2018</v>
      </c>
      <c r="C2068" s="8" t="s">
        <v>176</v>
      </c>
      <c r="D2068" s="8" t="n">
        <v>141</v>
      </c>
      <c r="E2068" s="7" t="s">
        <v>2355</v>
      </c>
      <c r="F2068" s="8" t="n">
        <v>7.3</v>
      </c>
      <c r="G2068" s="8" t="n">
        <v>8</v>
      </c>
      <c r="H2068" s="9" t="n">
        <v>218742</v>
      </c>
      <c r="I2068" s="7" t="s">
        <v>46</v>
      </c>
      <c r="J2068" s="7" t="s">
        <v>47</v>
      </c>
      <c r="K2068" s="7" t="s">
        <v>48</v>
      </c>
      <c r="L2068" s="10" t="s">
        <v>113</v>
      </c>
      <c r="M2068" s="10" t="s">
        <v>8383</v>
      </c>
      <c r="N2068" s="8" t="n">
        <v>1</v>
      </c>
      <c r="O2068" s="8" t="n">
        <v>0</v>
      </c>
      <c r="P2068" s="8" t="n">
        <v>0</v>
      </c>
      <c r="Q2068" s="8" t="n">
        <v>4</v>
      </c>
      <c r="R2068" s="8" t="n">
        <v>0</v>
      </c>
      <c r="S2068" s="8" t="n">
        <v>0</v>
      </c>
      <c r="T2068" s="13"/>
      <c r="U2068" s="11" t="n">
        <f aca="false">O2068*4 + P2068*2 + MAX(0,N2068-O2068-P2068)*1 + Q2068*0.2 + R2068*2 + S2068*1 + IF(T2068="",0,IF(T2068&lt;=10,8,IF(T2068&lt;=50,6,IF(T2068&lt;=100,4,2))))</f>
        <v>1.8</v>
      </c>
      <c r="V2068" s="7"/>
      <c r="W2068" s="7"/>
      <c r="X2068" s="13"/>
      <c r="Y2068" s="13" t="s">
        <v>8384</v>
      </c>
    </row>
    <row r="2069" customFormat="false" ht="15.75" hidden="false" customHeight="true" outlineLevel="0" collapsed="false">
      <c r="A2069" s="7" t="s">
        <v>8385</v>
      </c>
      <c r="B2069" s="8" t="n">
        <v>1973</v>
      </c>
      <c r="C2069" s="8" t="s">
        <v>61</v>
      </c>
      <c r="D2069" s="8" t="n">
        <v>112</v>
      </c>
      <c r="E2069" s="7" t="s">
        <v>165</v>
      </c>
      <c r="F2069" s="8" t="n">
        <v>7.1</v>
      </c>
      <c r="G2069" s="8" t="n">
        <v>6</v>
      </c>
      <c r="H2069" s="9" t="n">
        <v>129247</v>
      </c>
      <c r="I2069" s="7" t="s">
        <v>46</v>
      </c>
      <c r="J2069" s="7" t="s">
        <v>131</v>
      </c>
      <c r="K2069" s="7" t="s">
        <v>54</v>
      </c>
      <c r="L2069" s="10" t="s">
        <v>205</v>
      </c>
      <c r="M2069" s="10" t="s">
        <v>8386</v>
      </c>
      <c r="N2069" s="8" t="n">
        <v>0</v>
      </c>
      <c r="O2069" s="8" t="n">
        <v>0</v>
      </c>
      <c r="P2069" s="8" t="n">
        <v>0</v>
      </c>
      <c r="Q2069" s="8" t="n">
        <v>0</v>
      </c>
      <c r="R2069" s="13" t="n">
        <v>0</v>
      </c>
      <c r="S2069" s="13" t="n">
        <v>0</v>
      </c>
      <c r="T2069" s="13"/>
      <c r="U2069" s="11" t="n">
        <f aca="false">O2069*4 + P2069*2 + MAX(0,N2069-O2069-P2069)*1 + Q2069*0.2 + R2069*2 + S2069*1 + IF(T2069="",0,IF(T2069&lt;=10,8,IF(T2069&lt;=50,6,IF(T2069&lt;=100,4,2))))</f>
        <v>0</v>
      </c>
      <c r="V2069" s="7"/>
      <c r="W2069" s="7"/>
      <c r="X2069" s="13"/>
      <c r="Y2069" s="13" t="s">
        <v>8387</v>
      </c>
    </row>
    <row r="2070" customFormat="false" ht="15.75" hidden="false" customHeight="true" outlineLevel="0" collapsed="false">
      <c r="A2070" s="7" t="s">
        <v>8388</v>
      </c>
      <c r="B2070" s="8" t="n">
        <v>2018</v>
      </c>
      <c r="C2070" s="8" t="s">
        <v>176</v>
      </c>
      <c r="D2070" s="8" t="n">
        <v>136</v>
      </c>
      <c r="E2070" s="7" t="s">
        <v>8389</v>
      </c>
      <c r="F2070" s="8" t="n">
        <v>7.6</v>
      </c>
      <c r="G2070" s="8" t="n">
        <v>7</v>
      </c>
      <c r="H2070" s="9" t="n">
        <v>451737</v>
      </c>
      <c r="I2070" s="7" t="s">
        <v>46</v>
      </c>
      <c r="J2070" s="7" t="s">
        <v>90</v>
      </c>
      <c r="K2070" s="7" t="s">
        <v>29</v>
      </c>
      <c r="L2070" s="10" t="s">
        <v>155</v>
      </c>
      <c r="M2070" s="7" t="s">
        <v>8390</v>
      </c>
      <c r="N2070" s="8" t="n">
        <v>1</v>
      </c>
      <c r="O2070" s="8" t="n">
        <v>0</v>
      </c>
      <c r="P2070" s="8" t="n">
        <v>0</v>
      </c>
      <c r="Q2070" s="8" t="n">
        <v>8</v>
      </c>
      <c r="R2070" s="8" t="n">
        <v>0</v>
      </c>
      <c r="S2070" s="8" t="n">
        <v>0</v>
      </c>
      <c r="T2070" s="13"/>
      <c r="U2070" s="11" t="n">
        <f aca="false">O2070*4 + P2070*2 + MAX(0,N2070-O2070-P2070)*1 + Q2070*0.2 + R2070*2 + S2070*1 + IF(T2070="",0,IF(T2070&lt;=10,8,IF(T2070&lt;=50,6,IF(T2070&lt;=100,4,2))))</f>
        <v>2.6</v>
      </c>
      <c r="V2070" s="7"/>
      <c r="W2070" s="7"/>
      <c r="X2070" s="13"/>
      <c r="Y2070" s="13" t="s">
        <v>8391</v>
      </c>
    </row>
    <row r="2071" customFormat="false" ht="15.75" hidden="false" customHeight="true" outlineLevel="0" collapsed="false">
      <c r="A2071" s="7" t="s">
        <v>8392</v>
      </c>
      <c r="B2071" s="8" t="n">
        <v>2018</v>
      </c>
      <c r="C2071" s="8" t="s">
        <v>176</v>
      </c>
      <c r="D2071" s="8" t="n">
        <v>134</v>
      </c>
      <c r="E2071" s="7" t="s">
        <v>2351</v>
      </c>
      <c r="F2071" s="8" t="n">
        <v>6.5</v>
      </c>
      <c r="G2071" s="8" t="n">
        <v>3</v>
      </c>
      <c r="H2071" s="9" t="n">
        <v>334009</v>
      </c>
      <c r="I2071" s="7" t="s">
        <v>359</v>
      </c>
      <c r="J2071" s="7" t="s">
        <v>38</v>
      </c>
      <c r="K2071" s="7" t="s">
        <v>259</v>
      </c>
      <c r="L2071" s="10" t="s">
        <v>55</v>
      </c>
      <c r="M2071" s="7" t="s">
        <v>8393</v>
      </c>
      <c r="N2071" s="8" t="n">
        <v>0</v>
      </c>
      <c r="O2071" s="8" t="n">
        <v>0</v>
      </c>
      <c r="P2071" s="8" t="n">
        <v>0</v>
      </c>
      <c r="Q2071" s="8" t="n">
        <v>0</v>
      </c>
      <c r="R2071" s="13" t="n">
        <v>0</v>
      </c>
      <c r="S2071" s="13" t="n">
        <v>0</v>
      </c>
      <c r="T2071" s="13"/>
      <c r="U2071" s="11" t="n">
        <f aca="false">O2071*4 + P2071*2 + MAX(0,N2071-O2071-P2071)*1 + Q2071*0.2 + R2071*2 + S2071*1 + IF(T2071="",0,IF(T2071&lt;=10,8,IF(T2071&lt;=50,6,IF(T2071&lt;=100,4,2))))</f>
        <v>0</v>
      </c>
      <c r="V2071" s="7"/>
      <c r="W2071" s="7"/>
      <c r="X2071" s="13"/>
      <c r="Y2071" s="13" t="s">
        <v>8394</v>
      </c>
    </row>
    <row r="2072" customFormat="false" ht="15.75" hidden="false" customHeight="true" outlineLevel="0" collapsed="false">
      <c r="A2072" s="7" t="s">
        <v>8395</v>
      </c>
      <c r="B2072" s="8" t="n">
        <v>2001</v>
      </c>
      <c r="C2072" s="8" t="s">
        <v>35</v>
      </c>
      <c r="D2072" s="8" t="n">
        <v>131</v>
      </c>
      <c r="E2072" s="7" t="s">
        <v>1074</v>
      </c>
      <c r="F2072" s="8" t="n">
        <v>6.8</v>
      </c>
      <c r="G2072" s="8" t="n">
        <v>8</v>
      </c>
      <c r="H2072" s="9" t="n">
        <v>315699</v>
      </c>
      <c r="I2072" s="7" t="s">
        <v>359</v>
      </c>
      <c r="J2072" s="7" t="s">
        <v>131</v>
      </c>
      <c r="K2072" s="7" t="s">
        <v>464</v>
      </c>
      <c r="L2072" s="10" t="s">
        <v>192</v>
      </c>
      <c r="M2072" s="7" t="s">
        <v>8396</v>
      </c>
      <c r="N2072" s="8" t="n">
        <v>0</v>
      </c>
      <c r="O2072" s="8" t="n">
        <v>0</v>
      </c>
      <c r="P2072" s="8" t="n">
        <v>0</v>
      </c>
      <c r="Q2072" s="8" t="n">
        <v>0</v>
      </c>
      <c r="R2072" s="13" t="n">
        <v>0</v>
      </c>
      <c r="S2072" s="13" t="n">
        <v>0</v>
      </c>
      <c r="T2072" s="13"/>
      <c r="U2072" s="11" t="n">
        <f aca="false">O2072*4 + P2072*2 + MAX(0,N2072-O2072-P2072)*1 + Q2072*0.2 + R2072*2 + S2072*1 + IF(T2072="",0,IF(T2072&lt;=10,8,IF(T2072&lt;=50,6,IF(T2072&lt;=100,4,2))))</f>
        <v>0</v>
      </c>
      <c r="V2072" s="7"/>
      <c r="W2072" s="7"/>
      <c r="X2072" s="13"/>
      <c r="Y2072" s="13" t="s">
        <v>8397</v>
      </c>
    </row>
    <row r="2073" customFormat="false" ht="15.75" hidden="false" customHeight="true" outlineLevel="0" collapsed="false">
      <c r="A2073" s="7" t="s">
        <v>8398</v>
      </c>
      <c r="B2073" s="8" t="n">
        <v>2018</v>
      </c>
      <c r="C2073" s="8" t="s">
        <v>176</v>
      </c>
      <c r="D2073" s="8" t="n">
        <v>128</v>
      </c>
      <c r="E2073" s="7" t="s">
        <v>8399</v>
      </c>
      <c r="F2073" s="8" t="n">
        <v>6.1</v>
      </c>
      <c r="G2073" s="8" t="n">
        <v>5</v>
      </c>
      <c r="H2073" s="9" t="n">
        <v>154468</v>
      </c>
      <c r="I2073" s="7" t="s">
        <v>1988</v>
      </c>
      <c r="J2073" s="7" t="s">
        <v>38</v>
      </c>
      <c r="K2073" s="7" t="s">
        <v>112</v>
      </c>
      <c r="L2073" s="10"/>
      <c r="M2073" s="10" t="s">
        <v>8400</v>
      </c>
      <c r="N2073" s="8" t="n">
        <v>0</v>
      </c>
      <c r="O2073" s="8" t="n">
        <v>0</v>
      </c>
      <c r="P2073" s="8" t="n">
        <v>0</v>
      </c>
      <c r="Q2073" s="8" t="n">
        <v>0</v>
      </c>
      <c r="R2073" s="13" t="n">
        <v>0</v>
      </c>
      <c r="S2073" s="13" t="n">
        <v>0</v>
      </c>
      <c r="T2073" s="13"/>
      <c r="U2073" s="11" t="n">
        <f aca="false">O2073*4 + P2073*2 + MAX(0,N2073-O2073-P2073)*1 + Q2073*0.2 + R2073*2 + S2073*1 + IF(T2073="",0,IF(T2073&lt;=10,8,IF(T2073&lt;=50,6,IF(T2073&lt;=100,4,2))))</f>
        <v>0</v>
      </c>
      <c r="V2073" s="7"/>
      <c r="W2073" s="7"/>
      <c r="X2073" s="13"/>
      <c r="Y2073" s="13" t="s">
        <v>8401</v>
      </c>
    </row>
    <row r="2074" customFormat="false" ht="15.75" hidden="false" customHeight="true" outlineLevel="0" collapsed="false">
      <c r="A2074" s="7" t="s">
        <v>8402</v>
      </c>
      <c r="B2074" s="8" t="n">
        <v>2018</v>
      </c>
      <c r="C2074" s="8" t="s">
        <v>176</v>
      </c>
      <c r="D2074" s="8" t="n">
        <v>124</v>
      </c>
      <c r="E2074" s="7" t="s">
        <v>2938</v>
      </c>
      <c r="F2074" s="8" t="n">
        <v>6.6</v>
      </c>
      <c r="G2074" s="8" t="n">
        <v>6</v>
      </c>
      <c r="H2074" s="9" t="n">
        <v>425803</v>
      </c>
      <c r="I2074" s="7" t="s">
        <v>46</v>
      </c>
      <c r="J2074" s="7" t="s">
        <v>147</v>
      </c>
      <c r="K2074" s="7" t="s">
        <v>125</v>
      </c>
      <c r="L2074" s="10" t="s">
        <v>238</v>
      </c>
      <c r="M2074" s="7" t="s">
        <v>8403</v>
      </c>
      <c r="N2074" s="8" t="n">
        <v>0</v>
      </c>
      <c r="O2074" s="8" t="n">
        <v>0</v>
      </c>
      <c r="P2074" s="8" t="n">
        <v>0</v>
      </c>
      <c r="Q2074" s="8" t="n">
        <v>0</v>
      </c>
      <c r="R2074" s="13" t="n">
        <v>0</v>
      </c>
      <c r="S2074" s="13" t="n">
        <v>0</v>
      </c>
      <c r="T2074" s="13"/>
      <c r="U2074" s="11" t="n">
        <f aca="false">O2074*4 + P2074*2 + MAX(0,N2074-O2074-P2074)*1 + Q2074*0.2 + R2074*2 + S2074*1 + IF(T2074="",0,IF(T2074&lt;=10,8,IF(T2074&lt;=50,6,IF(T2074&lt;=100,4,2))))</f>
        <v>0</v>
      </c>
      <c r="V2074" s="7"/>
      <c r="W2074" s="7"/>
      <c r="X2074" s="13"/>
      <c r="Y2074" s="13" t="s">
        <v>8404</v>
      </c>
    </row>
    <row r="2075" customFormat="false" ht="15.75" hidden="false" customHeight="true" outlineLevel="0" collapsed="false">
      <c r="A2075" s="7" t="s">
        <v>8405</v>
      </c>
      <c r="B2075" s="8" t="n">
        <v>2019</v>
      </c>
      <c r="C2075" s="8" t="s">
        <v>176</v>
      </c>
      <c r="D2075" s="8" t="n">
        <v>129</v>
      </c>
      <c r="E2075" s="7" t="s">
        <v>1894</v>
      </c>
      <c r="F2075" s="8" t="n">
        <v>6.6</v>
      </c>
      <c r="G2075" s="8" t="n">
        <v>4</v>
      </c>
      <c r="H2075" s="9" t="n">
        <v>306408</v>
      </c>
      <c r="I2075" s="7" t="s">
        <v>46</v>
      </c>
      <c r="J2075" s="7" t="s">
        <v>147</v>
      </c>
      <c r="K2075" s="7" t="s">
        <v>38</v>
      </c>
      <c r="L2075" s="10" t="s">
        <v>2616</v>
      </c>
      <c r="M2075" s="7" t="s">
        <v>8406</v>
      </c>
      <c r="N2075" s="8" t="n">
        <v>0</v>
      </c>
      <c r="O2075" s="8" t="n">
        <v>0</v>
      </c>
      <c r="P2075" s="8" t="n">
        <v>0</v>
      </c>
      <c r="Q2075" s="8" t="n">
        <v>0</v>
      </c>
      <c r="R2075" s="13" t="n">
        <v>0</v>
      </c>
      <c r="S2075" s="13" t="n">
        <v>0</v>
      </c>
      <c r="T2075" s="13"/>
      <c r="U2075" s="11" t="n">
        <f aca="false">O2075*4 + P2075*2 + MAX(0,N2075-O2075-P2075)*1 + Q2075*0.2 + R2075*2 + S2075*1 + IF(T2075="",0,IF(T2075&lt;=10,8,IF(T2075&lt;=50,6,IF(T2075&lt;=100,4,2))))</f>
        <v>0</v>
      </c>
      <c r="V2075" s="7"/>
      <c r="W2075" s="7"/>
      <c r="X2075" s="13"/>
      <c r="Y2075" s="13" t="s">
        <v>8407</v>
      </c>
    </row>
    <row r="2076" customFormat="false" ht="15.75" hidden="false" customHeight="true" outlineLevel="0" collapsed="false">
      <c r="A2076" s="7" t="s">
        <v>8408</v>
      </c>
      <c r="B2076" s="8" t="n">
        <v>2017</v>
      </c>
      <c r="C2076" s="8" t="s">
        <v>176</v>
      </c>
      <c r="D2076" s="8" t="n">
        <v>104</v>
      </c>
      <c r="E2076" s="7" t="s">
        <v>7057</v>
      </c>
      <c r="F2076" s="8" t="n">
        <v>6.6</v>
      </c>
      <c r="G2076" s="8" t="n">
        <v>7</v>
      </c>
      <c r="H2076" s="9" t="n">
        <v>279226</v>
      </c>
      <c r="I2076" s="7" t="s">
        <v>46</v>
      </c>
      <c r="J2076" s="7" t="s">
        <v>147</v>
      </c>
      <c r="K2076" s="7" t="s">
        <v>111</v>
      </c>
      <c r="L2076" s="10" t="s">
        <v>210</v>
      </c>
      <c r="M2076" s="7" t="s">
        <v>8409</v>
      </c>
      <c r="N2076" s="8" t="n">
        <v>0</v>
      </c>
      <c r="O2076" s="8" t="n">
        <v>0</v>
      </c>
      <c r="P2076" s="8" t="n">
        <v>0</v>
      </c>
      <c r="Q2076" s="8" t="n">
        <v>0</v>
      </c>
      <c r="R2076" s="13" t="n">
        <v>0</v>
      </c>
      <c r="S2076" s="13" t="n">
        <v>0</v>
      </c>
      <c r="T2076" s="13"/>
      <c r="U2076" s="11" t="n">
        <f aca="false">O2076*4 + P2076*2 + MAX(0,N2076-O2076-P2076)*1 + Q2076*0.2 + R2076*2 + S2076*1 + IF(T2076="",0,IF(T2076&lt;=10,8,IF(T2076&lt;=50,6,IF(T2076&lt;=100,4,2))))</f>
        <v>0</v>
      </c>
      <c r="V2076" s="7"/>
      <c r="W2076" s="7"/>
      <c r="X2076" s="13"/>
      <c r="Y2076" s="13" t="s">
        <v>8410</v>
      </c>
    </row>
    <row r="2077" customFormat="false" ht="15.75" hidden="false" customHeight="true" outlineLevel="0" collapsed="false">
      <c r="A2077" s="7" t="s">
        <v>8411</v>
      </c>
      <c r="B2077" s="8" t="n">
        <v>2011</v>
      </c>
      <c r="C2077" s="8" t="s">
        <v>176</v>
      </c>
      <c r="D2077" s="8" t="n">
        <v>106</v>
      </c>
      <c r="E2077" s="7" t="s">
        <v>489</v>
      </c>
      <c r="F2077" s="8" t="n">
        <v>6.8</v>
      </c>
      <c r="G2077" s="8" t="n">
        <v>7</v>
      </c>
      <c r="H2077" s="9" t="n">
        <v>333096</v>
      </c>
      <c r="I2077" s="7" t="s">
        <v>8412</v>
      </c>
      <c r="J2077" s="7" t="s">
        <v>131</v>
      </c>
      <c r="K2077" s="7" t="s">
        <v>47</v>
      </c>
      <c r="L2077" s="10" t="s">
        <v>8413</v>
      </c>
      <c r="M2077" s="7" t="s">
        <v>8414</v>
      </c>
      <c r="N2077" s="8" t="n">
        <v>0</v>
      </c>
      <c r="O2077" s="8" t="n">
        <v>0</v>
      </c>
      <c r="P2077" s="8" t="n">
        <v>0</v>
      </c>
      <c r="Q2077" s="8" t="n">
        <v>0</v>
      </c>
      <c r="R2077" s="13" t="n">
        <v>0</v>
      </c>
      <c r="S2077" s="13" t="n">
        <v>0</v>
      </c>
      <c r="T2077" s="13"/>
      <c r="U2077" s="11" t="n">
        <f aca="false">O2077*4 + P2077*2 + MAX(0,N2077-O2077-P2077)*1 + Q2077*0.2 + R2077*2 + S2077*1 + IF(T2077="",0,IF(T2077&lt;=10,8,IF(T2077&lt;=50,6,IF(T2077&lt;=100,4,2))))</f>
        <v>0</v>
      </c>
      <c r="V2077" s="7"/>
      <c r="W2077" s="7"/>
      <c r="X2077" s="13"/>
      <c r="Y2077" s="13" t="s">
        <v>8415</v>
      </c>
    </row>
    <row r="2078" customFormat="false" ht="15.75" hidden="false" customHeight="true" outlineLevel="0" collapsed="false">
      <c r="A2078" s="7" t="s">
        <v>8416</v>
      </c>
      <c r="B2078" s="8" t="n">
        <v>2017</v>
      </c>
      <c r="C2078" s="8" t="s">
        <v>176</v>
      </c>
      <c r="D2078" s="8" t="n">
        <v>102</v>
      </c>
      <c r="E2078" s="7" t="s">
        <v>8417</v>
      </c>
      <c r="F2078" s="8" t="n">
        <v>6.7</v>
      </c>
      <c r="G2078" s="8" t="n">
        <v>6</v>
      </c>
      <c r="H2078" s="9" t="n">
        <v>155910</v>
      </c>
      <c r="I2078" s="7" t="s">
        <v>46</v>
      </c>
      <c r="J2078" s="7" t="s">
        <v>579</v>
      </c>
      <c r="K2078" s="7" t="s">
        <v>39</v>
      </c>
      <c r="L2078" s="10" t="s">
        <v>177</v>
      </c>
      <c r="M2078" s="10" t="s">
        <v>8418</v>
      </c>
      <c r="N2078" s="8" t="n">
        <v>0</v>
      </c>
      <c r="O2078" s="8" t="n">
        <v>0</v>
      </c>
      <c r="P2078" s="8" t="n">
        <v>0</v>
      </c>
      <c r="Q2078" s="8" t="n">
        <v>0</v>
      </c>
      <c r="R2078" s="13" t="n">
        <v>0</v>
      </c>
      <c r="S2078" s="13" t="n">
        <v>0</v>
      </c>
      <c r="T2078" s="13"/>
      <c r="U2078" s="11" t="n">
        <f aca="false">O2078*4 + P2078*2 + MAX(0,N2078-O2078-P2078)*1 + Q2078*0.2 + R2078*2 + S2078*1 + IF(T2078="",0,IF(T2078&lt;=10,8,IF(T2078&lt;=50,6,IF(T2078&lt;=100,4,2))))</f>
        <v>0</v>
      </c>
      <c r="V2078" s="7"/>
      <c r="W2078" s="7"/>
      <c r="X2078" s="13"/>
      <c r="Y2078" s="13" t="s">
        <v>8419</v>
      </c>
    </row>
    <row r="2079" customFormat="false" ht="15.75" hidden="false" customHeight="true" outlineLevel="0" collapsed="false">
      <c r="A2079" s="7" t="s">
        <v>8420</v>
      </c>
      <c r="B2079" s="8" t="n">
        <v>2009</v>
      </c>
      <c r="C2079" s="8" t="s">
        <v>35</v>
      </c>
      <c r="D2079" s="8" t="n">
        <v>109</v>
      </c>
      <c r="E2079" s="7" t="s">
        <v>7719</v>
      </c>
      <c r="F2079" s="8" t="n">
        <v>6.2</v>
      </c>
      <c r="G2079" s="8" t="n">
        <v>6</v>
      </c>
      <c r="H2079" s="9" t="n">
        <v>100020</v>
      </c>
      <c r="I2079" s="7" t="s">
        <v>2168</v>
      </c>
      <c r="J2079" s="7" t="s">
        <v>147</v>
      </c>
      <c r="K2079" s="7" t="s">
        <v>125</v>
      </c>
      <c r="L2079" s="10"/>
      <c r="M2079" s="10" t="s">
        <v>8421</v>
      </c>
      <c r="N2079" s="8" t="n">
        <v>0</v>
      </c>
      <c r="O2079" s="8" t="n">
        <v>0</v>
      </c>
      <c r="P2079" s="8" t="n">
        <v>0</v>
      </c>
      <c r="Q2079" s="8" t="n">
        <v>0</v>
      </c>
      <c r="R2079" s="13" t="n">
        <v>0</v>
      </c>
      <c r="S2079" s="13" t="n">
        <v>0</v>
      </c>
      <c r="T2079" s="13"/>
      <c r="U2079" s="11" t="n">
        <f aca="false">O2079*4 + P2079*2 + MAX(0,N2079-O2079-P2079)*1 + Q2079*0.2 + R2079*2 + S2079*1 + IF(T2079="",0,IF(T2079&lt;=10,8,IF(T2079&lt;=50,6,IF(T2079&lt;=100,4,2))))</f>
        <v>0</v>
      </c>
      <c r="V2079" s="7"/>
      <c r="W2079" s="7"/>
      <c r="X2079" s="13"/>
      <c r="Y2079" s="13" t="s">
        <v>8422</v>
      </c>
    </row>
    <row r="2080" customFormat="false" ht="15.75" hidden="false" customHeight="true" outlineLevel="0" collapsed="false">
      <c r="A2080" s="7" t="s">
        <v>8423</v>
      </c>
      <c r="B2080" s="8" t="n">
        <v>2019</v>
      </c>
      <c r="C2080" s="8" t="s">
        <v>176</v>
      </c>
      <c r="D2080" s="8" t="n">
        <v>118</v>
      </c>
      <c r="E2080" s="7" t="s">
        <v>8424</v>
      </c>
      <c r="F2080" s="8" t="n">
        <v>6.3</v>
      </c>
      <c r="G2080" s="8" t="n">
        <v>6</v>
      </c>
      <c r="H2080" s="9" t="n">
        <v>108236</v>
      </c>
      <c r="I2080" s="7" t="s">
        <v>2083</v>
      </c>
      <c r="J2080" s="7" t="s">
        <v>131</v>
      </c>
      <c r="K2080" s="7" t="s">
        <v>54</v>
      </c>
      <c r="L2080" s="10" t="s">
        <v>238</v>
      </c>
      <c r="M2080" s="10" t="s">
        <v>8425</v>
      </c>
      <c r="N2080" s="8" t="n">
        <v>0</v>
      </c>
      <c r="O2080" s="8" t="n">
        <v>0</v>
      </c>
      <c r="P2080" s="8" t="n">
        <v>0</v>
      </c>
      <c r="Q2080" s="8" t="n">
        <v>0</v>
      </c>
      <c r="R2080" s="13" t="n">
        <v>0</v>
      </c>
      <c r="S2080" s="13" t="n">
        <v>0</v>
      </c>
      <c r="T2080" s="13"/>
      <c r="U2080" s="11" t="n">
        <f aca="false">O2080*4 + P2080*2 + MAX(0,N2080-O2080-P2080)*1 + Q2080*0.2 + R2080*2 + S2080*1 + IF(T2080="",0,IF(T2080&lt;=10,8,IF(T2080&lt;=50,6,IF(T2080&lt;=100,4,2))))</f>
        <v>0</v>
      </c>
      <c r="V2080" s="7"/>
      <c r="W2080" s="7"/>
      <c r="X2080" s="13"/>
      <c r="Y2080" s="13" t="s">
        <v>8426</v>
      </c>
    </row>
    <row r="2081" customFormat="false" ht="15.75" hidden="false" customHeight="true" outlineLevel="0" collapsed="false">
      <c r="A2081" s="7" t="s">
        <v>8427</v>
      </c>
      <c r="B2081" s="8" t="n">
        <v>2018</v>
      </c>
      <c r="C2081" s="8" t="s">
        <v>176</v>
      </c>
      <c r="D2081" s="8" t="n">
        <v>133</v>
      </c>
      <c r="E2081" s="7" t="s">
        <v>8428</v>
      </c>
      <c r="F2081" s="8" t="n">
        <v>7.2</v>
      </c>
      <c r="G2081" s="8" t="n">
        <v>7</v>
      </c>
      <c r="H2081" s="9" t="n">
        <v>186216</v>
      </c>
      <c r="I2081" s="7" t="s">
        <v>46</v>
      </c>
      <c r="J2081" s="7" t="s">
        <v>90</v>
      </c>
      <c r="K2081" s="7" t="s">
        <v>30</v>
      </c>
      <c r="L2081" s="10" t="s">
        <v>238</v>
      </c>
      <c r="M2081" s="10" t="s">
        <v>8429</v>
      </c>
      <c r="N2081" s="8" t="n">
        <v>0</v>
      </c>
      <c r="O2081" s="8" t="n">
        <v>0</v>
      </c>
      <c r="P2081" s="8" t="n">
        <v>0</v>
      </c>
      <c r="Q2081" s="8" t="n">
        <v>3</v>
      </c>
      <c r="R2081" s="8" t="n">
        <v>0</v>
      </c>
      <c r="S2081" s="8" t="n">
        <v>0</v>
      </c>
      <c r="T2081" s="13"/>
      <c r="U2081" s="11" t="n">
        <f aca="false">O2081*4 + P2081*2 + MAX(0,N2081-O2081-P2081)*1 + Q2081*0.2 + R2081*2 + S2081*1 + IF(T2081="",0,IF(T2081&lt;=10,8,IF(T2081&lt;=50,6,IF(T2081&lt;=100,4,2))))</f>
        <v>0.6</v>
      </c>
      <c r="V2081" s="7"/>
      <c r="W2081" s="7"/>
      <c r="X2081" s="13"/>
      <c r="Y2081" s="13" t="s">
        <v>8430</v>
      </c>
    </row>
    <row r="2082" customFormat="false" ht="15.75" hidden="false" customHeight="true" outlineLevel="0" collapsed="false">
      <c r="A2082" s="7" t="s">
        <v>6902</v>
      </c>
      <c r="B2082" s="8" t="n">
        <v>2019</v>
      </c>
      <c r="C2082" s="8" t="s">
        <v>176</v>
      </c>
      <c r="D2082" s="8" t="n">
        <v>128</v>
      </c>
      <c r="E2082" s="7" t="s">
        <v>1196</v>
      </c>
      <c r="F2082" s="8" t="n">
        <v>6.9</v>
      </c>
      <c r="G2082" s="8" t="n">
        <v>7</v>
      </c>
      <c r="H2082" s="9" t="n">
        <v>318061</v>
      </c>
      <c r="I2082" s="7" t="s">
        <v>46</v>
      </c>
      <c r="J2082" s="7" t="s">
        <v>39</v>
      </c>
      <c r="K2082" s="7" t="s">
        <v>259</v>
      </c>
      <c r="L2082" s="10" t="s">
        <v>177</v>
      </c>
      <c r="M2082" s="10" t="s">
        <v>6904</v>
      </c>
      <c r="N2082" s="8" t="n">
        <v>0</v>
      </c>
      <c r="O2082" s="8" t="n">
        <v>0</v>
      </c>
      <c r="P2082" s="8" t="n">
        <v>0</v>
      </c>
      <c r="Q2082" s="8" t="n">
        <v>0</v>
      </c>
      <c r="R2082" s="13" t="n">
        <v>0</v>
      </c>
      <c r="S2082" s="13" t="n">
        <v>0</v>
      </c>
      <c r="T2082" s="13"/>
      <c r="U2082" s="11" t="n">
        <f aca="false">O2082*4 + P2082*2 + MAX(0,N2082-O2082-P2082)*1 + Q2082*0.2 + R2082*2 + S2082*1 + IF(T2082="",0,IF(T2082&lt;=10,8,IF(T2082&lt;=50,6,IF(T2082&lt;=100,4,2))))</f>
        <v>0</v>
      </c>
      <c r="V2082" s="7"/>
      <c r="W2082" s="7"/>
      <c r="X2082" s="13"/>
      <c r="Y2082" s="13" t="s">
        <v>8431</v>
      </c>
    </row>
    <row r="2083" customFormat="false" ht="15.75" hidden="false" customHeight="true" outlineLevel="0" collapsed="false">
      <c r="A2083" s="7" t="s">
        <v>8432</v>
      </c>
      <c r="B2083" s="8" t="n">
        <v>2017</v>
      </c>
      <c r="C2083" s="8" t="s">
        <v>176</v>
      </c>
      <c r="D2083" s="8" t="n">
        <v>93</v>
      </c>
      <c r="E2083" s="7" t="s">
        <v>6089</v>
      </c>
      <c r="F2083" s="8" t="n">
        <v>5.5</v>
      </c>
      <c r="G2083" s="8" t="n">
        <v>5</v>
      </c>
      <c r="H2083" s="9" t="n">
        <v>2795</v>
      </c>
      <c r="I2083" s="7" t="s">
        <v>232</v>
      </c>
      <c r="J2083" s="7" t="s">
        <v>30</v>
      </c>
      <c r="K2083" s="7"/>
      <c r="L2083" s="10"/>
      <c r="M2083" s="10" t="s">
        <v>8433</v>
      </c>
      <c r="N2083" s="8" t="n">
        <v>0</v>
      </c>
      <c r="O2083" s="8" t="n">
        <v>0</v>
      </c>
      <c r="P2083" s="8" t="n">
        <v>0</v>
      </c>
      <c r="Q2083" s="8" t="n">
        <v>0</v>
      </c>
      <c r="R2083" s="13" t="n">
        <v>0</v>
      </c>
      <c r="S2083" s="13" t="n">
        <v>0</v>
      </c>
      <c r="T2083" s="13"/>
      <c r="U2083" s="11" t="n">
        <f aca="false">O2083*4 + P2083*2 + MAX(0,N2083-O2083-P2083)*1 + Q2083*0.2 + R2083*2 + S2083*1 + IF(T2083="",0,IF(T2083&lt;=10,8,IF(T2083&lt;=50,6,IF(T2083&lt;=100,4,2))))</f>
        <v>0</v>
      </c>
      <c r="V2083" s="7"/>
      <c r="W2083" s="7"/>
      <c r="X2083" s="13"/>
      <c r="Y2083" s="13" t="s">
        <v>8434</v>
      </c>
    </row>
    <row r="2084" customFormat="false" ht="15.75" hidden="false" customHeight="true" outlineLevel="0" collapsed="false">
      <c r="A2084" s="7" t="s">
        <v>8435</v>
      </c>
      <c r="B2084" s="8" t="n">
        <v>2019</v>
      </c>
      <c r="C2084" s="8" t="s">
        <v>176</v>
      </c>
      <c r="D2084" s="8" t="n">
        <v>129</v>
      </c>
      <c r="E2084" s="7" t="s">
        <v>2644</v>
      </c>
      <c r="F2084" s="8" t="n">
        <v>7.3</v>
      </c>
      <c r="G2084" s="8" t="n">
        <v>6</v>
      </c>
      <c r="H2084" s="9" t="n">
        <v>665527</v>
      </c>
      <c r="I2084" s="7" t="s">
        <v>46</v>
      </c>
      <c r="J2084" s="7" t="s">
        <v>112</v>
      </c>
      <c r="K2084" s="7" t="s">
        <v>39</v>
      </c>
      <c r="L2084" s="10" t="s">
        <v>8436</v>
      </c>
      <c r="M2084" s="7" t="s">
        <v>8437</v>
      </c>
      <c r="N2084" s="8" t="n">
        <v>0</v>
      </c>
      <c r="O2084" s="8" t="n">
        <v>0</v>
      </c>
      <c r="P2084" s="8" t="n">
        <v>0</v>
      </c>
      <c r="Q2084" s="8" t="n">
        <v>0</v>
      </c>
      <c r="R2084" s="13" t="n">
        <v>0</v>
      </c>
      <c r="S2084" s="13" t="n">
        <v>0</v>
      </c>
      <c r="T2084" s="13"/>
      <c r="U2084" s="11" t="n">
        <f aca="false">O2084*4 + P2084*2 + MAX(0,N2084-O2084-P2084)*1 + Q2084*0.2 + R2084*2 + S2084*1 + IF(T2084="",0,IF(T2084&lt;=10,8,IF(T2084&lt;=50,6,IF(T2084&lt;=100,4,2))))</f>
        <v>0</v>
      </c>
      <c r="V2084" s="7"/>
      <c r="W2084" s="7"/>
      <c r="X2084" s="13"/>
      <c r="Y2084" s="13" t="s">
        <v>8438</v>
      </c>
    </row>
    <row r="2085" customFormat="false" ht="15.75" hidden="false" customHeight="true" outlineLevel="0" collapsed="false">
      <c r="A2085" s="7" t="s">
        <v>8439</v>
      </c>
      <c r="B2085" s="8" t="n">
        <v>2017</v>
      </c>
      <c r="C2085" s="8" t="s">
        <v>176</v>
      </c>
      <c r="D2085" s="8" t="n">
        <v>113</v>
      </c>
      <c r="E2085" s="7" t="s">
        <v>7269</v>
      </c>
      <c r="F2085" s="8" t="n">
        <v>7.5</v>
      </c>
      <c r="G2085" s="8" t="n">
        <v>7</v>
      </c>
      <c r="H2085" s="9" t="n">
        <v>692088</v>
      </c>
      <c r="I2085" s="7" t="s">
        <v>359</v>
      </c>
      <c r="J2085" s="7" t="s">
        <v>112</v>
      </c>
      <c r="K2085" s="7" t="s">
        <v>132</v>
      </c>
      <c r="L2085" s="10" t="s">
        <v>210</v>
      </c>
      <c r="M2085" s="7" t="s">
        <v>8440</v>
      </c>
      <c r="N2085" s="8" t="n">
        <v>0</v>
      </c>
      <c r="O2085" s="8" t="n">
        <v>0</v>
      </c>
      <c r="P2085" s="8" t="n">
        <v>0</v>
      </c>
      <c r="Q2085" s="8" t="n">
        <v>3</v>
      </c>
      <c r="R2085" s="8" t="n">
        <v>0</v>
      </c>
      <c r="S2085" s="8" t="n">
        <v>0</v>
      </c>
      <c r="T2085" s="13"/>
      <c r="U2085" s="11" t="n">
        <f aca="false">O2085*4 + P2085*2 + MAX(0,N2085-O2085-P2085)*1 + Q2085*0.2 + R2085*2 + S2085*1 + IF(T2085="",0,IF(T2085&lt;=10,8,IF(T2085&lt;=50,6,IF(T2085&lt;=100,4,2))))</f>
        <v>0.6</v>
      </c>
      <c r="V2085" s="7"/>
      <c r="W2085" s="7"/>
      <c r="X2085" s="13"/>
      <c r="Y2085" s="13" t="s">
        <v>8441</v>
      </c>
    </row>
    <row r="2086" customFormat="false" ht="15.75" hidden="false" customHeight="true" outlineLevel="0" collapsed="false">
      <c r="A2086" s="7" t="s">
        <v>8442</v>
      </c>
      <c r="B2086" s="8" t="n">
        <v>2019</v>
      </c>
      <c r="C2086" s="8" t="s">
        <v>176</v>
      </c>
      <c r="D2086" s="8" t="n">
        <v>122</v>
      </c>
      <c r="E2086" s="7" t="s">
        <v>5467</v>
      </c>
      <c r="F2086" s="8" t="n">
        <v>7.3</v>
      </c>
      <c r="G2086" s="8" t="n">
        <v>4</v>
      </c>
      <c r="H2086" s="9" t="n">
        <v>326241</v>
      </c>
      <c r="I2086" s="7" t="s">
        <v>46</v>
      </c>
      <c r="J2086" s="7" t="s">
        <v>111</v>
      </c>
      <c r="K2086" s="7" t="s">
        <v>112</v>
      </c>
      <c r="L2086" s="10" t="s">
        <v>2462</v>
      </c>
      <c r="M2086" s="7" t="s">
        <v>8443</v>
      </c>
      <c r="N2086" s="8" t="n">
        <v>0</v>
      </c>
      <c r="O2086" s="8" t="n">
        <v>0</v>
      </c>
      <c r="P2086" s="8" t="n">
        <v>0</v>
      </c>
      <c r="Q2086" s="8" t="n">
        <v>0</v>
      </c>
      <c r="R2086" s="13" t="n">
        <v>0</v>
      </c>
      <c r="S2086" s="13" t="n">
        <v>0</v>
      </c>
      <c r="T2086" s="13"/>
      <c r="U2086" s="11" t="n">
        <f aca="false">O2086*4 + P2086*2 + MAX(0,N2086-O2086-P2086)*1 + Q2086*0.2 + R2086*2 + S2086*1 + IF(T2086="",0,IF(T2086&lt;=10,8,IF(T2086&lt;=50,6,IF(T2086&lt;=100,4,2))))</f>
        <v>0</v>
      </c>
      <c r="V2086" s="7"/>
      <c r="W2086" s="7"/>
      <c r="X2086" s="13"/>
      <c r="Y2086" s="13" t="s">
        <v>8444</v>
      </c>
    </row>
    <row r="2087" customFormat="false" ht="15.75" hidden="false" customHeight="true" outlineLevel="0" collapsed="false">
      <c r="A2087" s="7" t="s">
        <v>8445</v>
      </c>
      <c r="B2087" s="8" t="n">
        <v>2019</v>
      </c>
      <c r="C2087" s="8" t="s">
        <v>176</v>
      </c>
      <c r="D2087" s="8" t="n">
        <v>116</v>
      </c>
      <c r="E2087" s="7" t="s">
        <v>5128</v>
      </c>
      <c r="F2087" s="8" t="n">
        <v>6.8</v>
      </c>
      <c r="G2087" s="8" t="n">
        <v>5</v>
      </c>
      <c r="H2087" s="9" t="n">
        <v>398254</v>
      </c>
      <c r="I2087" s="7" t="s">
        <v>46</v>
      </c>
      <c r="J2087" s="7" t="s">
        <v>147</v>
      </c>
      <c r="K2087" s="7" t="s">
        <v>125</v>
      </c>
      <c r="L2087" s="10" t="s">
        <v>113</v>
      </c>
      <c r="M2087" s="7" t="s">
        <v>8446</v>
      </c>
      <c r="N2087" s="8" t="n">
        <v>0</v>
      </c>
      <c r="O2087" s="8" t="n">
        <v>0</v>
      </c>
      <c r="P2087" s="8" t="n">
        <v>0</v>
      </c>
      <c r="Q2087" s="8" t="n">
        <v>0</v>
      </c>
      <c r="R2087" s="13" t="n">
        <v>0</v>
      </c>
      <c r="S2087" s="13" t="n">
        <v>0</v>
      </c>
      <c r="T2087" s="13"/>
      <c r="U2087" s="11" t="n">
        <f aca="false">O2087*4 + P2087*2 + MAX(0,N2087-O2087-P2087)*1 + Q2087*0.2 + R2087*2 + S2087*1 + IF(T2087="",0,IF(T2087&lt;=10,8,IF(T2087&lt;=50,6,IF(T2087&lt;=100,4,2))))</f>
        <v>0</v>
      </c>
      <c r="V2087" s="7"/>
      <c r="W2087" s="7"/>
      <c r="X2087" s="13"/>
      <c r="Y2087" s="13" t="s">
        <v>8447</v>
      </c>
    </row>
    <row r="2088" customFormat="false" ht="15.75" hidden="false" customHeight="true" outlineLevel="0" collapsed="false">
      <c r="A2088" s="7" t="s">
        <v>8448</v>
      </c>
      <c r="B2088" s="8" t="n">
        <v>2018</v>
      </c>
      <c r="C2088" s="8" t="s">
        <v>176</v>
      </c>
      <c r="D2088" s="8" t="n">
        <v>124</v>
      </c>
      <c r="E2088" s="7" t="s">
        <v>783</v>
      </c>
      <c r="F2088" s="8" t="n">
        <v>7.2</v>
      </c>
      <c r="G2088" s="8" t="n">
        <v>8</v>
      </c>
      <c r="H2088" s="9" t="n">
        <v>13134</v>
      </c>
      <c r="I2088" s="7" t="s">
        <v>232</v>
      </c>
      <c r="J2088" s="7" t="s">
        <v>30</v>
      </c>
      <c r="K2088" s="7" t="s">
        <v>259</v>
      </c>
      <c r="L2088" s="10" t="s">
        <v>8449</v>
      </c>
      <c r="M2088" s="10" t="s">
        <v>8450</v>
      </c>
      <c r="N2088" s="8" t="n">
        <v>0</v>
      </c>
      <c r="O2088" s="8" t="n">
        <v>0</v>
      </c>
      <c r="P2088" s="8" t="n">
        <v>0</v>
      </c>
      <c r="Q2088" s="8" t="n">
        <v>0</v>
      </c>
      <c r="R2088" s="13" t="n">
        <v>0</v>
      </c>
      <c r="S2088" s="13" t="n">
        <v>0</v>
      </c>
      <c r="T2088" s="13"/>
      <c r="U2088" s="11" t="n">
        <f aca="false">O2088*4 + P2088*2 + MAX(0,N2088-O2088-P2088)*1 + Q2088*0.2 + R2088*2 + S2088*1 + IF(T2088="",0,IF(T2088&lt;=10,8,IF(T2088&lt;=50,6,IF(T2088&lt;=100,4,2))))</f>
        <v>0</v>
      </c>
      <c r="V2088" s="7"/>
      <c r="W2088" s="7"/>
      <c r="X2088" s="13"/>
      <c r="Y2088" s="13" t="s">
        <v>8451</v>
      </c>
    </row>
    <row r="2089" customFormat="false" ht="15.75" hidden="false" customHeight="true" outlineLevel="0" collapsed="false">
      <c r="A2089" s="7" t="s">
        <v>8452</v>
      </c>
      <c r="B2089" s="8" t="n">
        <v>2018</v>
      </c>
      <c r="C2089" s="8" t="s">
        <v>176</v>
      </c>
      <c r="D2089" s="8" t="n">
        <v>112</v>
      </c>
      <c r="E2089" s="7" t="s">
        <v>5715</v>
      </c>
      <c r="F2089" s="8" t="n">
        <v>6.6</v>
      </c>
      <c r="G2089" s="8" t="n">
        <v>6</v>
      </c>
      <c r="H2089" s="9" t="n">
        <v>614073</v>
      </c>
      <c r="I2089" s="7" t="s">
        <v>2276</v>
      </c>
      <c r="J2089" s="7" t="s">
        <v>111</v>
      </c>
      <c r="K2089" s="7" t="s">
        <v>112</v>
      </c>
      <c r="L2089" s="10"/>
      <c r="M2089" s="7" t="s">
        <v>8453</v>
      </c>
      <c r="N2089" s="8" t="n">
        <v>0</v>
      </c>
      <c r="O2089" s="8" t="n">
        <v>0</v>
      </c>
      <c r="P2089" s="8" t="n">
        <v>0</v>
      </c>
      <c r="Q2089" s="8" t="n">
        <v>0</v>
      </c>
      <c r="R2089" s="13" t="n">
        <v>0</v>
      </c>
      <c r="S2089" s="13" t="n">
        <v>0</v>
      </c>
      <c r="T2089" s="13"/>
      <c r="U2089" s="11" t="n">
        <f aca="false">O2089*4 + P2089*2 + MAX(0,N2089-O2089-P2089)*1 + Q2089*0.2 + R2089*2 + S2089*1 + IF(T2089="",0,IF(T2089&lt;=10,8,IF(T2089&lt;=50,6,IF(T2089&lt;=100,4,2))))</f>
        <v>0</v>
      </c>
      <c r="V2089" s="7"/>
      <c r="W2089" s="7"/>
      <c r="X2089" s="13"/>
      <c r="Y2089" s="13" t="s">
        <v>8454</v>
      </c>
    </row>
    <row r="2090" customFormat="false" ht="15.75" hidden="false" customHeight="true" outlineLevel="0" collapsed="false">
      <c r="A2090" s="7" t="s">
        <v>8455</v>
      </c>
      <c r="B2090" s="8" t="n">
        <v>2019</v>
      </c>
      <c r="C2090" s="8" t="s">
        <v>176</v>
      </c>
      <c r="D2090" s="8" t="n">
        <v>169</v>
      </c>
      <c r="E2090" s="7" t="s">
        <v>6802</v>
      </c>
      <c r="F2090" s="8" t="n">
        <v>6.5</v>
      </c>
      <c r="G2090" s="8" t="n">
        <v>9</v>
      </c>
      <c r="H2090" s="9" t="n">
        <v>360676</v>
      </c>
      <c r="I2090" s="7" t="s">
        <v>46</v>
      </c>
      <c r="J2090" s="7" t="s">
        <v>147</v>
      </c>
      <c r="K2090" s="7" t="s">
        <v>38</v>
      </c>
      <c r="L2090" s="10" t="s">
        <v>69</v>
      </c>
      <c r="M2090" s="7" t="s">
        <v>8456</v>
      </c>
      <c r="N2090" s="8" t="n">
        <v>0</v>
      </c>
      <c r="O2090" s="8" t="n">
        <v>0</v>
      </c>
      <c r="P2090" s="8" t="n">
        <v>0</v>
      </c>
      <c r="Q2090" s="8" t="n">
        <v>0</v>
      </c>
      <c r="R2090" s="13" t="n">
        <v>0</v>
      </c>
      <c r="S2090" s="13" t="n">
        <v>0</v>
      </c>
      <c r="T2090" s="13"/>
      <c r="U2090" s="11" t="n">
        <f aca="false">O2090*4 + P2090*2 + MAX(0,N2090-O2090-P2090)*1 + Q2090*0.2 + R2090*2 + S2090*1 + IF(T2090="",0,IF(T2090&lt;=10,8,IF(T2090&lt;=50,6,IF(T2090&lt;=100,4,2))))</f>
        <v>0</v>
      </c>
      <c r="V2090" s="7"/>
      <c r="W2090" s="7"/>
      <c r="X2090" s="13"/>
      <c r="Y2090" s="13" t="s">
        <v>8457</v>
      </c>
    </row>
    <row r="2091" customFormat="false" ht="15.75" hidden="false" customHeight="true" outlineLevel="0" collapsed="false">
      <c r="A2091" s="7" t="s">
        <v>8458</v>
      </c>
      <c r="B2091" s="8" t="n">
        <v>2006</v>
      </c>
      <c r="C2091" s="8" t="s">
        <v>35</v>
      </c>
      <c r="D2091" s="8" t="n">
        <v>87</v>
      </c>
      <c r="E2091" s="7" t="s">
        <v>5292</v>
      </c>
      <c r="F2091" s="8" t="n">
        <v>5.1</v>
      </c>
      <c r="G2091" s="8" t="n">
        <v>2</v>
      </c>
      <c r="H2091" s="9" t="n">
        <v>52137</v>
      </c>
      <c r="I2091" s="7" t="s">
        <v>46</v>
      </c>
      <c r="J2091" s="7" t="s">
        <v>147</v>
      </c>
      <c r="K2091" s="7" t="s">
        <v>131</v>
      </c>
      <c r="L2091" s="10"/>
      <c r="M2091" s="10" t="s">
        <v>8459</v>
      </c>
      <c r="N2091" s="8" t="n">
        <v>0</v>
      </c>
      <c r="O2091" s="8" t="n">
        <v>0</v>
      </c>
      <c r="P2091" s="8" t="n">
        <v>0</v>
      </c>
      <c r="Q2091" s="8" t="n">
        <v>0</v>
      </c>
      <c r="R2091" s="13" t="n">
        <v>0</v>
      </c>
      <c r="S2091" s="13" t="n">
        <v>0</v>
      </c>
      <c r="T2091" s="13"/>
      <c r="U2091" s="11" t="n">
        <f aca="false">O2091*4 + P2091*2 + MAX(0,N2091-O2091-P2091)*1 + Q2091*0.2 + R2091*2 + S2091*1 + IF(T2091="",0,IF(T2091&lt;=10,8,IF(T2091&lt;=50,6,IF(T2091&lt;=100,4,2))))</f>
        <v>0</v>
      </c>
      <c r="V2091" s="7"/>
      <c r="W2091" s="7"/>
      <c r="X2091" s="13"/>
      <c r="Y2091" s="13" t="s">
        <v>8460</v>
      </c>
    </row>
    <row r="2092" customFormat="false" ht="15.75" hidden="false" customHeight="true" outlineLevel="0" collapsed="false">
      <c r="A2092" s="7" t="s">
        <v>8461</v>
      </c>
      <c r="B2092" s="8" t="n">
        <v>2010</v>
      </c>
      <c r="C2092" s="8" t="s">
        <v>176</v>
      </c>
      <c r="D2092" s="8" t="n">
        <v>140</v>
      </c>
      <c r="E2092" s="7" t="s">
        <v>8156</v>
      </c>
      <c r="F2092" s="8" t="n">
        <v>6.3</v>
      </c>
      <c r="G2092" s="8" t="n">
        <v>5</v>
      </c>
      <c r="H2092" s="9" t="n">
        <v>229300</v>
      </c>
      <c r="I2092" s="7" t="s">
        <v>2276</v>
      </c>
      <c r="J2092" s="7" t="s">
        <v>112</v>
      </c>
      <c r="K2092" s="7" t="s">
        <v>259</v>
      </c>
      <c r="L2092" s="10" t="s">
        <v>113</v>
      </c>
      <c r="M2092" s="10" t="s">
        <v>8462</v>
      </c>
      <c r="N2092" s="8" t="n">
        <v>0</v>
      </c>
      <c r="O2092" s="8" t="n">
        <v>0</v>
      </c>
      <c r="P2092" s="8" t="n">
        <v>0</v>
      </c>
      <c r="Q2092" s="8" t="n">
        <v>0</v>
      </c>
      <c r="R2092" s="13" t="n">
        <v>0</v>
      </c>
      <c r="S2092" s="13" t="n">
        <v>0</v>
      </c>
      <c r="T2092" s="13"/>
      <c r="U2092" s="11" t="n">
        <f aca="false">O2092*4 + P2092*2 + MAX(0,N2092-O2092-P2092)*1 + Q2092*0.2 + R2092*2 + S2092*1 + IF(T2092="",0,IF(T2092&lt;=10,8,IF(T2092&lt;=50,6,IF(T2092&lt;=100,4,2))))</f>
        <v>0</v>
      </c>
      <c r="V2092" s="7"/>
      <c r="W2092" s="7"/>
      <c r="X2092" s="13"/>
      <c r="Y2092" s="13" t="s">
        <v>8463</v>
      </c>
    </row>
    <row r="2093" customFormat="false" ht="15.75" hidden="false" customHeight="true" outlineLevel="0" collapsed="false">
      <c r="A2093" s="7" t="s">
        <v>8464</v>
      </c>
      <c r="B2093" s="8" t="n">
        <v>2019</v>
      </c>
      <c r="C2093" s="8" t="s">
        <v>176</v>
      </c>
      <c r="D2093" s="8" t="n">
        <v>123</v>
      </c>
      <c r="E2093" s="7" t="s">
        <v>4819</v>
      </c>
      <c r="F2093" s="8" t="n">
        <v>6.5</v>
      </c>
      <c r="G2093" s="8" t="n">
        <v>6</v>
      </c>
      <c r="H2093" s="9" t="n">
        <v>283334</v>
      </c>
      <c r="I2093" s="7" t="s">
        <v>8465</v>
      </c>
      <c r="J2093" s="7" t="s">
        <v>39</v>
      </c>
      <c r="K2093" s="7" t="s">
        <v>125</v>
      </c>
      <c r="L2093" s="10" t="s">
        <v>8466</v>
      </c>
      <c r="M2093" s="7" t="s">
        <v>8467</v>
      </c>
      <c r="N2093" s="8" t="n">
        <v>0</v>
      </c>
      <c r="O2093" s="8" t="n">
        <v>0</v>
      </c>
      <c r="P2093" s="8" t="n">
        <v>0</v>
      </c>
      <c r="Q2093" s="8" t="n">
        <v>1</v>
      </c>
      <c r="R2093" s="8" t="n">
        <v>0</v>
      </c>
      <c r="S2093" s="8" t="n">
        <v>0</v>
      </c>
      <c r="T2093" s="13"/>
      <c r="U2093" s="11" t="n">
        <f aca="false">O2093*4 + P2093*2 + MAX(0,N2093-O2093-P2093)*1 + Q2093*0.2 + R2093*2 + S2093*1 + IF(T2093="",0,IF(T2093&lt;=10,8,IF(T2093&lt;=50,6,IF(T2093&lt;=100,4,2))))</f>
        <v>0.2</v>
      </c>
      <c r="V2093" s="7"/>
      <c r="W2093" s="7"/>
      <c r="X2093" s="13"/>
      <c r="Y2093" s="13" t="s">
        <v>8468</v>
      </c>
    </row>
    <row r="2094" customFormat="false" ht="15.75" hidden="false" customHeight="true" outlineLevel="0" collapsed="false">
      <c r="A2094" s="7" t="s">
        <v>7877</v>
      </c>
      <c r="B2094" s="8" t="n">
        <v>2014</v>
      </c>
      <c r="C2094" s="8" t="s">
        <v>176</v>
      </c>
      <c r="D2094" s="8" t="n">
        <v>77</v>
      </c>
      <c r="E2094" s="7" t="s">
        <v>8469</v>
      </c>
      <c r="F2094" s="8" t="n">
        <v>6.3</v>
      </c>
      <c r="G2094" s="8" t="n">
        <v>6</v>
      </c>
      <c r="H2094" s="9" t="n">
        <v>86523</v>
      </c>
      <c r="I2094" s="7" t="s">
        <v>46</v>
      </c>
      <c r="J2094" s="7" t="s">
        <v>147</v>
      </c>
      <c r="K2094" s="7" t="s">
        <v>5933</v>
      </c>
      <c r="L2094" s="10" t="s">
        <v>238</v>
      </c>
      <c r="M2094" s="10" t="s">
        <v>7879</v>
      </c>
      <c r="N2094" s="8" t="n">
        <v>0</v>
      </c>
      <c r="O2094" s="8" t="n">
        <v>0</v>
      </c>
      <c r="P2094" s="8" t="n">
        <v>0</v>
      </c>
      <c r="Q2094" s="8" t="n">
        <v>0</v>
      </c>
      <c r="R2094" s="13" t="n">
        <v>0</v>
      </c>
      <c r="S2094" s="13" t="n">
        <v>0</v>
      </c>
      <c r="T2094" s="13"/>
      <c r="U2094" s="11" t="n">
        <f aca="false">O2094*4 + P2094*2 + MAX(0,N2094-O2094-P2094)*1 + Q2094*0.2 + R2094*2 + S2094*1 + IF(T2094="",0,IF(T2094&lt;=10,8,IF(T2094&lt;=50,6,IF(T2094&lt;=100,4,2))))</f>
        <v>0</v>
      </c>
      <c r="V2094" s="7"/>
      <c r="W2094" s="7"/>
      <c r="X2094" s="13"/>
      <c r="Y2094" s="13" t="s">
        <v>8470</v>
      </c>
    </row>
    <row r="2095" customFormat="false" ht="15.75" hidden="false" customHeight="true" outlineLevel="0" collapsed="false">
      <c r="A2095" s="7" t="s">
        <v>8471</v>
      </c>
      <c r="B2095" s="8" t="n">
        <v>2017</v>
      </c>
      <c r="C2095" s="8" t="s">
        <v>176</v>
      </c>
      <c r="D2095" s="8" t="n">
        <v>78</v>
      </c>
      <c r="E2095" s="7" t="s">
        <v>8469</v>
      </c>
      <c r="F2095" s="8" t="n">
        <v>6.4</v>
      </c>
      <c r="G2095" s="8" t="n">
        <v>3</v>
      </c>
      <c r="H2095" s="9" t="n">
        <v>41174</v>
      </c>
      <c r="I2095" s="7" t="s">
        <v>46</v>
      </c>
      <c r="J2095" s="7" t="s">
        <v>147</v>
      </c>
      <c r="K2095" s="7" t="s">
        <v>131</v>
      </c>
      <c r="L2095" s="10" t="s">
        <v>238</v>
      </c>
      <c r="M2095" s="10" t="s">
        <v>8472</v>
      </c>
      <c r="N2095" s="8" t="n">
        <v>0</v>
      </c>
      <c r="O2095" s="8" t="n">
        <v>0</v>
      </c>
      <c r="P2095" s="8" t="n">
        <v>0</v>
      </c>
      <c r="Q2095" s="8" t="n">
        <v>0</v>
      </c>
      <c r="R2095" s="13" t="n">
        <v>0</v>
      </c>
      <c r="S2095" s="13" t="n">
        <v>0</v>
      </c>
      <c r="T2095" s="13"/>
      <c r="U2095" s="11" t="n">
        <f aca="false">O2095*4 + P2095*2 + MAX(0,N2095-O2095-P2095)*1 + Q2095*0.2 + R2095*2 + S2095*1 + IF(T2095="",0,IF(T2095&lt;=10,8,IF(T2095&lt;=50,6,IF(T2095&lt;=100,4,2))))</f>
        <v>0</v>
      </c>
      <c r="V2095" s="7"/>
      <c r="W2095" s="7"/>
      <c r="X2095" s="13"/>
      <c r="Y2095" s="13" t="s">
        <v>8473</v>
      </c>
    </row>
    <row r="2096" customFormat="false" ht="15.75" hidden="false" customHeight="true" outlineLevel="0" collapsed="false">
      <c r="A2096" s="7" t="s">
        <v>8474</v>
      </c>
      <c r="B2096" s="8" t="n">
        <v>2019</v>
      </c>
      <c r="C2096" s="8" t="s">
        <v>176</v>
      </c>
      <c r="D2096" s="8" t="n">
        <v>107</v>
      </c>
      <c r="E2096" s="7" t="s">
        <v>231</v>
      </c>
      <c r="F2096" s="8" t="n">
        <v>6.9</v>
      </c>
      <c r="G2096" s="8" t="n">
        <v>8</v>
      </c>
      <c r="H2096" s="9" t="n">
        <v>7757</v>
      </c>
      <c r="I2096" s="7" t="s">
        <v>2336</v>
      </c>
      <c r="J2096" s="7" t="s">
        <v>154</v>
      </c>
      <c r="K2096" s="7" t="s">
        <v>453</v>
      </c>
      <c r="L2096" s="10" t="s">
        <v>210</v>
      </c>
      <c r="M2096" s="10" t="s">
        <v>8475</v>
      </c>
      <c r="N2096" s="8" t="n">
        <v>0</v>
      </c>
      <c r="O2096" s="8" t="n">
        <v>0</v>
      </c>
      <c r="P2096" s="8" t="n">
        <v>0</v>
      </c>
      <c r="Q2096" s="8" t="n">
        <v>0</v>
      </c>
      <c r="R2096" s="13" t="n">
        <v>0</v>
      </c>
      <c r="S2096" s="13" t="n">
        <v>0</v>
      </c>
      <c r="T2096" s="13"/>
      <c r="U2096" s="11" t="n">
        <f aca="false">O2096*4 + P2096*2 + MAX(0,N2096-O2096-P2096)*1 + Q2096*0.2 + R2096*2 + S2096*1 + IF(T2096="",0,IF(T2096&lt;=10,8,IF(T2096&lt;=50,6,IF(T2096&lt;=100,4,2))))</f>
        <v>0</v>
      </c>
      <c r="V2096" s="7"/>
      <c r="W2096" s="7"/>
      <c r="X2096" s="13"/>
      <c r="Y2096" s="13" t="s">
        <v>8476</v>
      </c>
    </row>
    <row r="2097" customFormat="false" ht="15.75" hidden="false" customHeight="true" outlineLevel="0" collapsed="false">
      <c r="A2097" s="7" t="s">
        <v>8477</v>
      </c>
      <c r="B2097" s="8" t="n">
        <v>2019</v>
      </c>
      <c r="C2097" s="8" t="s">
        <v>176</v>
      </c>
      <c r="D2097" s="8" t="n">
        <v>152</v>
      </c>
      <c r="E2097" s="7" t="s">
        <v>8478</v>
      </c>
      <c r="F2097" s="8" t="n">
        <v>7.3</v>
      </c>
      <c r="G2097" s="8" t="n">
        <v>8</v>
      </c>
      <c r="H2097" s="9" t="n">
        <v>247163</v>
      </c>
      <c r="I2097" s="7" t="s">
        <v>46</v>
      </c>
      <c r="J2097" s="7" t="s">
        <v>147</v>
      </c>
      <c r="K2097" s="7" t="s">
        <v>38</v>
      </c>
      <c r="L2097" s="10" t="s">
        <v>210</v>
      </c>
      <c r="M2097" s="10" t="s">
        <v>8479</v>
      </c>
      <c r="N2097" s="8" t="n">
        <v>0</v>
      </c>
      <c r="O2097" s="8" t="n">
        <v>0</v>
      </c>
      <c r="P2097" s="8" t="n">
        <v>0</v>
      </c>
      <c r="Q2097" s="8" t="n">
        <v>0</v>
      </c>
      <c r="R2097" s="13" t="n">
        <v>0</v>
      </c>
      <c r="S2097" s="13" t="n">
        <v>0</v>
      </c>
      <c r="T2097" s="13"/>
      <c r="U2097" s="11" t="n">
        <f aca="false">O2097*4 + P2097*2 + MAX(0,N2097-O2097-P2097)*1 + Q2097*0.2 + R2097*2 + S2097*1 + IF(T2097="",0,IF(T2097&lt;=10,8,IF(T2097&lt;=50,6,IF(T2097&lt;=100,4,2))))</f>
        <v>0</v>
      </c>
      <c r="V2097" s="7"/>
      <c r="W2097" s="7"/>
      <c r="X2097" s="13"/>
      <c r="Y2097" s="13" t="s">
        <v>8480</v>
      </c>
    </row>
    <row r="2098" customFormat="false" ht="15.75" hidden="false" customHeight="true" outlineLevel="0" collapsed="false">
      <c r="A2098" s="7" t="s">
        <v>8481</v>
      </c>
      <c r="B2098" s="8" t="n">
        <v>2017</v>
      </c>
      <c r="C2098" s="8" t="s">
        <v>176</v>
      </c>
      <c r="D2098" s="8" t="n">
        <v>121</v>
      </c>
      <c r="E2098" s="7" t="s">
        <v>7711</v>
      </c>
      <c r="F2098" s="8" t="n">
        <v>7.3</v>
      </c>
      <c r="G2098" s="8" t="n">
        <v>5</v>
      </c>
      <c r="H2098" s="9" t="n">
        <v>114980</v>
      </c>
      <c r="I2098" s="7" t="s">
        <v>46</v>
      </c>
      <c r="J2098" s="7" t="s">
        <v>131</v>
      </c>
      <c r="K2098" s="7" t="s">
        <v>54</v>
      </c>
      <c r="L2098" s="10"/>
      <c r="M2098" s="10" t="s">
        <v>8482</v>
      </c>
      <c r="N2098" s="8" t="n">
        <v>0</v>
      </c>
      <c r="O2098" s="8" t="n">
        <v>0</v>
      </c>
      <c r="P2098" s="8" t="n">
        <v>0</v>
      </c>
      <c r="Q2098" s="8" t="n">
        <v>0</v>
      </c>
      <c r="R2098" s="13" t="n">
        <v>0</v>
      </c>
      <c r="S2098" s="13" t="n">
        <v>0</v>
      </c>
      <c r="T2098" s="13"/>
      <c r="U2098" s="11" t="n">
        <f aca="false">O2098*4 + P2098*2 + MAX(0,N2098-O2098-P2098)*1 + Q2098*0.2 + R2098*2 + S2098*1 + IF(T2098="",0,IF(T2098&lt;=10,8,IF(T2098&lt;=50,6,IF(T2098&lt;=100,4,2))))</f>
        <v>0</v>
      </c>
      <c r="V2098" s="7"/>
      <c r="W2098" s="7"/>
      <c r="X2098" s="13"/>
      <c r="Y2098" s="13" t="s">
        <v>8483</v>
      </c>
    </row>
    <row r="2099" customFormat="false" ht="15.75" hidden="false" customHeight="true" outlineLevel="0" collapsed="false">
      <c r="A2099" s="7" t="s">
        <v>8484</v>
      </c>
      <c r="B2099" s="8" t="n">
        <v>2016</v>
      </c>
      <c r="C2099" s="8" t="s">
        <v>176</v>
      </c>
      <c r="D2099" s="8" t="n">
        <v>123</v>
      </c>
      <c r="E2099" s="7" t="s">
        <v>2313</v>
      </c>
      <c r="F2099" s="8" t="n">
        <v>6.8</v>
      </c>
      <c r="G2099" s="8" t="n">
        <v>7</v>
      </c>
      <c r="H2099" s="9" t="n">
        <v>8915</v>
      </c>
      <c r="I2099" s="7" t="s">
        <v>232</v>
      </c>
      <c r="J2099" s="7" t="s">
        <v>131</v>
      </c>
      <c r="K2099" s="7" t="s">
        <v>48</v>
      </c>
      <c r="L2099" s="10" t="s">
        <v>507</v>
      </c>
      <c r="M2099" s="10" t="s">
        <v>8485</v>
      </c>
      <c r="N2099" s="8" t="n">
        <v>0</v>
      </c>
      <c r="O2099" s="8" t="n">
        <v>0</v>
      </c>
      <c r="P2099" s="8" t="n">
        <v>0</v>
      </c>
      <c r="Q2099" s="8" t="n">
        <v>0</v>
      </c>
      <c r="R2099" s="13" t="n">
        <v>0</v>
      </c>
      <c r="S2099" s="13" t="n">
        <v>0</v>
      </c>
      <c r="T2099" s="13"/>
      <c r="U2099" s="11" t="n">
        <f aca="false">O2099*4 + P2099*2 + MAX(0,N2099-O2099-P2099)*1 + Q2099*0.2 + R2099*2 + S2099*1 + IF(T2099="",0,IF(T2099&lt;=10,8,IF(T2099&lt;=50,6,IF(T2099&lt;=100,4,2))))</f>
        <v>0</v>
      </c>
      <c r="V2099" s="7"/>
      <c r="W2099" s="7"/>
      <c r="X2099" s="13"/>
      <c r="Y2099" s="13" t="s">
        <v>8486</v>
      </c>
    </row>
    <row r="2100" customFormat="false" ht="15.75" hidden="false" customHeight="true" outlineLevel="0" collapsed="false">
      <c r="A2100" s="7" t="s">
        <v>8487</v>
      </c>
      <c r="B2100" s="8" t="n">
        <v>2019</v>
      </c>
      <c r="C2100" s="8" t="s">
        <v>176</v>
      </c>
      <c r="D2100" s="8" t="n">
        <v>99</v>
      </c>
      <c r="E2100" s="7" t="s">
        <v>2450</v>
      </c>
      <c r="F2100" s="8" t="n">
        <v>6.5</v>
      </c>
      <c r="G2100" s="8" t="n">
        <v>5</v>
      </c>
      <c r="H2100" s="9" t="n">
        <v>115796</v>
      </c>
      <c r="I2100" s="7" t="s">
        <v>46</v>
      </c>
      <c r="J2100" s="7" t="s">
        <v>131</v>
      </c>
      <c r="K2100" s="7" t="s">
        <v>125</v>
      </c>
      <c r="L2100" s="10" t="s">
        <v>238</v>
      </c>
      <c r="M2100" s="10" t="s">
        <v>8488</v>
      </c>
      <c r="N2100" s="8" t="n">
        <v>0</v>
      </c>
      <c r="O2100" s="8" t="n">
        <v>0</v>
      </c>
      <c r="P2100" s="8" t="n">
        <v>0</v>
      </c>
      <c r="Q2100" s="8" t="n">
        <v>0</v>
      </c>
      <c r="R2100" s="13" t="n">
        <v>0</v>
      </c>
      <c r="S2100" s="13" t="n">
        <v>0</v>
      </c>
      <c r="T2100" s="13"/>
      <c r="U2100" s="11" t="n">
        <f aca="false">O2100*4 + P2100*2 + MAX(0,N2100-O2100-P2100)*1 + Q2100*0.2 + R2100*2 + S2100*1 + IF(T2100="",0,IF(T2100&lt;=10,8,IF(T2100&lt;=50,6,IF(T2100&lt;=100,4,2))))</f>
        <v>0</v>
      </c>
      <c r="V2100" s="7"/>
      <c r="W2100" s="7"/>
      <c r="X2100" s="13"/>
      <c r="Y2100" s="13" t="s">
        <v>8489</v>
      </c>
    </row>
    <row r="2101" customFormat="false" ht="15.75" hidden="false" customHeight="true" outlineLevel="0" collapsed="false">
      <c r="A2101" s="7" t="s">
        <v>8490</v>
      </c>
      <c r="B2101" s="8" t="n">
        <v>2019</v>
      </c>
      <c r="C2101" s="8" t="s">
        <v>176</v>
      </c>
      <c r="D2101" s="8" t="n">
        <v>141</v>
      </c>
      <c r="E2101" s="7" t="s">
        <v>5542</v>
      </c>
      <c r="F2101" s="8" t="n">
        <v>6.3</v>
      </c>
      <c r="G2101" s="8" t="n">
        <v>5</v>
      </c>
      <c r="H2101" s="9" t="n">
        <v>548661</v>
      </c>
      <c r="I2101" s="7" t="s">
        <v>46</v>
      </c>
      <c r="J2101" s="7" t="s">
        <v>38</v>
      </c>
      <c r="K2101" s="7" t="s">
        <v>112</v>
      </c>
      <c r="L2101" s="10" t="s">
        <v>177</v>
      </c>
      <c r="M2101" s="7" t="s">
        <v>8491</v>
      </c>
      <c r="N2101" s="8" t="n">
        <v>0</v>
      </c>
      <c r="O2101" s="8" t="n">
        <v>0</v>
      </c>
      <c r="P2101" s="8" t="n">
        <v>0</v>
      </c>
      <c r="Q2101" s="8" t="n">
        <v>3</v>
      </c>
      <c r="R2101" s="8" t="n">
        <v>0</v>
      </c>
      <c r="S2101" s="8" t="n">
        <v>0</v>
      </c>
      <c r="T2101" s="13"/>
      <c r="U2101" s="11" t="n">
        <f aca="false">O2101*4 + P2101*2 + MAX(0,N2101-O2101-P2101)*1 + Q2101*0.2 + R2101*2 + S2101*1 + IF(T2101="",0,IF(T2101&lt;=10,8,IF(T2101&lt;=50,6,IF(T2101&lt;=100,4,2))))</f>
        <v>0.6</v>
      </c>
      <c r="V2101" s="7"/>
      <c r="W2101" s="7"/>
      <c r="X2101" s="13"/>
      <c r="Y2101" s="13" t="s">
        <v>8492</v>
      </c>
    </row>
    <row r="2102" customFormat="false" ht="15.75" hidden="false" customHeight="true" outlineLevel="0" collapsed="false">
      <c r="A2102" s="7" t="s">
        <v>8493</v>
      </c>
      <c r="B2102" s="8" t="n">
        <v>2014</v>
      </c>
      <c r="C2102" s="8" t="s">
        <v>176</v>
      </c>
      <c r="D2102" s="8" t="n">
        <v>139</v>
      </c>
      <c r="E2102" s="7" t="s">
        <v>2203</v>
      </c>
      <c r="F2102" s="8" t="n">
        <v>6.6</v>
      </c>
      <c r="G2102" s="8" t="n">
        <v>5</v>
      </c>
      <c r="H2102" s="9" t="n">
        <v>521526</v>
      </c>
      <c r="I2102" s="7" t="s">
        <v>46</v>
      </c>
      <c r="J2102" s="7" t="s">
        <v>112</v>
      </c>
      <c r="K2102" s="7" t="s">
        <v>39</v>
      </c>
      <c r="L2102" s="10" t="s">
        <v>161</v>
      </c>
      <c r="M2102" s="7" t="s">
        <v>8494</v>
      </c>
      <c r="N2102" s="8" t="n">
        <v>0</v>
      </c>
      <c r="O2102" s="8" t="n">
        <v>0</v>
      </c>
      <c r="P2102" s="8" t="n">
        <v>0</v>
      </c>
      <c r="Q2102" s="8" t="n">
        <v>0</v>
      </c>
      <c r="R2102" s="13" t="n">
        <v>0</v>
      </c>
      <c r="S2102" s="13" t="n">
        <v>0</v>
      </c>
      <c r="T2102" s="13"/>
      <c r="U2102" s="11" t="n">
        <f aca="false">O2102*4 + P2102*2 + MAX(0,N2102-O2102-P2102)*1 + Q2102*0.2 + R2102*2 + S2102*1 + IF(T2102="",0,IF(T2102&lt;=10,8,IF(T2102&lt;=50,6,IF(T2102&lt;=100,4,2))))</f>
        <v>0</v>
      </c>
      <c r="V2102" s="7"/>
      <c r="W2102" s="7"/>
      <c r="X2102" s="13"/>
      <c r="Y2102" s="13" t="s">
        <v>8495</v>
      </c>
    </row>
    <row r="2103" customFormat="false" ht="15.75" hidden="false" customHeight="true" outlineLevel="0" collapsed="false">
      <c r="A2103" s="7" t="s">
        <v>7470</v>
      </c>
      <c r="B2103" s="8" t="n">
        <v>2019</v>
      </c>
      <c r="C2103" s="8" t="s">
        <v>176</v>
      </c>
      <c r="D2103" s="8" t="n">
        <v>118</v>
      </c>
      <c r="E2103" s="7" t="s">
        <v>5676</v>
      </c>
      <c r="F2103" s="8" t="n">
        <v>6.8</v>
      </c>
      <c r="G2103" s="8" t="n">
        <v>7</v>
      </c>
      <c r="H2103" s="9" t="n">
        <v>294576</v>
      </c>
      <c r="I2103" s="7" t="s">
        <v>46</v>
      </c>
      <c r="J2103" s="7" t="s">
        <v>579</v>
      </c>
      <c r="K2103" s="7" t="s">
        <v>39</v>
      </c>
      <c r="L2103" s="10" t="s">
        <v>177</v>
      </c>
      <c r="M2103" s="10" t="s">
        <v>7472</v>
      </c>
      <c r="N2103" s="8" t="n">
        <v>0</v>
      </c>
      <c r="O2103" s="8" t="n">
        <v>0</v>
      </c>
      <c r="P2103" s="8" t="n">
        <v>0</v>
      </c>
      <c r="Q2103" s="8" t="n">
        <v>1</v>
      </c>
      <c r="R2103" s="8" t="n">
        <v>0</v>
      </c>
      <c r="S2103" s="8" t="n">
        <v>1</v>
      </c>
      <c r="T2103" s="13"/>
      <c r="U2103" s="11" t="n">
        <f aca="false">O2103*4 + P2103*2 + MAX(0,N2103-O2103-P2103)*1 + Q2103*0.2 + R2103*2 + S2103*1 + IF(T2103="",0,IF(T2103&lt;=10,8,IF(T2103&lt;=50,6,IF(T2103&lt;=100,4,2))))</f>
        <v>1.2</v>
      </c>
      <c r="V2103" s="7"/>
      <c r="W2103" s="7"/>
      <c r="X2103" s="13"/>
      <c r="Y2103" s="13" t="s">
        <v>8496</v>
      </c>
    </row>
    <row r="2104" customFormat="false" ht="15.75" hidden="false" customHeight="true" outlineLevel="0" collapsed="false">
      <c r="A2104" s="7" t="s">
        <v>8497</v>
      </c>
      <c r="B2104" s="8" t="n">
        <v>2019</v>
      </c>
      <c r="C2104" s="8" t="s">
        <v>176</v>
      </c>
      <c r="D2104" s="8" t="n">
        <v>125</v>
      </c>
      <c r="E2104" s="7" t="s">
        <v>138</v>
      </c>
      <c r="F2104" s="8" t="n">
        <v>7.6</v>
      </c>
      <c r="G2104" s="8" t="n">
        <v>6</v>
      </c>
      <c r="H2104" s="9" t="n">
        <v>147630</v>
      </c>
      <c r="I2104" s="7" t="s">
        <v>46</v>
      </c>
      <c r="J2104" s="7" t="s">
        <v>47</v>
      </c>
      <c r="K2104" s="7" t="s">
        <v>48</v>
      </c>
      <c r="L2104" s="10" t="s">
        <v>238</v>
      </c>
      <c r="M2104" s="10" t="s">
        <v>8498</v>
      </c>
      <c r="N2104" s="8" t="n">
        <v>0</v>
      </c>
      <c r="O2104" s="8" t="n">
        <v>0</v>
      </c>
      <c r="P2104" s="8" t="n">
        <v>0</v>
      </c>
      <c r="Q2104" s="8" t="n">
        <v>3</v>
      </c>
      <c r="R2104" s="8" t="n">
        <v>0</v>
      </c>
      <c r="S2104" s="8" t="n">
        <v>0</v>
      </c>
      <c r="T2104" s="13"/>
      <c r="U2104" s="11" t="n">
        <f aca="false">O2104*4 + P2104*2 + MAX(0,N2104-O2104-P2104)*1 + Q2104*0.2 + R2104*2 + S2104*1 + IF(T2104="",0,IF(T2104&lt;=10,8,IF(T2104&lt;=50,6,IF(T2104&lt;=100,4,2))))</f>
        <v>0.6</v>
      </c>
      <c r="V2104" s="7"/>
      <c r="W2104" s="7"/>
      <c r="X2104" s="13"/>
      <c r="Y2104" s="13" t="s">
        <v>8499</v>
      </c>
    </row>
    <row r="2105" customFormat="false" ht="15.75" hidden="false" customHeight="true" outlineLevel="0" collapsed="false">
      <c r="A2105" s="7" t="s">
        <v>8500</v>
      </c>
      <c r="B2105" s="8" t="n">
        <v>2020</v>
      </c>
      <c r="C2105" s="8" t="s">
        <v>378</v>
      </c>
      <c r="D2105" s="8" t="n">
        <v>103</v>
      </c>
      <c r="E2105" s="7" t="s">
        <v>8501</v>
      </c>
      <c r="F2105" s="8" t="n">
        <v>6.4</v>
      </c>
      <c r="G2105" s="8" t="n">
        <v>5</v>
      </c>
      <c r="H2105" s="9" t="n">
        <v>21791</v>
      </c>
      <c r="I2105" s="7" t="s">
        <v>232</v>
      </c>
      <c r="J2105" s="7" t="s">
        <v>131</v>
      </c>
      <c r="K2105" s="7" t="s">
        <v>47</v>
      </c>
      <c r="L2105" s="10" t="s">
        <v>238</v>
      </c>
      <c r="M2105" s="10" t="s">
        <v>8502</v>
      </c>
      <c r="N2105" s="8" t="n">
        <v>0</v>
      </c>
      <c r="O2105" s="8" t="n">
        <v>0</v>
      </c>
      <c r="P2105" s="8" t="n">
        <v>0</v>
      </c>
      <c r="Q2105" s="8" t="n">
        <v>0</v>
      </c>
      <c r="R2105" s="13" t="n">
        <v>0</v>
      </c>
      <c r="S2105" s="13" t="n">
        <v>0</v>
      </c>
      <c r="T2105" s="13"/>
      <c r="U2105" s="11" t="n">
        <f aca="false">O2105*4 + P2105*2 + MAX(0,N2105-O2105-P2105)*1 + Q2105*0.2 + R2105*2 + S2105*1 + IF(T2105="",0,IF(T2105&lt;=10,8,IF(T2105&lt;=50,6,IF(T2105&lt;=100,4,2))))</f>
        <v>0</v>
      </c>
      <c r="V2105" s="7"/>
      <c r="W2105" s="7"/>
      <c r="X2105" s="13"/>
      <c r="Y2105" s="13" t="s">
        <v>8503</v>
      </c>
    </row>
    <row r="2106" customFormat="false" ht="15.75" hidden="false" customHeight="true" outlineLevel="0" collapsed="false">
      <c r="A2106" s="7" t="s">
        <v>8504</v>
      </c>
      <c r="B2106" s="8" t="n">
        <v>2013</v>
      </c>
      <c r="C2106" s="8" t="s">
        <v>176</v>
      </c>
      <c r="D2106" s="8" t="n">
        <v>122</v>
      </c>
      <c r="E2106" s="7" t="s">
        <v>8505</v>
      </c>
      <c r="F2106" s="8" t="n">
        <v>6.6</v>
      </c>
      <c r="G2106" s="8" t="n">
        <v>5</v>
      </c>
      <c r="H2106" s="9" t="n">
        <v>15955</v>
      </c>
      <c r="I2106" s="7" t="s">
        <v>6803</v>
      </c>
      <c r="J2106" s="7" t="s">
        <v>112</v>
      </c>
      <c r="K2106" s="7" t="s">
        <v>54</v>
      </c>
      <c r="L2106" s="10" t="s">
        <v>113</v>
      </c>
      <c r="M2106" s="10" t="s">
        <v>8506</v>
      </c>
      <c r="N2106" s="8" t="n">
        <v>0</v>
      </c>
      <c r="O2106" s="8" t="n">
        <v>0</v>
      </c>
      <c r="P2106" s="8" t="n">
        <v>0</v>
      </c>
      <c r="Q2106" s="8" t="n">
        <v>0</v>
      </c>
      <c r="R2106" s="13" t="n">
        <v>0</v>
      </c>
      <c r="S2106" s="13" t="n">
        <v>0</v>
      </c>
      <c r="T2106" s="13"/>
      <c r="U2106" s="11" t="n">
        <f aca="false">O2106*4 + P2106*2 + MAX(0,N2106-O2106-P2106)*1 + Q2106*0.2 + R2106*2 + S2106*1 + IF(T2106="",0,IF(T2106&lt;=10,8,IF(T2106&lt;=50,6,IF(T2106&lt;=100,4,2))))</f>
        <v>0</v>
      </c>
      <c r="V2106" s="7"/>
      <c r="W2106" s="7"/>
      <c r="X2106" s="13"/>
      <c r="Y2106" s="13" t="s">
        <v>8507</v>
      </c>
    </row>
    <row r="2107" customFormat="false" ht="15.75" hidden="false" customHeight="true" outlineLevel="0" collapsed="false">
      <c r="A2107" s="7" t="s">
        <v>8508</v>
      </c>
      <c r="B2107" s="8" t="n">
        <v>2020</v>
      </c>
      <c r="C2107" s="8" t="s">
        <v>378</v>
      </c>
      <c r="D2107" s="8" t="n">
        <v>83</v>
      </c>
      <c r="E2107" s="7" t="s">
        <v>8509</v>
      </c>
      <c r="F2107" s="8" t="n">
        <v>6</v>
      </c>
      <c r="G2107" s="8" t="n">
        <v>6</v>
      </c>
      <c r="H2107" s="9" t="n">
        <v>10724</v>
      </c>
      <c r="I2107" s="7" t="s">
        <v>1111</v>
      </c>
      <c r="J2107" s="7" t="s">
        <v>131</v>
      </c>
      <c r="K2107" s="7" t="s">
        <v>112</v>
      </c>
      <c r="L2107" s="10" t="s">
        <v>238</v>
      </c>
      <c r="M2107" s="10" t="s">
        <v>8510</v>
      </c>
      <c r="N2107" s="8" t="n">
        <v>0</v>
      </c>
      <c r="O2107" s="8" t="n">
        <v>0</v>
      </c>
      <c r="P2107" s="8" t="n">
        <v>0</v>
      </c>
      <c r="Q2107" s="8" t="n">
        <v>0</v>
      </c>
      <c r="R2107" s="13" t="n">
        <v>0</v>
      </c>
      <c r="S2107" s="13" t="n">
        <v>0</v>
      </c>
      <c r="T2107" s="13"/>
      <c r="U2107" s="11" t="n">
        <f aca="false">O2107*4 + P2107*2 + MAX(0,N2107-O2107-P2107)*1 + Q2107*0.2 + R2107*2 + S2107*1 + IF(T2107="",0,IF(T2107&lt;=10,8,IF(T2107&lt;=50,6,IF(T2107&lt;=100,4,2))))</f>
        <v>0</v>
      </c>
      <c r="V2107" s="7"/>
      <c r="W2107" s="7"/>
      <c r="X2107" s="13"/>
      <c r="Y2107" s="13" t="s">
        <v>8511</v>
      </c>
    </row>
    <row r="2108" customFormat="false" ht="15.75" hidden="false" customHeight="true" outlineLevel="0" collapsed="false">
      <c r="A2108" s="7" t="s">
        <v>8512</v>
      </c>
      <c r="B2108" s="8" t="n">
        <v>2019</v>
      </c>
      <c r="C2108" s="8" t="s">
        <v>176</v>
      </c>
      <c r="D2108" s="8" t="n">
        <v>90</v>
      </c>
      <c r="E2108" s="7" t="s">
        <v>7692</v>
      </c>
      <c r="F2108" s="8" t="n">
        <v>5.4</v>
      </c>
      <c r="G2108" s="8" t="n">
        <v>3</v>
      </c>
      <c r="H2108" s="9" t="n">
        <v>56633</v>
      </c>
      <c r="I2108" s="7" t="s">
        <v>8513</v>
      </c>
      <c r="J2108" s="7" t="s">
        <v>147</v>
      </c>
      <c r="K2108" s="7" t="s">
        <v>111</v>
      </c>
      <c r="L2108" s="10" t="s">
        <v>8514</v>
      </c>
      <c r="M2108" s="10" t="s">
        <v>8515</v>
      </c>
      <c r="N2108" s="8" t="n">
        <v>0</v>
      </c>
      <c r="O2108" s="8" t="n">
        <v>0</v>
      </c>
      <c r="P2108" s="8" t="n">
        <v>0</v>
      </c>
      <c r="Q2108" s="8" t="n">
        <v>0</v>
      </c>
      <c r="R2108" s="13" t="n">
        <v>0</v>
      </c>
      <c r="S2108" s="13" t="n">
        <v>0</v>
      </c>
      <c r="T2108" s="13"/>
      <c r="U2108" s="11" t="n">
        <f aca="false">O2108*4 + P2108*2 + MAX(0,N2108-O2108-P2108)*1 + Q2108*0.2 + R2108*2 + S2108*1 + IF(T2108="",0,IF(T2108&lt;=10,8,IF(T2108&lt;=50,6,IF(T2108&lt;=100,4,2))))</f>
        <v>0</v>
      </c>
      <c r="V2108" s="7"/>
      <c r="W2108" s="7"/>
      <c r="X2108" s="13"/>
      <c r="Y2108" s="13" t="s">
        <v>8516</v>
      </c>
    </row>
    <row r="2109" customFormat="false" ht="15.75" hidden="false" customHeight="true" outlineLevel="0" collapsed="false">
      <c r="A2109" s="7" t="s">
        <v>8517</v>
      </c>
      <c r="B2109" s="8" t="n">
        <v>2005</v>
      </c>
      <c r="C2109" s="8" t="s">
        <v>35</v>
      </c>
      <c r="D2109" s="8" t="n">
        <v>90</v>
      </c>
      <c r="E2109" s="7" t="s">
        <v>8518</v>
      </c>
      <c r="F2109" s="8" t="n">
        <v>5.9</v>
      </c>
      <c r="G2109" s="8" t="n">
        <v>5</v>
      </c>
      <c r="H2109" s="9" t="n">
        <v>123169</v>
      </c>
      <c r="I2109" s="7" t="s">
        <v>46</v>
      </c>
      <c r="J2109" s="7" t="s">
        <v>147</v>
      </c>
      <c r="K2109" s="7"/>
      <c r="L2109" s="10"/>
      <c r="M2109" s="10" t="s">
        <v>8519</v>
      </c>
      <c r="N2109" s="8" t="n">
        <v>0</v>
      </c>
      <c r="O2109" s="8" t="n">
        <v>0</v>
      </c>
      <c r="P2109" s="8" t="n">
        <v>0</v>
      </c>
      <c r="Q2109" s="8" t="n">
        <v>0</v>
      </c>
      <c r="R2109" s="13" t="n">
        <v>0</v>
      </c>
      <c r="S2109" s="13" t="n">
        <v>0</v>
      </c>
      <c r="T2109" s="13"/>
      <c r="U2109" s="11" t="n">
        <f aca="false">O2109*4 + P2109*2 + MAX(0,N2109-O2109-P2109)*1 + Q2109*0.2 + R2109*2 + S2109*1 + IF(T2109="",0,IF(T2109&lt;=10,8,IF(T2109&lt;=50,6,IF(T2109&lt;=100,4,2))))</f>
        <v>0</v>
      </c>
      <c r="V2109" s="7"/>
      <c r="W2109" s="7"/>
      <c r="X2109" s="13"/>
      <c r="Y2109" s="13" t="s">
        <v>8520</v>
      </c>
    </row>
    <row r="2110" customFormat="false" ht="15.75" hidden="false" customHeight="true" outlineLevel="0" collapsed="false">
      <c r="A2110" s="7" t="s">
        <v>8521</v>
      </c>
      <c r="B2110" s="8" t="n">
        <v>2019</v>
      </c>
      <c r="C2110" s="8" t="s">
        <v>176</v>
      </c>
      <c r="D2110" s="8" t="n">
        <v>94</v>
      </c>
      <c r="E2110" s="7" t="s">
        <v>8522</v>
      </c>
      <c r="F2110" s="8" t="n">
        <v>7</v>
      </c>
      <c r="G2110" s="8" t="n">
        <v>6</v>
      </c>
      <c r="H2110" s="9" t="n">
        <v>328398</v>
      </c>
      <c r="I2110" s="7" t="s">
        <v>232</v>
      </c>
      <c r="J2110" s="7" t="s">
        <v>147</v>
      </c>
      <c r="K2110" s="7" t="s">
        <v>125</v>
      </c>
      <c r="L2110" s="10" t="s">
        <v>238</v>
      </c>
      <c r="M2110" s="7" t="s">
        <v>8523</v>
      </c>
      <c r="N2110" s="8" t="n">
        <v>0</v>
      </c>
      <c r="O2110" s="8" t="n">
        <v>0</v>
      </c>
      <c r="P2110" s="8" t="n">
        <v>0</v>
      </c>
      <c r="Q2110" s="8" t="n">
        <v>0</v>
      </c>
      <c r="R2110" s="13" t="n">
        <v>0</v>
      </c>
      <c r="S2110" s="13" t="n">
        <v>0</v>
      </c>
      <c r="T2110" s="13"/>
      <c r="U2110" s="11" t="n">
        <f aca="false">O2110*4 + P2110*2 + MAX(0,N2110-O2110-P2110)*1 + Q2110*0.2 + R2110*2 + S2110*1 + IF(T2110="",0,IF(T2110&lt;=10,8,IF(T2110&lt;=50,6,IF(T2110&lt;=100,4,2))))</f>
        <v>0</v>
      </c>
      <c r="V2110" s="7"/>
      <c r="W2110" s="7"/>
      <c r="X2110" s="13"/>
      <c r="Y2110" s="13" t="s">
        <v>8524</v>
      </c>
    </row>
    <row r="2111" customFormat="false" ht="15.75" hidden="false" customHeight="true" outlineLevel="0" collapsed="false">
      <c r="A2111" s="7" t="s">
        <v>8525</v>
      </c>
      <c r="B2111" s="8" t="n">
        <v>2020</v>
      </c>
      <c r="C2111" s="8" t="s">
        <v>378</v>
      </c>
      <c r="D2111" s="8" t="n">
        <v>102</v>
      </c>
      <c r="E2111" s="7" t="s">
        <v>6694</v>
      </c>
      <c r="F2111" s="8" t="n">
        <v>7.3</v>
      </c>
      <c r="G2111" s="8" t="n">
        <v>7</v>
      </c>
      <c r="H2111" s="9" t="n">
        <v>188455</v>
      </c>
      <c r="I2111" s="7" t="s">
        <v>46</v>
      </c>
      <c r="J2111" s="7" t="s">
        <v>579</v>
      </c>
      <c r="K2111" s="7" t="s">
        <v>39</v>
      </c>
      <c r="L2111" s="10" t="s">
        <v>177</v>
      </c>
      <c r="M2111" s="10" t="s">
        <v>8526</v>
      </c>
      <c r="N2111" s="8" t="n">
        <v>0</v>
      </c>
      <c r="O2111" s="8" t="n">
        <v>0</v>
      </c>
      <c r="P2111" s="8" t="n">
        <v>0</v>
      </c>
      <c r="Q2111" s="8" t="n">
        <v>1</v>
      </c>
      <c r="R2111" s="8" t="n">
        <v>0</v>
      </c>
      <c r="S2111" s="8" t="n">
        <v>0</v>
      </c>
      <c r="T2111" s="13"/>
      <c r="U2111" s="11" t="n">
        <f aca="false">O2111*4 + P2111*2 + MAX(0,N2111-O2111-P2111)*1 + Q2111*0.2 + R2111*2 + S2111*1 + IF(T2111="",0,IF(T2111&lt;=10,8,IF(T2111&lt;=50,6,IF(T2111&lt;=100,4,2))))</f>
        <v>0.2</v>
      </c>
      <c r="V2111" s="7"/>
      <c r="W2111" s="7"/>
      <c r="X2111" s="13"/>
      <c r="Y2111" s="13" t="s">
        <v>8527</v>
      </c>
    </row>
    <row r="2112" customFormat="false" ht="15.75" hidden="false" customHeight="true" outlineLevel="0" collapsed="false">
      <c r="A2112" s="7" t="s">
        <v>8528</v>
      </c>
      <c r="B2112" s="8" t="n">
        <v>2018</v>
      </c>
      <c r="C2112" s="8" t="s">
        <v>176</v>
      </c>
      <c r="D2112" s="8" t="n">
        <v>102</v>
      </c>
      <c r="E2112" s="7" t="s">
        <v>8529</v>
      </c>
      <c r="F2112" s="8" t="n">
        <v>7.6</v>
      </c>
      <c r="G2112" s="8" t="n">
        <v>6</v>
      </c>
      <c r="H2112" s="9" t="n">
        <v>194237</v>
      </c>
      <c r="I2112" s="7" t="s">
        <v>46</v>
      </c>
      <c r="J2112" s="7" t="s">
        <v>131</v>
      </c>
      <c r="K2112" s="7" t="s">
        <v>125</v>
      </c>
      <c r="L2112" s="10"/>
      <c r="M2112" s="10" t="s">
        <v>8530</v>
      </c>
      <c r="N2112" s="8" t="n">
        <v>0</v>
      </c>
      <c r="O2112" s="8" t="n">
        <v>0</v>
      </c>
      <c r="P2112" s="8" t="n">
        <v>0</v>
      </c>
      <c r="Q2112" s="8" t="n">
        <v>0</v>
      </c>
      <c r="R2112" s="13" t="n">
        <v>0</v>
      </c>
      <c r="S2112" s="13" t="n">
        <v>0</v>
      </c>
      <c r="T2112" s="13"/>
      <c r="U2112" s="11" t="n">
        <f aca="false">O2112*4 + P2112*2 + MAX(0,N2112-O2112-P2112)*1 + Q2112*0.2 + R2112*2 + S2112*1 + IF(T2112="",0,IF(T2112&lt;=10,8,IF(T2112&lt;=50,6,IF(T2112&lt;=100,4,2))))</f>
        <v>0</v>
      </c>
      <c r="V2112" s="7"/>
      <c r="W2112" s="7"/>
      <c r="X2112" s="13"/>
      <c r="Y2112" s="13" t="s">
        <v>8531</v>
      </c>
    </row>
    <row r="2113" customFormat="false" ht="15.75" hidden="false" customHeight="true" outlineLevel="0" collapsed="false">
      <c r="A2113" s="7" t="s">
        <v>8532</v>
      </c>
      <c r="B2113" s="8" t="n">
        <v>2014</v>
      </c>
      <c r="C2113" s="8" t="s">
        <v>176</v>
      </c>
      <c r="D2113" s="8" t="n">
        <v>137</v>
      </c>
      <c r="E2113" s="7" t="s">
        <v>8533</v>
      </c>
      <c r="F2113" s="8" t="n">
        <v>7.2</v>
      </c>
      <c r="G2113" s="8" t="n">
        <v>6</v>
      </c>
      <c r="H2113" s="9" t="n">
        <v>199983</v>
      </c>
      <c r="I2113" s="7"/>
      <c r="J2113" s="7" t="s">
        <v>154</v>
      </c>
      <c r="K2113" s="7" t="s">
        <v>75</v>
      </c>
      <c r="L2113" s="10"/>
      <c r="M2113" s="10" t="s">
        <v>8534</v>
      </c>
      <c r="N2113" s="8" t="n">
        <v>0</v>
      </c>
      <c r="O2113" s="8" t="n">
        <v>0</v>
      </c>
      <c r="P2113" s="8" t="n">
        <v>0</v>
      </c>
      <c r="Q2113" s="8" t="n">
        <v>0</v>
      </c>
      <c r="R2113" s="13" t="n">
        <v>0</v>
      </c>
      <c r="S2113" s="13" t="n">
        <v>0</v>
      </c>
      <c r="T2113" s="13"/>
      <c r="U2113" s="11" t="n">
        <f aca="false">O2113*4 + P2113*2 + MAX(0,N2113-O2113-P2113)*1 + Q2113*0.2 + R2113*2 + S2113*1 + IF(T2113="",0,IF(T2113&lt;=10,8,IF(T2113&lt;=50,6,IF(T2113&lt;=100,4,2))))</f>
        <v>0</v>
      </c>
      <c r="V2113" s="7"/>
      <c r="W2113" s="7"/>
      <c r="X2113" s="13"/>
      <c r="Y2113" s="13" t="s">
        <v>8535</v>
      </c>
    </row>
    <row r="2114" customFormat="false" ht="15.75" hidden="false" customHeight="true" outlineLevel="0" collapsed="false">
      <c r="A2114" s="7" t="s">
        <v>8536</v>
      </c>
      <c r="B2114" s="8" t="n">
        <v>2020</v>
      </c>
      <c r="C2114" s="8" t="s">
        <v>378</v>
      </c>
      <c r="D2114" s="8" t="n">
        <v>135</v>
      </c>
      <c r="E2114" s="7" t="s">
        <v>3403</v>
      </c>
      <c r="F2114" s="8" t="n">
        <v>7.1</v>
      </c>
      <c r="G2114" s="8" t="n">
        <v>6</v>
      </c>
      <c r="H2114" s="9" t="n">
        <v>18803</v>
      </c>
      <c r="I2114" s="7" t="s">
        <v>4512</v>
      </c>
      <c r="J2114" s="7" t="s">
        <v>131</v>
      </c>
      <c r="K2114" s="7" t="s">
        <v>47</v>
      </c>
      <c r="L2114" s="10"/>
      <c r="M2114" s="10" t="s">
        <v>8537</v>
      </c>
      <c r="N2114" s="8" t="n">
        <v>0</v>
      </c>
      <c r="O2114" s="8" t="n">
        <v>0</v>
      </c>
      <c r="P2114" s="8" t="n">
        <v>0</v>
      </c>
      <c r="Q2114" s="8" t="n">
        <v>0</v>
      </c>
      <c r="R2114" s="13" t="n">
        <v>0</v>
      </c>
      <c r="S2114" s="13" t="n">
        <v>0</v>
      </c>
      <c r="T2114" s="13"/>
      <c r="U2114" s="11" t="n">
        <f aca="false">O2114*4 + P2114*2 + MAX(0,N2114-O2114-P2114)*1 + Q2114*0.2 + R2114*2 + S2114*1 + IF(T2114="",0,IF(T2114&lt;=10,8,IF(T2114&lt;=50,6,IF(T2114&lt;=100,4,2))))</f>
        <v>0</v>
      </c>
      <c r="V2114" s="7"/>
      <c r="W2114" s="7"/>
      <c r="X2114" s="13"/>
      <c r="Y2114" s="13" t="s">
        <v>8538</v>
      </c>
    </row>
    <row r="2115" customFormat="false" ht="15.75" hidden="false" customHeight="true" outlineLevel="0" collapsed="false">
      <c r="A2115" s="7" t="s">
        <v>8539</v>
      </c>
      <c r="B2115" s="8" t="n">
        <v>2018</v>
      </c>
      <c r="C2115" s="8" t="s">
        <v>176</v>
      </c>
      <c r="D2115" s="8" t="n">
        <v>106</v>
      </c>
      <c r="E2115" s="7" t="s">
        <v>8540</v>
      </c>
      <c r="F2115" s="8" t="n">
        <v>5.1</v>
      </c>
      <c r="G2115" s="8" t="n">
        <v>3</v>
      </c>
      <c r="H2115" s="9" t="n">
        <v>1508</v>
      </c>
      <c r="I2115" s="7" t="s">
        <v>8541</v>
      </c>
      <c r="J2115" s="7" t="s">
        <v>147</v>
      </c>
      <c r="K2115" s="7" t="s">
        <v>125</v>
      </c>
      <c r="L2115" s="10" t="s">
        <v>1078</v>
      </c>
      <c r="M2115" s="10" t="s">
        <v>8542</v>
      </c>
      <c r="N2115" s="8" t="n">
        <v>0</v>
      </c>
      <c r="O2115" s="8" t="n">
        <v>0</v>
      </c>
      <c r="P2115" s="8" t="n">
        <v>0</v>
      </c>
      <c r="Q2115" s="8" t="n">
        <v>0</v>
      </c>
      <c r="R2115" s="13" t="n">
        <v>0</v>
      </c>
      <c r="S2115" s="13" t="n">
        <v>0</v>
      </c>
      <c r="T2115" s="13"/>
      <c r="U2115" s="11" t="n">
        <f aca="false">O2115*4 + P2115*2 + MAX(0,N2115-O2115-P2115)*1 + Q2115*0.2 + R2115*2 + S2115*1 + IF(T2115="",0,IF(T2115&lt;=10,8,IF(T2115&lt;=50,6,IF(T2115&lt;=100,4,2))))</f>
        <v>0</v>
      </c>
      <c r="V2115" s="7"/>
      <c r="W2115" s="7"/>
      <c r="X2115" s="13"/>
      <c r="Y2115" s="13" t="s">
        <v>8543</v>
      </c>
    </row>
    <row r="2116" customFormat="false" ht="15.75" hidden="false" customHeight="true" outlineLevel="0" collapsed="false">
      <c r="A2116" s="7" t="s">
        <v>8544</v>
      </c>
      <c r="B2116" s="8" t="n">
        <v>2020</v>
      </c>
      <c r="C2116" s="8" t="s">
        <v>378</v>
      </c>
      <c r="D2116" s="8" t="n">
        <v>150</v>
      </c>
      <c r="E2116" s="7" t="s">
        <v>979</v>
      </c>
      <c r="F2116" s="8" t="n">
        <v>7.3</v>
      </c>
      <c r="G2116" s="8" t="n">
        <v>9</v>
      </c>
      <c r="H2116" s="9" t="n">
        <v>705069</v>
      </c>
      <c r="I2116" s="7" t="s">
        <v>359</v>
      </c>
      <c r="J2116" s="7" t="s">
        <v>111</v>
      </c>
      <c r="K2116" s="7" t="s">
        <v>131</v>
      </c>
      <c r="L2116" s="10" t="s">
        <v>104</v>
      </c>
      <c r="M2116" s="7" t="s">
        <v>8545</v>
      </c>
      <c r="N2116" s="8" t="n">
        <v>1</v>
      </c>
      <c r="O2116" s="8" t="n">
        <v>0</v>
      </c>
      <c r="P2116" s="8" t="n">
        <v>0</v>
      </c>
      <c r="Q2116" s="8" t="n">
        <v>2</v>
      </c>
      <c r="R2116" s="8" t="n">
        <v>0</v>
      </c>
      <c r="S2116" s="8" t="n">
        <v>0</v>
      </c>
      <c r="T2116" s="13"/>
      <c r="U2116" s="11" t="n">
        <f aca="false">O2116*4 + P2116*2 + MAX(0,N2116-O2116-P2116)*1 + Q2116*0.2 + R2116*2 + S2116*1 + IF(T2116="",0,IF(T2116&lt;=10,8,IF(T2116&lt;=50,6,IF(T2116&lt;=100,4,2))))</f>
        <v>1.4</v>
      </c>
      <c r="V2116" s="7"/>
      <c r="W2116" s="7"/>
      <c r="X2116" s="13"/>
      <c r="Y2116" s="13" t="s">
        <v>8546</v>
      </c>
    </row>
    <row r="2117" customFormat="false" ht="15.75" hidden="false" customHeight="true" outlineLevel="0" collapsed="false">
      <c r="A2117" s="7" t="s">
        <v>8547</v>
      </c>
      <c r="B2117" s="8" t="n">
        <v>2018</v>
      </c>
      <c r="C2117" s="8" t="s">
        <v>176</v>
      </c>
      <c r="D2117" s="8" t="n">
        <v>85</v>
      </c>
      <c r="E2117" s="7" t="s">
        <v>8548</v>
      </c>
      <c r="F2117" s="8" t="n">
        <v>5.3</v>
      </c>
      <c r="G2117" s="8" t="n">
        <v>3</v>
      </c>
      <c r="H2117" s="9" t="n">
        <v>40734</v>
      </c>
      <c r="I2117" s="7" t="s">
        <v>153</v>
      </c>
      <c r="J2117" s="7" t="s">
        <v>147</v>
      </c>
      <c r="K2117" s="7"/>
      <c r="L2117" s="10"/>
      <c r="M2117" s="10" t="s">
        <v>8549</v>
      </c>
      <c r="N2117" s="8" t="n">
        <v>0</v>
      </c>
      <c r="O2117" s="8" t="n">
        <v>0</v>
      </c>
      <c r="P2117" s="8" t="n">
        <v>0</v>
      </c>
      <c r="Q2117" s="8" t="n">
        <v>0</v>
      </c>
      <c r="R2117" s="13" t="n">
        <v>0</v>
      </c>
      <c r="S2117" s="13" t="n">
        <v>0</v>
      </c>
      <c r="T2117" s="13"/>
      <c r="U2117" s="11" t="n">
        <f aca="false">O2117*4 + P2117*2 + MAX(0,N2117-O2117-P2117)*1 + Q2117*0.2 + R2117*2 + S2117*1 + IF(T2117="",0,IF(T2117&lt;=10,8,IF(T2117&lt;=50,6,IF(T2117&lt;=100,4,2))))</f>
        <v>0</v>
      </c>
      <c r="V2117" s="7"/>
      <c r="W2117" s="7"/>
      <c r="X2117" s="13"/>
      <c r="Y2117" s="13" t="s">
        <v>8550</v>
      </c>
    </row>
    <row r="2118" customFormat="false" ht="15.75" hidden="false" customHeight="true" outlineLevel="0" collapsed="false">
      <c r="A2118" s="7" t="s">
        <v>8551</v>
      </c>
      <c r="B2118" s="8" t="n">
        <v>2014</v>
      </c>
      <c r="C2118" s="8" t="s">
        <v>176</v>
      </c>
      <c r="D2118" s="8" t="n">
        <v>101</v>
      </c>
      <c r="E2118" s="7" t="s">
        <v>4893</v>
      </c>
      <c r="F2118" s="8" t="n">
        <v>7.5</v>
      </c>
      <c r="G2118" s="8" t="n">
        <v>8</v>
      </c>
      <c r="H2118" s="9" t="n">
        <v>837105</v>
      </c>
      <c r="I2118" s="7" t="s">
        <v>8552</v>
      </c>
      <c r="J2118" s="7" t="s">
        <v>131</v>
      </c>
      <c r="K2118" s="7" t="s">
        <v>103</v>
      </c>
      <c r="L2118" s="10"/>
      <c r="M2118" s="7" t="s">
        <v>8553</v>
      </c>
      <c r="N2118" s="8" t="n">
        <v>0</v>
      </c>
      <c r="O2118" s="8" t="n">
        <v>0</v>
      </c>
      <c r="P2118" s="8" t="n">
        <v>0</v>
      </c>
      <c r="Q2118" s="8" t="n">
        <v>0</v>
      </c>
      <c r="R2118" s="13" t="n">
        <v>0</v>
      </c>
      <c r="S2118" s="13" t="n">
        <v>0</v>
      </c>
      <c r="T2118" s="13"/>
      <c r="U2118" s="11" t="n">
        <f aca="false">O2118*4 + P2118*2 + MAX(0,N2118-O2118-P2118)*1 + Q2118*0.2 + R2118*2 + S2118*1 + IF(T2118="",0,IF(T2118&lt;=10,8,IF(T2118&lt;=50,6,IF(T2118&lt;=100,4,2))))</f>
        <v>0</v>
      </c>
      <c r="V2118" s="7"/>
      <c r="W2118" s="7"/>
      <c r="X2118" s="13"/>
      <c r="Y2118" s="13" t="s">
        <v>8554</v>
      </c>
    </row>
    <row r="2119" customFormat="false" ht="15.75" hidden="false" customHeight="true" outlineLevel="0" collapsed="false">
      <c r="A2119" s="7" t="s">
        <v>8555</v>
      </c>
      <c r="B2119" s="8" t="n">
        <v>2017</v>
      </c>
      <c r="C2119" s="8" t="s">
        <v>176</v>
      </c>
      <c r="D2119" s="8" t="n">
        <v>122</v>
      </c>
      <c r="E2119" s="7" t="s">
        <v>4893</v>
      </c>
      <c r="F2119" s="8" t="n">
        <v>7.4</v>
      </c>
      <c r="G2119" s="8" t="n">
        <v>7</v>
      </c>
      <c r="H2119" s="9" t="n">
        <v>576483</v>
      </c>
      <c r="I2119" s="7" t="s">
        <v>46</v>
      </c>
      <c r="J2119" s="7" t="s">
        <v>131</v>
      </c>
      <c r="K2119" s="7" t="s">
        <v>54</v>
      </c>
      <c r="L2119" s="10" t="s">
        <v>161</v>
      </c>
      <c r="M2119" s="7" t="s">
        <v>8556</v>
      </c>
      <c r="N2119" s="8" t="n">
        <v>0</v>
      </c>
      <c r="O2119" s="8" t="n">
        <v>0</v>
      </c>
      <c r="P2119" s="8" t="n">
        <v>0</v>
      </c>
      <c r="Q2119" s="8" t="n">
        <v>0</v>
      </c>
      <c r="R2119" s="13" t="n">
        <v>0</v>
      </c>
      <c r="S2119" s="13" t="n">
        <v>0</v>
      </c>
      <c r="T2119" s="13"/>
      <c r="U2119" s="11" t="n">
        <f aca="false">O2119*4 + P2119*2 + MAX(0,N2119-O2119-P2119)*1 + Q2119*0.2 + R2119*2 + S2119*1 + IF(T2119="",0,IF(T2119&lt;=10,8,IF(T2119&lt;=50,6,IF(T2119&lt;=100,4,2))))</f>
        <v>0</v>
      </c>
      <c r="V2119" s="7"/>
      <c r="W2119" s="7"/>
      <c r="X2119" s="13"/>
      <c r="Y2119" s="13" t="s">
        <v>8557</v>
      </c>
    </row>
    <row r="2120" customFormat="false" ht="15.75" hidden="false" customHeight="true" outlineLevel="0" collapsed="false">
      <c r="A2120" s="7" t="s">
        <v>8558</v>
      </c>
      <c r="B2120" s="8" t="n">
        <v>2019</v>
      </c>
      <c r="C2120" s="8" t="s">
        <v>176</v>
      </c>
      <c r="D2120" s="8" t="n">
        <v>130</v>
      </c>
      <c r="E2120" s="7" t="s">
        <v>4893</v>
      </c>
      <c r="F2120" s="8" t="n">
        <v>7.4</v>
      </c>
      <c r="G2120" s="8" t="n">
        <v>7</v>
      </c>
      <c r="H2120" s="9" t="n">
        <v>486064</v>
      </c>
      <c r="I2120" s="7" t="s">
        <v>46</v>
      </c>
      <c r="J2120" s="7" t="s">
        <v>131</v>
      </c>
      <c r="K2120" s="7" t="s">
        <v>54</v>
      </c>
      <c r="L2120" s="10"/>
      <c r="M2120" s="7" t="s">
        <v>8559</v>
      </c>
      <c r="N2120" s="8" t="n">
        <v>0</v>
      </c>
      <c r="O2120" s="8" t="n">
        <v>0</v>
      </c>
      <c r="P2120" s="8" t="n">
        <v>0</v>
      </c>
      <c r="Q2120" s="8" t="n">
        <v>0</v>
      </c>
      <c r="R2120" s="13" t="n">
        <v>0</v>
      </c>
      <c r="S2120" s="13" t="n">
        <v>0</v>
      </c>
      <c r="T2120" s="13"/>
      <c r="U2120" s="11" t="n">
        <f aca="false">O2120*4 + P2120*2 + MAX(0,N2120-O2120-P2120)*1 + Q2120*0.2 + R2120*2 + S2120*1 + IF(T2120="",0,IF(T2120&lt;=10,8,IF(T2120&lt;=50,6,IF(T2120&lt;=100,4,2))))</f>
        <v>0</v>
      </c>
      <c r="V2120" s="7"/>
      <c r="W2120" s="7"/>
      <c r="X2120" s="13"/>
      <c r="Y2120" s="13" t="s">
        <v>8560</v>
      </c>
    </row>
    <row r="2121" customFormat="false" ht="15.75" hidden="false" customHeight="true" outlineLevel="0" collapsed="false">
      <c r="A2121" s="7" t="s">
        <v>8561</v>
      </c>
      <c r="B2121" s="8" t="n">
        <v>1979</v>
      </c>
      <c r="C2121" s="8" t="s">
        <v>61</v>
      </c>
      <c r="D2121" s="8" t="n">
        <v>117</v>
      </c>
      <c r="E2121" s="7" t="s">
        <v>1074</v>
      </c>
      <c r="F2121" s="8" t="n">
        <v>8.4</v>
      </c>
      <c r="G2121" s="8" t="n">
        <v>8</v>
      </c>
      <c r="H2121" s="9" t="n">
        <v>1072898</v>
      </c>
      <c r="I2121" s="7" t="s">
        <v>153</v>
      </c>
      <c r="J2121" s="7" t="s">
        <v>147</v>
      </c>
      <c r="K2121" s="7" t="s">
        <v>111</v>
      </c>
      <c r="L2121" s="10" t="s">
        <v>552</v>
      </c>
      <c r="M2121" s="7" t="s">
        <v>8562</v>
      </c>
      <c r="N2121" s="8" t="n">
        <v>1</v>
      </c>
      <c r="O2121" s="8" t="n">
        <v>0</v>
      </c>
      <c r="P2121" s="8" t="n">
        <v>0</v>
      </c>
      <c r="Q2121" s="8" t="n">
        <v>2</v>
      </c>
      <c r="R2121" s="8" t="n">
        <v>0</v>
      </c>
      <c r="S2121" s="8" t="n">
        <v>0</v>
      </c>
      <c r="T2121" s="8" t="n">
        <v>146</v>
      </c>
      <c r="U2121" s="11" t="n">
        <f aca="false">O2121*4 + P2121*2 + MAX(0,N2121-O2121-P2121)*1 + Q2121*0.2 + R2121*2 + S2121*1 + IF(T2121="",0,IF(T2121&lt;=10,8,IF(T2121&lt;=50,6,IF(T2121&lt;=100,4,2))))</f>
        <v>3.4</v>
      </c>
      <c r="V2121" s="10" t="s">
        <v>8563</v>
      </c>
      <c r="W2121" s="7"/>
      <c r="X2121" s="13"/>
      <c r="Y2121" s="13" t="s">
        <v>8564</v>
      </c>
    </row>
    <row r="2122" customFormat="false" ht="15.75" hidden="false" customHeight="true" outlineLevel="0" collapsed="false">
      <c r="A2122" s="7" t="s">
        <v>8565</v>
      </c>
      <c r="B2122" s="8" t="n">
        <v>2019</v>
      </c>
      <c r="C2122" s="8" t="s">
        <v>176</v>
      </c>
      <c r="D2122" s="8" t="n">
        <v>148</v>
      </c>
      <c r="E2122" s="7" t="s">
        <v>5082</v>
      </c>
      <c r="F2122" s="8" t="n">
        <v>7.1</v>
      </c>
      <c r="G2122" s="8" t="n">
        <v>8</v>
      </c>
      <c r="H2122" s="9" t="n">
        <v>494273</v>
      </c>
      <c r="I2122" s="7" t="s">
        <v>8566</v>
      </c>
      <c r="J2122" s="7" t="s">
        <v>147</v>
      </c>
      <c r="K2122" s="7" t="s">
        <v>125</v>
      </c>
      <c r="L2122" s="10" t="s">
        <v>8567</v>
      </c>
      <c r="M2122" s="7" t="s">
        <v>8568</v>
      </c>
      <c r="N2122" s="8" t="n">
        <v>0</v>
      </c>
      <c r="O2122" s="8" t="n">
        <v>0</v>
      </c>
      <c r="P2122" s="8" t="n">
        <v>0</v>
      </c>
      <c r="Q2122" s="8" t="n">
        <v>0</v>
      </c>
      <c r="R2122" s="13" t="n">
        <v>0</v>
      </c>
      <c r="S2122" s="13" t="n">
        <v>0</v>
      </c>
      <c r="T2122" s="13"/>
      <c r="U2122" s="11" t="n">
        <f aca="false">O2122*4 + P2122*2 + MAX(0,N2122-O2122-P2122)*1 + Q2122*0.2 + R2122*2 + S2122*1 + IF(T2122="",0,IF(T2122&lt;=10,8,IF(T2122&lt;=50,6,IF(T2122&lt;=100,4,2))))</f>
        <v>0</v>
      </c>
      <c r="V2122" s="7"/>
      <c r="W2122" s="7"/>
      <c r="X2122" s="13"/>
      <c r="Y2122" s="13" t="s">
        <v>8569</v>
      </c>
    </row>
    <row r="2123" customFormat="false" ht="15.75" hidden="false" customHeight="true" outlineLevel="0" collapsed="false">
      <c r="A2123" s="7" t="s">
        <v>8570</v>
      </c>
      <c r="B2123" s="8" t="n">
        <v>2016</v>
      </c>
      <c r="C2123" s="8" t="s">
        <v>176</v>
      </c>
      <c r="D2123" s="8" t="n">
        <v>118</v>
      </c>
      <c r="E2123" s="7" t="s">
        <v>8571</v>
      </c>
      <c r="F2123" s="8" t="n">
        <v>7.6</v>
      </c>
      <c r="G2123" s="8" t="n">
        <v>7</v>
      </c>
      <c r="H2123" s="9" t="n">
        <v>312587</v>
      </c>
      <c r="I2123" s="7" t="s">
        <v>430</v>
      </c>
      <c r="J2123" s="7" t="s">
        <v>147</v>
      </c>
      <c r="K2123" s="7" t="s">
        <v>8300</v>
      </c>
      <c r="L2123" s="10" t="s">
        <v>126</v>
      </c>
      <c r="M2123" s="7" t="s">
        <v>8572</v>
      </c>
      <c r="N2123" s="8" t="n">
        <v>0</v>
      </c>
      <c r="O2123" s="8" t="n">
        <v>0</v>
      </c>
      <c r="P2123" s="8" t="n">
        <v>0</v>
      </c>
      <c r="Q2123" s="8" t="n">
        <v>0</v>
      </c>
      <c r="R2123" s="13" t="n">
        <v>0</v>
      </c>
      <c r="S2123" s="13" t="n">
        <v>0</v>
      </c>
      <c r="T2123" s="13"/>
      <c r="U2123" s="11" t="n">
        <f aca="false">O2123*4 + P2123*2 + MAX(0,N2123-O2123-P2123)*1 + Q2123*0.2 + R2123*2 + S2123*1 + IF(T2123="",0,IF(T2123&lt;=10,8,IF(T2123&lt;=50,6,IF(T2123&lt;=100,4,2))))</f>
        <v>0</v>
      </c>
      <c r="V2123" s="7"/>
      <c r="W2123" s="7"/>
      <c r="X2123" s="13"/>
      <c r="Y2123" s="13" t="s">
        <v>8573</v>
      </c>
    </row>
    <row r="2124" customFormat="false" ht="15.75" hidden="false" customHeight="true" outlineLevel="0" collapsed="false">
      <c r="A2124" s="7" t="s">
        <v>8574</v>
      </c>
      <c r="B2124" s="8" t="n">
        <v>2021</v>
      </c>
      <c r="C2124" s="8" t="s">
        <v>378</v>
      </c>
      <c r="D2124" s="8" t="n">
        <v>106</v>
      </c>
      <c r="E2124" s="7" t="s">
        <v>8575</v>
      </c>
      <c r="F2124" s="8" t="n">
        <v>6.2</v>
      </c>
      <c r="G2124" s="8" t="n">
        <v>6</v>
      </c>
      <c r="H2124" s="9" t="n">
        <v>23162</v>
      </c>
      <c r="I2124" s="7" t="s">
        <v>232</v>
      </c>
      <c r="J2124" s="7" t="s">
        <v>112</v>
      </c>
      <c r="K2124" s="7" t="s">
        <v>54</v>
      </c>
      <c r="L2124" s="10" t="s">
        <v>8576</v>
      </c>
      <c r="M2124" s="10" t="s">
        <v>8577</v>
      </c>
      <c r="N2124" s="8" t="n">
        <v>0</v>
      </c>
      <c r="O2124" s="8" t="n">
        <v>0</v>
      </c>
      <c r="P2124" s="8" t="n">
        <v>0</v>
      </c>
      <c r="Q2124" s="8" t="n">
        <v>0</v>
      </c>
      <c r="R2124" s="13" t="n">
        <v>0</v>
      </c>
      <c r="S2124" s="13" t="n">
        <v>0</v>
      </c>
      <c r="T2124" s="13"/>
      <c r="U2124" s="11" t="n">
        <f aca="false">O2124*4 + P2124*2 + MAX(0,N2124-O2124-P2124)*1 + Q2124*0.2 + R2124*2 + S2124*1 + IF(T2124="",0,IF(T2124&lt;=10,8,IF(T2124&lt;=50,6,IF(T2124&lt;=100,4,2))))</f>
        <v>0</v>
      </c>
      <c r="V2124" s="7"/>
      <c r="W2124" s="7"/>
      <c r="X2124" s="13"/>
      <c r="Y2124" s="13" t="s">
        <v>8578</v>
      </c>
    </row>
    <row r="2125" customFormat="false" ht="15.75" hidden="false" customHeight="true" outlineLevel="0" collapsed="false">
      <c r="A2125" s="7" t="s">
        <v>8579</v>
      </c>
      <c r="B2125" s="8" t="n">
        <v>2018</v>
      </c>
      <c r="C2125" s="8" t="s">
        <v>176</v>
      </c>
      <c r="D2125" s="8" t="n">
        <v>102</v>
      </c>
      <c r="E2125" s="7" t="s">
        <v>8580</v>
      </c>
      <c r="F2125" s="8" t="n">
        <v>5.8</v>
      </c>
      <c r="G2125" s="8" t="n">
        <v>4</v>
      </c>
      <c r="H2125" s="9" t="n">
        <v>20492</v>
      </c>
      <c r="I2125" s="7" t="s">
        <v>46</v>
      </c>
      <c r="J2125" s="7" t="s">
        <v>112</v>
      </c>
      <c r="K2125" s="7" t="s">
        <v>54</v>
      </c>
      <c r="L2125" s="10"/>
      <c r="M2125" s="10" t="s">
        <v>8581</v>
      </c>
      <c r="N2125" s="8" t="n">
        <v>0</v>
      </c>
      <c r="O2125" s="8" t="n">
        <v>0</v>
      </c>
      <c r="P2125" s="8" t="n">
        <v>0</v>
      </c>
      <c r="Q2125" s="8" t="n">
        <v>0</v>
      </c>
      <c r="R2125" s="13" t="n">
        <v>0</v>
      </c>
      <c r="S2125" s="13" t="n">
        <v>0</v>
      </c>
      <c r="T2125" s="13"/>
      <c r="U2125" s="11" t="n">
        <f aca="false">O2125*4 + P2125*2 + MAX(0,N2125-O2125-P2125)*1 + Q2125*0.2 + R2125*2 + S2125*1 + IF(T2125="",0,IF(T2125&lt;=10,8,IF(T2125&lt;=50,6,IF(T2125&lt;=100,4,2))))</f>
        <v>0</v>
      </c>
      <c r="V2125" s="7"/>
      <c r="W2125" s="7"/>
      <c r="X2125" s="13"/>
      <c r="Y2125" s="13" t="s">
        <v>8582</v>
      </c>
    </row>
    <row r="2126" customFormat="false" ht="15.75" hidden="false" customHeight="true" outlineLevel="0" collapsed="false">
      <c r="A2126" s="7" t="s">
        <v>8583</v>
      </c>
      <c r="B2126" s="8" t="n">
        <v>2019</v>
      </c>
      <c r="C2126" s="8" t="s">
        <v>176</v>
      </c>
      <c r="D2126" s="8" t="n">
        <v>121</v>
      </c>
      <c r="E2126" s="7" t="s">
        <v>8584</v>
      </c>
      <c r="F2126" s="8" t="n">
        <v>7.3</v>
      </c>
      <c r="G2126" s="8" t="n">
        <v>5</v>
      </c>
      <c r="H2126" s="9" t="n">
        <v>211290</v>
      </c>
      <c r="I2126" s="7" t="s">
        <v>359</v>
      </c>
      <c r="J2126" s="7" t="s">
        <v>90</v>
      </c>
      <c r="K2126" s="7" t="s">
        <v>48</v>
      </c>
      <c r="L2126" s="10" t="s">
        <v>6596</v>
      </c>
      <c r="M2126" s="10" t="s">
        <v>8585</v>
      </c>
      <c r="N2126" s="8" t="n">
        <v>1</v>
      </c>
      <c r="O2126" s="8" t="n">
        <v>0</v>
      </c>
      <c r="P2126" s="8" t="n">
        <v>0</v>
      </c>
      <c r="Q2126" s="8" t="n">
        <v>1</v>
      </c>
      <c r="R2126" s="8" t="n">
        <v>0</v>
      </c>
      <c r="S2126" s="8" t="n">
        <v>0</v>
      </c>
      <c r="T2126" s="13"/>
      <c r="U2126" s="11" t="n">
        <f aca="false">O2126*4 + P2126*2 + MAX(0,N2126-O2126-P2126)*1 + Q2126*0.2 + R2126*2 + S2126*1 + IF(T2126="",0,IF(T2126&lt;=10,8,IF(T2126&lt;=50,6,IF(T2126&lt;=100,4,2))))</f>
        <v>1.2</v>
      </c>
      <c r="V2126" s="7"/>
      <c r="W2126" s="7"/>
      <c r="X2126" s="13"/>
      <c r="Y2126" s="13" t="s">
        <v>8586</v>
      </c>
    </row>
    <row r="2127" customFormat="false" ht="15.75" hidden="false" customHeight="true" outlineLevel="0" collapsed="false">
      <c r="A2127" s="7" t="s">
        <v>8587</v>
      </c>
      <c r="B2127" s="8" t="n">
        <v>2020</v>
      </c>
      <c r="C2127" s="8" t="s">
        <v>378</v>
      </c>
      <c r="D2127" s="8" t="n">
        <v>119</v>
      </c>
      <c r="E2127" s="7" t="s">
        <v>8588</v>
      </c>
      <c r="F2127" s="8" t="n">
        <v>6.8</v>
      </c>
      <c r="G2127" s="8" t="n">
        <v>6</v>
      </c>
      <c r="H2127" s="9" t="n">
        <v>5806</v>
      </c>
      <c r="I2127" s="7" t="s">
        <v>232</v>
      </c>
      <c r="J2127" s="7" t="s">
        <v>47</v>
      </c>
      <c r="K2127" s="7"/>
      <c r="L2127" s="10" t="s">
        <v>238</v>
      </c>
      <c r="M2127" s="10" t="s">
        <v>8589</v>
      </c>
      <c r="N2127" s="8" t="n">
        <v>0</v>
      </c>
      <c r="O2127" s="8" t="n">
        <v>0</v>
      </c>
      <c r="P2127" s="8" t="n">
        <v>0</v>
      </c>
      <c r="Q2127" s="8" t="n">
        <v>0</v>
      </c>
      <c r="R2127" s="13" t="n">
        <v>0</v>
      </c>
      <c r="S2127" s="13" t="n">
        <v>0</v>
      </c>
      <c r="T2127" s="13"/>
      <c r="U2127" s="11" t="n">
        <f aca="false">O2127*4 + P2127*2 + MAX(0,N2127-O2127-P2127)*1 + Q2127*0.2 + R2127*2 + S2127*1 + IF(T2127="",0,IF(T2127&lt;=10,8,IF(T2127&lt;=50,6,IF(T2127&lt;=100,4,2))))</f>
        <v>0</v>
      </c>
      <c r="V2127" s="7"/>
      <c r="W2127" s="7"/>
      <c r="X2127" s="13"/>
      <c r="Y2127" s="13" t="s">
        <v>8590</v>
      </c>
    </row>
    <row r="2128" customFormat="false" ht="15.75" hidden="false" customHeight="true" outlineLevel="0" collapsed="false">
      <c r="A2128" s="7" t="s">
        <v>8591</v>
      </c>
      <c r="B2128" s="8" t="n">
        <v>2019</v>
      </c>
      <c r="C2128" s="8" t="s">
        <v>176</v>
      </c>
      <c r="D2128" s="8" t="n">
        <v>107</v>
      </c>
      <c r="E2128" s="7" t="s">
        <v>8592</v>
      </c>
      <c r="F2128" s="8" t="n">
        <v>5.9</v>
      </c>
      <c r="G2128" s="8" t="n">
        <v>6</v>
      </c>
      <c r="H2128" s="9" t="n">
        <v>2247</v>
      </c>
      <c r="I2128" s="7" t="s">
        <v>28</v>
      </c>
      <c r="J2128" s="7" t="s">
        <v>147</v>
      </c>
      <c r="K2128" s="7" t="s">
        <v>125</v>
      </c>
      <c r="L2128" s="10" t="s">
        <v>205</v>
      </c>
      <c r="M2128" s="10" t="s">
        <v>8593</v>
      </c>
      <c r="N2128" s="8" t="n">
        <v>0</v>
      </c>
      <c r="O2128" s="8" t="n">
        <v>0</v>
      </c>
      <c r="P2128" s="8" t="n">
        <v>0</v>
      </c>
      <c r="Q2128" s="8" t="n">
        <v>0</v>
      </c>
      <c r="R2128" s="13" t="n">
        <v>0</v>
      </c>
      <c r="S2128" s="13" t="n">
        <v>0</v>
      </c>
      <c r="T2128" s="13"/>
      <c r="U2128" s="11" t="n">
        <f aca="false">O2128*4 + P2128*2 + MAX(0,N2128-O2128-P2128)*1 + Q2128*0.2 + R2128*2 + S2128*1 + IF(T2128="",0,IF(T2128&lt;=10,8,IF(T2128&lt;=50,6,IF(T2128&lt;=100,4,2))))</f>
        <v>0</v>
      </c>
      <c r="V2128" s="7"/>
      <c r="W2128" s="7"/>
      <c r="X2128" s="13"/>
      <c r="Y2128" s="13" t="s">
        <v>8594</v>
      </c>
    </row>
    <row r="2129" customFormat="false" ht="15.75" hidden="false" customHeight="true" outlineLevel="0" collapsed="false">
      <c r="A2129" s="7" t="s">
        <v>8595</v>
      </c>
      <c r="B2129" s="8" t="n">
        <v>2020</v>
      </c>
      <c r="C2129" s="8" t="s">
        <v>378</v>
      </c>
      <c r="D2129" s="8" t="n">
        <v>119</v>
      </c>
      <c r="E2129" s="7" t="s">
        <v>7711</v>
      </c>
      <c r="F2129" s="8" t="n">
        <v>6.4</v>
      </c>
      <c r="G2129" s="8" t="n">
        <v>4</v>
      </c>
      <c r="H2129" s="9" t="n">
        <v>175057</v>
      </c>
      <c r="I2129" s="7" t="s">
        <v>359</v>
      </c>
      <c r="J2129" s="7" t="s">
        <v>131</v>
      </c>
      <c r="K2129" s="7" t="s">
        <v>112</v>
      </c>
      <c r="L2129" s="10" t="s">
        <v>8596</v>
      </c>
      <c r="M2129" s="10" t="s">
        <v>8597</v>
      </c>
      <c r="N2129" s="8" t="n">
        <v>0</v>
      </c>
      <c r="O2129" s="8" t="n">
        <v>0</v>
      </c>
      <c r="P2129" s="8" t="n">
        <v>0</v>
      </c>
      <c r="Q2129" s="8" t="n">
        <v>0</v>
      </c>
      <c r="R2129" s="13" t="n">
        <v>0</v>
      </c>
      <c r="S2129" s="13" t="n">
        <v>0</v>
      </c>
      <c r="T2129" s="13"/>
      <c r="U2129" s="11" t="n">
        <f aca="false">O2129*4 + P2129*2 + MAX(0,N2129-O2129-P2129)*1 + Q2129*0.2 + R2129*2 + S2129*1 + IF(T2129="",0,IF(T2129&lt;=10,8,IF(T2129&lt;=50,6,IF(T2129&lt;=100,4,2))))</f>
        <v>0</v>
      </c>
      <c r="V2129" s="7"/>
      <c r="W2129" s="7"/>
      <c r="X2129" s="13"/>
      <c r="Y2129" s="13" t="s">
        <v>8598</v>
      </c>
    </row>
    <row r="2130" customFormat="false" ht="15.75" hidden="false" customHeight="true" outlineLevel="0" collapsed="false">
      <c r="A2130" s="7" t="s">
        <v>8599</v>
      </c>
      <c r="B2130" s="8" t="n">
        <v>2020</v>
      </c>
      <c r="C2130" s="8" t="s">
        <v>378</v>
      </c>
      <c r="D2130" s="8" t="n">
        <v>92</v>
      </c>
      <c r="E2130" s="7" t="s">
        <v>8600</v>
      </c>
      <c r="F2130" s="8" t="n">
        <v>6.4</v>
      </c>
      <c r="G2130" s="8" t="n">
        <v>3</v>
      </c>
      <c r="H2130" s="9" t="n">
        <v>6339</v>
      </c>
      <c r="I2130" s="7" t="s">
        <v>3875</v>
      </c>
      <c r="J2130" s="7" t="s">
        <v>147</v>
      </c>
      <c r="K2130" s="7" t="s">
        <v>453</v>
      </c>
      <c r="L2130" s="10" t="s">
        <v>238</v>
      </c>
      <c r="M2130" s="10" t="s">
        <v>8601</v>
      </c>
      <c r="N2130" s="8" t="n">
        <v>0</v>
      </c>
      <c r="O2130" s="8" t="n">
        <v>0</v>
      </c>
      <c r="P2130" s="8" t="n">
        <v>0</v>
      </c>
      <c r="Q2130" s="8" t="n">
        <v>0</v>
      </c>
      <c r="R2130" s="13" t="n">
        <v>0</v>
      </c>
      <c r="S2130" s="13" t="n">
        <v>0</v>
      </c>
      <c r="T2130" s="13"/>
      <c r="U2130" s="11" t="n">
        <f aca="false">O2130*4 + P2130*2 + MAX(0,N2130-O2130-P2130)*1 + Q2130*0.2 + R2130*2 + S2130*1 + IF(T2130="",0,IF(T2130&lt;=10,8,IF(T2130&lt;=50,6,IF(T2130&lt;=100,4,2))))</f>
        <v>0</v>
      </c>
      <c r="V2130" s="7"/>
      <c r="W2130" s="7"/>
      <c r="X2130" s="13"/>
      <c r="Y2130" s="13" t="s">
        <v>8602</v>
      </c>
    </row>
    <row r="2131" customFormat="false" ht="15.75" hidden="false" customHeight="true" outlineLevel="0" collapsed="false">
      <c r="A2131" s="7" t="s">
        <v>8603</v>
      </c>
      <c r="B2131" s="8" t="n">
        <v>2012</v>
      </c>
      <c r="C2131" s="8" t="s">
        <v>176</v>
      </c>
      <c r="D2131" s="8" t="n">
        <v>101</v>
      </c>
      <c r="E2131" s="7" t="s">
        <v>8604</v>
      </c>
      <c r="F2131" s="8" t="n">
        <v>5.5</v>
      </c>
      <c r="G2131" s="8" t="n">
        <v>3</v>
      </c>
      <c r="H2131" s="9" t="n">
        <v>84955</v>
      </c>
      <c r="I2131" s="7" t="s">
        <v>46</v>
      </c>
      <c r="J2131" s="7" t="s">
        <v>147</v>
      </c>
      <c r="K2131" s="7" t="s">
        <v>125</v>
      </c>
      <c r="L2131" s="10" t="s">
        <v>126</v>
      </c>
      <c r="M2131" s="10" t="s">
        <v>8605</v>
      </c>
      <c r="N2131" s="8" t="n">
        <v>0</v>
      </c>
      <c r="O2131" s="8" t="n">
        <v>0</v>
      </c>
      <c r="P2131" s="8" t="n">
        <v>0</v>
      </c>
      <c r="Q2131" s="8" t="n">
        <v>0</v>
      </c>
      <c r="R2131" s="13" t="n">
        <v>0</v>
      </c>
      <c r="S2131" s="13" t="n">
        <v>0</v>
      </c>
      <c r="T2131" s="13"/>
      <c r="U2131" s="11" t="n">
        <f aca="false">O2131*4 + P2131*2 + MAX(0,N2131-O2131-P2131)*1 + Q2131*0.2 + R2131*2 + S2131*1 + IF(T2131="",0,IF(T2131&lt;=10,8,IF(T2131&lt;=50,6,IF(T2131&lt;=100,4,2))))</f>
        <v>0</v>
      </c>
      <c r="V2131" s="7"/>
      <c r="W2131" s="7"/>
      <c r="X2131" s="13"/>
      <c r="Y2131" s="13" t="s">
        <v>8606</v>
      </c>
    </row>
    <row r="2132" customFormat="false" ht="15.75" hidden="false" customHeight="true" outlineLevel="0" collapsed="false">
      <c r="A2132" s="7" t="s">
        <v>8607</v>
      </c>
      <c r="B2132" s="8" t="n">
        <v>1986</v>
      </c>
      <c r="C2132" s="8" t="s">
        <v>109</v>
      </c>
      <c r="D2132" s="8" t="n">
        <v>137</v>
      </c>
      <c r="E2132" s="7" t="s">
        <v>110</v>
      </c>
      <c r="F2132" s="8" t="n">
        <v>8.4</v>
      </c>
      <c r="G2132" s="8" t="n">
        <v>6</v>
      </c>
      <c r="H2132" s="9" t="n">
        <v>845628</v>
      </c>
      <c r="I2132" s="7" t="s">
        <v>359</v>
      </c>
      <c r="J2132" s="7" t="s">
        <v>147</v>
      </c>
      <c r="K2132" s="7" t="s">
        <v>112</v>
      </c>
      <c r="L2132" s="10" t="s">
        <v>552</v>
      </c>
      <c r="M2132" s="7" t="s">
        <v>8608</v>
      </c>
      <c r="N2132" s="8" t="n">
        <v>2</v>
      </c>
      <c r="O2132" s="8" t="n">
        <v>0</v>
      </c>
      <c r="P2132" s="8" t="n">
        <v>0</v>
      </c>
      <c r="Q2132" s="8" t="n">
        <v>7</v>
      </c>
      <c r="R2132" s="8" t="n">
        <v>0</v>
      </c>
      <c r="S2132" s="8" t="n">
        <v>0</v>
      </c>
      <c r="T2132" s="8"/>
      <c r="U2132" s="11" t="n">
        <f aca="false">O2132*4 + P2132*2 + MAX(0,N2132-O2132-P2132)*1 + Q2132*0.2 + R2132*2 + S2132*1 + IF(T2132="",0,IF(T2132&lt;=10,8,IF(T2132&lt;=50,6,IF(T2132&lt;=100,4,2))))</f>
        <v>3.4</v>
      </c>
      <c r="V2132" s="7"/>
      <c r="W2132" s="7"/>
      <c r="X2132" s="13"/>
      <c r="Y2132" s="13" t="s">
        <v>8609</v>
      </c>
    </row>
    <row r="2133" customFormat="false" ht="15.75" hidden="false" customHeight="true" outlineLevel="0" collapsed="false">
      <c r="A2133" s="7" t="s">
        <v>8610</v>
      </c>
      <c r="B2133" s="8" t="n">
        <v>2019</v>
      </c>
      <c r="C2133" s="8" t="s">
        <v>176</v>
      </c>
      <c r="D2133" s="8" t="n">
        <v>117</v>
      </c>
      <c r="E2133" s="7" t="s">
        <v>497</v>
      </c>
      <c r="F2133" s="8" t="n">
        <v>5.7</v>
      </c>
      <c r="G2133" s="8" t="n">
        <v>5</v>
      </c>
      <c r="H2133" s="9" t="n">
        <v>132214</v>
      </c>
      <c r="I2133" s="7" t="s">
        <v>292</v>
      </c>
      <c r="J2133" s="7" t="s">
        <v>111</v>
      </c>
      <c r="K2133" s="7" t="s">
        <v>131</v>
      </c>
      <c r="L2133" s="10" t="s">
        <v>55</v>
      </c>
      <c r="M2133" s="10" t="s">
        <v>8611</v>
      </c>
      <c r="N2133" s="8" t="n">
        <v>0</v>
      </c>
      <c r="O2133" s="8" t="n">
        <v>0</v>
      </c>
      <c r="P2133" s="8" t="n">
        <v>0</v>
      </c>
      <c r="Q2133" s="8" t="n">
        <v>0</v>
      </c>
      <c r="R2133" s="13" t="n">
        <v>0</v>
      </c>
      <c r="S2133" s="13" t="n">
        <v>0</v>
      </c>
      <c r="T2133" s="13"/>
      <c r="U2133" s="11" t="n">
        <f aca="false">O2133*4 + P2133*2 + MAX(0,N2133-O2133-P2133)*1 + Q2133*0.2 + R2133*2 + S2133*1 + IF(T2133="",0,IF(T2133&lt;=10,8,IF(T2133&lt;=50,6,IF(T2133&lt;=100,4,2))))</f>
        <v>0</v>
      </c>
      <c r="V2133" s="7"/>
      <c r="W2133" s="7"/>
      <c r="X2133" s="13"/>
      <c r="Y2133" s="13" t="s">
        <v>8612</v>
      </c>
    </row>
    <row r="2134" customFormat="false" ht="15.75" hidden="false" customHeight="true" outlineLevel="0" collapsed="false">
      <c r="A2134" s="7" t="s">
        <v>8613</v>
      </c>
      <c r="B2134" s="8" t="n">
        <v>2021</v>
      </c>
      <c r="C2134" s="8" t="s">
        <v>378</v>
      </c>
      <c r="D2134" s="8" t="n">
        <v>148</v>
      </c>
      <c r="E2134" s="7" t="s">
        <v>2044</v>
      </c>
      <c r="F2134" s="8" t="n">
        <v>5.8</v>
      </c>
      <c r="G2134" s="8" t="n">
        <v>6</v>
      </c>
      <c r="H2134" s="9" t="n">
        <v>202276</v>
      </c>
      <c r="I2134" s="7" t="s">
        <v>46</v>
      </c>
      <c r="J2134" s="7" t="s">
        <v>112</v>
      </c>
      <c r="K2134" s="7" t="s">
        <v>54</v>
      </c>
      <c r="L2134" s="10" t="s">
        <v>238</v>
      </c>
      <c r="M2134" s="10" t="s">
        <v>8614</v>
      </c>
      <c r="N2134" s="8" t="n">
        <v>0</v>
      </c>
      <c r="O2134" s="8" t="n">
        <v>0</v>
      </c>
      <c r="P2134" s="8" t="n">
        <v>0</v>
      </c>
      <c r="Q2134" s="8" t="n">
        <v>0</v>
      </c>
      <c r="R2134" s="13" t="n">
        <v>0</v>
      </c>
      <c r="S2134" s="13" t="n">
        <v>0</v>
      </c>
      <c r="T2134" s="13"/>
      <c r="U2134" s="11" t="n">
        <f aca="false">O2134*4 + P2134*2 + MAX(0,N2134-O2134-P2134)*1 + Q2134*0.2 + R2134*2 + S2134*1 + IF(T2134="",0,IF(T2134&lt;=10,8,IF(T2134&lt;=50,6,IF(T2134&lt;=100,4,2))))</f>
        <v>0</v>
      </c>
      <c r="V2134" s="7"/>
      <c r="W2134" s="7"/>
      <c r="X2134" s="13"/>
      <c r="Y2134" s="13" t="s">
        <v>8615</v>
      </c>
    </row>
    <row r="2135" customFormat="false" ht="15.75" hidden="false" customHeight="true" outlineLevel="0" collapsed="false">
      <c r="A2135" s="7" t="s">
        <v>8616</v>
      </c>
      <c r="B2135" s="8" t="n">
        <v>2021</v>
      </c>
      <c r="C2135" s="8" t="s">
        <v>378</v>
      </c>
      <c r="D2135" s="8" t="n">
        <v>114</v>
      </c>
      <c r="E2135" s="7" t="s">
        <v>3764</v>
      </c>
      <c r="F2135" s="8" t="n">
        <v>5.4</v>
      </c>
      <c r="G2135" s="8" t="n">
        <v>4</v>
      </c>
      <c r="H2135" s="9" t="n">
        <v>49159</v>
      </c>
      <c r="I2135" s="7" t="s">
        <v>46</v>
      </c>
      <c r="J2135" s="7" t="s">
        <v>38</v>
      </c>
      <c r="K2135" s="7" t="s">
        <v>112</v>
      </c>
      <c r="L2135" s="10" t="s">
        <v>238</v>
      </c>
      <c r="M2135" s="10" t="s">
        <v>8617</v>
      </c>
      <c r="N2135" s="8" t="n">
        <v>0</v>
      </c>
      <c r="O2135" s="8" t="n">
        <v>0</v>
      </c>
      <c r="P2135" s="8" t="n">
        <v>0</v>
      </c>
      <c r="Q2135" s="8" t="n">
        <v>0</v>
      </c>
      <c r="R2135" s="13" t="n">
        <v>0</v>
      </c>
      <c r="S2135" s="13" t="n">
        <v>0</v>
      </c>
      <c r="T2135" s="13"/>
      <c r="U2135" s="11" t="n">
        <f aca="false">O2135*4 + P2135*2 + MAX(0,N2135-O2135-P2135)*1 + Q2135*0.2 + R2135*2 + S2135*1 + IF(T2135="",0,IF(T2135&lt;=10,8,IF(T2135&lt;=50,6,IF(T2135&lt;=100,4,2))))</f>
        <v>0</v>
      </c>
      <c r="V2135" s="7"/>
      <c r="W2135" s="7"/>
      <c r="X2135" s="13"/>
      <c r="Y2135" s="13" t="s">
        <v>8618</v>
      </c>
    </row>
    <row r="2136" customFormat="false" ht="15.75" hidden="false" customHeight="true" outlineLevel="0" collapsed="false">
      <c r="A2136" s="7" t="s">
        <v>8619</v>
      </c>
      <c r="B2136" s="8" t="n">
        <v>2014</v>
      </c>
      <c r="C2136" s="8" t="s">
        <v>176</v>
      </c>
      <c r="D2136" s="8" t="n">
        <v>106</v>
      </c>
      <c r="E2136" s="7" t="s">
        <v>8620</v>
      </c>
      <c r="F2136" s="8" t="n">
        <v>7</v>
      </c>
      <c r="G2136" s="8" t="n">
        <v>6</v>
      </c>
      <c r="H2136" s="9" t="n">
        <v>170966</v>
      </c>
      <c r="I2136" s="7" t="s">
        <v>46</v>
      </c>
      <c r="J2136" s="7" t="s">
        <v>47</v>
      </c>
      <c r="K2136" s="7" t="s">
        <v>54</v>
      </c>
      <c r="L2136" s="10" t="s">
        <v>177</v>
      </c>
      <c r="M2136" s="10" t="s">
        <v>8621</v>
      </c>
      <c r="N2136" s="8" t="n">
        <v>0</v>
      </c>
      <c r="O2136" s="8" t="n">
        <v>0</v>
      </c>
      <c r="P2136" s="8" t="n">
        <v>0</v>
      </c>
      <c r="Q2136" s="8" t="n">
        <v>0</v>
      </c>
      <c r="R2136" s="13" t="n">
        <v>0</v>
      </c>
      <c r="S2136" s="13" t="n">
        <v>0</v>
      </c>
      <c r="T2136" s="13"/>
      <c r="U2136" s="11" t="n">
        <f aca="false">O2136*4 + P2136*2 + MAX(0,N2136-O2136-P2136)*1 + Q2136*0.2 + R2136*2 + S2136*1 + IF(T2136="",0,IF(T2136&lt;=10,8,IF(T2136&lt;=50,6,IF(T2136&lt;=100,4,2))))</f>
        <v>0</v>
      </c>
      <c r="V2136" s="7"/>
      <c r="W2136" s="7"/>
      <c r="X2136" s="13"/>
      <c r="Y2136" s="13" t="s">
        <v>8622</v>
      </c>
    </row>
    <row r="2137" customFormat="false" ht="15.75" hidden="false" customHeight="true" outlineLevel="0" collapsed="false">
      <c r="A2137" s="7" t="s">
        <v>8623</v>
      </c>
      <c r="B2137" s="8" t="n">
        <v>2021</v>
      </c>
      <c r="C2137" s="8" t="s">
        <v>378</v>
      </c>
      <c r="D2137" s="8" t="n">
        <v>103</v>
      </c>
      <c r="E2137" s="7" t="s">
        <v>8624</v>
      </c>
      <c r="F2137" s="8" t="n">
        <v>5.4</v>
      </c>
      <c r="G2137" s="8" t="n">
        <v>5</v>
      </c>
      <c r="H2137" s="9" t="n">
        <v>49259</v>
      </c>
      <c r="I2137" s="7" t="s">
        <v>46</v>
      </c>
      <c r="J2137" s="7" t="s">
        <v>112</v>
      </c>
      <c r="K2137" s="7" t="s">
        <v>54</v>
      </c>
      <c r="L2137" s="10" t="s">
        <v>192</v>
      </c>
      <c r="M2137" s="10" t="s">
        <v>8625</v>
      </c>
      <c r="N2137" s="8" t="n">
        <v>0</v>
      </c>
      <c r="O2137" s="8" t="n">
        <v>0</v>
      </c>
      <c r="P2137" s="8" t="n">
        <v>0</v>
      </c>
      <c r="Q2137" s="8" t="n">
        <v>0</v>
      </c>
      <c r="R2137" s="13" t="n">
        <v>0</v>
      </c>
      <c r="S2137" s="13" t="n">
        <v>0</v>
      </c>
      <c r="T2137" s="13"/>
      <c r="U2137" s="11" t="n">
        <f aca="false">O2137*4 + P2137*2 + MAX(0,N2137-O2137-P2137)*1 + Q2137*0.2 + R2137*2 + S2137*1 + IF(T2137="",0,IF(T2137&lt;=10,8,IF(T2137&lt;=50,6,IF(T2137&lt;=100,4,2))))</f>
        <v>0</v>
      </c>
      <c r="V2137" s="7"/>
      <c r="W2137" s="7"/>
      <c r="X2137" s="13"/>
      <c r="Y2137" s="13" t="s">
        <v>8626</v>
      </c>
    </row>
    <row r="2138" customFormat="false" ht="15.75" hidden="false" customHeight="true" outlineLevel="0" collapsed="false">
      <c r="A2138" s="7" t="s">
        <v>8627</v>
      </c>
      <c r="B2138" s="8" t="n">
        <v>2020</v>
      </c>
      <c r="C2138" s="8" t="s">
        <v>378</v>
      </c>
      <c r="D2138" s="8" t="n">
        <v>104</v>
      </c>
      <c r="E2138" s="7" t="s">
        <v>8628</v>
      </c>
      <c r="F2138" s="8" t="n">
        <v>5.6</v>
      </c>
      <c r="G2138" s="8" t="n">
        <v>6</v>
      </c>
      <c r="H2138" s="9" t="n">
        <v>6908</v>
      </c>
      <c r="I2138" s="7" t="s">
        <v>232</v>
      </c>
      <c r="J2138" s="7" t="s">
        <v>147</v>
      </c>
      <c r="K2138" s="7" t="s">
        <v>125</v>
      </c>
      <c r="L2138" s="10" t="s">
        <v>238</v>
      </c>
      <c r="M2138" s="10" t="s">
        <v>8629</v>
      </c>
      <c r="N2138" s="8" t="n">
        <v>0</v>
      </c>
      <c r="O2138" s="8" t="n">
        <v>0</v>
      </c>
      <c r="P2138" s="8" t="n">
        <v>0</v>
      </c>
      <c r="Q2138" s="8" t="n">
        <v>0</v>
      </c>
      <c r="R2138" s="13" t="n">
        <v>0</v>
      </c>
      <c r="S2138" s="13" t="n">
        <v>0</v>
      </c>
      <c r="T2138" s="13"/>
      <c r="U2138" s="11" t="n">
        <f aca="false">O2138*4 + P2138*2 + MAX(0,N2138-O2138-P2138)*1 + Q2138*0.2 + R2138*2 + S2138*1 + IF(T2138="",0,IF(T2138&lt;=10,8,IF(T2138&lt;=50,6,IF(T2138&lt;=100,4,2))))</f>
        <v>0</v>
      </c>
      <c r="V2138" s="7"/>
      <c r="W2138" s="7"/>
      <c r="X2138" s="13"/>
      <c r="Y2138" s="13" t="s">
        <v>8630</v>
      </c>
    </row>
    <row r="2139" customFormat="false" ht="15.75" hidden="false" customHeight="true" outlineLevel="0" collapsed="false">
      <c r="A2139" s="7" t="s">
        <v>8631</v>
      </c>
      <c r="B2139" s="8" t="n">
        <v>2020</v>
      </c>
      <c r="C2139" s="8" t="s">
        <v>378</v>
      </c>
      <c r="D2139" s="8" t="n">
        <v>85</v>
      </c>
      <c r="E2139" s="7" t="s">
        <v>8632</v>
      </c>
      <c r="F2139" s="8" t="n">
        <v>8.1</v>
      </c>
      <c r="G2139" s="8" t="n">
        <v>7</v>
      </c>
      <c r="H2139" s="9" t="n">
        <v>72272</v>
      </c>
      <c r="I2139" s="7" t="s">
        <v>8633</v>
      </c>
      <c r="J2139" s="7" t="s">
        <v>2730</v>
      </c>
      <c r="K2139" s="7" t="s">
        <v>47</v>
      </c>
      <c r="L2139" s="10" t="s">
        <v>238</v>
      </c>
      <c r="M2139" s="10" t="s">
        <v>8634</v>
      </c>
      <c r="N2139" s="8" t="n">
        <v>1</v>
      </c>
      <c r="O2139" s="8" t="n">
        <v>0</v>
      </c>
      <c r="P2139" s="8" t="n">
        <v>0</v>
      </c>
      <c r="Q2139" s="8" t="n">
        <v>1</v>
      </c>
      <c r="R2139" s="8" t="n">
        <v>0</v>
      </c>
      <c r="S2139" s="8" t="n">
        <v>0</v>
      </c>
      <c r="T2139" s="13"/>
      <c r="U2139" s="11" t="n">
        <f aca="false">O2139*4 + P2139*2 + MAX(0,N2139-O2139-P2139)*1 + Q2139*0.2 + R2139*2 + S2139*1 + IF(T2139="",0,IF(T2139&lt;=10,8,IF(T2139&lt;=50,6,IF(T2139&lt;=100,4,2))))</f>
        <v>1.2</v>
      </c>
      <c r="V2139" s="7"/>
      <c r="W2139" s="7"/>
      <c r="X2139" s="13"/>
      <c r="Y2139" s="13" t="s">
        <v>8635</v>
      </c>
    </row>
    <row r="2140" customFormat="false" ht="15.75" hidden="false" customHeight="true" outlineLevel="0" collapsed="false">
      <c r="A2140" s="7" t="s">
        <v>8636</v>
      </c>
      <c r="B2140" s="8" t="n">
        <v>2021</v>
      </c>
      <c r="C2140" s="8" t="s">
        <v>378</v>
      </c>
      <c r="D2140" s="8" t="n">
        <v>98</v>
      </c>
      <c r="E2140" s="7" t="s">
        <v>8637</v>
      </c>
      <c r="F2140" s="8" t="n">
        <v>7.2</v>
      </c>
      <c r="G2140" s="8" t="n">
        <v>6</v>
      </c>
      <c r="H2140" s="9" t="n">
        <v>39662</v>
      </c>
      <c r="I2140" s="7" t="s">
        <v>2276</v>
      </c>
      <c r="J2140" s="7" t="s">
        <v>579</v>
      </c>
      <c r="K2140" s="7" t="s">
        <v>39</v>
      </c>
      <c r="L2140" s="10" t="s">
        <v>238</v>
      </c>
      <c r="M2140" s="10" t="s">
        <v>8638</v>
      </c>
      <c r="N2140" s="8" t="n">
        <v>0</v>
      </c>
      <c r="O2140" s="8" t="n">
        <v>0</v>
      </c>
      <c r="P2140" s="8" t="n">
        <v>0</v>
      </c>
      <c r="Q2140" s="8" t="n">
        <v>0</v>
      </c>
      <c r="R2140" s="13" t="n">
        <v>0</v>
      </c>
      <c r="S2140" s="13" t="n">
        <v>0</v>
      </c>
      <c r="T2140" s="13"/>
      <c r="U2140" s="11" t="n">
        <f aca="false">O2140*4 + P2140*2 + MAX(0,N2140-O2140-P2140)*1 + Q2140*0.2 + R2140*2 + S2140*1 + IF(T2140="",0,IF(T2140&lt;=10,8,IF(T2140&lt;=50,6,IF(T2140&lt;=100,4,2))))</f>
        <v>0</v>
      </c>
      <c r="V2140" s="7"/>
      <c r="W2140" s="7"/>
      <c r="X2140" s="13"/>
      <c r="Y2140" s="13" t="s">
        <v>8639</v>
      </c>
    </row>
    <row r="2141" customFormat="false" ht="15.75" hidden="false" customHeight="true" outlineLevel="0" collapsed="false">
      <c r="A2141" s="7" t="s">
        <v>8640</v>
      </c>
      <c r="B2141" s="8" t="n">
        <v>2021</v>
      </c>
      <c r="C2141" s="8" t="s">
        <v>378</v>
      </c>
      <c r="D2141" s="8" t="n">
        <v>108</v>
      </c>
      <c r="E2141" s="7" t="s">
        <v>1894</v>
      </c>
      <c r="F2141" s="8" t="n">
        <v>5.8</v>
      </c>
      <c r="G2141" s="8" t="n">
        <v>8</v>
      </c>
      <c r="H2141" s="9" t="n">
        <v>185555</v>
      </c>
      <c r="I2141" s="7" t="s">
        <v>3956</v>
      </c>
      <c r="J2141" s="7" t="s">
        <v>131</v>
      </c>
      <c r="K2141" s="7" t="s">
        <v>125</v>
      </c>
      <c r="L2141" s="10"/>
      <c r="M2141" s="10" t="s">
        <v>8641</v>
      </c>
      <c r="N2141" s="8" t="n">
        <v>0</v>
      </c>
      <c r="O2141" s="8" t="n">
        <v>0</v>
      </c>
      <c r="P2141" s="8" t="n">
        <v>0</v>
      </c>
      <c r="Q2141" s="8" t="n">
        <v>0</v>
      </c>
      <c r="R2141" s="13" t="n">
        <v>0</v>
      </c>
      <c r="S2141" s="13" t="n">
        <v>0</v>
      </c>
      <c r="T2141" s="13"/>
      <c r="U2141" s="11" t="n">
        <f aca="false">O2141*4 + P2141*2 + MAX(0,N2141-O2141-P2141)*1 + Q2141*0.2 + R2141*2 + S2141*1 + IF(T2141="",0,IF(T2141&lt;=10,8,IF(T2141&lt;=50,6,IF(T2141&lt;=100,4,2))))</f>
        <v>0</v>
      </c>
      <c r="V2141" s="7"/>
      <c r="W2141" s="7"/>
      <c r="X2141" s="13"/>
      <c r="Y2141" s="13" t="s">
        <v>8642</v>
      </c>
    </row>
    <row r="2142" customFormat="false" ht="15.75" hidden="false" customHeight="true" outlineLevel="0" collapsed="false">
      <c r="A2142" s="7" t="s">
        <v>8643</v>
      </c>
      <c r="B2142" s="8" t="n">
        <v>2019</v>
      </c>
      <c r="C2142" s="8" t="s">
        <v>176</v>
      </c>
      <c r="D2142" s="8" t="n">
        <v>100</v>
      </c>
      <c r="E2142" s="7" t="s">
        <v>8644</v>
      </c>
      <c r="F2142" s="8" t="n">
        <v>5.7</v>
      </c>
      <c r="G2142" s="8" t="n">
        <v>6</v>
      </c>
      <c r="H2142" s="9" t="n">
        <v>106248</v>
      </c>
      <c r="I2142" s="7" t="s">
        <v>46</v>
      </c>
      <c r="J2142" s="7" t="s">
        <v>147</v>
      </c>
      <c r="K2142" s="7" t="s">
        <v>125</v>
      </c>
      <c r="L2142" s="10" t="s">
        <v>2512</v>
      </c>
      <c r="M2142" s="10" t="s">
        <v>8645</v>
      </c>
      <c r="N2142" s="8" t="n">
        <v>0</v>
      </c>
      <c r="O2142" s="8" t="n">
        <v>0</v>
      </c>
      <c r="P2142" s="8" t="n">
        <v>0</v>
      </c>
      <c r="Q2142" s="8" t="n">
        <v>0</v>
      </c>
      <c r="R2142" s="13" t="n">
        <v>0</v>
      </c>
      <c r="S2142" s="13" t="n">
        <v>0</v>
      </c>
      <c r="T2142" s="13"/>
      <c r="U2142" s="11" t="n">
        <f aca="false">O2142*4 + P2142*2 + MAX(0,N2142-O2142-P2142)*1 + Q2142*0.2 + R2142*2 + S2142*1 + IF(T2142="",0,IF(T2142&lt;=10,8,IF(T2142&lt;=50,6,IF(T2142&lt;=100,4,2))))</f>
        <v>0</v>
      </c>
      <c r="V2142" s="7"/>
      <c r="W2142" s="7"/>
      <c r="X2142" s="13"/>
      <c r="Y2142" s="13" t="s">
        <v>8646</v>
      </c>
    </row>
    <row r="2143" customFormat="false" ht="15.75" hidden="false" customHeight="true" outlineLevel="0" collapsed="false">
      <c r="A2143" s="7" t="s">
        <v>8647</v>
      </c>
      <c r="B2143" s="8" t="n">
        <v>2021</v>
      </c>
      <c r="C2143" s="8" t="s">
        <v>378</v>
      </c>
      <c r="D2143" s="8" t="n">
        <v>132</v>
      </c>
      <c r="E2143" s="7" t="s">
        <v>8648</v>
      </c>
      <c r="F2143" s="8" t="n">
        <v>7.3</v>
      </c>
      <c r="G2143" s="8" t="n">
        <v>6</v>
      </c>
      <c r="H2143" s="9" t="n">
        <v>497324</v>
      </c>
      <c r="I2143" s="7" t="s">
        <v>46</v>
      </c>
      <c r="J2143" s="7" t="s">
        <v>38</v>
      </c>
      <c r="K2143" s="7" t="s">
        <v>112</v>
      </c>
      <c r="L2143" s="10" t="s">
        <v>177</v>
      </c>
      <c r="M2143" s="7" t="s">
        <v>8649</v>
      </c>
      <c r="N2143" s="8" t="n">
        <v>0</v>
      </c>
      <c r="O2143" s="8" t="n">
        <v>0</v>
      </c>
      <c r="P2143" s="8" t="n">
        <v>0</v>
      </c>
      <c r="Q2143" s="8" t="n">
        <v>1</v>
      </c>
      <c r="R2143" s="8" t="n">
        <v>0</v>
      </c>
      <c r="S2143" s="8" t="n">
        <v>0</v>
      </c>
      <c r="T2143" s="13"/>
      <c r="U2143" s="11" t="n">
        <f aca="false">O2143*4 + P2143*2 + MAX(0,N2143-O2143-P2143)*1 + Q2143*0.2 + R2143*2 + S2143*1 + IF(T2143="",0,IF(T2143&lt;=10,8,IF(T2143&lt;=50,6,IF(T2143&lt;=100,4,2))))</f>
        <v>0.2</v>
      </c>
      <c r="V2143" s="7"/>
      <c r="W2143" s="7"/>
      <c r="X2143" s="13"/>
      <c r="Y2143" s="13" t="s">
        <v>8650</v>
      </c>
    </row>
    <row r="2144" customFormat="false" ht="15.75" hidden="false" customHeight="true" outlineLevel="0" collapsed="false">
      <c r="A2144" s="7" t="s">
        <v>8651</v>
      </c>
      <c r="B2144" s="8" t="n">
        <v>2012</v>
      </c>
      <c r="C2144" s="8" t="s">
        <v>176</v>
      </c>
      <c r="D2144" s="8" t="n">
        <v>157</v>
      </c>
      <c r="E2144" s="7" t="s">
        <v>4878</v>
      </c>
      <c r="F2144" s="8" t="n">
        <v>7.4</v>
      </c>
      <c r="G2144" s="8" t="n">
        <v>7</v>
      </c>
      <c r="H2144" s="9" t="n">
        <v>343463</v>
      </c>
      <c r="I2144" s="7" t="s">
        <v>46</v>
      </c>
      <c r="J2144" s="7" t="s">
        <v>131</v>
      </c>
      <c r="K2144" s="7" t="s">
        <v>453</v>
      </c>
      <c r="L2144" s="10"/>
      <c r="M2144" s="7" t="s">
        <v>8652</v>
      </c>
      <c r="N2144" s="8" t="n">
        <v>1</v>
      </c>
      <c r="O2144" s="8" t="n">
        <v>0</v>
      </c>
      <c r="P2144" s="8" t="n">
        <v>0</v>
      </c>
      <c r="Q2144" s="8" t="n">
        <v>5</v>
      </c>
      <c r="R2144" s="8" t="n">
        <v>0</v>
      </c>
      <c r="S2144" s="8" t="n">
        <v>0</v>
      </c>
      <c r="T2144" s="13"/>
      <c r="U2144" s="11" t="n">
        <f aca="false">O2144*4 + P2144*2 + MAX(0,N2144-O2144-P2144)*1 + Q2144*0.2 + R2144*2 + S2144*1 + IF(T2144="",0,IF(T2144&lt;=10,8,IF(T2144&lt;=50,6,IF(T2144&lt;=100,4,2))))</f>
        <v>2</v>
      </c>
      <c r="V2144" s="7"/>
      <c r="W2144" s="7"/>
      <c r="X2144" s="13"/>
      <c r="Y2144" s="13" t="s">
        <v>8653</v>
      </c>
    </row>
    <row r="2145" customFormat="false" ht="15.75" hidden="false" customHeight="true" outlineLevel="0" collapsed="false">
      <c r="A2145" s="7" t="s">
        <v>8654</v>
      </c>
      <c r="B2145" s="8" t="n">
        <v>2020</v>
      </c>
      <c r="C2145" s="8" t="s">
        <v>378</v>
      </c>
      <c r="D2145" s="8" t="n">
        <v>105</v>
      </c>
      <c r="E2145" s="7" t="s">
        <v>8655</v>
      </c>
      <c r="F2145" s="8" t="n">
        <v>6.9</v>
      </c>
      <c r="G2145" s="8" t="n">
        <v>6</v>
      </c>
      <c r="H2145" s="9" t="n">
        <v>15809</v>
      </c>
      <c r="I2145" s="7" t="s">
        <v>219</v>
      </c>
      <c r="J2145" s="7" t="s">
        <v>112</v>
      </c>
      <c r="K2145" s="7" t="s">
        <v>54</v>
      </c>
      <c r="L2145" s="10"/>
      <c r="M2145" s="10" t="s">
        <v>8656</v>
      </c>
      <c r="N2145" s="8" t="n">
        <v>0</v>
      </c>
      <c r="O2145" s="8" t="n">
        <v>0</v>
      </c>
      <c r="P2145" s="8" t="n">
        <v>0</v>
      </c>
      <c r="Q2145" s="8" t="n">
        <v>0</v>
      </c>
      <c r="R2145" s="13" t="n">
        <v>0</v>
      </c>
      <c r="S2145" s="13" t="n">
        <v>0</v>
      </c>
      <c r="T2145" s="13"/>
      <c r="U2145" s="11" t="n">
        <f aca="false">O2145*4 + P2145*2 + MAX(0,N2145-O2145-P2145)*1 + Q2145*0.2 + R2145*2 + S2145*1 + IF(T2145="",0,IF(T2145&lt;=10,8,IF(T2145&lt;=50,6,IF(T2145&lt;=100,4,2))))</f>
        <v>0</v>
      </c>
      <c r="V2145" s="7"/>
      <c r="W2145" s="7"/>
      <c r="X2145" s="13"/>
      <c r="Y2145" s="13" t="s">
        <v>8657</v>
      </c>
    </row>
    <row r="2146" customFormat="false" ht="15.75" hidden="false" customHeight="true" outlineLevel="0" collapsed="false">
      <c r="A2146" s="7" t="s">
        <v>8658</v>
      </c>
      <c r="B2146" s="8" t="n">
        <v>2021</v>
      </c>
      <c r="C2146" s="8" t="s">
        <v>378</v>
      </c>
      <c r="D2146" s="8" t="n">
        <v>156</v>
      </c>
      <c r="E2146" s="7" t="s">
        <v>5276</v>
      </c>
      <c r="F2146" s="8" t="n">
        <v>6.2</v>
      </c>
      <c r="G2146" s="8" t="n">
        <v>6</v>
      </c>
      <c r="H2146" s="9" t="n">
        <v>433662</v>
      </c>
      <c r="I2146" s="7" t="s">
        <v>2168</v>
      </c>
      <c r="J2146" s="7" t="s">
        <v>38</v>
      </c>
      <c r="K2146" s="7" t="s">
        <v>112</v>
      </c>
      <c r="L2146" s="10" t="s">
        <v>177</v>
      </c>
      <c r="M2146" s="7" t="s">
        <v>8659</v>
      </c>
      <c r="N2146" s="8" t="n">
        <v>0</v>
      </c>
      <c r="O2146" s="8" t="n">
        <v>0</v>
      </c>
      <c r="P2146" s="8" t="n">
        <v>0</v>
      </c>
      <c r="Q2146" s="8" t="n">
        <v>0</v>
      </c>
      <c r="R2146" s="13" t="n">
        <v>0</v>
      </c>
      <c r="S2146" s="13" t="n">
        <v>0</v>
      </c>
      <c r="T2146" s="13"/>
      <c r="U2146" s="11" t="n">
        <f aca="false">O2146*4 + P2146*2 + MAX(0,N2146-O2146-P2146)*1 + Q2146*0.2 + R2146*2 + S2146*1 + IF(T2146="",0,IF(T2146&lt;=10,8,IF(T2146&lt;=50,6,IF(T2146&lt;=100,4,2))))</f>
        <v>0</v>
      </c>
      <c r="V2146" s="7"/>
      <c r="W2146" s="7"/>
      <c r="X2146" s="13"/>
      <c r="Y2146" s="13" t="s">
        <v>8660</v>
      </c>
    </row>
    <row r="2147" customFormat="false" ht="15.75" hidden="false" customHeight="true" outlineLevel="0" collapsed="false">
      <c r="A2147" s="7" t="s">
        <v>8661</v>
      </c>
      <c r="B2147" s="8" t="n">
        <v>2020</v>
      </c>
      <c r="C2147" s="8" t="s">
        <v>378</v>
      </c>
      <c r="D2147" s="8" t="n">
        <v>124</v>
      </c>
      <c r="E2147" s="7" t="s">
        <v>8662</v>
      </c>
      <c r="F2147" s="8" t="n">
        <v>6.5</v>
      </c>
      <c r="G2147" s="8" t="n">
        <v>6</v>
      </c>
      <c r="H2147" s="9" t="n">
        <v>198841</v>
      </c>
      <c r="I2147" s="7" t="s">
        <v>46</v>
      </c>
      <c r="J2147" s="7" t="s">
        <v>112</v>
      </c>
      <c r="K2147" s="7" t="s">
        <v>54</v>
      </c>
      <c r="L2147" s="10" t="s">
        <v>238</v>
      </c>
      <c r="M2147" s="10" t="s">
        <v>8663</v>
      </c>
      <c r="N2147" s="8" t="n">
        <v>0</v>
      </c>
      <c r="O2147" s="8" t="n">
        <v>0</v>
      </c>
      <c r="P2147" s="8" t="n">
        <v>0</v>
      </c>
      <c r="Q2147" s="8" t="n">
        <v>0</v>
      </c>
      <c r="R2147" s="13" t="n">
        <v>0</v>
      </c>
      <c r="S2147" s="13" t="n">
        <v>0</v>
      </c>
      <c r="T2147" s="13"/>
      <c r="U2147" s="11" t="n">
        <f aca="false">O2147*4 + P2147*2 + MAX(0,N2147-O2147-P2147)*1 + Q2147*0.2 + R2147*2 + S2147*1 + IF(T2147="",0,IF(T2147&lt;=10,8,IF(T2147&lt;=50,6,IF(T2147&lt;=100,4,2))))</f>
        <v>0</v>
      </c>
      <c r="V2147" s="7"/>
      <c r="W2147" s="7"/>
      <c r="X2147" s="13"/>
      <c r="Y2147" s="13" t="s">
        <v>8664</v>
      </c>
    </row>
    <row r="2148" customFormat="false" ht="15.75" hidden="false" customHeight="true" outlineLevel="0" collapsed="false">
      <c r="A2148" s="7" t="s">
        <v>8665</v>
      </c>
      <c r="B2148" s="8" t="n">
        <v>2017</v>
      </c>
      <c r="C2148" s="8" t="s">
        <v>176</v>
      </c>
      <c r="D2148" s="8" t="n">
        <v>130</v>
      </c>
      <c r="E2148" s="7" t="s">
        <v>2604</v>
      </c>
      <c r="F2148" s="8" t="n">
        <v>7.9</v>
      </c>
      <c r="G2148" s="8" t="n">
        <v>6</v>
      </c>
      <c r="H2148" s="9" t="n">
        <v>907182</v>
      </c>
      <c r="I2148" s="7" t="s">
        <v>1231</v>
      </c>
      <c r="J2148" s="7" t="s">
        <v>112</v>
      </c>
      <c r="K2148" s="7" t="s">
        <v>5160</v>
      </c>
      <c r="L2148" s="10" t="s">
        <v>177</v>
      </c>
      <c r="M2148" s="7" t="s">
        <v>8666</v>
      </c>
      <c r="N2148" s="8" t="n">
        <v>0</v>
      </c>
      <c r="O2148" s="8" t="n">
        <v>0</v>
      </c>
      <c r="P2148" s="8" t="n">
        <v>0</v>
      </c>
      <c r="Q2148" s="8" t="n">
        <v>0</v>
      </c>
      <c r="R2148" s="8" t="n">
        <v>0</v>
      </c>
      <c r="S2148" s="13" t="n">
        <v>0</v>
      </c>
      <c r="T2148" s="8"/>
      <c r="U2148" s="11" t="n">
        <f aca="false">O2148*4 + P2148*2 + MAX(0,N2148-O2148-P2148)*1 + Q2148*0.2 + R2148*2 + S2148*1 + IF(T2148="",0,IF(T2148&lt;=10,8,IF(T2148&lt;=50,6,IF(T2148&lt;=100,4,2))))</f>
        <v>0</v>
      </c>
      <c r="V2148" s="7"/>
      <c r="W2148" s="7"/>
      <c r="X2148" s="13"/>
      <c r="Y2148" s="13" t="s">
        <v>8667</v>
      </c>
    </row>
    <row r="2149" customFormat="false" ht="15.75" hidden="false" customHeight="true" outlineLevel="0" collapsed="false">
      <c r="A2149" s="7" t="s">
        <v>8668</v>
      </c>
      <c r="B2149" s="8" t="n">
        <v>2011</v>
      </c>
      <c r="C2149" s="8" t="s">
        <v>176</v>
      </c>
      <c r="D2149" s="8" t="n">
        <v>115</v>
      </c>
      <c r="E2149" s="7" t="s">
        <v>5393</v>
      </c>
      <c r="F2149" s="8" t="n">
        <v>7</v>
      </c>
      <c r="G2149" s="8" t="n">
        <v>6</v>
      </c>
      <c r="H2149" s="9" t="n">
        <v>977949</v>
      </c>
      <c r="I2149" s="7" t="s">
        <v>46</v>
      </c>
      <c r="J2149" s="7" t="s">
        <v>38</v>
      </c>
      <c r="K2149" s="7" t="s">
        <v>5160</v>
      </c>
      <c r="L2149" s="10" t="s">
        <v>177</v>
      </c>
      <c r="M2149" s="7" t="s">
        <v>8669</v>
      </c>
      <c r="N2149" s="8" t="n">
        <v>0</v>
      </c>
      <c r="O2149" s="8" t="n">
        <v>0</v>
      </c>
      <c r="P2149" s="8" t="n">
        <v>0</v>
      </c>
      <c r="Q2149" s="8" t="n">
        <v>0</v>
      </c>
      <c r="R2149" s="8" t="n">
        <v>0</v>
      </c>
      <c r="S2149" s="13" t="n">
        <v>0</v>
      </c>
      <c r="T2149" s="8"/>
      <c r="U2149" s="11" t="n">
        <f aca="false">O2149*4 + P2149*2 + MAX(0,N2149-O2149-P2149)*1 + Q2149*0.2 + R2149*2 + S2149*1 + IF(T2149="",0,IF(T2149&lt;=10,8,IF(T2149&lt;=50,6,IF(T2149&lt;=100,4,2))))</f>
        <v>0</v>
      </c>
      <c r="V2149" s="7"/>
      <c r="W2149" s="7"/>
      <c r="X2149" s="13"/>
      <c r="Y2149" s="13" t="s">
        <v>8670</v>
      </c>
    </row>
    <row r="2150" customFormat="false" ht="15.75" hidden="false" customHeight="true" outlineLevel="0" collapsed="false">
      <c r="A2150" s="7" t="s">
        <v>8671</v>
      </c>
      <c r="B2150" s="8" t="n">
        <v>2013</v>
      </c>
      <c r="C2150" s="8" t="s">
        <v>176</v>
      </c>
      <c r="D2150" s="8" t="n">
        <v>112</v>
      </c>
      <c r="E2150" s="7" t="s">
        <v>8672</v>
      </c>
      <c r="F2150" s="8" t="n">
        <v>6.7</v>
      </c>
      <c r="G2150" s="8" t="n">
        <v>6</v>
      </c>
      <c r="H2150" s="9" t="n">
        <v>787212</v>
      </c>
      <c r="I2150" s="7" t="s">
        <v>46</v>
      </c>
      <c r="J2150" s="7" t="s">
        <v>38</v>
      </c>
      <c r="K2150" s="7" t="s">
        <v>112</v>
      </c>
      <c r="L2150" s="10" t="s">
        <v>177</v>
      </c>
      <c r="M2150" s="7" t="s">
        <v>8673</v>
      </c>
      <c r="N2150" s="8" t="n">
        <v>0</v>
      </c>
      <c r="O2150" s="8" t="n">
        <v>0</v>
      </c>
      <c r="P2150" s="8" t="n">
        <v>0</v>
      </c>
      <c r="Q2150" s="8" t="n">
        <v>0</v>
      </c>
      <c r="R2150" s="13" t="n">
        <v>0</v>
      </c>
      <c r="S2150" s="13" t="n">
        <v>0</v>
      </c>
      <c r="T2150" s="13"/>
      <c r="U2150" s="11" t="n">
        <f aca="false">O2150*4 + P2150*2 + MAX(0,N2150-O2150-P2150)*1 + Q2150*0.2 + R2150*2 + S2150*1 + IF(T2150="",0,IF(T2150&lt;=10,8,IF(T2150&lt;=50,6,IF(T2150&lt;=100,4,2))))</f>
        <v>0</v>
      </c>
      <c r="V2150" s="7"/>
      <c r="W2150" s="7"/>
      <c r="X2150" s="13"/>
      <c r="Y2150" s="13" t="s">
        <v>8674</v>
      </c>
    </row>
    <row r="2151" customFormat="false" ht="15.75" hidden="false" customHeight="true" outlineLevel="0" collapsed="false">
      <c r="A2151" s="7" t="s">
        <v>8675</v>
      </c>
      <c r="B2151" s="8" t="n">
        <v>2021</v>
      </c>
      <c r="C2151" s="8" t="s">
        <v>378</v>
      </c>
      <c r="D2151" s="8" t="n">
        <v>98</v>
      </c>
      <c r="E2151" s="7" t="s">
        <v>8676</v>
      </c>
      <c r="F2151" s="8" t="n">
        <v>4.7</v>
      </c>
      <c r="G2151" s="8" t="n">
        <v>3</v>
      </c>
      <c r="H2151" s="9" t="n">
        <v>1064</v>
      </c>
      <c r="I2151" s="7" t="s">
        <v>232</v>
      </c>
      <c r="J2151" s="7" t="s">
        <v>30</v>
      </c>
      <c r="K2151" s="7"/>
      <c r="L2151" s="10" t="s">
        <v>113</v>
      </c>
      <c r="M2151" s="10" t="s">
        <v>8677</v>
      </c>
      <c r="N2151" s="8" t="n">
        <v>0</v>
      </c>
      <c r="O2151" s="8" t="n">
        <v>0</v>
      </c>
      <c r="P2151" s="8" t="n">
        <v>0</v>
      </c>
      <c r="Q2151" s="8" t="n">
        <v>0</v>
      </c>
      <c r="R2151" s="13" t="n">
        <v>0</v>
      </c>
      <c r="S2151" s="13" t="n">
        <v>0</v>
      </c>
      <c r="T2151" s="13"/>
      <c r="U2151" s="11" t="n">
        <f aca="false">O2151*4 + P2151*2 + MAX(0,N2151-O2151-P2151)*1 + Q2151*0.2 + R2151*2 + S2151*1 + IF(T2151="",0,IF(T2151&lt;=10,8,IF(T2151&lt;=50,6,IF(T2151&lt;=100,4,2))))</f>
        <v>0</v>
      </c>
      <c r="V2151" s="7"/>
      <c r="W2151" s="7"/>
      <c r="X2151" s="13"/>
      <c r="Y2151" s="13" t="s">
        <v>8678</v>
      </c>
    </row>
    <row r="2152" customFormat="false" ht="15.75" hidden="false" customHeight="true" outlineLevel="0" collapsed="false">
      <c r="A2152" s="7" t="s">
        <v>8679</v>
      </c>
      <c r="B2152" s="8" t="n">
        <v>1999</v>
      </c>
      <c r="C2152" s="8" t="s">
        <v>26</v>
      </c>
      <c r="D2152" s="8" t="n">
        <v>136</v>
      </c>
      <c r="E2152" s="7" t="s">
        <v>7243</v>
      </c>
      <c r="F2152" s="8" t="n">
        <v>8.7</v>
      </c>
      <c r="G2152" s="8" t="n">
        <v>10</v>
      </c>
      <c r="H2152" s="9" t="n">
        <v>2269078</v>
      </c>
      <c r="I2152" s="7" t="s">
        <v>2330</v>
      </c>
      <c r="J2152" s="7" t="s">
        <v>111</v>
      </c>
      <c r="K2152" s="7" t="s">
        <v>112</v>
      </c>
      <c r="L2152" s="10" t="s">
        <v>104</v>
      </c>
      <c r="M2152" s="7" t="s">
        <v>8680</v>
      </c>
      <c r="N2152" s="8" t="n">
        <v>4</v>
      </c>
      <c r="O2152" s="8" t="n">
        <v>0</v>
      </c>
      <c r="P2152" s="8" t="n">
        <v>0</v>
      </c>
      <c r="Q2152" s="8" t="n">
        <v>4</v>
      </c>
      <c r="R2152" s="8" t="n">
        <v>0</v>
      </c>
      <c r="S2152" s="8" t="n">
        <v>0</v>
      </c>
      <c r="T2152" s="8" t="n">
        <v>122</v>
      </c>
      <c r="U2152" s="11" t="n">
        <f aca="false">O2152*4 + P2152*2 + MAX(0,N2152-O2152-P2152)*1 + Q2152*0.2 + R2152*2 + S2152*1 + IF(T2152="",0,IF(T2152&lt;=10,8,IF(T2152&lt;=50,6,IF(T2152&lt;=100,4,2))))</f>
        <v>6.8</v>
      </c>
      <c r="V2152" s="10" t="s">
        <v>8681</v>
      </c>
      <c r="W2152" s="7"/>
      <c r="X2152" s="13"/>
      <c r="Y2152" s="13" t="s">
        <v>8682</v>
      </c>
    </row>
    <row r="2153" customFormat="false" ht="15.75" hidden="false" customHeight="true" outlineLevel="0" collapsed="false">
      <c r="A2153" s="7" t="s">
        <v>8683</v>
      </c>
      <c r="B2153" s="8" t="n">
        <v>2022</v>
      </c>
      <c r="C2153" s="8" t="s">
        <v>378</v>
      </c>
      <c r="D2153" s="8" t="n">
        <v>176</v>
      </c>
      <c r="E2153" s="7" t="s">
        <v>5554</v>
      </c>
      <c r="F2153" s="8" t="n">
        <v>7.8</v>
      </c>
      <c r="G2153" s="8" t="n">
        <v>7</v>
      </c>
      <c r="H2153" s="9" t="n">
        <v>942818</v>
      </c>
      <c r="I2153" s="7" t="s">
        <v>46</v>
      </c>
      <c r="J2153" s="7" t="s">
        <v>112</v>
      </c>
      <c r="K2153" s="7" t="s">
        <v>54</v>
      </c>
      <c r="L2153" s="10" t="s">
        <v>104</v>
      </c>
      <c r="M2153" s="7" t="s">
        <v>8684</v>
      </c>
      <c r="N2153" s="8" t="n">
        <v>0</v>
      </c>
      <c r="O2153" s="8" t="n">
        <v>0</v>
      </c>
      <c r="P2153" s="8" t="n">
        <v>0</v>
      </c>
      <c r="Q2153" s="8" t="n">
        <v>3</v>
      </c>
      <c r="R2153" s="8" t="n">
        <v>0</v>
      </c>
      <c r="S2153" s="8" t="n">
        <v>0</v>
      </c>
      <c r="T2153" s="8"/>
      <c r="U2153" s="11" t="n">
        <f aca="false">O2153*4 + P2153*2 + MAX(0,N2153-O2153-P2153)*1 + Q2153*0.2 + R2153*2 + S2153*1 + IF(T2153="",0,IF(T2153&lt;=10,8,IF(T2153&lt;=50,6,IF(T2153&lt;=100,4,2))))</f>
        <v>0.6</v>
      </c>
      <c r="V2153" s="7"/>
      <c r="W2153" s="7"/>
      <c r="X2153" s="13"/>
      <c r="Y2153" s="13" t="s">
        <v>8685</v>
      </c>
    </row>
    <row r="2154" customFormat="false" ht="15.75" hidden="false" customHeight="true" outlineLevel="0" collapsed="false">
      <c r="A2154" s="7" t="s">
        <v>5763</v>
      </c>
      <c r="B2154" s="8" t="n">
        <v>2022</v>
      </c>
      <c r="C2154" s="8" t="s">
        <v>378</v>
      </c>
      <c r="D2154" s="8" t="n">
        <v>81</v>
      </c>
      <c r="E2154" s="7" t="s">
        <v>8686</v>
      </c>
      <c r="F2154" s="8" t="n">
        <v>4.7</v>
      </c>
      <c r="G2154" s="8" t="n">
        <v>5</v>
      </c>
      <c r="H2154" s="9" t="n">
        <v>71328</v>
      </c>
      <c r="I2154" s="7" t="s">
        <v>46</v>
      </c>
      <c r="J2154" s="7" t="s">
        <v>147</v>
      </c>
      <c r="K2154" s="7" t="s">
        <v>54</v>
      </c>
      <c r="L2154" s="10" t="s">
        <v>238</v>
      </c>
      <c r="M2154" s="10" t="s">
        <v>8687</v>
      </c>
      <c r="N2154" s="8" t="n">
        <v>0</v>
      </c>
      <c r="O2154" s="8" t="n">
        <v>0</v>
      </c>
      <c r="P2154" s="8" t="n">
        <v>0</v>
      </c>
      <c r="Q2154" s="8" t="n">
        <v>0</v>
      </c>
      <c r="R2154" s="13" t="n">
        <v>0</v>
      </c>
      <c r="S2154" s="13" t="n">
        <v>0</v>
      </c>
      <c r="T2154" s="13"/>
      <c r="U2154" s="11" t="n">
        <f aca="false">O2154*4 + P2154*2 + MAX(0,N2154-O2154-P2154)*1 + Q2154*0.2 + R2154*2 + S2154*1 + IF(T2154="",0,IF(T2154&lt;=10,8,IF(T2154&lt;=50,6,IF(T2154&lt;=100,4,2))))</f>
        <v>0</v>
      </c>
      <c r="V2154" s="7"/>
      <c r="W2154" s="7"/>
      <c r="X2154" s="13"/>
      <c r="Y2154" s="13" t="s">
        <v>8688</v>
      </c>
    </row>
    <row r="2155" customFormat="false" ht="15.75" hidden="false" customHeight="true" outlineLevel="0" collapsed="false">
      <c r="A2155" s="7" t="s">
        <v>8689</v>
      </c>
      <c r="B2155" s="8" t="n">
        <v>2022</v>
      </c>
      <c r="C2155" s="8" t="s">
        <v>378</v>
      </c>
      <c r="D2155" s="8" t="n">
        <v>116</v>
      </c>
      <c r="E2155" s="7" t="s">
        <v>5715</v>
      </c>
      <c r="F2155" s="8" t="n">
        <v>6.3</v>
      </c>
      <c r="G2155" s="8" t="n">
        <v>6</v>
      </c>
      <c r="H2155" s="9" t="n">
        <v>305783</v>
      </c>
      <c r="I2155" s="7" t="s">
        <v>46</v>
      </c>
      <c r="J2155" s="7" t="s">
        <v>112</v>
      </c>
      <c r="K2155" s="7" t="s">
        <v>39</v>
      </c>
      <c r="L2155" s="10" t="s">
        <v>238</v>
      </c>
      <c r="M2155" s="7" t="s">
        <v>8690</v>
      </c>
      <c r="N2155" s="8" t="n">
        <v>0</v>
      </c>
      <c r="O2155" s="8" t="n">
        <v>0</v>
      </c>
      <c r="P2155" s="8" t="n">
        <v>0</v>
      </c>
      <c r="Q2155" s="8" t="n">
        <v>0</v>
      </c>
      <c r="R2155" s="13" t="n">
        <v>0</v>
      </c>
      <c r="S2155" s="13" t="n">
        <v>0</v>
      </c>
      <c r="T2155" s="13"/>
      <c r="U2155" s="11" t="n">
        <f aca="false">O2155*4 + P2155*2 + MAX(0,N2155-O2155-P2155)*1 + Q2155*0.2 + R2155*2 + S2155*1 + IF(T2155="",0,IF(T2155&lt;=10,8,IF(T2155&lt;=50,6,IF(T2155&lt;=100,4,2))))</f>
        <v>0</v>
      </c>
      <c r="V2155" s="7"/>
      <c r="W2155" s="7"/>
      <c r="X2155" s="13"/>
      <c r="Y2155" s="13" t="s">
        <v>8691</v>
      </c>
    </row>
    <row r="2156" customFormat="false" ht="15.75" hidden="false" customHeight="true" outlineLevel="0" collapsed="false">
      <c r="A2156" s="7" t="s">
        <v>8692</v>
      </c>
      <c r="B2156" s="8" t="n">
        <v>2020</v>
      </c>
      <c r="C2156" s="8" t="s">
        <v>378</v>
      </c>
      <c r="D2156" s="8" t="n">
        <v>138</v>
      </c>
      <c r="E2156" s="7" t="s">
        <v>8693</v>
      </c>
      <c r="F2156" s="8" t="n">
        <v>7.1</v>
      </c>
      <c r="G2156" s="8" t="n">
        <v>8</v>
      </c>
      <c r="H2156" s="9" t="n">
        <v>172283</v>
      </c>
      <c r="I2156" s="7" t="s">
        <v>46</v>
      </c>
      <c r="J2156" s="7" t="s">
        <v>131</v>
      </c>
      <c r="K2156" s="7" t="s">
        <v>54</v>
      </c>
      <c r="L2156" s="10" t="s">
        <v>238</v>
      </c>
      <c r="M2156" s="10" t="s">
        <v>8694</v>
      </c>
      <c r="N2156" s="8" t="n">
        <v>0</v>
      </c>
      <c r="O2156" s="8" t="n">
        <v>0</v>
      </c>
      <c r="P2156" s="8" t="n">
        <v>0</v>
      </c>
      <c r="Q2156" s="8" t="n">
        <v>0</v>
      </c>
      <c r="R2156" s="13" t="n">
        <v>0</v>
      </c>
      <c r="S2156" s="13" t="n">
        <v>0</v>
      </c>
      <c r="T2156" s="13"/>
      <c r="U2156" s="11" t="n">
        <f aca="false">O2156*4 + P2156*2 + MAX(0,N2156-O2156-P2156)*1 + Q2156*0.2 + R2156*2 + S2156*1 + IF(T2156="",0,IF(T2156&lt;=10,8,IF(T2156&lt;=50,6,IF(T2156&lt;=100,4,2))))</f>
        <v>0</v>
      </c>
      <c r="V2156" s="7"/>
      <c r="W2156" s="7"/>
      <c r="X2156" s="13"/>
      <c r="Y2156" s="13" t="s">
        <v>8695</v>
      </c>
    </row>
    <row r="2157" customFormat="false" ht="15.75" hidden="false" customHeight="true" outlineLevel="0" collapsed="false">
      <c r="A2157" s="7" t="s">
        <v>8696</v>
      </c>
      <c r="B2157" s="8" t="n">
        <v>2022</v>
      </c>
      <c r="C2157" s="8" t="s">
        <v>378</v>
      </c>
      <c r="D2157" s="8" t="n">
        <v>126</v>
      </c>
      <c r="E2157" s="7" t="s">
        <v>1487</v>
      </c>
      <c r="F2157" s="8" t="n">
        <v>6.8</v>
      </c>
      <c r="G2157" s="8" t="n">
        <v>7</v>
      </c>
      <c r="H2157" s="9" t="n">
        <v>555035</v>
      </c>
      <c r="I2157" s="7" t="s">
        <v>46</v>
      </c>
      <c r="J2157" s="7" t="s">
        <v>38</v>
      </c>
      <c r="K2157" s="7" t="s">
        <v>112</v>
      </c>
      <c r="L2157" s="10" t="s">
        <v>177</v>
      </c>
      <c r="M2157" s="7" t="s">
        <v>8697</v>
      </c>
      <c r="N2157" s="8" t="n">
        <v>0</v>
      </c>
      <c r="O2157" s="8" t="n">
        <v>0</v>
      </c>
      <c r="P2157" s="8" t="n">
        <v>0</v>
      </c>
      <c r="Q2157" s="8" t="n">
        <v>0</v>
      </c>
      <c r="R2157" s="13" t="n">
        <v>0</v>
      </c>
      <c r="S2157" s="13" t="n">
        <v>0</v>
      </c>
      <c r="T2157" s="13"/>
      <c r="U2157" s="11" t="n">
        <f aca="false">O2157*4 + P2157*2 + MAX(0,N2157-O2157-P2157)*1 + Q2157*0.2 + R2157*2 + S2157*1 + IF(T2157="",0,IF(T2157&lt;=10,8,IF(T2157&lt;=50,6,IF(T2157&lt;=100,4,2))))</f>
        <v>0</v>
      </c>
      <c r="V2157" s="7"/>
      <c r="W2157" s="7"/>
      <c r="X2157" s="13"/>
      <c r="Y2157" s="13" t="s">
        <v>8698</v>
      </c>
    </row>
    <row r="2158" customFormat="false" ht="15.75" hidden="false" customHeight="true" outlineLevel="0" collapsed="false">
      <c r="A2158" s="7" t="s">
        <v>8699</v>
      </c>
      <c r="B2158" s="8" t="n">
        <v>2021</v>
      </c>
      <c r="C2158" s="8" t="s">
        <v>378</v>
      </c>
      <c r="D2158" s="8" t="n">
        <v>110</v>
      </c>
      <c r="E2158" s="7" t="s">
        <v>8700</v>
      </c>
      <c r="F2158" s="8" t="n">
        <v>5.4</v>
      </c>
      <c r="G2158" s="8" t="n">
        <v>1</v>
      </c>
      <c r="H2158" s="9" t="n">
        <v>3623</v>
      </c>
      <c r="I2158" s="7" t="s">
        <v>232</v>
      </c>
      <c r="J2158" s="7" t="s">
        <v>30</v>
      </c>
      <c r="K2158" s="7"/>
      <c r="L2158" s="10" t="s">
        <v>238</v>
      </c>
      <c r="M2158" s="10" t="s">
        <v>8701</v>
      </c>
      <c r="N2158" s="8" t="n">
        <v>0</v>
      </c>
      <c r="O2158" s="8" t="n">
        <v>0</v>
      </c>
      <c r="P2158" s="8" t="n">
        <v>0</v>
      </c>
      <c r="Q2158" s="8" t="n">
        <v>0</v>
      </c>
      <c r="R2158" s="13" t="n">
        <v>0</v>
      </c>
      <c r="S2158" s="13" t="n">
        <v>0</v>
      </c>
      <c r="T2158" s="13"/>
      <c r="U2158" s="11" t="n">
        <f aca="false">O2158*4 + P2158*2 + MAX(0,N2158-O2158-P2158)*1 + Q2158*0.2 + R2158*2 + S2158*1 + IF(T2158="",0,IF(T2158&lt;=10,8,IF(T2158&lt;=50,6,IF(T2158&lt;=100,4,2))))</f>
        <v>0</v>
      </c>
      <c r="V2158" s="7"/>
      <c r="W2158" s="7"/>
      <c r="X2158" s="13"/>
      <c r="Y2158" s="13" t="s">
        <v>8702</v>
      </c>
    </row>
    <row r="2159" customFormat="false" ht="15.75" hidden="false" customHeight="true" outlineLevel="0" collapsed="false">
      <c r="A2159" s="7" t="s">
        <v>8703</v>
      </c>
      <c r="B2159" s="8" t="n">
        <v>2022</v>
      </c>
      <c r="C2159" s="8" t="s">
        <v>378</v>
      </c>
      <c r="D2159" s="8" t="n">
        <v>137</v>
      </c>
      <c r="E2159" s="7" t="s">
        <v>5054</v>
      </c>
      <c r="F2159" s="8" t="n">
        <v>7</v>
      </c>
      <c r="G2159" s="8" t="n">
        <v>8</v>
      </c>
      <c r="H2159" s="9" t="n">
        <v>304621</v>
      </c>
      <c r="I2159" s="7" t="s">
        <v>2276</v>
      </c>
      <c r="J2159" s="7" t="s">
        <v>112</v>
      </c>
      <c r="K2159" s="7" t="s">
        <v>39</v>
      </c>
      <c r="L2159" s="10" t="s">
        <v>220</v>
      </c>
      <c r="M2159" s="7" t="s">
        <v>8704</v>
      </c>
      <c r="N2159" s="8" t="n">
        <v>0</v>
      </c>
      <c r="O2159" s="8" t="n">
        <v>0</v>
      </c>
      <c r="P2159" s="8" t="n">
        <v>0</v>
      </c>
      <c r="Q2159" s="8" t="n">
        <v>0</v>
      </c>
      <c r="R2159" s="13" t="n">
        <v>0</v>
      </c>
      <c r="S2159" s="13" t="n">
        <v>0</v>
      </c>
      <c r="T2159" s="13"/>
      <c r="U2159" s="11" t="n">
        <f aca="false">O2159*4 + P2159*2 + MAX(0,N2159-O2159-P2159)*1 + Q2159*0.2 + R2159*2 + S2159*1 + IF(T2159="",0,IF(T2159&lt;=10,8,IF(T2159&lt;=50,6,IF(T2159&lt;=100,4,2))))</f>
        <v>0</v>
      </c>
      <c r="V2159" s="7"/>
      <c r="W2159" s="7"/>
      <c r="X2159" s="13"/>
      <c r="Y2159" s="13" t="s">
        <v>8705</v>
      </c>
    </row>
    <row r="2160" customFormat="false" ht="15.75" hidden="false" customHeight="true" outlineLevel="0" collapsed="false">
      <c r="A2160" s="7" t="s">
        <v>8706</v>
      </c>
      <c r="B2160" s="8" t="n">
        <v>2022</v>
      </c>
      <c r="C2160" s="8" t="s">
        <v>378</v>
      </c>
      <c r="D2160" s="8" t="n">
        <v>147</v>
      </c>
      <c r="E2160" s="7" t="s">
        <v>7608</v>
      </c>
      <c r="F2160" s="8" t="n">
        <v>5.6</v>
      </c>
      <c r="G2160" s="8" t="n">
        <v>6</v>
      </c>
      <c r="H2160" s="9" t="n">
        <v>249982</v>
      </c>
      <c r="I2160" s="7" t="s">
        <v>46</v>
      </c>
      <c r="J2160" s="7" t="s">
        <v>111</v>
      </c>
      <c r="K2160" s="7" t="s">
        <v>112</v>
      </c>
      <c r="L2160" s="10" t="s">
        <v>210</v>
      </c>
      <c r="M2160" s="10" t="s">
        <v>8707</v>
      </c>
      <c r="N2160" s="8" t="n">
        <v>0</v>
      </c>
      <c r="O2160" s="8" t="n">
        <v>0</v>
      </c>
      <c r="P2160" s="8" t="n">
        <v>0</v>
      </c>
      <c r="Q2160" s="8" t="n">
        <v>0</v>
      </c>
      <c r="R2160" s="13" t="n">
        <v>0</v>
      </c>
      <c r="S2160" s="13" t="n">
        <v>0</v>
      </c>
      <c r="T2160" s="13"/>
      <c r="U2160" s="11" t="n">
        <f aca="false">O2160*4 + P2160*2 + MAX(0,N2160-O2160-P2160)*1 + Q2160*0.2 + R2160*2 + S2160*1 + IF(T2160="",0,IF(T2160&lt;=10,8,IF(T2160&lt;=50,6,IF(T2160&lt;=100,4,2))))</f>
        <v>0</v>
      </c>
      <c r="V2160" s="7"/>
      <c r="W2160" s="7"/>
      <c r="X2160" s="13"/>
      <c r="Y2160" s="13" t="s">
        <v>8708</v>
      </c>
    </row>
    <row r="2161" customFormat="false" ht="15.75" hidden="false" customHeight="true" outlineLevel="0" collapsed="false">
      <c r="A2161" s="7" t="s">
        <v>8709</v>
      </c>
      <c r="B2161" s="8" t="n">
        <v>2020</v>
      </c>
      <c r="C2161" s="8" t="s">
        <v>378</v>
      </c>
      <c r="D2161" s="8" t="n">
        <v>101</v>
      </c>
      <c r="E2161" s="7" t="s">
        <v>8710</v>
      </c>
      <c r="F2161" s="8" t="n">
        <v>5.8</v>
      </c>
      <c r="G2161" s="8" t="n">
        <v>4</v>
      </c>
      <c r="H2161" s="9" t="n">
        <v>6631</v>
      </c>
      <c r="I2161" s="7" t="s">
        <v>232</v>
      </c>
      <c r="J2161" s="7" t="s">
        <v>147</v>
      </c>
      <c r="K2161" s="7" t="s">
        <v>112</v>
      </c>
      <c r="L2161" s="10" t="s">
        <v>238</v>
      </c>
      <c r="M2161" s="10" t="s">
        <v>8711</v>
      </c>
      <c r="N2161" s="8" t="n">
        <v>0</v>
      </c>
      <c r="O2161" s="8" t="n">
        <v>0</v>
      </c>
      <c r="P2161" s="8" t="n">
        <v>0</v>
      </c>
      <c r="Q2161" s="8" t="n">
        <v>0</v>
      </c>
      <c r="R2161" s="13" t="n">
        <v>0</v>
      </c>
      <c r="S2161" s="13" t="n">
        <v>0</v>
      </c>
      <c r="T2161" s="13"/>
      <c r="U2161" s="11" t="n">
        <f aca="false">O2161*4 + P2161*2 + MAX(0,N2161-O2161-P2161)*1 + Q2161*0.2 + R2161*2 + S2161*1 + IF(T2161="",0,IF(T2161&lt;=10,8,IF(T2161&lt;=50,6,IF(T2161&lt;=100,4,2))))</f>
        <v>0</v>
      </c>
      <c r="V2161" s="7"/>
      <c r="W2161" s="7"/>
      <c r="X2161" s="13"/>
      <c r="Y2161" s="13" t="s">
        <v>8712</v>
      </c>
    </row>
    <row r="2162" customFormat="false" ht="15.75" hidden="false" customHeight="true" outlineLevel="0" collapsed="false">
      <c r="A2162" s="7" t="s">
        <v>8713</v>
      </c>
      <c r="B2162" s="8" t="n">
        <v>2022</v>
      </c>
      <c r="C2162" s="8" t="s">
        <v>378</v>
      </c>
      <c r="D2162" s="8" t="n">
        <v>113</v>
      </c>
      <c r="E2162" s="7" t="s">
        <v>8714</v>
      </c>
      <c r="F2162" s="8" t="n">
        <v>6.1</v>
      </c>
      <c r="G2162" s="8" t="n">
        <v>5</v>
      </c>
      <c r="H2162" s="9" t="n">
        <v>100152</v>
      </c>
      <c r="I2162" s="7" t="s">
        <v>46</v>
      </c>
      <c r="J2162" s="7" t="s">
        <v>38</v>
      </c>
      <c r="K2162" s="7" t="s">
        <v>112</v>
      </c>
      <c r="L2162" s="10" t="s">
        <v>238</v>
      </c>
      <c r="M2162" s="10" t="s">
        <v>8715</v>
      </c>
      <c r="N2162" s="8" t="n">
        <v>0</v>
      </c>
      <c r="O2162" s="8" t="n">
        <v>0</v>
      </c>
      <c r="P2162" s="8" t="n">
        <v>0</v>
      </c>
      <c r="Q2162" s="8" t="n">
        <v>0</v>
      </c>
      <c r="R2162" s="13" t="n">
        <v>0</v>
      </c>
      <c r="S2162" s="13" t="n">
        <v>0</v>
      </c>
      <c r="T2162" s="13"/>
      <c r="U2162" s="11" t="n">
        <f aca="false">O2162*4 + P2162*2 + MAX(0,N2162-O2162-P2162)*1 + Q2162*0.2 + R2162*2 + S2162*1 + IF(T2162="",0,IF(T2162&lt;=10,8,IF(T2162&lt;=50,6,IF(T2162&lt;=100,4,2))))</f>
        <v>0</v>
      </c>
      <c r="V2162" s="7"/>
      <c r="W2162" s="7"/>
      <c r="X2162" s="13"/>
      <c r="Y2162" s="13" t="s">
        <v>8716</v>
      </c>
    </row>
    <row r="2163" customFormat="false" ht="15.75" hidden="false" customHeight="true" outlineLevel="0" collapsed="false">
      <c r="A2163" s="7" t="s">
        <v>8717</v>
      </c>
      <c r="B2163" s="8" t="n">
        <v>2021</v>
      </c>
      <c r="C2163" s="8" t="s">
        <v>378</v>
      </c>
      <c r="D2163" s="8" t="n">
        <v>128</v>
      </c>
      <c r="E2163" s="7" t="s">
        <v>8718</v>
      </c>
      <c r="F2163" s="8" t="n">
        <v>6.3</v>
      </c>
      <c r="G2163" s="8" t="n">
        <v>6</v>
      </c>
      <c r="H2163" s="9" t="n">
        <v>144232</v>
      </c>
      <c r="I2163" s="7" t="s">
        <v>46</v>
      </c>
      <c r="J2163" s="7" t="s">
        <v>47</v>
      </c>
      <c r="K2163" s="7" t="s">
        <v>54</v>
      </c>
      <c r="L2163" s="10" t="s">
        <v>8719</v>
      </c>
      <c r="M2163" s="10" t="s">
        <v>8720</v>
      </c>
      <c r="N2163" s="8" t="n">
        <v>0</v>
      </c>
      <c r="O2163" s="8" t="n">
        <v>0</v>
      </c>
      <c r="P2163" s="8" t="n">
        <v>0</v>
      </c>
      <c r="Q2163" s="8" t="n">
        <v>0</v>
      </c>
      <c r="R2163" s="13" t="n">
        <v>0</v>
      </c>
      <c r="S2163" s="13" t="n">
        <v>0</v>
      </c>
      <c r="T2163" s="13"/>
      <c r="U2163" s="11" t="n">
        <f aca="false">O2163*4 + P2163*2 + MAX(0,N2163-O2163-P2163)*1 + Q2163*0.2 + R2163*2 + S2163*1 + IF(T2163="",0,IF(T2163&lt;=10,8,IF(T2163&lt;=50,6,IF(T2163&lt;=100,4,2))))</f>
        <v>0</v>
      </c>
      <c r="V2163" s="7"/>
      <c r="W2163" s="7"/>
      <c r="X2163" s="13"/>
      <c r="Y2163" s="13" t="s">
        <v>8721</v>
      </c>
    </row>
    <row r="2164" customFormat="false" ht="15.75" hidden="false" customHeight="true" outlineLevel="0" collapsed="false">
      <c r="A2164" s="7" t="s">
        <v>8722</v>
      </c>
      <c r="B2164" s="8" t="n">
        <v>2022</v>
      </c>
      <c r="C2164" s="8" t="s">
        <v>378</v>
      </c>
      <c r="D2164" s="8" t="n">
        <v>115</v>
      </c>
      <c r="E2164" s="7" t="s">
        <v>8723</v>
      </c>
      <c r="F2164" s="8" t="n">
        <v>6.5</v>
      </c>
      <c r="G2164" s="8" t="n">
        <v>8</v>
      </c>
      <c r="H2164" s="9" t="n">
        <v>246791</v>
      </c>
      <c r="I2164" s="7" t="s">
        <v>46</v>
      </c>
      <c r="J2164" s="7" t="s">
        <v>147</v>
      </c>
      <c r="K2164" s="7" t="s">
        <v>125</v>
      </c>
      <c r="L2164" s="10" t="s">
        <v>8724</v>
      </c>
      <c r="M2164" s="10" t="s">
        <v>8725</v>
      </c>
      <c r="N2164" s="8" t="n">
        <v>0</v>
      </c>
      <c r="O2164" s="8" t="n">
        <v>0</v>
      </c>
      <c r="P2164" s="8" t="n">
        <v>0</v>
      </c>
      <c r="Q2164" s="8" t="n">
        <v>0</v>
      </c>
      <c r="R2164" s="13" t="n">
        <v>0</v>
      </c>
      <c r="S2164" s="13" t="n">
        <v>0</v>
      </c>
      <c r="T2164" s="13"/>
      <c r="U2164" s="11" t="n">
        <f aca="false">O2164*4 + P2164*2 + MAX(0,N2164-O2164-P2164)*1 + Q2164*0.2 + R2164*2 + S2164*1 + IF(T2164="",0,IF(T2164&lt;=10,8,IF(T2164&lt;=50,6,IF(T2164&lt;=100,4,2))))</f>
        <v>0</v>
      </c>
      <c r="V2164" s="7"/>
      <c r="W2164" s="7"/>
      <c r="X2164" s="13"/>
      <c r="Y2164" s="13" t="s">
        <v>8726</v>
      </c>
    </row>
    <row r="2165" customFormat="false" ht="15.75" hidden="false" customHeight="true" outlineLevel="0" collapsed="false">
      <c r="A2165" s="7" t="s">
        <v>8727</v>
      </c>
      <c r="B2165" s="8" t="n">
        <v>2018</v>
      </c>
      <c r="C2165" s="8" t="s">
        <v>176</v>
      </c>
      <c r="D2165" s="8" t="n">
        <v>96</v>
      </c>
      <c r="E2165" s="7" t="s">
        <v>8728</v>
      </c>
      <c r="F2165" s="8" t="n">
        <v>6.6</v>
      </c>
      <c r="G2165" s="8" t="n">
        <v>6</v>
      </c>
      <c r="H2165" s="9" t="n">
        <v>72265</v>
      </c>
      <c r="I2165" s="7" t="s">
        <v>2168</v>
      </c>
      <c r="J2165" s="7" t="s">
        <v>39</v>
      </c>
      <c r="K2165" s="7" t="s">
        <v>47</v>
      </c>
      <c r="L2165" s="10"/>
      <c r="M2165" s="10" t="s">
        <v>8729</v>
      </c>
      <c r="N2165" s="8" t="n">
        <v>0</v>
      </c>
      <c r="O2165" s="8" t="n">
        <v>0</v>
      </c>
      <c r="P2165" s="8" t="n">
        <v>0</v>
      </c>
      <c r="Q2165" s="8" t="n">
        <v>0</v>
      </c>
      <c r="R2165" s="13" t="n">
        <v>0</v>
      </c>
      <c r="S2165" s="13" t="n">
        <v>0</v>
      </c>
      <c r="T2165" s="13"/>
      <c r="U2165" s="11" t="n">
        <f aca="false">O2165*4 + P2165*2 + MAX(0,N2165-O2165-P2165)*1 + Q2165*0.2 + R2165*2 + S2165*1 + IF(T2165="",0,IF(T2165&lt;=10,8,IF(T2165&lt;=50,6,IF(T2165&lt;=100,4,2))))</f>
        <v>0</v>
      </c>
      <c r="V2165" s="7"/>
      <c r="W2165" s="7"/>
      <c r="X2165" s="13"/>
      <c r="Y2165" s="13" t="s">
        <v>8730</v>
      </c>
    </row>
    <row r="2166" customFormat="false" ht="15.75" hidden="false" customHeight="true" outlineLevel="0" collapsed="false">
      <c r="A2166" s="7" t="s">
        <v>8731</v>
      </c>
      <c r="B2166" s="8" t="n">
        <v>2019</v>
      </c>
      <c r="C2166" s="8" t="s">
        <v>176</v>
      </c>
      <c r="D2166" s="8" t="n">
        <v>97</v>
      </c>
      <c r="E2166" s="7" t="s">
        <v>8732</v>
      </c>
      <c r="F2166" s="8" t="n">
        <v>5.8</v>
      </c>
      <c r="G2166" s="8" t="n">
        <v>7</v>
      </c>
      <c r="H2166" s="9" t="n">
        <v>94680</v>
      </c>
      <c r="I2166" s="7" t="s">
        <v>8733</v>
      </c>
      <c r="J2166" s="7" t="s">
        <v>147</v>
      </c>
      <c r="K2166" s="7" t="s">
        <v>125</v>
      </c>
      <c r="L2166" s="10" t="s">
        <v>8734</v>
      </c>
      <c r="M2166" s="10" t="s">
        <v>8735</v>
      </c>
      <c r="N2166" s="8" t="n">
        <v>0</v>
      </c>
      <c r="O2166" s="8" t="n">
        <v>0</v>
      </c>
      <c r="P2166" s="8" t="n">
        <v>0</v>
      </c>
      <c r="Q2166" s="8" t="n">
        <v>0</v>
      </c>
      <c r="R2166" s="13" t="n">
        <v>0</v>
      </c>
      <c r="S2166" s="13" t="n">
        <v>0</v>
      </c>
      <c r="T2166" s="13"/>
      <c r="U2166" s="11" t="n">
        <f aca="false">O2166*4 + P2166*2 + MAX(0,N2166-O2166-P2166)*1 + Q2166*0.2 + R2166*2 + S2166*1 + IF(T2166="",0,IF(T2166&lt;=10,8,IF(T2166&lt;=50,6,IF(T2166&lt;=100,4,2))))</f>
        <v>0</v>
      </c>
      <c r="V2166" s="7"/>
      <c r="W2166" s="7"/>
      <c r="X2166" s="13"/>
      <c r="Y2166" s="13" t="s">
        <v>8736</v>
      </c>
    </row>
    <row r="2167" customFormat="false" ht="15.75" hidden="false" customHeight="true" outlineLevel="0" collapsed="false">
      <c r="A2167" s="7" t="s">
        <v>8737</v>
      </c>
      <c r="B2167" s="8" t="n">
        <v>2018</v>
      </c>
      <c r="C2167" s="8" t="s">
        <v>176</v>
      </c>
      <c r="D2167" s="8" t="n">
        <v>130</v>
      </c>
      <c r="E2167" s="7" t="s">
        <v>3217</v>
      </c>
      <c r="F2167" s="8" t="n">
        <v>6.3</v>
      </c>
      <c r="G2167" s="8" t="n">
        <v>6</v>
      </c>
      <c r="H2167" s="9" t="n">
        <v>66968</v>
      </c>
      <c r="I2167" s="7" t="s">
        <v>153</v>
      </c>
      <c r="J2167" s="7" t="s">
        <v>147</v>
      </c>
      <c r="K2167" s="7" t="s">
        <v>38</v>
      </c>
      <c r="L2167" s="10" t="s">
        <v>238</v>
      </c>
      <c r="M2167" s="10" t="s">
        <v>8738</v>
      </c>
      <c r="N2167" s="8" t="n">
        <v>0</v>
      </c>
      <c r="O2167" s="8" t="n">
        <v>0</v>
      </c>
      <c r="P2167" s="8" t="n">
        <v>0</v>
      </c>
      <c r="Q2167" s="8" t="n">
        <v>0</v>
      </c>
      <c r="R2167" s="13" t="n">
        <v>0</v>
      </c>
      <c r="S2167" s="13" t="n">
        <v>0</v>
      </c>
      <c r="T2167" s="13"/>
      <c r="U2167" s="11" t="n">
        <f aca="false">O2167*4 + P2167*2 + MAX(0,N2167-O2167-P2167)*1 + Q2167*0.2 + R2167*2 + S2167*1 + IF(T2167="",0,IF(T2167&lt;=10,8,IF(T2167&lt;=50,6,IF(T2167&lt;=100,4,2))))</f>
        <v>0</v>
      </c>
      <c r="V2167" s="7"/>
      <c r="W2167" s="7"/>
      <c r="X2167" s="13"/>
      <c r="Y2167" s="13" t="s">
        <v>8739</v>
      </c>
    </row>
    <row r="2168" customFormat="false" ht="15.75" hidden="false" customHeight="true" outlineLevel="0" collapsed="false">
      <c r="A2168" s="7" t="s">
        <v>8740</v>
      </c>
      <c r="B2168" s="8" t="n">
        <v>1999</v>
      </c>
      <c r="C2168" s="8" t="s">
        <v>26</v>
      </c>
      <c r="D2168" s="8" t="n">
        <v>88</v>
      </c>
      <c r="E2168" s="7" t="s">
        <v>8741</v>
      </c>
      <c r="F2168" s="8" t="n">
        <v>7.3</v>
      </c>
      <c r="G2168" s="8" t="n">
        <v>9</v>
      </c>
      <c r="H2168" s="9" t="n">
        <v>271279</v>
      </c>
      <c r="I2168" s="7" t="s">
        <v>46</v>
      </c>
      <c r="J2168" s="7" t="s">
        <v>579</v>
      </c>
      <c r="K2168" s="7" t="s">
        <v>39</v>
      </c>
      <c r="L2168" s="10" t="s">
        <v>177</v>
      </c>
      <c r="M2168" s="7" t="s">
        <v>8742</v>
      </c>
      <c r="N2168" s="8" t="n">
        <v>1</v>
      </c>
      <c r="O2168" s="8" t="n">
        <v>0</v>
      </c>
      <c r="P2168" s="8" t="n">
        <v>0</v>
      </c>
      <c r="Q2168" s="8" t="n">
        <v>1</v>
      </c>
      <c r="R2168" s="8" t="n">
        <v>0</v>
      </c>
      <c r="S2168" s="8" t="n">
        <v>0</v>
      </c>
      <c r="T2168" s="13"/>
      <c r="U2168" s="11" t="n">
        <f aca="false">O2168*4 + P2168*2 + MAX(0,N2168-O2168-P2168)*1 + Q2168*0.2 + R2168*2 + S2168*1 + IF(T2168="",0,IF(T2168&lt;=10,8,IF(T2168&lt;=50,6,IF(T2168&lt;=100,4,2))))</f>
        <v>1.2</v>
      </c>
      <c r="V2168" s="7"/>
      <c r="W2168" s="7"/>
      <c r="X2168" s="13"/>
      <c r="Y2168" s="13" t="s">
        <v>8743</v>
      </c>
    </row>
    <row r="2169" customFormat="false" ht="15.75" hidden="false" customHeight="true" outlineLevel="0" collapsed="false">
      <c r="A2169" s="7" t="s">
        <v>8744</v>
      </c>
      <c r="B2169" s="8" t="n">
        <v>2022</v>
      </c>
      <c r="C2169" s="8" t="s">
        <v>378</v>
      </c>
      <c r="D2169" s="8" t="n">
        <v>96</v>
      </c>
      <c r="E2169" s="7" t="s">
        <v>8745</v>
      </c>
      <c r="F2169" s="8" t="n">
        <v>7.7</v>
      </c>
      <c r="G2169" s="8" t="n">
        <v>8</v>
      </c>
      <c r="H2169" s="9" t="n">
        <v>19335</v>
      </c>
      <c r="I2169" s="7" t="s">
        <v>46</v>
      </c>
      <c r="J2169" s="7" t="s">
        <v>2730</v>
      </c>
      <c r="K2169" s="7"/>
      <c r="L2169" s="10" t="s">
        <v>238</v>
      </c>
      <c r="M2169" s="10" t="s">
        <v>8746</v>
      </c>
      <c r="N2169" s="8" t="n">
        <v>0</v>
      </c>
      <c r="O2169" s="8" t="n">
        <v>0</v>
      </c>
      <c r="P2169" s="8" t="n">
        <v>0</v>
      </c>
      <c r="Q2169" s="8" t="n">
        <v>0</v>
      </c>
      <c r="R2169" s="13" t="n">
        <v>0</v>
      </c>
      <c r="S2169" s="13" t="n">
        <v>0</v>
      </c>
      <c r="T2169" s="13"/>
      <c r="U2169" s="11" t="n">
        <f aca="false">O2169*4 + P2169*2 + MAX(0,N2169-O2169-P2169)*1 + Q2169*0.2 + R2169*2 + S2169*1 + IF(T2169="",0,IF(T2169&lt;=10,8,IF(T2169&lt;=50,6,IF(T2169&lt;=100,4,2))))</f>
        <v>0</v>
      </c>
      <c r="V2169" s="7"/>
      <c r="W2169" s="7"/>
      <c r="X2169" s="13"/>
      <c r="Y2169" s="13" t="s">
        <v>8747</v>
      </c>
    </row>
    <row r="2170" customFormat="false" ht="15.75" hidden="false" customHeight="true" outlineLevel="0" collapsed="false">
      <c r="A2170" s="7" t="s">
        <v>8748</v>
      </c>
      <c r="B2170" s="8" t="n">
        <v>2023</v>
      </c>
      <c r="C2170" s="8" t="s">
        <v>378</v>
      </c>
      <c r="D2170" s="8" t="n">
        <v>100</v>
      </c>
      <c r="E2170" s="7" t="s">
        <v>1894</v>
      </c>
      <c r="F2170" s="8" t="n">
        <v>6.1</v>
      </c>
      <c r="G2170" s="8" t="n">
        <v>8</v>
      </c>
      <c r="H2170" s="9" t="n">
        <v>142814</v>
      </c>
      <c r="I2170" s="7" t="s">
        <v>2186</v>
      </c>
      <c r="J2170" s="7" t="s">
        <v>147</v>
      </c>
      <c r="K2170" s="7" t="s">
        <v>125</v>
      </c>
      <c r="L2170" s="10" t="s">
        <v>238</v>
      </c>
      <c r="M2170" s="10" t="s">
        <v>8749</v>
      </c>
      <c r="N2170" s="8" t="n">
        <v>0</v>
      </c>
      <c r="O2170" s="8" t="n">
        <v>0</v>
      </c>
      <c r="P2170" s="8" t="n">
        <v>0</v>
      </c>
      <c r="Q2170" s="8" t="n">
        <v>0</v>
      </c>
      <c r="R2170" s="13" t="n">
        <v>0</v>
      </c>
      <c r="S2170" s="13" t="n">
        <v>0</v>
      </c>
      <c r="T2170" s="13"/>
      <c r="U2170" s="11" t="n">
        <f aca="false">O2170*4 + P2170*2 + MAX(0,N2170-O2170-P2170)*1 + Q2170*0.2 + R2170*2 + S2170*1 + IF(T2170="",0,IF(T2170&lt;=10,8,IF(T2170&lt;=50,6,IF(T2170&lt;=100,4,2))))</f>
        <v>0</v>
      </c>
      <c r="V2170" s="7"/>
      <c r="W2170" s="7"/>
      <c r="X2170" s="13"/>
      <c r="Y2170" s="13" t="s">
        <v>8750</v>
      </c>
    </row>
    <row r="2171" customFormat="false" ht="15.75" hidden="false" customHeight="true" outlineLevel="0" collapsed="false">
      <c r="A2171" s="7" t="s">
        <v>8751</v>
      </c>
      <c r="B2171" s="8" t="n">
        <v>2022</v>
      </c>
      <c r="C2171" s="8" t="s">
        <v>378</v>
      </c>
      <c r="D2171" s="8" t="n">
        <v>192</v>
      </c>
      <c r="E2171" s="7" t="s">
        <v>110</v>
      </c>
      <c r="F2171" s="8" t="n">
        <v>7.5</v>
      </c>
      <c r="G2171" s="8" t="n">
        <v>7</v>
      </c>
      <c r="H2171" s="9" t="n">
        <v>644482</v>
      </c>
      <c r="I2171" s="7" t="s">
        <v>46</v>
      </c>
      <c r="J2171" s="7" t="s">
        <v>38</v>
      </c>
      <c r="K2171" s="7" t="s">
        <v>112</v>
      </c>
      <c r="L2171" s="10" t="s">
        <v>177</v>
      </c>
      <c r="M2171" s="7" t="s">
        <v>8752</v>
      </c>
      <c r="N2171" s="8" t="n">
        <v>1</v>
      </c>
      <c r="O2171" s="8" t="n">
        <v>0</v>
      </c>
      <c r="P2171" s="8" t="n">
        <v>0</v>
      </c>
      <c r="Q2171" s="8" t="n">
        <v>4</v>
      </c>
      <c r="R2171" s="8" t="n">
        <v>0</v>
      </c>
      <c r="S2171" s="8" t="n">
        <v>0</v>
      </c>
      <c r="T2171" s="13"/>
      <c r="U2171" s="11" t="n">
        <f aca="false">O2171*4 + P2171*2 + MAX(0,N2171-O2171-P2171)*1 + Q2171*0.2 + R2171*2 + S2171*1 + IF(T2171="",0,IF(T2171&lt;=10,8,IF(T2171&lt;=50,6,IF(T2171&lt;=100,4,2))))</f>
        <v>1.8</v>
      </c>
      <c r="V2171" s="7"/>
      <c r="W2171" s="7"/>
      <c r="X2171" s="13"/>
      <c r="Y2171" s="13" t="s">
        <v>8753</v>
      </c>
    </row>
    <row r="2172" customFormat="false" ht="15.75" hidden="false" customHeight="true" outlineLevel="0" collapsed="false">
      <c r="A2172" s="7" t="s">
        <v>6189</v>
      </c>
      <c r="B2172" s="8" t="n">
        <v>2023</v>
      </c>
      <c r="C2172" s="8" t="s">
        <v>378</v>
      </c>
      <c r="D2172" s="8" t="n">
        <v>100</v>
      </c>
      <c r="E2172" s="7" t="s">
        <v>8754</v>
      </c>
      <c r="F2172" s="8" t="n">
        <v>4.9</v>
      </c>
      <c r="G2172" s="8" t="n">
        <v>5</v>
      </c>
      <c r="H2172" s="9" t="n">
        <v>13617</v>
      </c>
      <c r="I2172" s="7" t="s">
        <v>280</v>
      </c>
      <c r="J2172" s="7" t="s">
        <v>131</v>
      </c>
      <c r="K2172" s="7" t="s">
        <v>125</v>
      </c>
      <c r="L2172" s="10" t="s">
        <v>238</v>
      </c>
      <c r="M2172" s="10" t="s">
        <v>8755</v>
      </c>
      <c r="N2172" s="8" t="n">
        <v>0</v>
      </c>
      <c r="O2172" s="8" t="n">
        <v>0</v>
      </c>
      <c r="P2172" s="8" t="n">
        <v>0</v>
      </c>
      <c r="Q2172" s="8" t="n">
        <v>0</v>
      </c>
      <c r="R2172" s="13" t="n">
        <v>0</v>
      </c>
      <c r="S2172" s="13" t="n">
        <v>0</v>
      </c>
      <c r="T2172" s="13"/>
      <c r="U2172" s="11" t="n">
        <f aca="false">O2172*4 + P2172*2 + MAX(0,N2172-O2172-P2172)*1 + Q2172*0.2 + R2172*2 + S2172*1 + IF(T2172="",0,IF(T2172&lt;=10,8,IF(T2172&lt;=50,6,IF(T2172&lt;=100,4,2))))</f>
        <v>0</v>
      </c>
      <c r="V2172" s="7"/>
      <c r="W2172" s="7"/>
      <c r="X2172" s="13"/>
      <c r="Y2172" s="13" t="s">
        <v>8756</v>
      </c>
    </row>
    <row r="2173" customFormat="false" ht="15.75" hidden="false" customHeight="true" outlineLevel="0" collapsed="false">
      <c r="A2173" s="7" t="s">
        <v>8757</v>
      </c>
      <c r="B2173" s="8" t="n">
        <v>2020</v>
      </c>
      <c r="C2173" s="8" t="s">
        <v>378</v>
      </c>
      <c r="D2173" s="8" t="n">
        <v>92</v>
      </c>
      <c r="E2173" s="7" t="s">
        <v>8758</v>
      </c>
      <c r="F2173" s="8" t="n">
        <v>5</v>
      </c>
      <c r="G2173" s="8" t="n">
        <v>6</v>
      </c>
      <c r="H2173" s="9" t="n">
        <v>10867</v>
      </c>
      <c r="I2173" s="7" t="s">
        <v>3107</v>
      </c>
      <c r="J2173" s="7" t="s">
        <v>147</v>
      </c>
      <c r="K2173" s="7" t="s">
        <v>54</v>
      </c>
      <c r="L2173" s="10"/>
      <c r="M2173" s="10" t="s">
        <v>8759</v>
      </c>
      <c r="N2173" s="8" t="n">
        <v>0</v>
      </c>
      <c r="O2173" s="8" t="n">
        <v>0</v>
      </c>
      <c r="P2173" s="8" t="n">
        <v>0</v>
      </c>
      <c r="Q2173" s="8" t="n">
        <v>0</v>
      </c>
      <c r="R2173" s="13" t="n">
        <v>0</v>
      </c>
      <c r="S2173" s="13" t="n">
        <v>0</v>
      </c>
      <c r="T2173" s="13"/>
      <c r="U2173" s="11" t="n">
        <f aca="false">O2173*4 + P2173*2 + MAX(0,N2173-O2173-P2173)*1 + Q2173*0.2 + R2173*2 + S2173*1 + IF(T2173="",0,IF(T2173&lt;=10,8,IF(T2173&lt;=50,6,IF(T2173&lt;=100,4,2))))</f>
        <v>0</v>
      </c>
      <c r="V2173" s="7"/>
      <c r="W2173" s="7"/>
      <c r="X2173" s="13"/>
      <c r="Y2173" s="13" t="s">
        <v>8760</v>
      </c>
    </row>
    <row r="2174" customFormat="false" ht="15.75" hidden="false" customHeight="true" outlineLevel="0" collapsed="false">
      <c r="A2174" s="7" t="s">
        <v>8761</v>
      </c>
      <c r="B2174" s="8" t="n">
        <v>2023</v>
      </c>
      <c r="C2174" s="8" t="s">
        <v>378</v>
      </c>
      <c r="D2174" s="8" t="n">
        <v>96</v>
      </c>
      <c r="E2174" s="7" t="s">
        <v>7073</v>
      </c>
      <c r="F2174" s="8" t="n">
        <v>5.6</v>
      </c>
      <c r="G2174" s="8" t="n">
        <v>5</v>
      </c>
      <c r="H2174" s="9" t="n">
        <v>5725</v>
      </c>
      <c r="I2174" s="7" t="s">
        <v>232</v>
      </c>
      <c r="J2174" s="7" t="s">
        <v>112</v>
      </c>
      <c r="K2174" s="7" t="s">
        <v>54</v>
      </c>
      <c r="L2174" s="10" t="s">
        <v>238</v>
      </c>
      <c r="M2174" s="10" t="s">
        <v>8762</v>
      </c>
      <c r="N2174" s="8" t="n">
        <v>0</v>
      </c>
      <c r="O2174" s="8" t="n">
        <v>0</v>
      </c>
      <c r="P2174" s="8" t="n">
        <v>0</v>
      </c>
      <c r="Q2174" s="8" t="n">
        <v>0</v>
      </c>
      <c r="R2174" s="13" t="n">
        <v>0</v>
      </c>
      <c r="S2174" s="13" t="n">
        <v>0</v>
      </c>
      <c r="T2174" s="13"/>
      <c r="U2174" s="11" t="n">
        <f aca="false">O2174*4 + P2174*2 + MAX(0,N2174-O2174-P2174)*1 + Q2174*0.2 + R2174*2 + S2174*1 + IF(T2174="",0,IF(T2174&lt;=10,8,IF(T2174&lt;=50,6,IF(T2174&lt;=100,4,2))))</f>
        <v>0</v>
      </c>
      <c r="V2174" s="7"/>
      <c r="W2174" s="7"/>
      <c r="X2174" s="13"/>
      <c r="Y2174" s="13" t="s">
        <v>8763</v>
      </c>
    </row>
    <row r="2175" customFormat="false" ht="15.75" hidden="false" customHeight="true" outlineLevel="0" collapsed="false">
      <c r="A2175" s="7" t="s">
        <v>8764</v>
      </c>
      <c r="B2175" s="8" t="n">
        <v>2015</v>
      </c>
      <c r="C2175" s="8" t="s">
        <v>176</v>
      </c>
      <c r="D2175" s="8" t="n">
        <v>108</v>
      </c>
      <c r="E2175" s="7" t="s">
        <v>8765</v>
      </c>
      <c r="F2175" s="8" t="n">
        <v>7</v>
      </c>
      <c r="G2175" s="8" t="n">
        <v>7</v>
      </c>
      <c r="H2175" s="9" t="n">
        <v>187023</v>
      </c>
      <c r="I2175" s="7" t="s">
        <v>258</v>
      </c>
      <c r="J2175" s="7" t="s">
        <v>131</v>
      </c>
      <c r="K2175" s="7" t="s">
        <v>125</v>
      </c>
      <c r="L2175" s="10" t="s">
        <v>766</v>
      </c>
      <c r="M2175" s="10" t="s">
        <v>8766</v>
      </c>
      <c r="N2175" s="8" t="n">
        <v>0</v>
      </c>
      <c r="O2175" s="8" t="n">
        <v>0</v>
      </c>
      <c r="P2175" s="8" t="n">
        <v>0</v>
      </c>
      <c r="Q2175" s="8" t="n">
        <v>0</v>
      </c>
      <c r="R2175" s="13" t="n">
        <v>0</v>
      </c>
      <c r="S2175" s="13" t="n">
        <v>0</v>
      </c>
      <c r="T2175" s="13"/>
      <c r="U2175" s="11" t="n">
        <f aca="false">O2175*4 + P2175*2 + MAX(0,N2175-O2175-P2175)*1 + Q2175*0.2 + R2175*2 + S2175*1 + IF(T2175="",0,IF(T2175&lt;=10,8,IF(T2175&lt;=50,6,IF(T2175&lt;=100,4,2))))</f>
        <v>0</v>
      </c>
      <c r="V2175" s="7"/>
      <c r="W2175" s="7"/>
      <c r="X2175" s="13"/>
      <c r="Y2175" s="13" t="s">
        <v>8767</v>
      </c>
    </row>
    <row r="2176" customFormat="false" ht="15.75" hidden="false" customHeight="true" outlineLevel="0" collapsed="false">
      <c r="A2176" s="7" t="s">
        <v>8768</v>
      </c>
      <c r="B2176" s="8" t="n">
        <v>2022</v>
      </c>
      <c r="C2176" s="8" t="s">
        <v>378</v>
      </c>
      <c r="D2176" s="8" t="n">
        <v>189</v>
      </c>
      <c r="E2176" s="7" t="s">
        <v>2355</v>
      </c>
      <c r="F2176" s="8" t="n">
        <v>7.1</v>
      </c>
      <c r="G2176" s="8" t="n">
        <v>7</v>
      </c>
      <c r="H2176" s="9" t="n">
        <v>209033</v>
      </c>
      <c r="I2176" s="7" t="s">
        <v>46</v>
      </c>
      <c r="J2176" s="7" t="s">
        <v>30</v>
      </c>
      <c r="K2176" s="7" t="s">
        <v>47</v>
      </c>
      <c r="L2176" s="10"/>
      <c r="M2176" s="10" t="s">
        <v>8769</v>
      </c>
      <c r="N2176" s="8" t="n">
        <v>0</v>
      </c>
      <c r="O2176" s="8" t="n">
        <v>0</v>
      </c>
      <c r="P2176" s="8" t="n">
        <v>0</v>
      </c>
      <c r="Q2176" s="8" t="n">
        <v>3</v>
      </c>
      <c r="R2176" s="8" t="n">
        <v>0</v>
      </c>
      <c r="S2176" s="8" t="n">
        <v>0</v>
      </c>
      <c r="T2176" s="13"/>
      <c r="U2176" s="11" t="n">
        <f aca="false">O2176*4 + P2176*2 + MAX(0,N2176-O2176-P2176)*1 + Q2176*0.2 + R2176*2 + S2176*1 + IF(T2176="",0,IF(T2176&lt;=10,8,IF(T2176&lt;=50,6,IF(T2176&lt;=100,4,2))))</f>
        <v>0.6</v>
      </c>
      <c r="V2176" s="7"/>
      <c r="W2176" s="7"/>
      <c r="X2176" s="13"/>
      <c r="Y2176" s="13" t="s">
        <v>8770</v>
      </c>
    </row>
    <row r="2177" customFormat="false" ht="15.75" hidden="false" customHeight="true" outlineLevel="0" collapsed="false">
      <c r="A2177" s="7" t="s">
        <v>8771</v>
      </c>
      <c r="B2177" s="8" t="n">
        <v>2023</v>
      </c>
      <c r="C2177" s="8" t="s">
        <v>378</v>
      </c>
      <c r="D2177" s="8" t="n">
        <v>134</v>
      </c>
      <c r="E2177" s="7" t="s">
        <v>8772</v>
      </c>
      <c r="F2177" s="8" t="n">
        <v>6.8</v>
      </c>
      <c r="G2177" s="8" t="n">
        <v>6</v>
      </c>
      <c r="H2177" s="9" t="n">
        <v>111289</v>
      </c>
      <c r="I2177" s="7" t="s">
        <v>46</v>
      </c>
      <c r="J2177" s="7" t="s">
        <v>47</v>
      </c>
      <c r="K2177" s="7" t="s">
        <v>54</v>
      </c>
      <c r="L2177" s="10" t="s">
        <v>238</v>
      </c>
      <c r="M2177" s="10" t="s">
        <v>8773</v>
      </c>
      <c r="N2177" s="8" t="n">
        <v>0</v>
      </c>
      <c r="O2177" s="8" t="n">
        <v>0</v>
      </c>
      <c r="P2177" s="8" t="n">
        <v>0</v>
      </c>
      <c r="Q2177" s="8" t="n">
        <v>0</v>
      </c>
      <c r="R2177" s="13" t="n">
        <v>0</v>
      </c>
      <c r="S2177" s="13" t="n">
        <v>0</v>
      </c>
      <c r="T2177" s="13"/>
      <c r="U2177" s="11" t="n">
        <f aca="false">O2177*4 + P2177*2 + MAX(0,N2177-O2177-P2177)*1 + Q2177*0.2 + R2177*2 + S2177*1 + IF(T2177="",0,IF(T2177&lt;=10,8,IF(T2177&lt;=50,6,IF(T2177&lt;=100,4,2))))</f>
        <v>0</v>
      </c>
      <c r="V2177" s="7"/>
      <c r="W2177" s="7"/>
      <c r="X2177" s="13"/>
      <c r="Y2177" s="13" t="s">
        <v>8774</v>
      </c>
    </row>
    <row r="2178" customFormat="false" ht="15.75" hidden="false" customHeight="true" outlineLevel="0" collapsed="false">
      <c r="A2178" s="7" t="s">
        <v>8775</v>
      </c>
      <c r="B2178" s="8" t="n">
        <v>1927</v>
      </c>
      <c r="C2178" s="8" t="s">
        <v>851</v>
      </c>
      <c r="D2178" s="8" t="n">
        <v>330</v>
      </c>
      <c r="E2178" s="7" t="s">
        <v>8776</v>
      </c>
      <c r="F2178" s="8" t="n">
        <v>8.2</v>
      </c>
      <c r="G2178" s="8" t="n">
        <v>6</v>
      </c>
      <c r="H2178" s="9" t="n">
        <v>9841</v>
      </c>
      <c r="I2178" s="7" t="s">
        <v>8777</v>
      </c>
      <c r="J2178" s="7" t="s">
        <v>112</v>
      </c>
      <c r="K2178" s="7" t="s">
        <v>48</v>
      </c>
      <c r="L2178" s="10" t="s">
        <v>205</v>
      </c>
      <c r="M2178" s="7" t="s">
        <v>8778</v>
      </c>
      <c r="N2178" s="8" t="n">
        <v>0</v>
      </c>
      <c r="O2178" s="8" t="n">
        <v>0</v>
      </c>
      <c r="P2178" s="8" t="n">
        <v>0</v>
      </c>
      <c r="Q2178" s="8" t="n">
        <v>3</v>
      </c>
      <c r="R2178" s="8" t="n">
        <v>0</v>
      </c>
      <c r="S2178" s="8" t="n">
        <v>0</v>
      </c>
      <c r="T2178" s="8" t="n">
        <v>225</v>
      </c>
      <c r="U2178" s="11" t="n">
        <f aca="false">O2178*4 + P2178*2 + MAX(0,N2178-O2178-P2178)*1 + Q2178*0.2 + R2178*2 + S2178*1 + IF(T2178="",0,IF(T2178&lt;=10,8,IF(T2178&lt;=50,6,IF(T2178&lt;=100,4,2))))</f>
        <v>2.6</v>
      </c>
      <c r="V2178" s="10" t="s">
        <v>8779</v>
      </c>
      <c r="W2178" s="7"/>
      <c r="X2178" s="13"/>
      <c r="Y2178" s="13" t="s">
        <v>8780</v>
      </c>
    </row>
    <row r="2179" customFormat="false" ht="15.75" hidden="false" customHeight="true" outlineLevel="0" collapsed="false">
      <c r="A2179" s="7" t="s">
        <v>8781</v>
      </c>
      <c r="B2179" s="8" t="n">
        <v>2023</v>
      </c>
      <c r="C2179" s="8" t="s">
        <v>378</v>
      </c>
      <c r="D2179" s="8" t="n">
        <v>114</v>
      </c>
      <c r="E2179" s="7" t="s">
        <v>1447</v>
      </c>
      <c r="F2179" s="8" t="n">
        <v>6.8</v>
      </c>
      <c r="G2179" s="8" t="n">
        <v>6</v>
      </c>
      <c r="H2179" s="9" t="n">
        <v>701795</v>
      </c>
      <c r="I2179" s="7" t="s">
        <v>359</v>
      </c>
      <c r="J2179" s="7" t="s">
        <v>38</v>
      </c>
      <c r="K2179" s="7" t="s">
        <v>39</v>
      </c>
      <c r="L2179" s="10" t="s">
        <v>2195</v>
      </c>
      <c r="M2179" s="7" t="s">
        <v>8782</v>
      </c>
      <c r="N2179" s="8" t="n">
        <v>1</v>
      </c>
      <c r="O2179" s="8" t="n">
        <v>0</v>
      </c>
      <c r="P2179" s="8" t="n">
        <v>0</v>
      </c>
      <c r="Q2179" s="8" t="n">
        <v>8</v>
      </c>
      <c r="R2179" s="8" t="n">
        <v>0</v>
      </c>
      <c r="S2179" s="8" t="n">
        <v>0</v>
      </c>
      <c r="T2179" s="13"/>
      <c r="U2179" s="11" t="n">
        <f aca="false">O2179*4 + P2179*2 + MAX(0,N2179-O2179-P2179)*1 + Q2179*0.2 + R2179*2 + S2179*1 + IF(T2179="",0,IF(T2179&lt;=10,8,IF(T2179&lt;=50,6,IF(T2179&lt;=100,4,2))))</f>
        <v>2.6</v>
      </c>
      <c r="V2179" s="7"/>
      <c r="W2179" s="7"/>
      <c r="X2179" s="13"/>
      <c r="Y2179" s="13" t="s">
        <v>8783</v>
      </c>
    </row>
    <row r="2180" customFormat="false" ht="15.75" hidden="false" customHeight="true" outlineLevel="0" collapsed="false">
      <c r="A2180" s="7" t="s">
        <v>8784</v>
      </c>
      <c r="B2180" s="8" t="n">
        <v>2023</v>
      </c>
      <c r="C2180" s="8" t="s">
        <v>378</v>
      </c>
      <c r="D2180" s="8" t="n">
        <v>118</v>
      </c>
      <c r="E2180" s="7" t="s">
        <v>225</v>
      </c>
      <c r="F2180" s="8" t="n">
        <v>6.7</v>
      </c>
      <c r="G2180" s="8" t="n">
        <v>6</v>
      </c>
      <c r="H2180" s="9" t="n">
        <v>226441</v>
      </c>
      <c r="I2180" s="7" t="s">
        <v>46</v>
      </c>
      <c r="J2180" s="7" t="s">
        <v>112</v>
      </c>
      <c r="K2180" s="7" t="s">
        <v>54</v>
      </c>
      <c r="L2180" s="10" t="s">
        <v>238</v>
      </c>
      <c r="M2180" s="10" t="s">
        <v>8785</v>
      </c>
      <c r="N2180" s="8" t="n">
        <v>0</v>
      </c>
      <c r="O2180" s="8" t="n">
        <v>0</v>
      </c>
      <c r="P2180" s="8" t="n">
        <v>0</v>
      </c>
      <c r="Q2180" s="8" t="n">
        <v>0</v>
      </c>
      <c r="R2180" s="13" t="n">
        <v>0</v>
      </c>
      <c r="S2180" s="13" t="n">
        <v>0</v>
      </c>
      <c r="T2180" s="13"/>
      <c r="U2180" s="11" t="n">
        <f aca="false">O2180*4 + P2180*2 + MAX(0,N2180-O2180-P2180)*1 + Q2180*0.2 + R2180*2 + S2180*1 + IF(T2180="",0,IF(T2180&lt;=10,8,IF(T2180&lt;=50,6,IF(T2180&lt;=100,4,2))))</f>
        <v>0</v>
      </c>
      <c r="V2180" s="7"/>
      <c r="W2180" s="7"/>
      <c r="X2180" s="13"/>
      <c r="Y2180" s="13" t="s">
        <v>8786</v>
      </c>
    </row>
    <row r="2181" customFormat="false" ht="15.75" hidden="false" customHeight="true" outlineLevel="0" collapsed="false">
      <c r="A2181" s="7" t="s">
        <v>8787</v>
      </c>
      <c r="B2181" s="8" t="n">
        <v>2014</v>
      </c>
      <c r="C2181" s="8" t="s">
        <v>176</v>
      </c>
      <c r="D2181" s="8" t="n">
        <v>102</v>
      </c>
      <c r="E2181" s="7" t="s">
        <v>8788</v>
      </c>
      <c r="F2181" s="8" t="n">
        <v>6.2</v>
      </c>
      <c r="G2181" s="8" t="n">
        <v>5</v>
      </c>
      <c r="H2181" s="9" t="n">
        <v>330881</v>
      </c>
      <c r="I2181" s="7" t="s">
        <v>46</v>
      </c>
      <c r="J2181" s="7" t="s">
        <v>112</v>
      </c>
      <c r="K2181" s="7" t="s">
        <v>39</v>
      </c>
      <c r="L2181" s="10" t="s">
        <v>238</v>
      </c>
      <c r="M2181" s="7" t="s">
        <v>8789</v>
      </c>
      <c r="N2181" s="8" t="n">
        <v>0</v>
      </c>
      <c r="O2181" s="8" t="n">
        <v>0</v>
      </c>
      <c r="P2181" s="8" t="n">
        <v>0</v>
      </c>
      <c r="Q2181" s="8" t="n">
        <v>0</v>
      </c>
      <c r="R2181" s="13" t="n">
        <v>0</v>
      </c>
      <c r="S2181" s="13" t="n">
        <v>0</v>
      </c>
      <c r="T2181" s="13"/>
      <c r="U2181" s="11" t="n">
        <f aca="false">O2181*4 + P2181*2 + MAX(0,N2181-O2181-P2181)*1 + Q2181*0.2 + R2181*2 + S2181*1 + IF(T2181="",0,IF(T2181&lt;=10,8,IF(T2181&lt;=50,6,IF(T2181&lt;=100,4,2))))</f>
        <v>0</v>
      </c>
      <c r="V2181" s="7"/>
      <c r="W2181" s="7"/>
      <c r="X2181" s="13"/>
      <c r="Y2181" s="13" t="s">
        <v>8790</v>
      </c>
    </row>
    <row r="2182" customFormat="false" ht="15.75" hidden="false" customHeight="true" outlineLevel="0" collapsed="false">
      <c r="A2182" s="7" t="s">
        <v>8791</v>
      </c>
      <c r="B2182" s="8" t="n">
        <v>2024</v>
      </c>
      <c r="C2182" s="8" t="s">
        <v>378</v>
      </c>
      <c r="D2182" s="8" t="n">
        <v>105</v>
      </c>
      <c r="E2182" s="7" t="s">
        <v>7374</v>
      </c>
      <c r="F2182" s="8" t="n">
        <v>6.3</v>
      </c>
      <c r="G2182" s="8" t="n">
        <v>6</v>
      </c>
      <c r="H2182" s="9" t="n">
        <v>184330</v>
      </c>
      <c r="I2182" s="7" t="s">
        <v>46</v>
      </c>
      <c r="J2182" s="7" t="s">
        <v>131</v>
      </c>
      <c r="K2182" s="7" t="s">
        <v>54</v>
      </c>
      <c r="L2182" s="10" t="s">
        <v>113</v>
      </c>
      <c r="M2182" s="10" t="s">
        <v>8792</v>
      </c>
      <c r="N2182" s="8" t="n">
        <v>0</v>
      </c>
      <c r="O2182" s="8" t="n">
        <v>0</v>
      </c>
      <c r="P2182" s="8" t="n">
        <v>0</v>
      </c>
      <c r="Q2182" s="8" t="n">
        <v>0</v>
      </c>
      <c r="R2182" s="13" t="n">
        <v>0</v>
      </c>
      <c r="S2182" s="13" t="n">
        <v>0</v>
      </c>
      <c r="T2182" s="13"/>
      <c r="U2182" s="11" t="n">
        <f aca="false">O2182*4 + P2182*2 + MAX(0,N2182-O2182-P2182)*1 + Q2182*0.2 + R2182*2 + S2182*1 + IF(T2182="",0,IF(T2182&lt;=10,8,IF(T2182&lt;=50,6,IF(T2182&lt;=100,4,2))))</f>
        <v>0</v>
      </c>
      <c r="V2182" s="7"/>
      <c r="W2182" s="7"/>
      <c r="X2182" s="13"/>
      <c r="Y2182" s="13" t="s">
        <v>8793</v>
      </c>
    </row>
    <row r="2183" customFormat="false" ht="15.75" hidden="false" customHeight="true" outlineLevel="0" collapsed="false">
      <c r="A2183" s="7" t="s">
        <v>8794</v>
      </c>
      <c r="B2183" s="8" t="n">
        <v>2023</v>
      </c>
      <c r="C2183" s="8" t="s">
        <v>378</v>
      </c>
      <c r="D2183" s="8" t="n">
        <v>179</v>
      </c>
      <c r="E2183" s="7" t="s">
        <v>5082</v>
      </c>
      <c r="F2183" s="8" t="n">
        <v>6.6</v>
      </c>
      <c r="G2183" s="8" t="n">
        <v>6</v>
      </c>
      <c r="H2183" s="9" t="n">
        <v>79880</v>
      </c>
      <c r="I2183" s="7" t="s">
        <v>8161</v>
      </c>
      <c r="J2183" s="7" t="s">
        <v>147</v>
      </c>
      <c r="K2183" s="7" t="s">
        <v>30</v>
      </c>
      <c r="L2183" s="10" t="s">
        <v>113</v>
      </c>
      <c r="M2183" s="10" t="s">
        <v>8795</v>
      </c>
      <c r="N2183" s="8" t="n">
        <v>0</v>
      </c>
      <c r="O2183" s="8" t="n">
        <v>0</v>
      </c>
      <c r="P2183" s="8" t="n">
        <v>0</v>
      </c>
      <c r="Q2183" s="8" t="n">
        <v>0</v>
      </c>
      <c r="R2183" s="13" t="n">
        <v>0</v>
      </c>
      <c r="S2183" s="13" t="n">
        <v>0</v>
      </c>
      <c r="T2183" s="13"/>
      <c r="U2183" s="11" t="n">
        <f aca="false">O2183*4 + P2183*2 + MAX(0,N2183-O2183-P2183)*1 + Q2183*0.2 + R2183*2 + S2183*1 + IF(T2183="",0,IF(T2183&lt;=10,8,IF(T2183&lt;=50,6,IF(T2183&lt;=100,4,2))))</f>
        <v>0</v>
      </c>
      <c r="V2183" s="7"/>
      <c r="W2183" s="7"/>
      <c r="X2183" s="13"/>
      <c r="Y2183" s="13" t="s">
        <v>8796</v>
      </c>
    </row>
    <row r="2184" customFormat="false" ht="15.75" hidden="false" customHeight="true" outlineLevel="0" collapsed="false">
      <c r="A2184" s="7" t="s">
        <v>8797</v>
      </c>
      <c r="B2184" s="8" t="n">
        <v>2023</v>
      </c>
      <c r="C2184" s="8" t="s">
        <v>378</v>
      </c>
      <c r="D2184" s="8" t="n">
        <v>98</v>
      </c>
      <c r="E2184" s="7" t="s">
        <v>8798</v>
      </c>
      <c r="F2184" s="8" t="n">
        <v>4.4</v>
      </c>
      <c r="G2184" s="8" t="n">
        <v>4</v>
      </c>
      <c r="H2184" s="9" t="n">
        <v>644</v>
      </c>
      <c r="I2184" s="7" t="s">
        <v>232</v>
      </c>
      <c r="J2184" s="7" t="s">
        <v>30</v>
      </c>
      <c r="K2184" s="7"/>
      <c r="L2184" s="10" t="s">
        <v>113</v>
      </c>
      <c r="M2184" s="10" t="s">
        <v>8799</v>
      </c>
      <c r="N2184" s="8" t="n">
        <v>0</v>
      </c>
      <c r="O2184" s="8" t="n">
        <v>0</v>
      </c>
      <c r="P2184" s="8" t="n">
        <v>0</v>
      </c>
      <c r="Q2184" s="8" t="n">
        <v>0</v>
      </c>
      <c r="R2184" s="13" t="n">
        <v>0</v>
      </c>
      <c r="S2184" s="13" t="n">
        <v>0</v>
      </c>
      <c r="T2184" s="13"/>
      <c r="U2184" s="11" t="n">
        <f aca="false">O2184*4 + P2184*2 + MAX(0,N2184-O2184-P2184)*1 + Q2184*0.2 + R2184*2 + S2184*1 + IF(T2184="",0,IF(T2184&lt;=10,8,IF(T2184&lt;=50,6,IF(T2184&lt;=100,4,2))))</f>
        <v>0</v>
      </c>
      <c r="V2184" s="7"/>
      <c r="W2184" s="7"/>
      <c r="X2184" s="13"/>
      <c r="Y2184" s="13" t="s">
        <v>8800</v>
      </c>
    </row>
    <row r="2185" customFormat="false" ht="15.75" hidden="false" customHeight="true" outlineLevel="0" collapsed="false">
      <c r="A2185" s="7" t="s">
        <v>8801</v>
      </c>
      <c r="B2185" s="8" t="n">
        <v>2022</v>
      </c>
      <c r="C2185" s="8" t="s">
        <v>378</v>
      </c>
      <c r="D2185" s="8" t="n">
        <v>123</v>
      </c>
      <c r="E2185" s="7" t="s">
        <v>8802</v>
      </c>
      <c r="F2185" s="8" t="n">
        <v>6.3</v>
      </c>
      <c r="G2185" s="8" t="n">
        <v>7</v>
      </c>
      <c r="H2185" s="9" t="n">
        <v>179460</v>
      </c>
      <c r="I2185" s="7" t="s">
        <v>46</v>
      </c>
      <c r="J2185" s="7" t="s">
        <v>131</v>
      </c>
      <c r="K2185" s="7" t="s">
        <v>125</v>
      </c>
      <c r="L2185" s="10" t="s">
        <v>8803</v>
      </c>
      <c r="M2185" s="10" t="s">
        <v>8804</v>
      </c>
      <c r="N2185" s="8" t="n">
        <v>0</v>
      </c>
      <c r="O2185" s="8" t="n">
        <v>0</v>
      </c>
      <c r="P2185" s="8" t="n">
        <v>0</v>
      </c>
      <c r="Q2185" s="8" t="n">
        <v>0</v>
      </c>
      <c r="R2185" s="13" t="n">
        <v>0</v>
      </c>
      <c r="S2185" s="13" t="n">
        <v>0</v>
      </c>
      <c r="T2185" s="13"/>
      <c r="U2185" s="11" t="n">
        <f aca="false">O2185*4 + P2185*2 + MAX(0,N2185-O2185-P2185)*1 + Q2185*0.2 + R2185*2 + S2185*1 + IF(T2185="",0,IF(T2185&lt;=10,8,IF(T2185&lt;=50,6,IF(T2185&lt;=100,4,2))))</f>
        <v>0</v>
      </c>
      <c r="V2185" s="7"/>
      <c r="W2185" s="7"/>
      <c r="X2185" s="13"/>
      <c r="Y2185" s="13" t="s">
        <v>8805</v>
      </c>
    </row>
    <row r="2186" customFormat="false" ht="15.75" hidden="false" customHeight="true" outlineLevel="0" collapsed="false">
      <c r="A2186" s="7" t="s">
        <v>8806</v>
      </c>
      <c r="B2186" s="8" t="n">
        <v>2022</v>
      </c>
      <c r="C2186" s="8" t="s">
        <v>378</v>
      </c>
      <c r="D2186" s="8" t="n">
        <v>89</v>
      </c>
      <c r="E2186" s="7" t="s">
        <v>8807</v>
      </c>
      <c r="F2186" s="8" t="n">
        <v>6.7</v>
      </c>
      <c r="G2186" s="8" t="n">
        <v>7</v>
      </c>
      <c r="H2186" s="9" t="n">
        <v>14922</v>
      </c>
      <c r="I2186" s="7" t="s">
        <v>232</v>
      </c>
      <c r="J2186" s="7" t="s">
        <v>147</v>
      </c>
      <c r="K2186" s="7" t="s">
        <v>30</v>
      </c>
      <c r="L2186" s="10" t="s">
        <v>522</v>
      </c>
      <c r="M2186" s="10" t="s">
        <v>8808</v>
      </c>
      <c r="N2186" s="8" t="n">
        <v>0</v>
      </c>
      <c r="O2186" s="8" t="n">
        <v>0</v>
      </c>
      <c r="P2186" s="8" t="n">
        <v>0</v>
      </c>
      <c r="Q2186" s="8" t="n">
        <v>0</v>
      </c>
      <c r="R2186" s="13" t="n">
        <v>0</v>
      </c>
      <c r="S2186" s="13" t="n">
        <v>0</v>
      </c>
      <c r="T2186" s="13"/>
      <c r="U2186" s="11" t="n">
        <f aca="false">O2186*4 + P2186*2 + MAX(0,N2186-O2186-P2186)*1 + Q2186*0.2 + R2186*2 + S2186*1 + IF(T2186="",0,IF(T2186&lt;=10,8,IF(T2186&lt;=50,6,IF(T2186&lt;=100,4,2))))</f>
        <v>0</v>
      </c>
      <c r="V2186" s="7"/>
      <c r="W2186" s="7"/>
      <c r="X2186" s="13"/>
      <c r="Y2186" s="13" t="s">
        <v>8809</v>
      </c>
    </row>
    <row r="2187" customFormat="false" ht="15.75" hidden="false" customHeight="true" outlineLevel="0" collapsed="false">
      <c r="A2187" s="7" t="s">
        <v>8810</v>
      </c>
      <c r="B2187" s="8" t="n">
        <v>2017</v>
      </c>
      <c r="C2187" s="8" t="s">
        <v>176</v>
      </c>
      <c r="D2187" s="8" t="n">
        <v>99</v>
      </c>
      <c r="E2187" s="7" t="s">
        <v>8811</v>
      </c>
      <c r="F2187" s="8" t="n">
        <v>5.2</v>
      </c>
      <c r="G2187" s="8" t="n">
        <v>4</v>
      </c>
      <c r="H2187" s="9" t="n">
        <v>10083</v>
      </c>
      <c r="I2187" s="7" t="s">
        <v>46</v>
      </c>
      <c r="J2187" s="7" t="s">
        <v>112</v>
      </c>
      <c r="K2187" s="7" t="s">
        <v>54</v>
      </c>
      <c r="L2187" s="10" t="s">
        <v>205</v>
      </c>
      <c r="M2187" s="10" t="s">
        <v>8812</v>
      </c>
      <c r="N2187" s="8" t="n">
        <v>0</v>
      </c>
      <c r="O2187" s="8" t="n">
        <v>0</v>
      </c>
      <c r="P2187" s="8" t="n">
        <v>0</v>
      </c>
      <c r="Q2187" s="8" t="n">
        <v>0</v>
      </c>
      <c r="R2187" s="13" t="n">
        <v>0</v>
      </c>
      <c r="S2187" s="13" t="n">
        <v>0</v>
      </c>
      <c r="T2187" s="13"/>
      <c r="U2187" s="11" t="n">
        <f aca="false">O2187*4 + P2187*2 + MAX(0,N2187-O2187-P2187)*1 + Q2187*0.2 + R2187*2 + S2187*1 + IF(T2187="",0,IF(T2187&lt;=10,8,IF(T2187&lt;=50,6,IF(T2187&lt;=100,4,2))))</f>
        <v>0</v>
      </c>
      <c r="V2187" s="7"/>
      <c r="W2187" s="7"/>
      <c r="X2187" s="13"/>
      <c r="Y2187" s="13" t="s">
        <v>8813</v>
      </c>
    </row>
    <row r="2188" customFormat="false" ht="15.75" hidden="false" customHeight="true" outlineLevel="0" collapsed="false">
      <c r="A2188" s="7" t="s">
        <v>8814</v>
      </c>
      <c r="B2188" s="8" t="n">
        <v>2024</v>
      </c>
      <c r="C2188" s="8" t="s">
        <v>378</v>
      </c>
      <c r="D2188" s="8" t="n">
        <v>90</v>
      </c>
      <c r="E2188" s="7" t="s">
        <v>8815</v>
      </c>
      <c r="F2188" s="8" t="n">
        <v>7</v>
      </c>
      <c r="G2188" s="8" t="n">
        <v>7</v>
      </c>
      <c r="H2188" s="9" t="n">
        <v>15166</v>
      </c>
      <c r="I2188" s="7"/>
      <c r="J2188" s="7" t="s">
        <v>2730</v>
      </c>
      <c r="K2188" s="7" t="s">
        <v>54</v>
      </c>
      <c r="L2188" s="10" t="s">
        <v>238</v>
      </c>
      <c r="M2188" s="10" t="s">
        <v>8816</v>
      </c>
      <c r="N2188" s="8" t="n">
        <v>0</v>
      </c>
      <c r="O2188" s="8" t="n">
        <v>0</v>
      </c>
      <c r="P2188" s="8" t="n">
        <v>0</v>
      </c>
      <c r="Q2188" s="8" t="n">
        <v>0</v>
      </c>
      <c r="R2188" s="13" t="n">
        <v>0</v>
      </c>
      <c r="S2188" s="13" t="n">
        <v>0</v>
      </c>
      <c r="T2188" s="13"/>
      <c r="U2188" s="11" t="n">
        <f aca="false">O2188*4 + P2188*2 + MAX(0,N2188-O2188-P2188)*1 + Q2188*0.2 + R2188*2 + S2188*1 + IF(T2188="",0,IF(T2188&lt;=10,8,IF(T2188&lt;=50,6,IF(T2188&lt;=100,4,2))))</f>
        <v>0</v>
      </c>
      <c r="V2188" s="7"/>
      <c r="W2188" s="7"/>
      <c r="X2188" s="13"/>
      <c r="Y2188" s="13" t="s">
        <v>8817</v>
      </c>
    </row>
    <row r="2189" customFormat="false" ht="15.75" hidden="false" customHeight="true" outlineLevel="0" collapsed="false">
      <c r="A2189" s="7" t="s">
        <v>8818</v>
      </c>
      <c r="B2189" s="8" t="n">
        <v>2023</v>
      </c>
      <c r="C2189" s="8" t="s">
        <v>378</v>
      </c>
      <c r="D2189" s="8" t="n">
        <v>85</v>
      </c>
      <c r="E2189" s="7" t="s">
        <v>8819</v>
      </c>
      <c r="F2189" s="8" t="n">
        <v>6.2</v>
      </c>
      <c r="G2189" s="8" t="n">
        <v>6</v>
      </c>
      <c r="H2189" s="9" t="n">
        <v>15126</v>
      </c>
      <c r="I2189" s="7" t="s">
        <v>46</v>
      </c>
      <c r="J2189" s="7" t="s">
        <v>2730</v>
      </c>
      <c r="K2189" s="7" t="s">
        <v>54</v>
      </c>
      <c r="L2189" s="10" t="s">
        <v>238</v>
      </c>
      <c r="M2189" s="10" t="s">
        <v>8820</v>
      </c>
      <c r="N2189" s="8" t="n">
        <v>0</v>
      </c>
      <c r="O2189" s="8" t="n">
        <v>0</v>
      </c>
      <c r="P2189" s="8" t="n">
        <v>0</v>
      </c>
      <c r="Q2189" s="8" t="n">
        <v>0</v>
      </c>
      <c r="R2189" s="13" t="n">
        <v>0</v>
      </c>
      <c r="S2189" s="13" t="n">
        <v>0</v>
      </c>
      <c r="T2189" s="13"/>
      <c r="U2189" s="11" t="n">
        <f aca="false">O2189*4 + P2189*2 + MAX(0,N2189-O2189-P2189)*1 + Q2189*0.2 + R2189*2 + S2189*1 + IF(T2189="",0,IF(T2189&lt;=10,8,IF(T2189&lt;=50,6,IF(T2189&lt;=100,4,2))))</f>
        <v>0</v>
      </c>
      <c r="V2189" s="7"/>
      <c r="W2189" s="7"/>
      <c r="X2189" s="13"/>
      <c r="Y2189" s="13" t="s">
        <v>8821</v>
      </c>
    </row>
    <row r="2190" customFormat="false" ht="15.75" hidden="false" customHeight="true" outlineLevel="0" collapsed="false">
      <c r="A2190" s="7" t="s">
        <v>8822</v>
      </c>
      <c r="B2190" s="8" t="n">
        <v>2024</v>
      </c>
      <c r="C2190" s="8" t="s">
        <v>378</v>
      </c>
      <c r="D2190" s="8" t="n">
        <v>94</v>
      </c>
      <c r="E2190" s="7" t="s">
        <v>8823</v>
      </c>
      <c r="F2190" s="8" t="n">
        <v>6.3</v>
      </c>
      <c r="G2190" s="8" t="n">
        <v>6</v>
      </c>
      <c r="H2190" s="9" t="n">
        <v>84930</v>
      </c>
      <c r="I2190" s="7" t="s">
        <v>46</v>
      </c>
      <c r="J2190" s="7" t="s">
        <v>579</v>
      </c>
      <c r="K2190" s="7" t="s">
        <v>112</v>
      </c>
      <c r="L2190" s="10"/>
      <c r="M2190" s="10" t="s">
        <v>8824</v>
      </c>
      <c r="N2190" s="8" t="n">
        <v>0</v>
      </c>
      <c r="O2190" s="8" t="n">
        <v>0</v>
      </c>
      <c r="P2190" s="8" t="n">
        <v>0</v>
      </c>
      <c r="Q2190" s="8" t="n">
        <v>0</v>
      </c>
      <c r="R2190" s="13" t="n">
        <v>0</v>
      </c>
      <c r="S2190" s="13" t="n">
        <v>0</v>
      </c>
      <c r="T2190" s="13"/>
      <c r="U2190" s="11" t="n">
        <f aca="false">O2190*4 + P2190*2 + MAX(0,N2190-O2190-P2190)*1 + Q2190*0.2 + R2190*2 + S2190*1 + IF(T2190="",0,IF(T2190&lt;=10,8,IF(T2190&lt;=50,6,IF(T2190&lt;=100,4,2))))</f>
        <v>0</v>
      </c>
      <c r="V2190" s="7"/>
      <c r="W2190" s="7"/>
      <c r="X2190" s="13"/>
      <c r="Y2190" s="13" t="s">
        <v>8825</v>
      </c>
    </row>
    <row r="2191" customFormat="false" ht="15.75" hidden="false" customHeight="true" outlineLevel="0" collapsed="false">
      <c r="A2191" s="7" t="s">
        <v>8826</v>
      </c>
      <c r="B2191" s="8" t="n">
        <v>2022</v>
      </c>
      <c r="C2191" s="8" t="s">
        <v>378</v>
      </c>
      <c r="D2191" s="8" t="n">
        <v>102</v>
      </c>
      <c r="E2191" s="7" t="s">
        <v>8827</v>
      </c>
      <c r="F2191" s="8" t="n">
        <v>7</v>
      </c>
      <c r="G2191" s="8" t="n">
        <v>7</v>
      </c>
      <c r="H2191" s="9" t="n">
        <v>267846</v>
      </c>
      <c r="I2191" s="7" t="s">
        <v>46</v>
      </c>
      <c r="J2191" s="7" t="s">
        <v>147</v>
      </c>
      <c r="K2191" s="7" t="s">
        <v>125</v>
      </c>
      <c r="L2191" s="10"/>
      <c r="M2191" s="7" t="s">
        <v>8828</v>
      </c>
      <c r="N2191" s="8" t="n">
        <v>0</v>
      </c>
      <c r="O2191" s="8" t="n">
        <v>0</v>
      </c>
      <c r="P2191" s="8" t="n">
        <v>0</v>
      </c>
      <c r="Q2191" s="8" t="n">
        <v>0</v>
      </c>
      <c r="R2191" s="13" t="n">
        <v>0</v>
      </c>
      <c r="S2191" s="13" t="n">
        <v>0</v>
      </c>
      <c r="T2191" s="13"/>
      <c r="U2191" s="11" t="n">
        <f aca="false">O2191*4 + P2191*2 + MAX(0,N2191-O2191-P2191)*1 + Q2191*0.2 + R2191*2 + S2191*1 + IF(T2191="",0,IF(T2191&lt;=10,8,IF(T2191&lt;=50,6,IF(T2191&lt;=100,4,2))))</f>
        <v>0</v>
      </c>
      <c r="V2191" s="7"/>
      <c r="W2191" s="7"/>
      <c r="X2191" s="13"/>
      <c r="Y2191" s="13" t="s">
        <v>8829</v>
      </c>
    </row>
    <row r="2192" customFormat="false" ht="15.75" hidden="false" customHeight="true" outlineLevel="0" collapsed="false">
      <c r="A2192" s="7" t="s">
        <v>8830</v>
      </c>
      <c r="B2192" s="8" t="n">
        <v>2024</v>
      </c>
      <c r="C2192" s="8" t="s">
        <v>378</v>
      </c>
      <c r="D2192" s="8" t="n">
        <v>138</v>
      </c>
      <c r="E2192" s="7" t="s">
        <v>2294</v>
      </c>
      <c r="F2192" s="8" t="n">
        <v>5.2</v>
      </c>
      <c r="G2192" s="8" t="n">
        <v>3</v>
      </c>
      <c r="H2192" s="9" t="n">
        <v>187103</v>
      </c>
      <c r="I2192" s="7" t="s">
        <v>2168</v>
      </c>
      <c r="J2192" s="7" t="s">
        <v>90</v>
      </c>
      <c r="K2192" s="7" t="s">
        <v>131</v>
      </c>
      <c r="L2192" s="10" t="s">
        <v>55</v>
      </c>
      <c r="M2192" s="10" t="s">
        <v>8831</v>
      </c>
      <c r="N2192" s="8" t="n">
        <v>0</v>
      </c>
      <c r="O2192" s="8" t="n">
        <v>0</v>
      </c>
      <c r="P2192" s="8" t="n">
        <v>0</v>
      </c>
      <c r="Q2192" s="8" t="n">
        <v>0</v>
      </c>
      <c r="R2192" s="13" t="n">
        <v>0</v>
      </c>
      <c r="S2192" s="13" t="n">
        <v>0</v>
      </c>
      <c r="T2192" s="13"/>
      <c r="U2192" s="11" t="n">
        <f aca="false">O2192*4 + P2192*2 + MAX(0,N2192-O2192-P2192)*1 + Q2192*0.2 + R2192*2 + S2192*1 + IF(T2192="",0,IF(T2192&lt;=10,8,IF(T2192&lt;=50,6,IF(T2192&lt;=100,4,2))))</f>
        <v>0</v>
      </c>
      <c r="V2192" s="7"/>
      <c r="W2192" s="7"/>
      <c r="X2192" s="13"/>
      <c r="Y2192" s="13" t="s">
        <v>8832</v>
      </c>
    </row>
    <row r="2193" customFormat="false" ht="15.75" hidden="false" customHeight="true" outlineLevel="0" collapsed="false">
      <c r="A2193" s="7" t="s">
        <v>8833</v>
      </c>
      <c r="B2193" s="8" t="n">
        <v>2024</v>
      </c>
      <c r="C2193" s="8" t="s">
        <v>378</v>
      </c>
      <c r="D2193" s="8" t="n">
        <v>105</v>
      </c>
      <c r="E2193" s="7" t="s">
        <v>1894</v>
      </c>
      <c r="F2193" s="8" t="n">
        <v>5.8</v>
      </c>
      <c r="G2193" s="8" t="n">
        <v>4</v>
      </c>
      <c r="H2193" s="9" t="n">
        <v>170020</v>
      </c>
      <c r="I2193" s="7" t="s">
        <v>46</v>
      </c>
      <c r="J2193" s="7" t="s">
        <v>147</v>
      </c>
      <c r="K2193" s="7" t="s">
        <v>54</v>
      </c>
      <c r="L2193" s="10" t="s">
        <v>55</v>
      </c>
      <c r="M2193" s="10" t="s">
        <v>8834</v>
      </c>
      <c r="N2193" s="8" t="n">
        <v>0</v>
      </c>
      <c r="O2193" s="8" t="n">
        <v>0</v>
      </c>
      <c r="P2193" s="8" t="n">
        <v>0</v>
      </c>
      <c r="Q2193" s="8" t="n">
        <v>0</v>
      </c>
      <c r="R2193" s="13" t="n">
        <v>0</v>
      </c>
      <c r="S2193" s="13" t="n">
        <v>0</v>
      </c>
      <c r="T2193" s="13"/>
      <c r="U2193" s="11" t="n">
        <f aca="false">O2193*4 + P2193*2 + MAX(0,N2193-O2193-P2193)*1 + Q2193*0.2 + R2193*2 + S2193*1 + IF(T2193="",0,IF(T2193&lt;=10,8,IF(T2193&lt;=50,6,IF(T2193&lt;=100,4,2))))</f>
        <v>0</v>
      </c>
      <c r="V2193" s="7"/>
      <c r="W2193" s="7"/>
      <c r="X2193" s="13"/>
      <c r="Y2193" s="13" t="s">
        <v>8835</v>
      </c>
    </row>
    <row r="2194" customFormat="false" ht="15.75" hidden="false" customHeight="true" outlineLevel="0" collapsed="false">
      <c r="A2194" s="7" t="s">
        <v>8836</v>
      </c>
      <c r="B2194" s="8" t="n">
        <v>2024</v>
      </c>
      <c r="C2194" s="8" t="s">
        <v>378</v>
      </c>
      <c r="D2194" s="8" t="n">
        <v>103</v>
      </c>
      <c r="E2194" s="7" t="s">
        <v>8837</v>
      </c>
      <c r="F2194" s="8" t="n">
        <v>6.8</v>
      </c>
      <c r="G2194" s="8" t="n">
        <v>7</v>
      </c>
      <c r="H2194" s="9" t="n">
        <v>58853</v>
      </c>
      <c r="I2194" s="7" t="s">
        <v>46</v>
      </c>
      <c r="J2194" s="7" t="s">
        <v>111</v>
      </c>
      <c r="K2194" s="7" t="s">
        <v>125</v>
      </c>
      <c r="L2194" s="10" t="s">
        <v>55</v>
      </c>
      <c r="M2194" s="10" t="s">
        <v>8838</v>
      </c>
      <c r="N2194" s="8" t="n">
        <v>0</v>
      </c>
      <c r="O2194" s="8" t="n">
        <v>0</v>
      </c>
      <c r="P2194" s="8" t="n">
        <v>0</v>
      </c>
      <c r="Q2194" s="8" t="n">
        <v>0</v>
      </c>
      <c r="R2194" s="13" t="n">
        <v>0</v>
      </c>
      <c r="S2194" s="13" t="n">
        <v>0</v>
      </c>
      <c r="T2194" s="13"/>
      <c r="U2194" s="11" t="n">
        <f aca="false">O2194*4 + P2194*2 + MAX(0,N2194-O2194-P2194)*1 + Q2194*0.2 + R2194*2 + S2194*1 + IF(T2194="",0,IF(T2194&lt;=10,8,IF(T2194&lt;=50,6,IF(T2194&lt;=100,4,2))))</f>
        <v>0</v>
      </c>
      <c r="V2194" s="7"/>
      <c r="W2194" s="7"/>
      <c r="X2194" s="13"/>
      <c r="Y2194" s="13" t="s">
        <v>8839</v>
      </c>
    </row>
    <row r="2195" customFormat="false" ht="15.75" hidden="false" customHeight="true" outlineLevel="0" collapsed="false">
      <c r="A2195" s="7" t="s">
        <v>8840</v>
      </c>
      <c r="B2195" s="8" t="n">
        <v>2005</v>
      </c>
      <c r="C2195" s="8" t="s">
        <v>35</v>
      </c>
      <c r="D2195" s="8" t="n">
        <v>119</v>
      </c>
      <c r="E2195" s="7" t="s">
        <v>5672</v>
      </c>
      <c r="F2195" s="8" t="n">
        <v>7.8</v>
      </c>
      <c r="G2195" s="8" t="n">
        <v>6</v>
      </c>
      <c r="H2195" s="9" t="n">
        <v>316789</v>
      </c>
      <c r="I2195" s="7" t="s">
        <v>46</v>
      </c>
      <c r="J2195" s="7" t="s">
        <v>111</v>
      </c>
      <c r="K2195" s="7" t="s">
        <v>2711</v>
      </c>
      <c r="L2195" s="10" t="s">
        <v>192</v>
      </c>
      <c r="M2195" s="7" t="s">
        <v>8841</v>
      </c>
      <c r="N2195" s="8" t="n">
        <v>0</v>
      </c>
      <c r="O2195" s="8" t="n">
        <v>0</v>
      </c>
      <c r="P2195" s="8" t="n">
        <v>0</v>
      </c>
      <c r="Q2195" s="8" t="n">
        <v>0</v>
      </c>
      <c r="R2195" s="13" t="n">
        <v>0</v>
      </c>
      <c r="S2195" s="13" t="n">
        <v>0</v>
      </c>
      <c r="T2195" s="13"/>
      <c r="U2195" s="11" t="n">
        <f aca="false">O2195*4 + P2195*2 + MAX(0,N2195-O2195-P2195)*1 + Q2195*0.2 + R2195*2 + S2195*1 + IF(T2195="",0,IF(T2195&lt;=10,8,IF(T2195&lt;=50,6,IF(T2195&lt;=100,4,2))))</f>
        <v>0</v>
      </c>
      <c r="V2195" s="7"/>
      <c r="W2195" s="7"/>
      <c r="X2195" s="13"/>
      <c r="Y2195" s="13" t="s">
        <v>8842</v>
      </c>
    </row>
    <row r="2196" customFormat="false" ht="15.75" hidden="false" customHeight="true" outlineLevel="0" collapsed="false">
      <c r="A2196" s="7" t="s">
        <v>8843</v>
      </c>
      <c r="B2196" s="8" t="n">
        <v>2004</v>
      </c>
      <c r="C2196" s="8" t="s">
        <v>35</v>
      </c>
      <c r="D2196" s="8" t="n">
        <v>99</v>
      </c>
      <c r="E2196" s="7" t="s">
        <v>7269</v>
      </c>
      <c r="F2196" s="8" t="n">
        <v>7.8</v>
      </c>
      <c r="G2196" s="8" t="n">
        <v>6</v>
      </c>
      <c r="H2196" s="9" t="n">
        <v>643218</v>
      </c>
      <c r="I2196" s="7"/>
      <c r="J2196" s="7" t="s">
        <v>30</v>
      </c>
      <c r="K2196" s="7" t="s">
        <v>147</v>
      </c>
      <c r="L2196" s="10" t="s">
        <v>8844</v>
      </c>
      <c r="M2196" s="7" t="s">
        <v>8845</v>
      </c>
      <c r="N2196" s="8" t="n">
        <v>0</v>
      </c>
      <c r="O2196" s="8" t="n">
        <v>0</v>
      </c>
      <c r="P2196" s="8" t="n">
        <v>0</v>
      </c>
      <c r="Q2196" s="8" t="n">
        <v>0</v>
      </c>
      <c r="R2196" s="13" t="n">
        <v>0</v>
      </c>
      <c r="S2196" s="13" t="n">
        <v>0</v>
      </c>
      <c r="T2196" s="13"/>
      <c r="U2196" s="11" t="n">
        <f aca="false">O2196*4 + P2196*2 + MAX(0,N2196-O2196-P2196)*1 + Q2196*0.2 + R2196*2 + S2196*1 + IF(T2196="",0,IF(T2196&lt;=10,8,IF(T2196&lt;=50,6,IF(T2196&lt;=100,4,2))))</f>
        <v>0</v>
      </c>
      <c r="V2196" s="7"/>
      <c r="W2196" s="7"/>
      <c r="X2196" s="13"/>
      <c r="Y2196" s="13" t="s">
        <v>8846</v>
      </c>
    </row>
    <row r="2197" customFormat="false" ht="15.75" hidden="false" customHeight="true" outlineLevel="0" collapsed="false">
      <c r="A2197" s="7" t="s">
        <v>8847</v>
      </c>
      <c r="B2197" s="8" t="n">
        <v>2024</v>
      </c>
      <c r="C2197" s="8" t="s">
        <v>378</v>
      </c>
      <c r="D2197" s="8" t="n">
        <v>118</v>
      </c>
      <c r="E2197" s="7" t="s">
        <v>5175</v>
      </c>
      <c r="F2197" s="8" t="n">
        <v>6.6</v>
      </c>
      <c r="G2197" s="8" t="n">
        <v>5</v>
      </c>
      <c r="H2197" s="9" t="n">
        <v>84162</v>
      </c>
      <c r="I2197" s="7"/>
      <c r="J2197" s="7" t="s">
        <v>579</v>
      </c>
      <c r="K2197" s="7" t="s">
        <v>39</v>
      </c>
      <c r="L2197" s="10" t="s">
        <v>177</v>
      </c>
      <c r="M2197" s="10" t="s">
        <v>8848</v>
      </c>
      <c r="N2197" s="8" t="n">
        <v>0</v>
      </c>
      <c r="O2197" s="8" t="n">
        <v>0</v>
      </c>
      <c r="P2197" s="8" t="n">
        <v>0</v>
      </c>
      <c r="Q2197" s="8" t="n">
        <v>0</v>
      </c>
      <c r="R2197" s="13" t="n">
        <v>0</v>
      </c>
      <c r="S2197" s="13" t="n">
        <v>0</v>
      </c>
      <c r="T2197" s="13"/>
      <c r="U2197" s="11" t="n">
        <f aca="false">O2197*4 + P2197*2 + MAX(0,N2197-O2197-P2197)*1 + Q2197*0.2 + R2197*2 + S2197*1 + IF(T2197="",0,IF(T2197&lt;=10,8,IF(T2197&lt;=50,6,IF(T2197&lt;=100,4,2))))</f>
        <v>0</v>
      </c>
      <c r="V2197" s="7"/>
      <c r="W2197" s="7"/>
      <c r="X2197" s="13"/>
      <c r="Y2197" s="13" t="s">
        <v>8849</v>
      </c>
    </row>
    <row r="2198" customFormat="false" ht="15.75" hidden="false" customHeight="true" outlineLevel="0" collapsed="false">
      <c r="A2198" s="7" t="s">
        <v>8850</v>
      </c>
      <c r="B2198" s="8" t="n">
        <v>2025</v>
      </c>
      <c r="C2198" s="8" t="s">
        <v>378</v>
      </c>
      <c r="D2198" s="8" t="n">
        <v>99</v>
      </c>
      <c r="E2198" s="7" t="s">
        <v>8851</v>
      </c>
      <c r="F2198" s="8" t="n">
        <v>5.5</v>
      </c>
      <c r="G2198" s="8" t="n">
        <v>5</v>
      </c>
      <c r="H2198" s="9" t="n">
        <v>28462</v>
      </c>
      <c r="I2198" s="7"/>
      <c r="J2198" s="7" t="s">
        <v>111</v>
      </c>
      <c r="K2198" s="7" t="s">
        <v>125</v>
      </c>
      <c r="L2198" s="10" t="s">
        <v>238</v>
      </c>
      <c r="M2198" s="10" t="s">
        <v>8852</v>
      </c>
      <c r="N2198" s="8" t="n">
        <v>0</v>
      </c>
      <c r="O2198" s="8" t="n">
        <v>0</v>
      </c>
      <c r="P2198" s="8" t="n">
        <v>0</v>
      </c>
      <c r="Q2198" s="8" t="n">
        <v>0</v>
      </c>
      <c r="R2198" s="13" t="n">
        <v>0</v>
      </c>
      <c r="S2198" s="13" t="n">
        <v>0</v>
      </c>
      <c r="T2198" s="13"/>
      <c r="U2198" s="11" t="n">
        <f aca="false">O2198*4 + P2198*2 + MAX(0,N2198-O2198-P2198)*1 + Q2198*0.2 + R2198*2 + S2198*1 + IF(T2198="",0,IF(T2198&lt;=10,8,IF(T2198&lt;=50,6,IF(T2198&lt;=100,4,2))))</f>
        <v>0</v>
      </c>
      <c r="V2198" s="7"/>
      <c r="W2198" s="7"/>
      <c r="X2198" s="13"/>
      <c r="Y2198" s="13" t="s">
        <v>8853</v>
      </c>
    </row>
    <row r="2199" customFormat="false" ht="15.75" hidden="false" customHeight="true" outlineLevel="0" collapsed="false">
      <c r="A2199" s="7" t="s">
        <v>8854</v>
      </c>
      <c r="B2199" s="8" t="n">
        <v>2021</v>
      </c>
      <c r="C2199" s="8" t="s">
        <v>378</v>
      </c>
      <c r="D2199" s="8" t="n">
        <v>92</v>
      </c>
      <c r="E2199" s="7" t="s">
        <v>8855</v>
      </c>
      <c r="F2199" s="8" t="n">
        <v>5.3</v>
      </c>
      <c r="G2199" s="8" t="n">
        <v>4</v>
      </c>
      <c r="H2199" s="9" t="n">
        <v>25310</v>
      </c>
      <c r="I2199" s="7" t="s">
        <v>46</v>
      </c>
      <c r="J2199" s="7" t="s">
        <v>112</v>
      </c>
      <c r="K2199" s="7" t="s">
        <v>125</v>
      </c>
      <c r="L2199" s="10" t="s">
        <v>238</v>
      </c>
      <c r="M2199" s="10" t="s">
        <v>8856</v>
      </c>
      <c r="N2199" s="8" t="n">
        <v>0</v>
      </c>
      <c r="O2199" s="8" t="n">
        <v>0</v>
      </c>
      <c r="P2199" s="8" t="n">
        <v>0</v>
      </c>
      <c r="Q2199" s="8" t="n">
        <v>0</v>
      </c>
      <c r="R2199" s="13" t="n">
        <v>0</v>
      </c>
      <c r="S2199" s="13" t="n">
        <v>0</v>
      </c>
      <c r="T2199" s="13"/>
      <c r="U2199" s="11" t="n">
        <f aca="false">O2199*4 + P2199*2 + MAX(0,N2199-O2199-P2199)*1 + Q2199*0.2 + R2199*2 + S2199*1 + IF(T2199="",0,IF(T2199&lt;=10,8,IF(T2199&lt;=50,6,IF(T2199&lt;=100,4,2))))</f>
        <v>0</v>
      </c>
      <c r="V2199" s="7"/>
      <c r="W2199" s="7"/>
      <c r="X2199" s="13"/>
      <c r="Y2199" s="13" t="s">
        <v>8857</v>
      </c>
    </row>
    <row r="2200" customFormat="false" ht="15.75" hidden="false" customHeight="true" outlineLevel="0" collapsed="false">
      <c r="A2200" s="7" t="s">
        <v>8858</v>
      </c>
      <c r="B2200" s="8" t="n">
        <v>2024</v>
      </c>
      <c r="C2200" s="8" t="s">
        <v>378</v>
      </c>
      <c r="D2200" s="8" t="n">
        <v>119</v>
      </c>
      <c r="E2200" s="7" t="s">
        <v>5326</v>
      </c>
      <c r="F2200" s="8" t="n">
        <v>6.5</v>
      </c>
      <c r="G2200" s="8" t="n">
        <v>6</v>
      </c>
      <c r="H2200" s="9" t="n">
        <v>197686</v>
      </c>
      <c r="I2200" s="7" t="s">
        <v>46</v>
      </c>
      <c r="J2200" s="7" t="s">
        <v>131</v>
      </c>
      <c r="K2200" s="7" t="s">
        <v>54</v>
      </c>
      <c r="L2200" s="10" t="s">
        <v>238</v>
      </c>
      <c r="M2200" s="10" t="s">
        <v>8859</v>
      </c>
      <c r="N2200" s="8" t="n">
        <v>0</v>
      </c>
      <c r="O2200" s="8" t="n">
        <v>0</v>
      </c>
      <c r="P2200" s="8" t="n">
        <v>0</v>
      </c>
      <c r="Q2200" s="8" t="n">
        <v>0</v>
      </c>
      <c r="R2200" s="13" t="n">
        <v>0</v>
      </c>
      <c r="S2200" s="13" t="n">
        <v>0</v>
      </c>
      <c r="T2200" s="13"/>
      <c r="U2200" s="11" t="n">
        <f aca="false">O2200*4 + P2200*2 + MAX(0,N2200-O2200-P2200)*1 + Q2200*0.2 + R2200*2 + S2200*1 + IF(T2200="",0,IF(T2200&lt;=10,8,IF(T2200&lt;=50,6,IF(T2200&lt;=100,4,2))))</f>
        <v>0</v>
      </c>
      <c r="V2200" s="7"/>
      <c r="W2200" s="7"/>
      <c r="X2200" s="13"/>
      <c r="Y2200" s="13" t="s">
        <v>8860</v>
      </c>
    </row>
    <row r="2201" customFormat="false" ht="15.75" hidden="false" customHeight="true" outlineLevel="0" collapsed="false">
      <c r="A2201" s="7" t="s">
        <v>8861</v>
      </c>
      <c r="B2201" s="8" t="n">
        <v>2023</v>
      </c>
      <c r="C2201" s="8" t="s">
        <v>378</v>
      </c>
      <c r="D2201" s="8" t="n">
        <v>90</v>
      </c>
      <c r="E2201" s="7" t="s">
        <v>8862</v>
      </c>
      <c r="F2201" s="8" t="n">
        <v>5.6</v>
      </c>
      <c r="G2201" s="8" t="n">
        <v>5</v>
      </c>
      <c r="H2201" s="9" t="n">
        <v>7501</v>
      </c>
      <c r="I2201" s="7" t="s">
        <v>700</v>
      </c>
      <c r="J2201" s="7" t="s">
        <v>147</v>
      </c>
      <c r="K2201" s="7" t="s">
        <v>131</v>
      </c>
      <c r="L2201" s="10" t="s">
        <v>113</v>
      </c>
      <c r="M2201" s="10" t="s">
        <v>8863</v>
      </c>
      <c r="N2201" s="8" t="n">
        <v>0</v>
      </c>
      <c r="O2201" s="8" t="n">
        <v>0</v>
      </c>
      <c r="P2201" s="8" t="n">
        <v>0</v>
      </c>
      <c r="Q2201" s="8" t="n">
        <v>0</v>
      </c>
      <c r="R2201" s="13" t="n">
        <v>0</v>
      </c>
      <c r="S2201" s="13" t="n">
        <v>0</v>
      </c>
      <c r="T2201" s="13"/>
      <c r="U2201" s="11" t="n">
        <f aca="false">O2201*4 + P2201*2 + MAX(0,N2201-O2201-P2201)*1 + Q2201*0.2 + R2201*2 + S2201*1 + IF(T2201="",0,IF(T2201&lt;=10,8,IF(T2201&lt;=50,6,IF(T2201&lt;=100,4,2))))</f>
        <v>0</v>
      </c>
      <c r="V2201" s="7"/>
      <c r="W2201" s="7"/>
      <c r="X2201" s="13"/>
      <c r="Y2201" s="13" t="s">
        <v>8864</v>
      </c>
    </row>
    <row r="2202" customFormat="false" ht="15.75" hidden="false" customHeight="true" outlineLevel="0" collapsed="false">
      <c r="A2202" s="7" t="s">
        <v>8865</v>
      </c>
      <c r="B2202" s="8" t="n">
        <v>2025</v>
      </c>
      <c r="C2202" s="8" t="s">
        <v>378</v>
      </c>
      <c r="D2202" s="8" t="n">
        <v>98</v>
      </c>
      <c r="E2202" s="7" t="s">
        <v>8866</v>
      </c>
      <c r="F2202" s="8" t="n">
        <v>5.9</v>
      </c>
      <c r="G2202" s="8" t="n">
        <v>4</v>
      </c>
      <c r="H2202" s="9" t="n">
        <v>11491</v>
      </c>
      <c r="I2202" s="7"/>
      <c r="J2202" s="7" t="s">
        <v>112</v>
      </c>
      <c r="K2202" s="7" t="s">
        <v>54</v>
      </c>
      <c r="L2202" s="10" t="s">
        <v>238</v>
      </c>
      <c r="M2202" s="10" t="s">
        <v>8867</v>
      </c>
      <c r="N2202" s="8" t="n">
        <v>0</v>
      </c>
      <c r="O2202" s="8" t="n">
        <v>0</v>
      </c>
      <c r="P2202" s="8" t="n">
        <v>0</v>
      </c>
      <c r="Q2202" s="8" t="n">
        <v>0</v>
      </c>
      <c r="R2202" s="13" t="n">
        <v>0</v>
      </c>
      <c r="S2202" s="13" t="n">
        <v>0</v>
      </c>
      <c r="T2202" s="13"/>
      <c r="U2202" s="11" t="n">
        <f aca="false">O2202*4 + P2202*2 + MAX(0,N2202-O2202-P2202)*1 + Q2202*0.2 + R2202*2 + S2202*1 + IF(T2202="",0,IF(T2202&lt;=10,8,IF(T2202&lt;=50,6,IF(T2202&lt;=100,4,2))))</f>
        <v>0</v>
      </c>
      <c r="V2202" s="7"/>
      <c r="W2202" s="7"/>
      <c r="X2202" s="13"/>
      <c r="Y2202" s="13" t="s">
        <v>8868</v>
      </c>
    </row>
    <row r="2203" customFormat="false" ht="15.75" hidden="false" customHeight="true" outlineLevel="0" collapsed="false">
      <c r="A2203" s="7" t="s">
        <v>8869</v>
      </c>
      <c r="B2203" s="8" t="n">
        <v>2018</v>
      </c>
      <c r="C2203" s="8" t="s">
        <v>176</v>
      </c>
      <c r="D2203" s="8" t="n">
        <v>121</v>
      </c>
      <c r="E2203" s="7" t="s">
        <v>2372</v>
      </c>
      <c r="F2203" s="8" t="n">
        <v>6.7</v>
      </c>
      <c r="G2203" s="8" t="n">
        <v>6</v>
      </c>
      <c r="H2203" s="9" t="n">
        <v>232261</v>
      </c>
      <c r="I2203" s="7" t="s">
        <v>46</v>
      </c>
      <c r="J2203" s="7" t="s">
        <v>112</v>
      </c>
      <c r="K2203" s="7" t="s">
        <v>54</v>
      </c>
      <c r="L2203" s="10" t="s">
        <v>1890</v>
      </c>
      <c r="M2203" s="10" t="s">
        <v>8870</v>
      </c>
      <c r="N2203" s="8" t="n">
        <v>0</v>
      </c>
      <c r="O2203" s="8" t="n">
        <v>0</v>
      </c>
      <c r="P2203" s="8" t="n">
        <v>0</v>
      </c>
      <c r="Q2203" s="8" t="n">
        <v>0</v>
      </c>
      <c r="R2203" s="13" t="n">
        <v>0</v>
      </c>
      <c r="S2203" s="13" t="n">
        <v>0</v>
      </c>
      <c r="T2203" s="13"/>
      <c r="U2203" s="11" t="n">
        <f aca="false">O2203*4 + P2203*2 + MAX(0,N2203-O2203-P2203)*1 + Q2203*0.2 + R2203*2 + S2203*1 + IF(T2203="",0,IF(T2203&lt;=10,8,IF(T2203&lt;=50,6,IF(T2203&lt;=100,4,2))))</f>
        <v>0</v>
      </c>
      <c r="V2203" s="7"/>
      <c r="W2203" s="7"/>
      <c r="X2203" s="13"/>
      <c r="Y2203" s="13" t="s">
        <v>8871</v>
      </c>
    </row>
    <row r="2204" customFormat="false" ht="15.75" hidden="false" customHeight="true" outlineLevel="0" collapsed="false">
      <c r="A2204" s="7" t="s">
        <v>8872</v>
      </c>
      <c r="B2204" s="8" t="n">
        <v>2024</v>
      </c>
      <c r="C2204" s="8" t="s">
        <v>378</v>
      </c>
      <c r="D2204" s="8" t="n">
        <v>127</v>
      </c>
      <c r="E2204" s="7" t="s">
        <v>8723</v>
      </c>
      <c r="F2204" s="8" t="n">
        <v>6.7</v>
      </c>
      <c r="G2204" s="8" t="n">
        <v>6</v>
      </c>
      <c r="H2204" s="9" t="n">
        <v>150793</v>
      </c>
      <c r="I2204" s="7" t="s">
        <v>46</v>
      </c>
      <c r="J2204" s="7" t="s">
        <v>147</v>
      </c>
      <c r="K2204" s="7" t="s">
        <v>125</v>
      </c>
      <c r="L2204" s="10" t="s">
        <v>972</v>
      </c>
      <c r="M2204" s="10" t="s">
        <v>8873</v>
      </c>
      <c r="N2204" s="8" t="n">
        <v>0</v>
      </c>
      <c r="O2204" s="8" t="n">
        <v>0</v>
      </c>
      <c r="P2204" s="8" t="n">
        <v>0</v>
      </c>
      <c r="Q2204" s="8" t="n">
        <v>0</v>
      </c>
      <c r="R2204" s="13" t="n">
        <v>0</v>
      </c>
      <c r="S2204" s="13" t="n">
        <v>0</v>
      </c>
      <c r="T2204" s="13"/>
      <c r="U2204" s="11" t="n">
        <f aca="false">O2204*4 + P2204*2 + MAX(0,N2204-O2204-P2204)*1 + Q2204*0.2 + R2204*2 + S2204*1 + IF(T2204="",0,IF(T2204&lt;=10,8,IF(T2204&lt;=50,6,IF(T2204&lt;=100,4,2))))</f>
        <v>0</v>
      </c>
      <c r="V2204" s="7"/>
      <c r="W2204" s="7"/>
      <c r="X2204" s="13"/>
      <c r="Y2204" s="13" t="s">
        <v>8874</v>
      </c>
    </row>
    <row r="2205" customFormat="false" ht="15.75" hidden="false" customHeight="true" outlineLevel="0" collapsed="false">
      <c r="A2205" s="7" t="s">
        <v>8875</v>
      </c>
      <c r="B2205" s="8" t="n">
        <v>2021</v>
      </c>
      <c r="C2205" s="8" t="s">
        <v>378</v>
      </c>
      <c r="D2205" s="8" t="n">
        <v>138</v>
      </c>
      <c r="E2205" s="7" t="s">
        <v>5110</v>
      </c>
      <c r="F2205" s="8" t="n">
        <v>7.1</v>
      </c>
      <c r="G2205" s="8" t="n">
        <v>6</v>
      </c>
      <c r="H2205" s="9" t="n">
        <v>678014</v>
      </c>
      <c r="I2205" s="7" t="s">
        <v>46</v>
      </c>
      <c r="J2205" s="7" t="s">
        <v>111</v>
      </c>
      <c r="K2205" s="7" t="s">
        <v>30</v>
      </c>
      <c r="L2205" s="10" t="s">
        <v>238</v>
      </c>
      <c r="M2205" s="7" t="s">
        <v>8876</v>
      </c>
      <c r="N2205" s="8" t="n">
        <v>0</v>
      </c>
      <c r="O2205" s="8" t="n">
        <v>0</v>
      </c>
      <c r="P2205" s="8" t="n">
        <v>0</v>
      </c>
      <c r="Q2205" s="8" t="n">
        <v>4</v>
      </c>
      <c r="R2205" s="8" t="n">
        <v>0</v>
      </c>
      <c r="S2205" s="8" t="n">
        <v>0</v>
      </c>
      <c r="T2205" s="13"/>
      <c r="U2205" s="11" t="n">
        <f aca="false">O2205*4 + P2205*2 + MAX(0,N2205-O2205-P2205)*1 + Q2205*0.2 + R2205*2 + S2205*1 + IF(T2205="",0,IF(T2205&lt;=10,8,IF(T2205&lt;=50,6,IF(T2205&lt;=100,4,2))))</f>
        <v>0.8</v>
      </c>
      <c r="V2205" s="7"/>
      <c r="W2205" s="7"/>
      <c r="X2205" s="13"/>
      <c r="Y2205" s="13" t="s">
        <v>8877</v>
      </c>
    </row>
    <row r="2206" customFormat="false" ht="15.75" hidden="false" customHeight="true" outlineLevel="0" collapsed="false">
      <c r="A2206" s="7" t="s">
        <v>8878</v>
      </c>
      <c r="B2206" s="8" t="n">
        <v>2008</v>
      </c>
      <c r="C2206" s="8" t="s">
        <v>35</v>
      </c>
      <c r="D2206" s="8" t="n">
        <v>110</v>
      </c>
      <c r="E2206" s="7" t="s">
        <v>8879</v>
      </c>
      <c r="F2206" s="8" t="n">
        <v>6.2</v>
      </c>
      <c r="G2206" s="8" t="n">
        <v>4</v>
      </c>
      <c r="H2206" s="9" t="n">
        <v>59784</v>
      </c>
      <c r="I2206" s="7" t="s">
        <v>46</v>
      </c>
      <c r="J2206" s="7" t="s">
        <v>131</v>
      </c>
      <c r="K2206" s="7" t="s">
        <v>54</v>
      </c>
      <c r="L2206" s="10"/>
      <c r="M2206" s="10" t="s">
        <v>8880</v>
      </c>
      <c r="N2206" s="8" t="n">
        <v>0</v>
      </c>
      <c r="O2206" s="8" t="n">
        <v>0</v>
      </c>
      <c r="P2206" s="8" t="n">
        <v>0</v>
      </c>
      <c r="Q2206" s="8" t="n">
        <v>0</v>
      </c>
      <c r="R2206" s="13" t="n">
        <v>0</v>
      </c>
      <c r="S2206" s="13" t="n">
        <v>0</v>
      </c>
      <c r="T2206" s="13"/>
      <c r="U2206" s="11" t="n">
        <f aca="false">O2206*4 + P2206*2 + MAX(0,N2206-O2206-P2206)*1 + Q2206*0.2 + R2206*2 + S2206*1 + IF(T2206="",0,IF(T2206&lt;=10,8,IF(T2206&lt;=50,6,IF(T2206&lt;=100,4,2))))</f>
        <v>0</v>
      </c>
      <c r="V2206" s="7"/>
      <c r="W2206" s="7"/>
      <c r="X2206" s="13"/>
      <c r="Y2206" s="13" t="s">
        <v>8881</v>
      </c>
    </row>
    <row r="2207" customFormat="false" ht="15.75" hidden="false" customHeight="true" outlineLevel="0" collapsed="false">
      <c r="A2207" s="7" t="s">
        <v>8882</v>
      </c>
      <c r="B2207" s="8" t="n">
        <v>2022</v>
      </c>
      <c r="C2207" s="8" t="s">
        <v>378</v>
      </c>
      <c r="D2207" s="8" t="n">
        <v>106</v>
      </c>
      <c r="E2207" s="7" t="s">
        <v>5498</v>
      </c>
      <c r="F2207" s="8" t="n">
        <v>6.7</v>
      </c>
      <c r="G2207" s="8" t="n">
        <v>5</v>
      </c>
      <c r="H2207" s="9" t="n">
        <v>261130</v>
      </c>
      <c r="I2207" s="7" t="s">
        <v>46</v>
      </c>
      <c r="J2207" s="7" t="s">
        <v>112</v>
      </c>
      <c r="K2207" s="7" t="s">
        <v>39</v>
      </c>
      <c r="L2207" s="10" t="s">
        <v>238</v>
      </c>
      <c r="M2207" s="7" t="s">
        <v>8883</v>
      </c>
      <c r="N2207" s="8" t="n">
        <v>0</v>
      </c>
      <c r="O2207" s="8" t="n">
        <v>0</v>
      </c>
      <c r="P2207" s="8" t="n">
        <v>0</v>
      </c>
      <c r="Q2207" s="8" t="n">
        <v>0</v>
      </c>
      <c r="R2207" s="13" t="n">
        <v>0</v>
      </c>
      <c r="S2207" s="13" t="n">
        <v>0</v>
      </c>
      <c r="T2207" s="13"/>
      <c r="U2207" s="11" t="n">
        <f aca="false">O2207*4 + P2207*2 + MAX(0,N2207-O2207-P2207)*1 + Q2207*0.2 + R2207*2 + S2207*1 + IF(T2207="",0,IF(T2207&lt;=10,8,IF(T2207&lt;=50,6,IF(T2207&lt;=100,4,2))))</f>
        <v>0</v>
      </c>
      <c r="V2207" s="7"/>
      <c r="W2207" s="7"/>
      <c r="X2207" s="13"/>
      <c r="Y2207" s="13" t="s">
        <v>8884</v>
      </c>
    </row>
    <row r="2208" customFormat="false" ht="15.75" hidden="false" customHeight="true" outlineLevel="0" collapsed="false">
      <c r="A2208" s="7" t="s">
        <v>8885</v>
      </c>
      <c r="B2208" s="8" t="n">
        <v>2025</v>
      </c>
      <c r="C2208" s="8" t="s">
        <v>378</v>
      </c>
      <c r="D2208" s="8" t="n">
        <v>137</v>
      </c>
      <c r="E2208" s="7" t="s">
        <v>5507</v>
      </c>
      <c r="F2208" s="8" t="n">
        <v>7.5</v>
      </c>
      <c r="G2208" s="8" t="n">
        <v>8</v>
      </c>
      <c r="H2208" s="9" t="n">
        <v>515294</v>
      </c>
      <c r="I2208" s="7"/>
      <c r="J2208" s="7" t="s">
        <v>147</v>
      </c>
      <c r="K2208" s="7"/>
      <c r="L2208" s="10" t="s">
        <v>238</v>
      </c>
      <c r="M2208" s="7" t="s">
        <v>8886</v>
      </c>
      <c r="N2208" s="8" t="n">
        <v>4</v>
      </c>
      <c r="O2208" s="8" t="n">
        <v>0</v>
      </c>
      <c r="P2208" s="8" t="n">
        <v>0</v>
      </c>
      <c r="Q2208" s="8" t="n">
        <v>16</v>
      </c>
      <c r="R2208" s="8" t="n">
        <v>0</v>
      </c>
      <c r="S2208" s="8" t="n">
        <v>0</v>
      </c>
      <c r="T2208" s="13"/>
      <c r="U2208" s="11" t="n">
        <f aca="false">O2208*4 + P2208*2 + MAX(0,N2208-O2208-P2208)*1 + Q2208*0.2 + R2208*2 + S2208*1 + IF(T2208="",0,IF(T2208&lt;=10,8,IF(T2208&lt;=50,6,IF(T2208&lt;=100,4,2))))</f>
        <v>7.2</v>
      </c>
      <c r="V2208" s="7"/>
      <c r="W2208" s="7"/>
      <c r="X2208" s="13"/>
      <c r="Y2208" s="13" t="s">
        <v>8887</v>
      </c>
    </row>
    <row r="2209" customFormat="false" ht="15.75" hidden="false" customHeight="true" outlineLevel="0" collapsed="false">
      <c r="A2209" s="7" t="s">
        <v>8888</v>
      </c>
      <c r="B2209" s="8" t="n">
        <v>2022</v>
      </c>
      <c r="C2209" s="8" t="s">
        <v>378</v>
      </c>
      <c r="D2209" s="8" t="n">
        <v>91</v>
      </c>
      <c r="E2209" s="7" t="s">
        <v>8889</v>
      </c>
      <c r="F2209" s="8" t="n">
        <v>6.9</v>
      </c>
      <c r="G2209" s="8" t="n">
        <v>6</v>
      </c>
      <c r="H2209" s="9" t="n">
        <v>125153</v>
      </c>
      <c r="I2209" s="7" t="s">
        <v>8890</v>
      </c>
      <c r="J2209" s="7" t="s">
        <v>154</v>
      </c>
      <c r="K2209" s="7" t="s">
        <v>131</v>
      </c>
      <c r="L2209" s="10" t="s">
        <v>113</v>
      </c>
      <c r="M2209" s="10" t="s">
        <v>8891</v>
      </c>
      <c r="N2209" s="8" t="n">
        <v>0</v>
      </c>
      <c r="O2209" s="8" t="n">
        <v>0</v>
      </c>
      <c r="P2209" s="8" t="n">
        <v>0</v>
      </c>
      <c r="Q2209" s="8" t="n">
        <v>0</v>
      </c>
      <c r="R2209" s="13" t="n">
        <v>0</v>
      </c>
      <c r="S2209" s="13" t="n">
        <v>0</v>
      </c>
      <c r="T2209" s="13"/>
      <c r="U2209" s="11" t="n">
        <f aca="false">O2209*4 + P2209*2 + MAX(0,N2209-O2209-P2209)*1 + Q2209*0.2 + R2209*2 + S2209*1 + IF(T2209="",0,IF(T2209&lt;=10,8,IF(T2209&lt;=50,6,IF(T2209&lt;=100,4,2))))</f>
        <v>0</v>
      </c>
      <c r="V2209" s="7"/>
      <c r="W2209" s="7"/>
      <c r="X2209" s="13"/>
      <c r="Y2209" s="13" t="s">
        <v>8892</v>
      </c>
    </row>
    <row r="2210" customFormat="false" ht="15.75" hidden="false" customHeight="true" outlineLevel="0" collapsed="false">
      <c r="A2210" s="7" t="s">
        <v>8893</v>
      </c>
      <c r="B2210" s="8" t="n">
        <v>2025</v>
      </c>
      <c r="C2210" s="8" t="s">
        <v>378</v>
      </c>
      <c r="D2210" s="8" t="n">
        <v>106</v>
      </c>
      <c r="E2210" s="7" t="s">
        <v>8894</v>
      </c>
      <c r="F2210" s="8" t="n">
        <v>4.1</v>
      </c>
      <c r="G2210" s="8" t="n">
        <v>1</v>
      </c>
      <c r="H2210" s="9" t="n">
        <v>29636</v>
      </c>
      <c r="I2210" s="7" t="s">
        <v>139</v>
      </c>
      <c r="J2210" s="7" t="s">
        <v>2730</v>
      </c>
      <c r="K2210" s="7" t="s">
        <v>48</v>
      </c>
      <c r="L2210" s="10" t="s">
        <v>238</v>
      </c>
      <c r="M2210" s="10" t="s">
        <v>8895</v>
      </c>
      <c r="N2210" s="8" t="n">
        <v>0</v>
      </c>
      <c r="O2210" s="8" t="n">
        <v>0</v>
      </c>
      <c r="P2210" s="8" t="n">
        <v>0</v>
      </c>
      <c r="Q2210" s="8" t="n">
        <v>0</v>
      </c>
      <c r="R2210" s="13" t="n">
        <v>0</v>
      </c>
      <c r="S2210" s="13" t="n">
        <v>0</v>
      </c>
      <c r="T2210" s="13"/>
      <c r="U2210" s="11" t="n">
        <f aca="false">O2210*4 + P2210*2 + MAX(0,N2210-O2210-P2210)*1 + Q2210*0.2 + R2210*2 + S2210*1 + IF(T2210="",0,IF(T2210&lt;=10,8,IF(T2210&lt;=50,6,IF(T2210&lt;=100,4,2))))</f>
        <v>0</v>
      </c>
      <c r="V2210" s="7"/>
      <c r="W2210" s="7"/>
      <c r="X2210" s="13"/>
      <c r="Y2210" s="13" t="s">
        <v>8896</v>
      </c>
    </row>
    <row r="2211" customFormat="false" ht="15.75" hidden="false" customHeight="true" outlineLevel="0" collapsed="false">
      <c r="A2211" s="7" t="s">
        <v>8897</v>
      </c>
      <c r="B2211" s="8" t="n">
        <v>2025</v>
      </c>
      <c r="C2211" s="8" t="s">
        <v>378</v>
      </c>
      <c r="D2211" s="8" t="n">
        <v>115</v>
      </c>
      <c r="E2211" s="7" t="s">
        <v>5819</v>
      </c>
      <c r="F2211" s="8" t="n">
        <v>6.6</v>
      </c>
      <c r="G2211" s="8" t="n">
        <v>7</v>
      </c>
      <c r="H2211" s="9" t="n">
        <v>224319</v>
      </c>
      <c r="I2211" s="7"/>
      <c r="J2211" s="7" t="s">
        <v>147</v>
      </c>
      <c r="K2211" s="7" t="s">
        <v>111</v>
      </c>
      <c r="L2211" s="10" t="s">
        <v>210</v>
      </c>
      <c r="M2211" s="10" t="s">
        <v>8898</v>
      </c>
      <c r="N2211" s="8" t="n">
        <v>0</v>
      </c>
      <c r="O2211" s="8" t="n">
        <v>0</v>
      </c>
      <c r="P2211" s="8" t="n">
        <v>0</v>
      </c>
      <c r="Q2211" s="8" t="n">
        <v>0</v>
      </c>
      <c r="R2211" s="13" t="n">
        <v>0</v>
      </c>
      <c r="S2211" s="13" t="n">
        <v>0</v>
      </c>
      <c r="T2211" s="13"/>
      <c r="U2211" s="11" t="n">
        <f aca="false">O2211*4 + P2211*2 + MAX(0,N2211-O2211-P2211)*1 + Q2211*0.2 + R2211*2 + S2211*1 + IF(T2211="",0,IF(T2211&lt;=10,8,IF(T2211&lt;=50,6,IF(T2211&lt;=100,4,2))))</f>
        <v>0</v>
      </c>
      <c r="V2211" s="7"/>
      <c r="W2211" s="7"/>
      <c r="X2211" s="13"/>
      <c r="Y2211" s="13" t="s">
        <v>8899</v>
      </c>
    </row>
    <row r="2212" customFormat="false" ht="15.75" hidden="false" customHeight="true" outlineLevel="0" collapsed="false">
      <c r="A2212" s="7" t="s">
        <v>8900</v>
      </c>
      <c r="B2212" s="8" t="n">
        <v>2023</v>
      </c>
      <c r="C2212" s="8" t="s">
        <v>378</v>
      </c>
      <c r="D2212" s="8" t="n">
        <v>109</v>
      </c>
      <c r="E2212" s="7" t="s">
        <v>2372</v>
      </c>
      <c r="F2212" s="8" t="n">
        <v>6.8</v>
      </c>
      <c r="G2212" s="8" t="n">
        <v>6</v>
      </c>
      <c r="H2212" s="9" t="n">
        <v>164697</v>
      </c>
      <c r="I2212" s="7" t="s">
        <v>551</v>
      </c>
      <c r="J2212" s="7" t="s">
        <v>131</v>
      </c>
      <c r="K2212" s="7" t="s">
        <v>54</v>
      </c>
      <c r="L2212" s="10" t="s">
        <v>1936</v>
      </c>
      <c r="M2212" s="10" t="s">
        <v>8901</v>
      </c>
      <c r="N2212" s="8" t="n">
        <v>0</v>
      </c>
      <c r="O2212" s="8" t="n">
        <v>0</v>
      </c>
      <c r="P2212" s="8" t="n">
        <v>0</v>
      </c>
      <c r="Q2212" s="8" t="n">
        <v>0</v>
      </c>
      <c r="R2212" s="13" t="n">
        <v>0</v>
      </c>
      <c r="S2212" s="13" t="n">
        <v>0</v>
      </c>
      <c r="T2212" s="13"/>
      <c r="U2212" s="11" t="n">
        <f aca="false">O2212*4 + P2212*2 + MAX(0,N2212-O2212-P2212)*1 + Q2212*0.2 + R2212*2 + S2212*1 + IF(T2212="",0,IF(T2212&lt;=10,8,IF(T2212&lt;=50,6,IF(T2212&lt;=100,4,2))))</f>
        <v>0</v>
      </c>
      <c r="V2212" s="7"/>
      <c r="W2212" s="7"/>
      <c r="X2212" s="13"/>
      <c r="Y2212" s="13" t="s">
        <v>8902</v>
      </c>
    </row>
    <row r="2213" customFormat="false" ht="15.75" hidden="false" customHeight="true" outlineLevel="0" collapsed="false">
      <c r="A2213" s="7" t="s">
        <v>8903</v>
      </c>
      <c r="B2213" s="8" t="n">
        <v>2025</v>
      </c>
      <c r="C2213" s="8" t="s">
        <v>378</v>
      </c>
      <c r="D2213" s="8" t="n">
        <v>133</v>
      </c>
      <c r="E2213" s="7" t="s">
        <v>5195</v>
      </c>
      <c r="F2213" s="8" t="n">
        <v>5.8</v>
      </c>
      <c r="G2213" s="8" t="n">
        <v>4</v>
      </c>
      <c r="H2213" s="9" t="n">
        <v>203690</v>
      </c>
      <c r="I2213" s="7"/>
      <c r="J2213" s="7" t="s">
        <v>111</v>
      </c>
      <c r="K2213" s="7" t="s">
        <v>112</v>
      </c>
      <c r="L2213" s="10" t="s">
        <v>192</v>
      </c>
      <c r="M2213" s="10" t="s">
        <v>8904</v>
      </c>
      <c r="N2213" s="8" t="n">
        <v>0</v>
      </c>
      <c r="O2213" s="8" t="n">
        <v>0</v>
      </c>
      <c r="P2213" s="8" t="n">
        <v>0</v>
      </c>
      <c r="Q2213" s="8" t="n">
        <v>1</v>
      </c>
      <c r="R2213" s="8" t="n">
        <v>0</v>
      </c>
      <c r="S2213" s="8" t="n">
        <v>0</v>
      </c>
      <c r="T2213" s="13"/>
      <c r="U2213" s="11" t="n">
        <f aca="false">O2213*4 + P2213*2 + MAX(0,N2213-O2213-P2213)*1 + Q2213*0.2 + R2213*2 + S2213*1 + IF(T2213="",0,IF(T2213&lt;=10,8,IF(T2213&lt;=50,6,IF(T2213&lt;=100,4,2))))</f>
        <v>0.2</v>
      </c>
      <c r="V2213" s="7"/>
      <c r="W2213" s="7"/>
      <c r="X2213" s="13"/>
      <c r="Y2213" s="13" t="s">
        <v>8905</v>
      </c>
    </row>
    <row r="2214" customFormat="false" ht="15.75" hidden="false" customHeight="true" outlineLevel="0" collapsed="false">
      <c r="A2214" s="7" t="s">
        <v>8906</v>
      </c>
      <c r="B2214" s="8" t="n">
        <v>2024</v>
      </c>
      <c r="C2214" s="8" t="s">
        <v>378</v>
      </c>
      <c r="D2214" s="8" t="n">
        <v>92</v>
      </c>
      <c r="E2214" s="7" t="s">
        <v>8907</v>
      </c>
      <c r="F2214" s="8" t="n">
        <v>5.8</v>
      </c>
      <c r="G2214" s="8" t="n">
        <v>5</v>
      </c>
      <c r="H2214" s="9" t="n">
        <v>46933</v>
      </c>
      <c r="I2214" s="7" t="s">
        <v>46</v>
      </c>
      <c r="J2214" s="7" t="s">
        <v>147</v>
      </c>
      <c r="K2214" s="7" t="s">
        <v>131</v>
      </c>
      <c r="L2214" s="10" t="s">
        <v>238</v>
      </c>
      <c r="M2214" s="10" t="s">
        <v>8908</v>
      </c>
      <c r="N2214" s="8" t="n">
        <v>0</v>
      </c>
      <c r="O2214" s="8" t="n">
        <v>0</v>
      </c>
      <c r="P2214" s="8" t="n">
        <v>0</v>
      </c>
      <c r="Q2214" s="8" t="n">
        <v>0</v>
      </c>
      <c r="R2214" s="13" t="n">
        <v>0</v>
      </c>
      <c r="S2214" s="13" t="n">
        <v>0</v>
      </c>
      <c r="T2214" s="13"/>
      <c r="U2214" s="11" t="n">
        <f aca="false">O2214*4 + P2214*2 + MAX(0,N2214-O2214-P2214)*1 + Q2214*0.2 + R2214*2 + S2214*1 + IF(T2214="",0,IF(T2214&lt;=10,8,IF(T2214&lt;=50,6,IF(T2214&lt;=100,4,2))))</f>
        <v>0</v>
      </c>
      <c r="V2214" s="7"/>
      <c r="W2214" s="7"/>
      <c r="X2214" s="13"/>
      <c r="Y2214" s="13" t="s">
        <v>8909</v>
      </c>
    </row>
    <row r="2215" customFormat="false" ht="15.75" hidden="false" customHeight="true" outlineLevel="0" collapsed="false">
      <c r="A2215" s="7" t="s">
        <v>8910</v>
      </c>
      <c r="B2215" s="8" t="n">
        <v>2025</v>
      </c>
      <c r="C2215" s="8" t="s">
        <v>378</v>
      </c>
      <c r="D2215" s="8" t="n">
        <v>127</v>
      </c>
      <c r="E2215" s="7" t="s">
        <v>8911</v>
      </c>
      <c r="F2215" s="8" t="n">
        <v>7.1</v>
      </c>
      <c r="G2215" s="8" t="n">
        <v>8</v>
      </c>
      <c r="H2215" s="9" t="n">
        <v>296453</v>
      </c>
      <c r="I2215" s="7" t="s">
        <v>46</v>
      </c>
      <c r="J2215" s="7" t="s">
        <v>112</v>
      </c>
      <c r="K2215" s="7" t="s">
        <v>54</v>
      </c>
      <c r="L2215" s="10" t="s">
        <v>177</v>
      </c>
      <c r="M2215" s="10" t="s">
        <v>8912</v>
      </c>
      <c r="N2215" s="8" t="n">
        <v>0</v>
      </c>
      <c r="O2215" s="8" t="n">
        <v>0</v>
      </c>
      <c r="P2215" s="8" t="n">
        <v>0</v>
      </c>
      <c r="Q2215" s="8" t="n">
        <v>0</v>
      </c>
      <c r="R2215" s="13" t="n">
        <v>0</v>
      </c>
      <c r="S2215" s="13" t="n">
        <v>0</v>
      </c>
      <c r="T2215" s="13"/>
      <c r="U2215" s="11" t="n">
        <f aca="false">O2215*4 + P2215*2 + MAX(0,N2215-O2215-P2215)*1 + Q2215*0.2 + R2215*2 + S2215*1 + IF(T2215="",0,IF(T2215&lt;=10,8,IF(T2215&lt;=50,6,IF(T2215&lt;=100,4,2))))</f>
        <v>0</v>
      </c>
      <c r="V2215" s="7"/>
      <c r="W2215" s="7"/>
      <c r="X2215" s="13"/>
      <c r="Y2215" s="13" t="s">
        <v>8913</v>
      </c>
    </row>
    <row r="2216" customFormat="false" ht="15.75" hidden="false" customHeight="true" outlineLevel="0" collapsed="false">
      <c r="A2216" s="7" t="s">
        <v>8914</v>
      </c>
      <c r="B2216" s="8" t="n">
        <v>2014</v>
      </c>
      <c r="C2216" s="8" t="s">
        <v>176</v>
      </c>
      <c r="D2216" s="8" t="n">
        <v>103</v>
      </c>
      <c r="E2216" s="7" t="s">
        <v>8915</v>
      </c>
      <c r="F2216" s="8" t="n">
        <v>6.3</v>
      </c>
      <c r="G2216" s="8" t="n">
        <v>6</v>
      </c>
      <c r="H2216" s="9" t="n">
        <v>67208</v>
      </c>
      <c r="I2216" s="7" t="s">
        <v>2011</v>
      </c>
      <c r="J2216" s="7" t="s">
        <v>147</v>
      </c>
      <c r="K2216" s="7" t="s">
        <v>54</v>
      </c>
      <c r="L2216" s="10" t="s">
        <v>126</v>
      </c>
      <c r="M2216" s="10" t="s">
        <v>8916</v>
      </c>
      <c r="N2216" s="8" t="n">
        <v>0</v>
      </c>
      <c r="O2216" s="8" t="n">
        <v>0</v>
      </c>
      <c r="P2216" s="8" t="n">
        <v>0</v>
      </c>
      <c r="Q2216" s="8" t="n">
        <v>0</v>
      </c>
      <c r="R2216" s="13" t="n">
        <v>0</v>
      </c>
      <c r="S2216" s="13" t="n">
        <v>0</v>
      </c>
      <c r="T2216" s="13"/>
      <c r="U2216" s="11" t="n">
        <f aca="false">O2216*4 + P2216*2 + MAX(0,N2216-O2216-P2216)*1 + Q2216*0.2 + R2216*2 + S2216*1 + IF(T2216="",0,IF(T2216&lt;=10,8,IF(T2216&lt;=50,6,IF(T2216&lt;=100,4,2))))</f>
        <v>0</v>
      </c>
      <c r="V2216" s="7"/>
      <c r="W2216" s="7"/>
      <c r="X2216" s="13"/>
      <c r="Y2216" s="13" t="s">
        <v>8917</v>
      </c>
    </row>
    <row r="2217" customFormat="false" ht="15.75" hidden="false" customHeight="true" outlineLevel="0" collapsed="false">
      <c r="A2217" s="7" t="s">
        <v>8918</v>
      </c>
      <c r="B2217" s="8" t="n">
        <v>2025</v>
      </c>
      <c r="C2217" s="8" t="s">
        <v>378</v>
      </c>
      <c r="D2217" s="8" t="n">
        <v>114</v>
      </c>
      <c r="E2217" s="7" t="s">
        <v>8919</v>
      </c>
      <c r="F2217" s="8" t="n">
        <v>6.1</v>
      </c>
      <c r="G2217" s="8" t="n">
        <v>5</v>
      </c>
      <c r="H2217" s="9" t="n">
        <v>121932</v>
      </c>
      <c r="I2217" s="7" t="s">
        <v>46</v>
      </c>
      <c r="J2217" s="7" t="s">
        <v>30</v>
      </c>
      <c r="K2217" s="7" t="s">
        <v>75</v>
      </c>
      <c r="L2217" s="10" t="s">
        <v>238</v>
      </c>
      <c r="M2217" s="10" t="s">
        <v>8920</v>
      </c>
      <c r="N2217" s="8" t="n">
        <v>0</v>
      </c>
      <c r="O2217" s="8" t="n">
        <v>0</v>
      </c>
      <c r="P2217" s="8" t="n">
        <v>0</v>
      </c>
      <c r="Q2217" s="8" t="n">
        <v>0</v>
      </c>
      <c r="R2217" s="13" t="n">
        <v>0</v>
      </c>
      <c r="S2217" s="13" t="n">
        <v>0</v>
      </c>
      <c r="T2217" s="13"/>
      <c r="U2217" s="11" t="n">
        <f aca="false">O2217*4 + P2217*2 + MAX(0,N2217-O2217-P2217)*1 + Q2217*0.2 + R2217*2 + S2217*1 + IF(T2217="",0,IF(T2217&lt;=10,8,IF(T2217&lt;=50,6,IF(T2217&lt;=100,4,2))))</f>
        <v>0</v>
      </c>
      <c r="V2217" s="7"/>
      <c r="W2217" s="7"/>
      <c r="X2217" s="13"/>
      <c r="Y2217" s="13" t="s">
        <v>8921</v>
      </c>
    </row>
    <row r="2218" customFormat="false" ht="15.75" hidden="false" customHeight="true" outlineLevel="0" collapsed="false">
      <c r="A2218" s="7" t="s">
        <v>8922</v>
      </c>
      <c r="B2218" s="8" t="n">
        <v>2025</v>
      </c>
      <c r="C2218" s="8" t="s">
        <v>378</v>
      </c>
      <c r="D2218" s="8" t="n">
        <v>128</v>
      </c>
      <c r="E2218" s="7" t="s">
        <v>8827</v>
      </c>
      <c r="F2218" s="8" t="n">
        <v>7.4</v>
      </c>
      <c r="G2218" s="8" t="n">
        <v>8</v>
      </c>
      <c r="H2218" s="9" t="n">
        <v>391086</v>
      </c>
      <c r="I2218" s="7" t="s">
        <v>46</v>
      </c>
      <c r="J2218" s="7" t="s">
        <v>147</v>
      </c>
      <c r="K2218" s="7" t="s">
        <v>125</v>
      </c>
      <c r="L2218" s="10" t="s">
        <v>155</v>
      </c>
      <c r="M2218" s="10" t="s">
        <v>8923</v>
      </c>
      <c r="N2218" s="8" t="n">
        <v>1</v>
      </c>
      <c r="O2218" s="8" t="n">
        <v>0</v>
      </c>
      <c r="P2218" s="8" t="n">
        <v>0</v>
      </c>
      <c r="Q2218" s="8" t="n">
        <v>1</v>
      </c>
      <c r="R2218" s="8" t="n">
        <v>0</v>
      </c>
      <c r="S2218" s="8" t="n">
        <v>0</v>
      </c>
      <c r="T2218" s="13"/>
      <c r="U2218" s="11" t="n">
        <f aca="false">O2218*4 + P2218*2 + MAX(0,N2218-O2218-P2218)*1 + Q2218*0.2 + R2218*2 + S2218*1 + IF(T2218="",0,IF(T2218&lt;=10,8,IF(T2218&lt;=50,6,IF(T2218&lt;=100,4,2))))</f>
        <v>1.2</v>
      </c>
      <c r="V2218" s="7"/>
      <c r="W2218" s="7"/>
      <c r="X2218" s="13"/>
      <c r="Y2218" s="13" t="s">
        <v>8924</v>
      </c>
    </row>
    <row r="2219" customFormat="false" ht="15.75" hidden="false" customHeight="true" outlineLevel="0" collapsed="false">
      <c r="A2219" s="7" t="s">
        <v>8925</v>
      </c>
      <c r="B2219" s="8" t="n">
        <v>2022</v>
      </c>
      <c r="C2219" s="8" t="s">
        <v>378</v>
      </c>
      <c r="D2219" s="8" t="n">
        <v>100</v>
      </c>
      <c r="E2219" s="7" t="s">
        <v>8926</v>
      </c>
      <c r="F2219" s="8" t="n">
        <v>7.1</v>
      </c>
      <c r="G2219" s="8" t="n">
        <v>5</v>
      </c>
      <c r="H2219" s="9" t="n">
        <v>276219</v>
      </c>
      <c r="I2219" s="7" t="s">
        <v>46</v>
      </c>
      <c r="J2219" s="7" t="s">
        <v>147</v>
      </c>
      <c r="K2219" s="7" t="s">
        <v>112</v>
      </c>
      <c r="L2219" s="10" t="s">
        <v>177</v>
      </c>
      <c r="M2219" s="7" t="s">
        <v>8927</v>
      </c>
      <c r="N2219" s="8" t="n">
        <v>0</v>
      </c>
      <c r="O2219" s="8" t="n">
        <v>0</v>
      </c>
      <c r="P2219" s="8" t="n">
        <v>0</v>
      </c>
      <c r="Q2219" s="8" t="n">
        <v>0</v>
      </c>
      <c r="R2219" s="13" t="n">
        <v>0</v>
      </c>
      <c r="S2219" s="13" t="n">
        <v>0</v>
      </c>
      <c r="T2219" s="13"/>
      <c r="U2219" s="11" t="n">
        <f aca="false">O2219*4 + P2219*2 + MAX(0,N2219-O2219-P2219)*1 + Q2219*0.2 + R2219*2 + S2219*1 + IF(T2219="",0,IF(T2219&lt;=10,8,IF(T2219&lt;=50,6,IF(T2219&lt;=100,4,2))))</f>
        <v>0</v>
      </c>
      <c r="V2219" s="7"/>
      <c r="W2219" s="7"/>
      <c r="X2219" s="13"/>
      <c r="Y2219" s="13" t="s">
        <v>8928</v>
      </c>
    </row>
    <row r="2220" customFormat="false" ht="15.75" hidden="false" customHeight="true" outlineLevel="0" collapsed="false">
      <c r="A2220" s="7" t="s">
        <v>8929</v>
      </c>
      <c r="B2220" s="8" t="n">
        <v>2019</v>
      </c>
      <c r="C2220" s="8" t="s">
        <v>176</v>
      </c>
      <c r="D2220" s="8" t="n">
        <v>96</v>
      </c>
      <c r="E2220" s="7" t="s">
        <v>8930</v>
      </c>
      <c r="F2220" s="8" t="n">
        <v>4.8</v>
      </c>
      <c r="G2220" s="8" t="n">
        <v>4</v>
      </c>
      <c r="H2220" s="9" t="n">
        <v>38186</v>
      </c>
      <c r="I2220" s="7" t="s">
        <v>46</v>
      </c>
      <c r="J2220" s="7" t="s">
        <v>111</v>
      </c>
      <c r="K2220" s="7" t="s">
        <v>39</v>
      </c>
      <c r="L2220" s="10" t="s">
        <v>238</v>
      </c>
      <c r="M2220" s="10" t="s">
        <v>8931</v>
      </c>
      <c r="N2220" s="8" t="n">
        <v>0</v>
      </c>
      <c r="O2220" s="8" t="n">
        <v>0</v>
      </c>
      <c r="P2220" s="8" t="n">
        <v>0</v>
      </c>
      <c r="Q2220" s="8" t="n">
        <v>0</v>
      </c>
      <c r="R2220" s="13" t="n">
        <v>0</v>
      </c>
      <c r="S2220" s="13" t="n">
        <v>0</v>
      </c>
      <c r="T2220" s="13"/>
      <c r="U2220" s="11" t="n">
        <f aca="false">O2220*4 + P2220*2 + MAX(0,N2220-O2220-P2220)*1 + Q2220*0.2 + R2220*2 + S2220*1 + IF(T2220="",0,IF(T2220&lt;=10,8,IF(T2220&lt;=50,6,IF(T2220&lt;=100,4,2))))</f>
        <v>0</v>
      </c>
      <c r="V2220" s="7"/>
      <c r="W2220" s="7"/>
      <c r="X2220" s="13"/>
      <c r="Y2220" s="13" t="s">
        <v>8932</v>
      </c>
    </row>
    <row r="2221" customFormat="false" ht="15.75" hidden="false" customHeight="true" outlineLevel="0" collapsed="false">
      <c r="A2221" s="7" t="s">
        <v>8933</v>
      </c>
      <c r="B2221" s="8" t="n">
        <v>2025</v>
      </c>
      <c r="C2221" s="8" t="s">
        <v>378</v>
      </c>
      <c r="D2221" s="8" t="n">
        <v>197</v>
      </c>
      <c r="E2221" s="7" t="s">
        <v>110</v>
      </c>
      <c r="F2221" s="8" t="n">
        <v>7.2</v>
      </c>
      <c r="G2221" s="8" t="n">
        <v>6</v>
      </c>
      <c r="H2221" s="9" t="n">
        <v>204040</v>
      </c>
      <c r="I2221" s="7" t="s">
        <v>46</v>
      </c>
      <c r="J2221" s="7" t="s">
        <v>112</v>
      </c>
      <c r="K2221" s="7" t="s">
        <v>39</v>
      </c>
      <c r="L2221" s="10" t="s">
        <v>177</v>
      </c>
      <c r="M2221" s="10" t="s">
        <v>8934</v>
      </c>
      <c r="N2221" s="8" t="n">
        <v>1</v>
      </c>
      <c r="O2221" s="8" t="n">
        <v>0</v>
      </c>
      <c r="P2221" s="8" t="n">
        <v>0</v>
      </c>
      <c r="Q2221" s="8" t="n">
        <v>2</v>
      </c>
      <c r="R2221" s="8" t="n">
        <v>0</v>
      </c>
      <c r="S2221" s="8" t="n">
        <v>0</v>
      </c>
      <c r="T2221" s="13"/>
      <c r="U2221" s="11" t="n">
        <f aca="false">O2221*4 + P2221*2 + MAX(0,N2221-O2221-P2221)*1 + Q2221*0.2 + R2221*2 + S2221*1 + IF(T2221="",0,IF(T2221&lt;=10,8,IF(T2221&lt;=50,6,IF(T2221&lt;=100,4,2))))</f>
        <v>1.4</v>
      </c>
      <c r="V2221" s="7"/>
      <c r="W2221" s="7"/>
      <c r="X2221" s="13"/>
      <c r="Y2221" s="13" t="s">
        <v>8935</v>
      </c>
    </row>
    <row r="2222" customFormat="false" ht="15.75" hidden="false" customHeight="true" outlineLevel="0" collapsed="false">
      <c r="A2222" s="7" t="s">
        <v>8936</v>
      </c>
      <c r="B2222" s="8" t="n">
        <v>2025</v>
      </c>
      <c r="C2222" s="8" t="s">
        <v>378</v>
      </c>
      <c r="D2222" s="8" t="n">
        <v>107</v>
      </c>
      <c r="E2222" s="7" t="s">
        <v>8926</v>
      </c>
      <c r="F2222" s="8" t="n">
        <v>7.2</v>
      </c>
      <c r="G2222" s="8" t="n">
        <v>6</v>
      </c>
      <c r="H2222" s="9" t="n">
        <v>165387</v>
      </c>
      <c r="I2222" s="7"/>
      <c r="J2222" s="7" t="s">
        <v>111</v>
      </c>
      <c r="K2222" s="7" t="s">
        <v>112</v>
      </c>
      <c r="L2222" s="10" t="s">
        <v>177</v>
      </c>
      <c r="M2222" s="10" t="s">
        <v>8937</v>
      </c>
      <c r="N2222" s="8" t="n">
        <v>0</v>
      </c>
      <c r="O2222" s="8" t="n">
        <v>0</v>
      </c>
      <c r="P2222" s="8" t="n">
        <v>0</v>
      </c>
      <c r="Q2222" s="8" t="n">
        <v>0</v>
      </c>
      <c r="R2222" s="13" t="n">
        <v>0</v>
      </c>
      <c r="S2222" s="13" t="n">
        <v>0</v>
      </c>
      <c r="T2222" s="13"/>
      <c r="U2222" s="11" t="n">
        <f aca="false">O2222*4 + P2222*2 + MAX(0,N2222-O2222-P2222)*1 + Q2222*0.2 + R2222*2 + S2222*1 + IF(T2222="",0,IF(T2222&lt;=10,8,IF(T2222&lt;=50,6,IF(T2222&lt;=100,4,2))))</f>
        <v>0</v>
      </c>
      <c r="V2222" s="7"/>
      <c r="W2222" s="7"/>
      <c r="X2222" s="13"/>
      <c r="Y2222" s="13" t="s">
        <v>8938</v>
      </c>
    </row>
    <row r="2223" customFormat="false" ht="15.75" hidden="false" customHeight="true" outlineLevel="0" collapsed="false">
      <c r="A2223" s="7" t="s">
        <v>8939</v>
      </c>
      <c r="B2223" s="8" t="n">
        <v>1990</v>
      </c>
      <c r="C2223" s="8" t="s">
        <v>26</v>
      </c>
      <c r="D2223" s="8" t="n">
        <v>108</v>
      </c>
      <c r="E2223" s="7" t="s">
        <v>7518</v>
      </c>
      <c r="F2223" s="8" t="n">
        <v>6.3</v>
      </c>
      <c r="G2223" s="8" t="n">
        <v>5</v>
      </c>
      <c r="H2223" s="9" t="n">
        <v>203750</v>
      </c>
      <c r="I2223" s="7" t="s">
        <v>46</v>
      </c>
      <c r="J2223" s="7" t="s">
        <v>147</v>
      </c>
      <c r="K2223" s="7" t="s">
        <v>111</v>
      </c>
      <c r="L2223" s="10" t="s">
        <v>552</v>
      </c>
      <c r="M2223" s="10" t="s">
        <v>8940</v>
      </c>
      <c r="N2223" s="8" t="n">
        <v>0</v>
      </c>
      <c r="O2223" s="8" t="n">
        <v>0</v>
      </c>
      <c r="P2223" s="8" t="n">
        <v>0</v>
      </c>
      <c r="Q2223" s="8" t="n">
        <v>0</v>
      </c>
      <c r="R2223" s="13" t="n">
        <v>0</v>
      </c>
      <c r="S2223" s="13" t="n">
        <v>0</v>
      </c>
      <c r="T2223" s="13"/>
      <c r="U2223" s="11" t="n">
        <f aca="false">O2223*4 + P2223*2 + MAX(0,N2223-O2223-P2223)*1 + Q2223*0.2 + R2223*2 + S2223*1 + IF(T2223="",0,IF(T2223&lt;=10,8,IF(T2223&lt;=50,6,IF(T2223&lt;=100,4,2))))</f>
        <v>0</v>
      </c>
      <c r="V2223" s="7"/>
      <c r="W2223" s="7"/>
      <c r="X2223" s="13"/>
      <c r="Y2223" s="13" t="s">
        <v>8941</v>
      </c>
    </row>
    <row r="2224" customFormat="false" ht="15.75" hidden="false" customHeight="true" outlineLevel="0" collapsed="false">
      <c r="A2224" s="7" t="s">
        <v>8942</v>
      </c>
      <c r="B2224" s="8" t="n">
        <v>2010</v>
      </c>
      <c r="C2224" s="8" t="s">
        <v>176</v>
      </c>
      <c r="D2224" s="8" t="n">
        <v>107</v>
      </c>
      <c r="E2224" s="7" t="s">
        <v>8943</v>
      </c>
      <c r="F2224" s="8" t="n">
        <v>6.4</v>
      </c>
      <c r="G2224" s="8" t="n">
        <v>4</v>
      </c>
      <c r="H2224" s="9" t="n">
        <v>264154</v>
      </c>
      <c r="I2224" s="7" t="s">
        <v>46</v>
      </c>
      <c r="J2224" s="7" t="s">
        <v>111</v>
      </c>
      <c r="K2224" s="7" t="s">
        <v>2004</v>
      </c>
      <c r="L2224" s="10" t="s">
        <v>177</v>
      </c>
      <c r="M2224" s="7" t="s">
        <v>8944</v>
      </c>
      <c r="N2224" s="8" t="n">
        <v>0</v>
      </c>
      <c r="O2224" s="8" t="n">
        <v>0</v>
      </c>
      <c r="P2224" s="8" t="n">
        <v>0</v>
      </c>
      <c r="Q2224" s="8" t="n">
        <v>0</v>
      </c>
      <c r="R2224" s="13" t="n">
        <v>0</v>
      </c>
      <c r="S2224" s="13" t="n">
        <v>0</v>
      </c>
      <c r="T2224" s="13"/>
      <c r="U2224" s="11" t="n">
        <f aca="false">O2224*4 + P2224*2 + MAX(0,N2224-O2224-P2224)*1 + Q2224*0.2 + R2224*2 + S2224*1 + IF(T2224="",0,IF(T2224&lt;=10,8,IF(T2224&lt;=50,6,IF(T2224&lt;=100,4,2))))</f>
        <v>0</v>
      </c>
      <c r="V2224" s="7"/>
      <c r="W2224" s="7"/>
      <c r="X2224" s="13"/>
      <c r="Y2224" s="13" t="s">
        <v>8945</v>
      </c>
    </row>
    <row r="2225" customFormat="false" ht="15.75" hidden="false" customHeight="true" outlineLevel="0" collapsed="false">
      <c r="A2225" s="7" t="s">
        <v>8946</v>
      </c>
      <c r="B2225" s="8" t="n">
        <v>2024</v>
      </c>
      <c r="C2225" s="8" t="s">
        <v>378</v>
      </c>
      <c r="D2225" s="8" t="n">
        <v>119</v>
      </c>
      <c r="E2225" s="7" t="s">
        <v>8263</v>
      </c>
      <c r="F2225" s="8" t="n">
        <v>7.1</v>
      </c>
      <c r="G2225" s="8" t="n">
        <v>6</v>
      </c>
      <c r="H2225" s="9" t="n">
        <v>293068</v>
      </c>
      <c r="I2225" s="7" t="s">
        <v>359</v>
      </c>
      <c r="J2225" s="7" t="s">
        <v>147</v>
      </c>
      <c r="K2225" s="7" t="s">
        <v>111</v>
      </c>
      <c r="L2225" s="10" t="s">
        <v>177</v>
      </c>
      <c r="M2225" s="7" t="s">
        <v>8947</v>
      </c>
      <c r="N2225" s="8" t="n">
        <v>0</v>
      </c>
      <c r="O2225" s="8" t="n">
        <v>0</v>
      </c>
      <c r="P2225" s="8" t="n">
        <v>0</v>
      </c>
      <c r="Q2225" s="8" t="n">
        <v>1</v>
      </c>
      <c r="R2225" s="8" t="n">
        <v>0</v>
      </c>
      <c r="S2225" s="8" t="n">
        <v>0</v>
      </c>
      <c r="T2225" s="13"/>
      <c r="U2225" s="11" t="n">
        <f aca="false">O2225*4 + P2225*2 + MAX(0,N2225-O2225-P2225)*1 + Q2225*0.2 + R2225*2 + S2225*1 + IF(T2225="",0,IF(T2225&lt;=10,8,IF(T2225&lt;=50,6,IF(T2225&lt;=100,4,2))))</f>
        <v>0.2</v>
      </c>
      <c r="V2225" s="7"/>
      <c r="W2225" s="7"/>
      <c r="X2225" s="13"/>
      <c r="Y2225" s="13" t="s">
        <v>8948</v>
      </c>
    </row>
    <row r="2226" customFormat="false" ht="15.75" hidden="false" customHeight="true" outlineLevel="0" collapsed="false">
      <c r="A2226" s="7" t="s">
        <v>8949</v>
      </c>
      <c r="B2226" s="8" t="n">
        <v>2026</v>
      </c>
      <c r="C2226" s="8" t="s">
        <v>378</v>
      </c>
      <c r="D2226" s="8" t="n">
        <v>83</v>
      </c>
      <c r="E2226" s="7" t="s">
        <v>8745</v>
      </c>
      <c r="F2226" s="8" t="n">
        <v>4.5</v>
      </c>
      <c r="G2226" s="8" t="n">
        <v>5</v>
      </c>
      <c r="H2226" s="9" t="n">
        <v>11866</v>
      </c>
      <c r="I2226" s="7"/>
      <c r="J2226" s="7" t="s">
        <v>30</v>
      </c>
      <c r="K2226" s="7" t="s">
        <v>54</v>
      </c>
      <c r="L2226" s="10" t="s">
        <v>1293</v>
      </c>
      <c r="M2226" s="10" t="s">
        <v>8950</v>
      </c>
      <c r="N2226" s="8" t="n">
        <v>0</v>
      </c>
      <c r="O2226" s="8" t="n">
        <v>0</v>
      </c>
      <c r="P2226" s="8" t="n">
        <v>0</v>
      </c>
      <c r="Q2226" s="8" t="n">
        <v>0</v>
      </c>
      <c r="R2226" s="13" t="n">
        <v>0</v>
      </c>
      <c r="S2226" s="13" t="n">
        <v>0</v>
      </c>
      <c r="T2226" s="13"/>
      <c r="U2226" s="11" t="n">
        <f aca="false">O2226*4 + P2226*2 + MAX(0,N2226-O2226-P2226)*1 + Q2226*0.2 + R2226*2 + S2226*1 + IF(T2226="",0,IF(T2226&lt;=10,8,IF(T2226&lt;=50,6,IF(T2226&lt;=100,4,2))))</f>
        <v>0</v>
      </c>
      <c r="V2226" s="7"/>
      <c r="W2226" s="7"/>
      <c r="X2226" s="13"/>
      <c r="Y2226" s="13" t="s">
        <v>8951</v>
      </c>
    </row>
    <row r="2227" customFormat="false" ht="15.75" hidden="false" customHeight="true" outlineLevel="0" collapsed="false">
      <c r="A2227" s="7" t="s">
        <v>8952</v>
      </c>
      <c r="B2227" s="8" t="n">
        <v>2026</v>
      </c>
      <c r="C2227" s="8" t="s">
        <v>378</v>
      </c>
      <c r="D2227" s="8" t="n">
        <v>102</v>
      </c>
      <c r="E2227" s="7" t="s">
        <v>8953</v>
      </c>
      <c r="F2227" s="8" t="n">
        <v>7.5</v>
      </c>
      <c r="G2227" s="8" t="n">
        <v>5</v>
      </c>
      <c r="H2227" s="9" t="n">
        <v>64407</v>
      </c>
      <c r="I2227" s="7"/>
      <c r="J2227" s="7" t="s">
        <v>579</v>
      </c>
      <c r="K2227" s="7" t="s">
        <v>39</v>
      </c>
      <c r="L2227" s="10" t="s">
        <v>177</v>
      </c>
      <c r="M2227" s="10" t="s">
        <v>8954</v>
      </c>
      <c r="N2227" s="8" t="n">
        <v>0</v>
      </c>
      <c r="O2227" s="8" t="n">
        <v>0</v>
      </c>
      <c r="P2227" s="8" t="n">
        <v>0</v>
      </c>
      <c r="Q2227" s="8" t="n">
        <v>0</v>
      </c>
      <c r="R2227" s="13" t="n">
        <v>0</v>
      </c>
      <c r="S2227" s="13" t="n">
        <v>0</v>
      </c>
      <c r="T2227" s="13"/>
      <c r="U2227" s="11" t="n">
        <f aca="false">O2227*4 + P2227*2 + MAX(0,N2227-O2227-P2227)*1 + Q2227*0.2 + R2227*2 + S2227*1 + IF(T2227="",0,IF(T2227&lt;=10,8,IF(T2227&lt;=50,6,IF(T2227&lt;=100,4,2))))</f>
        <v>0</v>
      </c>
      <c r="V2227" s="7"/>
      <c r="W2227" s="7"/>
      <c r="X2227" s="13"/>
      <c r="Y2227" s="13" t="s">
        <v>8955</v>
      </c>
    </row>
    <row r="2228" customFormat="false" ht="15.75" hidden="false" customHeight="true" outlineLevel="0" collapsed="false">
      <c r="A2228" s="7" t="s">
        <v>8956</v>
      </c>
      <c r="B2228" s="8" t="n">
        <v>2024</v>
      </c>
      <c r="C2228" s="8" t="s">
        <v>378</v>
      </c>
      <c r="D2228" s="8" t="n">
        <v>148</v>
      </c>
      <c r="E2228" s="7" t="s">
        <v>1074</v>
      </c>
      <c r="F2228" s="8" t="n">
        <v>6.4</v>
      </c>
      <c r="G2228" s="8" t="n">
        <v>4</v>
      </c>
      <c r="H2228" s="9" t="n">
        <v>309192</v>
      </c>
      <c r="I2228" s="7" t="s">
        <v>359</v>
      </c>
      <c r="J2228" s="7" t="s">
        <v>39</v>
      </c>
      <c r="K2228" s="7" t="s">
        <v>47</v>
      </c>
      <c r="L2228" s="10" t="s">
        <v>8957</v>
      </c>
      <c r="M2228" s="7" t="s">
        <v>8958</v>
      </c>
      <c r="N2228" s="8" t="n">
        <v>0</v>
      </c>
      <c r="O2228" s="8" t="n">
        <v>0</v>
      </c>
      <c r="P2228" s="8" t="n">
        <v>0</v>
      </c>
      <c r="Q2228" s="8" t="n">
        <v>1</v>
      </c>
      <c r="R2228" s="8" t="n">
        <v>0</v>
      </c>
      <c r="S2228" s="8" t="n">
        <v>0</v>
      </c>
      <c r="T2228" s="8"/>
      <c r="U2228" s="11" t="n">
        <f aca="false">O2228*4 + P2228*2 + MAX(0,N2228-O2228-P2228)*1 + Q2228*0.2 + R2228*2 + S2228*1 + IF(T2228="",0,IF(T2228&lt;=10,8,IF(T2228&lt;=50,6,IF(T2228&lt;=100,4,2))))</f>
        <v>0.2</v>
      </c>
      <c r="V2228" s="7"/>
      <c r="W2228" s="7"/>
      <c r="X2228" s="13"/>
      <c r="Y2228" s="13" t="s">
        <v>8959</v>
      </c>
    </row>
    <row r="2229" customFormat="false" ht="15.75" hidden="false" customHeight="true" outlineLevel="0" collapsed="false">
      <c r="A2229" s="7" t="s">
        <v>8960</v>
      </c>
      <c r="B2229" s="8" t="n">
        <v>1999</v>
      </c>
      <c r="C2229" s="8" t="s">
        <v>26</v>
      </c>
      <c r="D2229" s="8" t="n">
        <v>92</v>
      </c>
      <c r="E2229" s="7" t="s">
        <v>4948</v>
      </c>
      <c r="F2229" s="8" t="n">
        <v>7.3</v>
      </c>
      <c r="G2229" s="8"/>
      <c r="H2229" s="9" t="n">
        <v>18592</v>
      </c>
      <c r="I2229" s="7" t="s">
        <v>219</v>
      </c>
      <c r="J2229" s="7" t="s">
        <v>154</v>
      </c>
      <c r="K2229" s="7" t="s">
        <v>47</v>
      </c>
      <c r="L2229" s="10"/>
      <c r="M2229" s="7" t="s">
        <v>8961</v>
      </c>
      <c r="N2229" s="8" t="n">
        <v>0</v>
      </c>
      <c r="O2229" s="8" t="n">
        <v>0</v>
      </c>
      <c r="P2229" s="8" t="n">
        <v>0</v>
      </c>
      <c r="Q2229" s="8" t="n">
        <v>0</v>
      </c>
      <c r="R2229" s="8" t="n">
        <v>0</v>
      </c>
      <c r="S2229" s="8" t="n">
        <v>0</v>
      </c>
      <c r="T2229" s="8" t="n">
        <v>7</v>
      </c>
      <c r="U2229" s="11" t="n">
        <f aca="false">O2229*4 + P2229*2 + MAX(0,N2229-O2229-P2229)*1 + Q2229*0.2 + R2229*2 + S2229*1 + IF(T2229="",0,IF(T2229&lt;=10,8,IF(T2229&lt;=50,6,IF(T2229&lt;=100,4,2))))</f>
        <v>8</v>
      </c>
      <c r="V2229" s="10" t="s">
        <v>8962</v>
      </c>
      <c r="W2229" s="7"/>
      <c r="X2229" s="8"/>
      <c r="Y2229" s="8" t="s">
        <v>8963</v>
      </c>
    </row>
    <row r="2230" customFormat="false" ht="15.75" hidden="false" customHeight="true" outlineLevel="0" collapsed="false">
      <c r="A2230" s="7" t="s">
        <v>8964</v>
      </c>
      <c r="B2230" s="8" t="n">
        <v>1952</v>
      </c>
      <c r="C2230" s="8" t="s">
        <v>196</v>
      </c>
      <c r="D2230" s="8" t="n">
        <v>103</v>
      </c>
      <c r="E2230" s="7" t="s">
        <v>8965</v>
      </c>
      <c r="F2230" s="8" t="n">
        <v>8.3</v>
      </c>
      <c r="G2230" s="8"/>
      <c r="H2230" s="9" t="n">
        <v>284934</v>
      </c>
      <c r="I2230" s="7" t="s">
        <v>46</v>
      </c>
      <c r="J2230" s="7" t="s">
        <v>90</v>
      </c>
      <c r="K2230" s="7" t="s">
        <v>29</v>
      </c>
      <c r="L2230" s="10" t="s">
        <v>210</v>
      </c>
      <c r="M2230" s="7" t="s">
        <v>8966</v>
      </c>
      <c r="N2230" s="8" t="n">
        <v>0</v>
      </c>
      <c r="O2230" s="8" t="n">
        <v>0</v>
      </c>
      <c r="P2230" s="8" t="n">
        <v>0</v>
      </c>
      <c r="Q2230" s="8" t="n">
        <v>2</v>
      </c>
      <c r="R2230" s="8" t="n">
        <v>0</v>
      </c>
      <c r="S2230" s="8" t="n">
        <v>0</v>
      </c>
      <c r="T2230" s="8" t="n">
        <v>10</v>
      </c>
      <c r="U2230" s="11" t="n">
        <f aca="false">O2230*4 + P2230*2 + MAX(0,N2230-O2230-P2230)*1 + Q2230*0.2 + R2230*2 + S2230*1 + IF(T2230="",0,IF(T2230&lt;=10,8,IF(T2230&lt;=50,6,IF(T2230&lt;=100,4,2))))</f>
        <v>8.4</v>
      </c>
      <c r="V2230" s="10" t="s">
        <v>8967</v>
      </c>
      <c r="W2230" s="7"/>
      <c r="X2230" s="8"/>
      <c r="Y2230" s="8" t="s">
        <v>8968</v>
      </c>
    </row>
    <row r="2231" customFormat="false" ht="15.75" hidden="false" customHeight="true" outlineLevel="0" collapsed="false">
      <c r="A2231" s="7" t="s">
        <v>8969</v>
      </c>
      <c r="B2231" s="8" t="n">
        <v>1939</v>
      </c>
      <c r="C2231" s="8" t="s">
        <v>96</v>
      </c>
      <c r="D2231" s="8" t="n">
        <v>110</v>
      </c>
      <c r="E2231" s="7" t="s">
        <v>8970</v>
      </c>
      <c r="F2231" s="8" t="n">
        <v>7.9</v>
      </c>
      <c r="G2231" s="8"/>
      <c r="H2231" s="9" t="n">
        <v>33564</v>
      </c>
      <c r="I2231" s="7" t="s">
        <v>219</v>
      </c>
      <c r="J2231" s="7" t="s">
        <v>30</v>
      </c>
      <c r="K2231" s="7" t="s">
        <v>47</v>
      </c>
      <c r="L2231" s="10" t="s">
        <v>517</v>
      </c>
      <c r="M2231" s="7" t="s">
        <v>8971</v>
      </c>
      <c r="N2231" s="8" t="n">
        <v>0</v>
      </c>
      <c r="O2231" s="8" t="n">
        <v>0</v>
      </c>
      <c r="P2231" s="8" t="n">
        <v>0</v>
      </c>
      <c r="Q2231" s="8" t="n">
        <v>0</v>
      </c>
      <c r="R2231" s="8" t="n">
        <v>0</v>
      </c>
      <c r="S2231" s="8" t="n">
        <v>0</v>
      </c>
      <c r="T2231" s="8" t="n">
        <v>13</v>
      </c>
      <c r="U2231" s="11" t="n">
        <f aca="false">O2231*4 + P2231*2 + MAX(0,N2231-O2231-P2231)*1 + Q2231*0.2 + R2231*2 + S2231*1 + IF(T2231="",0,IF(T2231&lt;=10,8,IF(T2231&lt;=50,6,IF(T2231&lt;=100,4,2))))</f>
        <v>6</v>
      </c>
      <c r="V2231" s="10" t="s">
        <v>8972</v>
      </c>
      <c r="W2231" s="7"/>
      <c r="X2231" s="8"/>
      <c r="Y2231" s="8" t="s">
        <v>8973</v>
      </c>
    </row>
    <row r="2232" customFormat="false" ht="15.75" hidden="false" customHeight="true" outlineLevel="0" collapsed="false">
      <c r="A2232" s="7" t="s">
        <v>8974</v>
      </c>
      <c r="B2232" s="8" t="n">
        <v>1943</v>
      </c>
      <c r="C2232" s="8" t="s">
        <v>243</v>
      </c>
      <c r="D2232" s="8" t="n">
        <v>14</v>
      </c>
      <c r="E2232" s="7" t="s">
        <v>8975</v>
      </c>
      <c r="F2232" s="8" t="n">
        <v>7.8</v>
      </c>
      <c r="G2232" s="8"/>
      <c r="H2232" s="9" t="n">
        <v>16972</v>
      </c>
      <c r="I2232" s="7" t="s">
        <v>46</v>
      </c>
      <c r="J2232" s="7" t="s">
        <v>38</v>
      </c>
      <c r="K2232" s="7" t="s">
        <v>125</v>
      </c>
      <c r="L2232" s="10"/>
      <c r="M2232" s="7" t="s">
        <v>8976</v>
      </c>
      <c r="N2232" s="8" t="n">
        <v>0</v>
      </c>
      <c r="O2232" s="8" t="n">
        <v>0</v>
      </c>
      <c r="P2232" s="8" t="n">
        <v>0</v>
      </c>
      <c r="Q2232" s="8" t="n">
        <v>0</v>
      </c>
      <c r="R2232" s="8" t="n">
        <v>0</v>
      </c>
      <c r="S2232" s="8" t="n">
        <v>0</v>
      </c>
      <c r="T2232" s="8" t="n">
        <v>16</v>
      </c>
      <c r="U2232" s="11" t="n">
        <f aca="false">O2232*4 + P2232*2 + MAX(0,N2232-O2232-P2232)*1 + Q2232*0.2 + R2232*2 + S2232*1 + IF(T2232="",0,IF(T2232&lt;=10,8,IF(T2232&lt;=50,6,IF(T2232&lt;=100,4,2))))</f>
        <v>6</v>
      </c>
      <c r="V2232" s="10" t="s">
        <v>8977</v>
      </c>
      <c r="W2232" s="7"/>
      <c r="X2232" s="8"/>
      <c r="Y2232" s="8" t="s">
        <v>8978</v>
      </c>
    </row>
    <row r="2233" customFormat="false" ht="15.75" hidden="false" customHeight="true" outlineLevel="0" collapsed="false">
      <c r="A2233" s="7" t="s">
        <v>8979</v>
      </c>
      <c r="B2233" s="8" t="n">
        <v>1990</v>
      </c>
      <c r="C2233" s="8" t="s">
        <v>26</v>
      </c>
      <c r="D2233" s="8" t="n">
        <v>98</v>
      </c>
      <c r="E2233" s="7" t="s">
        <v>4313</v>
      </c>
      <c r="F2233" s="8" t="n">
        <v>8.2</v>
      </c>
      <c r="G2233" s="8"/>
      <c r="H2233" s="9" t="n">
        <v>27239</v>
      </c>
      <c r="I2233" s="7" t="s">
        <v>1424</v>
      </c>
      <c r="J2233" s="7" t="s">
        <v>47</v>
      </c>
      <c r="K2233" s="7" t="s">
        <v>54</v>
      </c>
      <c r="L2233" s="10"/>
      <c r="M2233" s="7" t="s">
        <v>8980</v>
      </c>
      <c r="N2233" s="8" t="n">
        <v>0</v>
      </c>
      <c r="O2233" s="8" t="n">
        <v>0</v>
      </c>
      <c r="P2233" s="8" t="n">
        <v>0</v>
      </c>
      <c r="Q2233" s="8" t="n">
        <v>0</v>
      </c>
      <c r="R2233" s="8" t="n">
        <v>0</v>
      </c>
      <c r="S2233" s="8" t="n">
        <v>0</v>
      </c>
      <c r="T2233" s="8" t="n">
        <v>17</v>
      </c>
      <c r="U2233" s="11" t="n">
        <f aca="false">O2233*4 + P2233*2 + MAX(0,N2233-O2233-P2233)*1 + Q2233*0.2 + R2233*2 + S2233*1 + IF(T2233="",0,IF(T2233&lt;=10,8,IF(T2233&lt;=50,6,IF(T2233&lt;=100,4,2))))</f>
        <v>6</v>
      </c>
      <c r="V2233" s="10" t="s">
        <v>8981</v>
      </c>
      <c r="W2233" s="7"/>
      <c r="X2233" s="8"/>
      <c r="Y2233" s="8" t="s">
        <v>8982</v>
      </c>
    </row>
    <row r="2234" customFormat="false" ht="15.75" hidden="false" customHeight="true" outlineLevel="0" collapsed="false">
      <c r="A2234" s="7" t="s">
        <v>8983</v>
      </c>
      <c r="B2234" s="8" t="n">
        <v>1949</v>
      </c>
      <c r="C2234" s="8" t="s">
        <v>243</v>
      </c>
      <c r="D2234" s="8" t="n">
        <v>110</v>
      </c>
      <c r="E2234" s="7" t="s">
        <v>1632</v>
      </c>
      <c r="F2234" s="8" t="n">
        <v>8.2</v>
      </c>
      <c r="G2234" s="8"/>
      <c r="H2234" s="9" t="n">
        <v>21858</v>
      </c>
      <c r="I2234" s="7" t="s">
        <v>124</v>
      </c>
      <c r="J2234" s="7" t="s">
        <v>30</v>
      </c>
      <c r="K2234" s="7" t="s">
        <v>47</v>
      </c>
      <c r="L2234" s="10" t="s">
        <v>5978</v>
      </c>
      <c r="M2234" s="7" t="s">
        <v>8984</v>
      </c>
      <c r="N2234" s="8" t="n">
        <v>0</v>
      </c>
      <c r="O2234" s="8" t="n">
        <v>0</v>
      </c>
      <c r="P2234" s="8" t="n">
        <v>0</v>
      </c>
      <c r="Q2234" s="8" t="n">
        <v>0</v>
      </c>
      <c r="R2234" s="8" t="n">
        <v>0</v>
      </c>
      <c r="S2234" s="8" t="n">
        <v>0</v>
      </c>
      <c r="T2234" s="8" t="n">
        <v>21</v>
      </c>
      <c r="U2234" s="11" t="n">
        <f aca="false">O2234*4 + P2234*2 + MAX(0,N2234-O2234-P2234)*1 + Q2234*0.2 + R2234*2 + S2234*1 + IF(T2234="",0,IF(T2234&lt;=10,8,IF(T2234&lt;=50,6,IF(T2234&lt;=100,4,2))))</f>
        <v>6</v>
      </c>
      <c r="V2234" s="10" t="s">
        <v>8985</v>
      </c>
      <c r="W2234" s="7"/>
      <c r="X2234" s="8"/>
      <c r="Y2234" s="8" t="s">
        <v>8986</v>
      </c>
    </row>
    <row r="2235" customFormat="false" ht="15.75" hidden="false" customHeight="true" outlineLevel="0" collapsed="false">
      <c r="A2235" s="7" t="s">
        <v>8987</v>
      </c>
      <c r="B2235" s="8" t="n">
        <v>1967</v>
      </c>
      <c r="C2235" s="8" t="s">
        <v>122</v>
      </c>
      <c r="D2235" s="8" t="n">
        <v>155</v>
      </c>
      <c r="E2235" s="7" t="s">
        <v>8988</v>
      </c>
      <c r="F2235" s="8" t="n">
        <v>7.8</v>
      </c>
      <c r="G2235" s="8"/>
      <c r="H2235" s="9" t="n">
        <v>29972</v>
      </c>
      <c r="I2235" s="7" t="s">
        <v>4256</v>
      </c>
      <c r="J2235" s="7" t="s">
        <v>30</v>
      </c>
      <c r="K2235" s="7"/>
      <c r="L2235" s="10" t="s">
        <v>531</v>
      </c>
      <c r="M2235" s="7" t="s">
        <v>8989</v>
      </c>
      <c r="N2235" s="8" t="n">
        <v>0</v>
      </c>
      <c r="O2235" s="8" t="n">
        <v>0</v>
      </c>
      <c r="P2235" s="8" t="n">
        <v>0</v>
      </c>
      <c r="Q2235" s="8" t="n">
        <v>0</v>
      </c>
      <c r="R2235" s="8" t="n">
        <v>0</v>
      </c>
      <c r="S2235" s="8" t="n">
        <v>0</v>
      </c>
      <c r="T2235" s="8" t="n">
        <v>23</v>
      </c>
      <c r="U2235" s="11" t="n">
        <f aca="false">O2235*4 + P2235*2 + MAX(0,N2235-O2235-P2235)*1 + Q2235*0.2 + R2235*2 + S2235*1 + IF(T2235="",0,IF(T2235&lt;=10,8,IF(T2235&lt;=50,6,IF(T2235&lt;=100,4,2))))</f>
        <v>6</v>
      </c>
      <c r="V2235" s="10" t="s">
        <v>8990</v>
      </c>
      <c r="W2235" s="7"/>
      <c r="X2235" s="8"/>
      <c r="Y2235" s="8" t="s">
        <v>8991</v>
      </c>
    </row>
    <row r="2236" customFormat="false" ht="15.75" hidden="false" customHeight="true" outlineLevel="0" collapsed="false">
      <c r="A2236" s="7" t="s">
        <v>8992</v>
      </c>
      <c r="B2236" s="8" t="n">
        <v>1955</v>
      </c>
      <c r="C2236" s="8" t="s">
        <v>196</v>
      </c>
      <c r="D2236" s="8" t="n">
        <v>92</v>
      </c>
      <c r="E2236" s="7" t="s">
        <v>8993</v>
      </c>
      <c r="F2236" s="8" t="n">
        <v>7.9</v>
      </c>
      <c r="G2236" s="8"/>
      <c r="H2236" s="9" t="n">
        <v>109080</v>
      </c>
      <c r="I2236" s="7" t="s">
        <v>46</v>
      </c>
      <c r="J2236" s="7" t="s">
        <v>131</v>
      </c>
      <c r="K2236" s="7" t="s">
        <v>54</v>
      </c>
      <c r="L2236" s="10" t="s">
        <v>1540</v>
      </c>
      <c r="M2236" s="7" t="s">
        <v>8994</v>
      </c>
      <c r="N2236" s="8" t="n">
        <v>0</v>
      </c>
      <c r="O2236" s="8" t="n">
        <v>0</v>
      </c>
      <c r="P2236" s="8" t="n">
        <v>0</v>
      </c>
      <c r="Q2236" s="8" t="n">
        <v>0</v>
      </c>
      <c r="R2236" s="8" t="n">
        <v>0</v>
      </c>
      <c r="S2236" s="8" t="n">
        <v>0</v>
      </c>
      <c r="T2236" s="8" t="n">
        <v>25</v>
      </c>
      <c r="U2236" s="11" t="n">
        <f aca="false">O2236*4 + P2236*2 + MAX(0,N2236-O2236-P2236)*1 + Q2236*0.2 + R2236*2 + S2236*1 + IF(T2236="",0,IF(T2236&lt;=10,8,IF(T2236&lt;=50,6,IF(T2236&lt;=100,4,2))))</f>
        <v>6</v>
      </c>
      <c r="V2236" s="10" t="s">
        <v>8995</v>
      </c>
      <c r="W2236" s="7"/>
      <c r="X2236" s="8"/>
      <c r="Y2236" s="8" t="s">
        <v>8996</v>
      </c>
    </row>
    <row r="2237" customFormat="false" ht="15.75" hidden="false" customHeight="true" outlineLevel="0" collapsed="false">
      <c r="A2237" s="7" t="s">
        <v>8997</v>
      </c>
      <c r="B2237" s="8" t="n">
        <v>1966</v>
      </c>
      <c r="C2237" s="8" t="s">
        <v>122</v>
      </c>
      <c r="D2237" s="8" t="n">
        <v>75</v>
      </c>
      <c r="E2237" s="7" t="s">
        <v>8998</v>
      </c>
      <c r="F2237" s="8" t="n">
        <v>7.2</v>
      </c>
      <c r="G2237" s="8"/>
      <c r="H2237" s="9" t="n">
        <v>17904</v>
      </c>
      <c r="I2237" s="7" t="s">
        <v>8999</v>
      </c>
      <c r="J2237" s="7" t="s">
        <v>30</v>
      </c>
      <c r="K2237" s="7"/>
      <c r="L2237" s="10" t="s">
        <v>166</v>
      </c>
      <c r="M2237" s="7" t="s">
        <v>9000</v>
      </c>
      <c r="N2237" s="8" t="n">
        <v>0</v>
      </c>
      <c r="O2237" s="8" t="n">
        <v>0</v>
      </c>
      <c r="P2237" s="8" t="n">
        <v>0</v>
      </c>
      <c r="Q2237" s="8" t="n">
        <v>0</v>
      </c>
      <c r="R2237" s="8" t="n">
        <v>0</v>
      </c>
      <c r="S2237" s="8" t="n">
        <v>0</v>
      </c>
      <c r="T2237" s="8" t="n">
        <v>28</v>
      </c>
      <c r="U2237" s="11" t="n">
        <f aca="false">O2237*4 + P2237*2 + MAX(0,N2237-O2237-P2237)*1 + Q2237*0.2 + R2237*2 + S2237*1 + IF(T2237="",0,IF(T2237&lt;=10,8,IF(T2237&lt;=50,6,IF(T2237&lt;=100,4,2))))</f>
        <v>6</v>
      </c>
      <c r="V2237" s="10" t="s">
        <v>9001</v>
      </c>
      <c r="W2237" s="7"/>
      <c r="X2237" s="8"/>
      <c r="Y2237" s="8" t="s">
        <v>9002</v>
      </c>
    </row>
    <row r="2238" customFormat="false" ht="15.75" hidden="false" customHeight="true" outlineLevel="0" collapsed="false">
      <c r="A2238" s="7" t="s">
        <v>9003</v>
      </c>
      <c r="B2238" s="8" t="n">
        <v>1963</v>
      </c>
      <c r="C2238" s="8" t="s">
        <v>122</v>
      </c>
      <c r="D2238" s="8" t="n">
        <v>138</v>
      </c>
      <c r="E2238" s="7" t="s">
        <v>541</v>
      </c>
      <c r="F2238" s="8" t="n">
        <v>8</v>
      </c>
      <c r="G2238" s="8"/>
      <c r="H2238" s="9" t="n">
        <v>133445</v>
      </c>
      <c r="I2238" s="7" t="s">
        <v>1383</v>
      </c>
      <c r="J2238" s="7" t="s">
        <v>47</v>
      </c>
      <c r="K2238" s="7"/>
      <c r="L2238" s="10" t="s">
        <v>9004</v>
      </c>
      <c r="M2238" s="7" t="s">
        <v>9005</v>
      </c>
      <c r="N2238" s="8" t="n">
        <v>2</v>
      </c>
      <c r="O2238" s="8" t="n">
        <v>0</v>
      </c>
      <c r="P2238" s="8" t="n">
        <v>0</v>
      </c>
      <c r="Q2238" s="8" t="n">
        <v>5</v>
      </c>
      <c r="R2238" s="8" t="n">
        <v>0</v>
      </c>
      <c r="S2238" s="8" t="n">
        <v>0</v>
      </c>
      <c r="T2238" s="8" t="n">
        <v>31</v>
      </c>
      <c r="U2238" s="11" t="n">
        <f aca="false">O2238*4 + P2238*2 + MAX(0,N2238-O2238-P2238)*1 + Q2238*0.2 + R2238*2 + S2238*1 + IF(T2238="",0,IF(T2238&lt;=10,8,IF(T2238&lt;=50,6,IF(T2238&lt;=100,4,2))))</f>
        <v>9</v>
      </c>
      <c r="V2238" s="10" t="s">
        <v>9006</v>
      </c>
      <c r="W2238" s="7"/>
      <c r="X2238" s="8"/>
      <c r="Y2238" s="8" t="s">
        <v>9007</v>
      </c>
    </row>
    <row r="2239" customFormat="false" ht="15.75" hidden="false" customHeight="true" outlineLevel="0" collapsed="false">
      <c r="A2239" s="7" t="s">
        <v>9008</v>
      </c>
      <c r="B2239" s="8" t="n">
        <v>1934</v>
      </c>
      <c r="C2239" s="8" t="s">
        <v>96</v>
      </c>
      <c r="D2239" s="8" t="n">
        <v>89</v>
      </c>
      <c r="E2239" s="7" t="s">
        <v>9009</v>
      </c>
      <c r="F2239" s="8" t="n">
        <v>7.7</v>
      </c>
      <c r="G2239" s="8"/>
      <c r="H2239" s="9" t="n">
        <v>18771</v>
      </c>
      <c r="I2239" s="7" t="s">
        <v>219</v>
      </c>
      <c r="J2239" s="7" t="s">
        <v>39</v>
      </c>
      <c r="K2239" s="7" t="s">
        <v>29</v>
      </c>
      <c r="L2239" s="10" t="s">
        <v>3213</v>
      </c>
      <c r="M2239" s="7" t="s">
        <v>9010</v>
      </c>
      <c r="N2239" s="8" t="n">
        <v>0</v>
      </c>
      <c r="O2239" s="8" t="n">
        <v>0</v>
      </c>
      <c r="P2239" s="8" t="n">
        <v>0</v>
      </c>
      <c r="Q2239" s="8" t="n">
        <v>0</v>
      </c>
      <c r="R2239" s="8" t="n">
        <v>0</v>
      </c>
      <c r="S2239" s="8" t="n">
        <v>0</v>
      </c>
      <c r="T2239" s="8" t="n">
        <v>34</v>
      </c>
      <c r="U2239" s="11" t="n">
        <f aca="false">O2239*4 + P2239*2 + MAX(0,N2239-O2239-P2239)*1 + Q2239*0.2 + R2239*2 + S2239*1 + IF(T2239="",0,IF(T2239&lt;=10,8,IF(T2239&lt;=50,6,IF(T2239&lt;=100,4,2))))</f>
        <v>6</v>
      </c>
      <c r="V2239" s="10" t="s">
        <v>9011</v>
      </c>
      <c r="W2239" s="7"/>
      <c r="X2239" s="8"/>
      <c r="Y2239" s="8" t="s">
        <v>9012</v>
      </c>
    </row>
    <row r="2240" customFormat="false" ht="15.75" hidden="false" customHeight="true" outlineLevel="0" collapsed="false">
      <c r="A2240" s="7" t="s">
        <v>9013</v>
      </c>
      <c r="B2240" s="8" t="n">
        <v>1955</v>
      </c>
      <c r="C2240" s="8" t="s">
        <v>196</v>
      </c>
      <c r="D2240" s="8" t="n">
        <v>125</v>
      </c>
      <c r="E2240" s="7" t="s">
        <v>9014</v>
      </c>
      <c r="F2240" s="8" t="n">
        <v>8.2</v>
      </c>
      <c r="G2240" s="8"/>
      <c r="H2240" s="9" t="n">
        <v>42092</v>
      </c>
      <c r="I2240" s="7" t="s">
        <v>3848</v>
      </c>
      <c r="J2240" s="7" t="s">
        <v>47</v>
      </c>
      <c r="K2240" s="7" t="s">
        <v>453</v>
      </c>
      <c r="L2240" s="10" t="s">
        <v>526</v>
      </c>
      <c r="M2240" s="7" t="s">
        <v>9015</v>
      </c>
      <c r="N2240" s="8" t="n">
        <v>0</v>
      </c>
      <c r="O2240" s="8" t="n">
        <v>0</v>
      </c>
      <c r="P2240" s="8" t="n">
        <v>0</v>
      </c>
      <c r="Q2240" s="8" t="n">
        <v>0</v>
      </c>
      <c r="R2240" s="8" t="n">
        <v>0</v>
      </c>
      <c r="S2240" s="8" t="n">
        <v>0</v>
      </c>
      <c r="T2240" s="8" t="n">
        <v>35</v>
      </c>
      <c r="U2240" s="11" t="n">
        <f aca="false">O2240*4 + P2240*2 + MAX(0,N2240-O2240-P2240)*1 + Q2240*0.2 + R2240*2 + S2240*1 + IF(T2240="",0,IF(T2240&lt;=10,8,IF(T2240&lt;=50,6,IF(T2240&lt;=100,4,2))))</f>
        <v>6</v>
      </c>
      <c r="V2240" s="10" t="s">
        <v>9016</v>
      </c>
      <c r="W2240" s="7"/>
      <c r="X2240" s="8"/>
      <c r="Y2240" s="8" t="s">
        <v>9017</v>
      </c>
    </row>
    <row r="2241" customFormat="false" ht="15.75" hidden="false" customHeight="true" outlineLevel="0" collapsed="false">
      <c r="A2241" s="7" t="s">
        <v>9018</v>
      </c>
      <c r="B2241" s="8" t="n">
        <v>1978</v>
      </c>
      <c r="C2241" s="8" t="s">
        <v>61</v>
      </c>
      <c r="D2241" s="8" t="n">
        <v>80</v>
      </c>
      <c r="E2241" s="7" t="s">
        <v>9019</v>
      </c>
      <c r="F2241" s="8" t="n">
        <v>7.2</v>
      </c>
      <c r="G2241" s="8"/>
      <c r="H2241" s="9" t="n">
        <v>8745</v>
      </c>
      <c r="I2241" s="7" t="s">
        <v>46</v>
      </c>
      <c r="J2241" s="7" t="s">
        <v>47</v>
      </c>
      <c r="K2241" s="7"/>
      <c r="L2241" s="10"/>
      <c r="M2241" s="7" t="s">
        <v>9020</v>
      </c>
      <c r="N2241" s="8" t="n">
        <v>0</v>
      </c>
      <c r="O2241" s="8" t="n">
        <v>0</v>
      </c>
      <c r="P2241" s="8" t="n">
        <v>0</v>
      </c>
      <c r="Q2241" s="8" t="n">
        <v>0</v>
      </c>
      <c r="R2241" s="8" t="n">
        <v>0</v>
      </c>
      <c r="S2241" s="8" t="n">
        <v>0</v>
      </c>
      <c r="T2241" s="8" t="n">
        <v>43</v>
      </c>
      <c r="U2241" s="11" t="n">
        <f aca="false">O2241*4 + P2241*2 + MAX(0,N2241-O2241-P2241)*1 + Q2241*0.2 + R2241*2 + S2241*1 + IF(T2241="",0,IF(T2241&lt;=10,8,IF(T2241&lt;=50,6,IF(T2241&lt;=100,4,2))))</f>
        <v>6</v>
      </c>
      <c r="V2241" s="10" t="s">
        <v>9021</v>
      </c>
      <c r="W2241" s="7"/>
      <c r="X2241" s="8"/>
      <c r="Y2241" s="8" t="s">
        <v>9022</v>
      </c>
    </row>
    <row r="2242" customFormat="false" ht="15.75" hidden="false" customHeight="true" outlineLevel="0" collapsed="false">
      <c r="A2242" s="7" t="s">
        <v>9023</v>
      </c>
      <c r="B2242" s="8" t="n">
        <v>1970</v>
      </c>
      <c r="C2242" s="8" t="s">
        <v>61</v>
      </c>
      <c r="D2242" s="8" t="n">
        <v>102</v>
      </c>
      <c r="E2242" s="7" t="s">
        <v>9024</v>
      </c>
      <c r="F2242" s="8" t="n">
        <v>7.1</v>
      </c>
      <c r="G2242" s="8"/>
      <c r="H2242" s="9" t="n">
        <v>7088</v>
      </c>
      <c r="I2242" s="7" t="s">
        <v>46</v>
      </c>
      <c r="J2242" s="7" t="s">
        <v>47</v>
      </c>
      <c r="K2242" s="7" t="s">
        <v>54</v>
      </c>
      <c r="L2242" s="10"/>
      <c r="M2242" s="7" t="s">
        <v>9025</v>
      </c>
      <c r="N2242" s="8" t="n">
        <v>0</v>
      </c>
      <c r="O2242" s="8" t="n">
        <v>0</v>
      </c>
      <c r="P2242" s="8" t="n">
        <v>0</v>
      </c>
      <c r="Q2242" s="8" t="n">
        <v>0</v>
      </c>
      <c r="R2242" s="8" t="n">
        <v>0</v>
      </c>
      <c r="S2242" s="8" t="n">
        <v>0</v>
      </c>
      <c r="T2242" s="8" t="n">
        <v>48</v>
      </c>
      <c r="U2242" s="11" t="n">
        <f aca="false">O2242*4 + P2242*2 + MAX(0,N2242-O2242-P2242)*1 + Q2242*0.2 + R2242*2 + S2242*1 + IF(T2242="",0,IF(T2242&lt;=10,8,IF(T2242&lt;=50,6,IF(T2242&lt;=100,4,2))))</f>
        <v>6</v>
      </c>
      <c r="V2242" s="10" t="s">
        <v>9026</v>
      </c>
      <c r="W2242" s="7"/>
      <c r="X2242" s="8"/>
      <c r="Y2242" s="8" t="s">
        <v>9027</v>
      </c>
    </row>
    <row r="2243" customFormat="false" ht="15.75" hidden="false" customHeight="true" outlineLevel="0" collapsed="false">
      <c r="A2243" s="7" t="s">
        <v>9028</v>
      </c>
      <c r="B2243" s="8" t="n">
        <v>1959</v>
      </c>
      <c r="C2243" s="8" t="s">
        <v>196</v>
      </c>
      <c r="D2243" s="8" t="n">
        <v>99</v>
      </c>
      <c r="E2243" s="7" t="s">
        <v>9029</v>
      </c>
      <c r="F2243" s="8" t="n">
        <v>8</v>
      </c>
      <c r="G2243" s="8"/>
      <c r="H2243" s="9" t="n">
        <v>135258</v>
      </c>
      <c r="I2243" s="7" t="s">
        <v>219</v>
      </c>
      <c r="J2243" s="7" t="s">
        <v>47</v>
      </c>
      <c r="K2243" s="7" t="s">
        <v>54</v>
      </c>
      <c r="L2243" s="10" t="s">
        <v>9030</v>
      </c>
      <c r="M2243" s="7" t="s">
        <v>9031</v>
      </c>
      <c r="N2243" s="8" t="n">
        <v>0</v>
      </c>
      <c r="O2243" s="8" t="n">
        <v>0</v>
      </c>
      <c r="P2243" s="8" t="n">
        <v>0</v>
      </c>
      <c r="Q2243" s="8" t="n">
        <v>1</v>
      </c>
      <c r="R2243" s="8" t="n">
        <v>0</v>
      </c>
      <c r="S2243" s="8" t="n">
        <v>0</v>
      </c>
      <c r="T2243" s="8" t="n">
        <v>50</v>
      </c>
      <c r="U2243" s="11" t="n">
        <f aca="false">O2243*4 + P2243*2 + MAX(0,N2243-O2243-P2243)*1 + Q2243*0.2 + R2243*2 + S2243*1 + IF(T2243="",0,IF(T2243&lt;=10,8,IF(T2243&lt;=50,6,IF(T2243&lt;=100,4,2))))</f>
        <v>6.2</v>
      </c>
      <c r="V2243" s="10" t="s">
        <v>9032</v>
      </c>
      <c r="W2243" s="7"/>
      <c r="X2243" s="8"/>
      <c r="Y2243" s="8" t="s">
        <v>9033</v>
      </c>
    </row>
    <row r="2244" customFormat="false" ht="15.75" hidden="false" customHeight="true" outlineLevel="0" collapsed="false">
      <c r="A2244" s="7" t="s">
        <v>9034</v>
      </c>
      <c r="B2244" s="8" t="n">
        <v>1976</v>
      </c>
      <c r="C2244" s="8" t="s">
        <v>61</v>
      </c>
      <c r="D2244" s="8" t="n">
        <v>89</v>
      </c>
      <c r="E2244" s="7" t="s">
        <v>4814</v>
      </c>
      <c r="F2244" s="8" t="n">
        <v>7.3</v>
      </c>
      <c r="G2244" s="8"/>
      <c r="H2244" s="9" t="n">
        <v>3613</v>
      </c>
      <c r="I2244" s="7" t="s">
        <v>5154</v>
      </c>
      <c r="J2244" s="7" t="s">
        <v>2730</v>
      </c>
      <c r="K2244" s="7"/>
      <c r="L2244" s="10" t="s">
        <v>205</v>
      </c>
      <c r="M2244" s="7" t="s">
        <v>9035</v>
      </c>
      <c r="N2244" s="8" t="n">
        <v>0</v>
      </c>
      <c r="O2244" s="8" t="n">
        <v>0</v>
      </c>
      <c r="P2244" s="8" t="n">
        <v>0</v>
      </c>
      <c r="Q2244" s="8" t="n">
        <v>0</v>
      </c>
      <c r="R2244" s="8" t="n">
        <v>0</v>
      </c>
      <c r="S2244" s="8" t="n">
        <v>0</v>
      </c>
      <c r="T2244" s="8" t="n">
        <v>52</v>
      </c>
      <c r="U2244" s="11" t="n">
        <f aca="false">O2244*4 + P2244*2 + MAX(0,N2244-O2244-P2244)*1 + Q2244*0.2 + R2244*2 + S2244*1 + IF(T2244="",0,IF(T2244&lt;=10,8,IF(T2244&lt;=50,6,IF(T2244&lt;=100,4,2))))</f>
        <v>4</v>
      </c>
      <c r="V2244" s="10" t="s">
        <v>9036</v>
      </c>
      <c r="W2244" s="7"/>
      <c r="X2244" s="8"/>
      <c r="Y2244" s="8" t="s">
        <v>9037</v>
      </c>
    </row>
    <row r="2245" customFormat="false" ht="15.75" hidden="false" customHeight="true" outlineLevel="0" collapsed="false">
      <c r="A2245" s="7" t="s">
        <v>9038</v>
      </c>
      <c r="B2245" s="8" t="n">
        <v>1963</v>
      </c>
      <c r="C2245" s="8" t="s">
        <v>122</v>
      </c>
      <c r="D2245" s="8" t="n">
        <v>102</v>
      </c>
      <c r="E2245" s="7" t="s">
        <v>4799</v>
      </c>
      <c r="F2245" s="8" t="n">
        <v>7.4</v>
      </c>
      <c r="G2245" s="8"/>
      <c r="H2245" s="9" t="n">
        <v>39587</v>
      </c>
      <c r="I2245" s="7" t="s">
        <v>4256</v>
      </c>
      <c r="J2245" s="7" t="s">
        <v>29</v>
      </c>
      <c r="K2245" s="7" t="s">
        <v>47</v>
      </c>
      <c r="L2245" s="10" t="s">
        <v>205</v>
      </c>
      <c r="M2245" s="7" t="s">
        <v>9039</v>
      </c>
      <c r="N2245" s="8" t="n">
        <v>0</v>
      </c>
      <c r="O2245" s="8" t="n">
        <v>0</v>
      </c>
      <c r="P2245" s="8" t="n">
        <v>0</v>
      </c>
      <c r="Q2245" s="8" t="n">
        <v>0</v>
      </c>
      <c r="R2245" s="8" t="n">
        <v>0</v>
      </c>
      <c r="S2245" s="8" t="n">
        <v>0</v>
      </c>
      <c r="T2245" s="8" t="n">
        <v>54</v>
      </c>
      <c r="U2245" s="11" t="n">
        <f aca="false">O2245*4 + P2245*2 + MAX(0,N2245-O2245-P2245)*1 + Q2245*0.2 + R2245*2 + S2245*1 + IF(T2245="",0,IF(T2245&lt;=10,8,IF(T2245&lt;=50,6,IF(T2245&lt;=100,4,2))))</f>
        <v>4</v>
      </c>
      <c r="V2245" s="10" t="s">
        <v>9040</v>
      </c>
      <c r="W2245" s="7"/>
      <c r="X2245" s="8"/>
      <c r="Y2245" s="8" t="s">
        <v>9041</v>
      </c>
    </row>
    <row r="2246" customFormat="false" ht="15.75" hidden="false" customHeight="true" outlineLevel="0" collapsed="false">
      <c r="A2246" s="7" t="s">
        <v>9042</v>
      </c>
      <c r="B2246" s="8" t="n">
        <v>1983</v>
      </c>
      <c r="C2246" s="8" t="s">
        <v>109</v>
      </c>
      <c r="D2246" s="8" t="n">
        <v>100</v>
      </c>
      <c r="E2246" s="7" t="s">
        <v>9043</v>
      </c>
      <c r="F2246" s="8" t="n">
        <v>7.7</v>
      </c>
      <c r="G2246" s="8"/>
      <c r="H2246" s="9" t="n">
        <v>13205</v>
      </c>
      <c r="I2246" s="7" t="s">
        <v>219</v>
      </c>
      <c r="J2246" s="7" t="s">
        <v>2730</v>
      </c>
      <c r="K2246" s="7" t="s">
        <v>47</v>
      </c>
      <c r="L2246" s="10" t="s">
        <v>3130</v>
      </c>
      <c r="M2246" s="7" t="s">
        <v>9044</v>
      </c>
      <c r="N2246" s="8" t="n">
        <v>0</v>
      </c>
      <c r="O2246" s="8" t="n">
        <v>0</v>
      </c>
      <c r="P2246" s="8" t="n">
        <v>0</v>
      </c>
      <c r="Q2246" s="8" t="n">
        <v>0</v>
      </c>
      <c r="R2246" s="8" t="n">
        <v>0</v>
      </c>
      <c r="S2246" s="8" t="n">
        <v>0</v>
      </c>
      <c r="T2246" s="8" t="n">
        <v>59</v>
      </c>
      <c r="U2246" s="11" t="n">
        <f aca="false">O2246*4 + P2246*2 + MAX(0,N2246-O2246-P2246)*1 + Q2246*0.2 + R2246*2 + S2246*1 + IF(T2246="",0,IF(T2246&lt;=10,8,IF(T2246&lt;=50,6,IF(T2246&lt;=100,4,2))))</f>
        <v>4</v>
      </c>
      <c r="V2246" s="10" t="s">
        <v>9045</v>
      </c>
      <c r="W2246" s="7"/>
      <c r="X2246" s="8"/>
      <c r="Y2246" s="8" t="s">
        <v>9046</v>
      </c>
    </row>
    <row r="2247" customFormat="false" ht="15.75" hidden="false" customHeight="true" outlineLevel="0" collapsed="false">
      <c r="A2247" s="7" t="s">
        <v>9047</v>
      </c>
      <c r="B2247" s="8" t="n">
        <v>1991</v>
      </c>
      <c r="C2247" s="8" t="s">
        <v>26</v>
      </c>
      <c r="D2247" s="8" t="n">
        <v>113</v>
      </c>
      <c r="E2247" s="7" t="s">
        <v>9048</v>
      </c>
      <c r="F2247" s="8" t="n">
        <v>6.7</v>
      </c>
      <c r="G2247" s="8"/>
      <c r="H2247" s="9" t="n">
        <v>3903</v>
      </c>
      <c r="I2247" s="7" t="s">
        <v>359</v>
      </c>
      <c r="J2247" s="7" t="s">
        <v>29</v>
      </c>
      <c r="K2247" s="7" t="s">
        <v>453</v>
      </c>
      <c r="L2247" s="10"/>
      <c r="M2247" s="7" t="s">
        <v>9049</v>
      </c>
      <c r="N2247" s="8" t="n">
        <v>0</v>
      </c>
      <c r="O2247" s="8" t="n">
        <v>0</v>
      </c>
      <c r="P2247" s="8" t="n">
        <v>0</v>
      </c>
      <c r="Q2247" s="8" t="n">
        <v>0</v>
      </c>
      <c r="R2247" s="8" t="n">
        <v>0</v>
      </c>
      <c r="S2247" s="8" t="n">
        <v>0</v>
      </c>
      <c r="T2247" s="8" t="n">
        <v>60</v>
      </c>
      <c r="U2247" s="11" t="n">
        <f aca="false">O2247*4 + P2247*2 + MAX(0,N2247-O2247-P2247)*1 + Q2247*0.2 + R2247*2 + S2247*1 + IF(T2247="",0,IF(T2247&lt;=10,8,IF(T2247&lt;=50,6,IF(T2247&lt;=100,4,2))))</f>
        <v>4</v>
      </c>
      <c r="V2247" s="10" t="s">
        <v>9050</v>
      </c>
      <c r="W2247" s="7"/>
      <c r="X2247" s="8"/>
      <c r="Y2247" s="8" t="s">
        <v>9051</v>
      </c>
    </row>
    <row r="2248" customFormat="false" ht="15.75" hidden="false" customHeight="true" outlineLevel="0" collapsed="false">
      <c r="A2248" s="7" t="s">
        <v>9052</v>
      </c>
      <c r="B2248" s="8" t="n">
        <v>1973</v>
      </c>
      <c r="C2248" s="8" t="s">
        <v>61</v>
      </c>
      <c r="D2248" s="8" t="n">
        <v>85</v>
      </c>
      <c r="E2248" s="7" t="s">
        <v>9053</v>
      </c>
      <c r="F2248" s="8" t="n">
        <v>6.9</v>
      </c>
      <c r="G2248" s="8"/>
      <c r="H2248" s="9" t="n">
        <v>5088</v>
      </c>
      <c r="I2248" s="7" t="s">
        <v>9054</v>
      </c>
      <c r="J2248" s="7" t="s">
        <v>47</v>
      </c>
      <c r="K2248" s="7"/>
      <c r="L2248" s="10" t="s">
        <v>374</v>
      </c>
      <c r="M2248" s="7" t="s">
        <v>9055</v>
      </c>
      <c r="N2248" s="8" t="n">
        <v>0</v>
      </c>
      <c r="O2248" s="8" t="n">
        <v>0</v>
      </c>
      <c r="P2248" s="8" t="n">
        <v>0</v>
      </c>
      <c r="Q2248" s="8" t="n">
        <v>0</v>
      </c>
      <c r="R2248" s="8" t="n">
        <v>0</v>
      </c>
      <c r="S2248" s="8" t="n">
        <v>0</v>
      </c>
      <c r="T2248" s="8" t="n">
        <v>66</v>
      </c>
      <c r="U2248" s="11" t="n">
        <f aca="false">O2248*4 + P2248*2 + MAX(0,N2248-O2248-P2248)*1 + Q2248*0.2 + R2248*2 + S2248*1 + IF(T2248="",0,IF(T2248&lt;=10,8,IF(T2248&lt;=50,6,IF(T2248&lt;=100,4,2))))</f>
        <v>4</v>
      </c>
      <c r="V2248" s="10" t="s">
        <v>9056</v>
      </c>
      <c r="W2248" s="7"/>
      <c r="X2248" s="8"/>
      <c r="Y2248" s="8" t="s">
        <v>9057</v>
      </c>
    </row>
    <row r="2249" customFormat="false" ht="15.75" hidden="false" customHeight="true" outlineLevel="0" collapsed="false">
      <c r="A2249" s="7" t="s">
        <v>9058</v>
      </c>
      <c r="B2249" s="8" t="n">
        <v>1966</v>
      </c>
      <c r="C2249" s="8" t="s">
        <v>122</v>
      </c>
      <c r="D2249" s="8" t="n">
        <v>205</v>
      </c>
      <c r="E2249" s="7" t="s">
        <v>4794</v>
      </c>
      <c r="F2249" s="8" t="n">
        <v>8</v>
      </c>
      <c r="G2249" s="8"/>
      <c r="H2249" s="9" t="n">
        <v>60999</v>
      </c>
      <c r="I2249" s="7" t="s">
        <v>9059</v>
      </c>
      <c r="J2249" s="7" t="s">
        <v>47</v>
      </c>
      <c r="K2249" s="7" t="s">
        <v>48</v>
      </c>
      <c r="L2249" s="10" t="s">
        <v>517</v>
      </c>
      <c r="M2249" s="7" t="s">
        <v>9060</v>
      </c>
      <c r="N2249" s="8" t="n">
        <v>0</v>
      </c>
      <c r="O2249" s="8" t="n">
        <v>0</v>
      </c>
      <c r="P2249" s="8" t="n">
        <v>0</v>
      </c>
      <c r="Q2249" s="8" t="n">
        <v>0</v>
      </c>
      <c r="R2249" s="8" t="n">
        <v>0</v>
      </c>
      <c r="S2249" s="8" t="n">
        <v>0</v>
      </c>
      <c r="T2249" s="8" t="n">
        <v>67</v>
      </c>
      <c r="U2249" s="11" t="n">
        <f aca="false">O2249*4 + P2249*2 + MAX(0,N2249-O2249-P2249)*1 + Q2249*0.2 + R2249*2 + S2249*1 + IF(T2249="",0,IF(T2249&lt;=10,8,IF(T2249&lt;=50,6,IF(T2249&lt;=100,4,2))))</f>
        <v>4</v>
      </c>
      <c r="V2249" s="10" t="s">
        <v>9061</v>
      </c>
      <c r="W2249" s="7"/>
      <c r="X2249" s="8"/>
      <c r="Y2249" s="8" t="s">
        <v>9062</v>
      </c>
    </row>
    <row r="2250" customFormat="false" ht="15.75" hidden="false" customHeight="true" outlineLevel="0" collapsed="false">
      <c r="A2250" s="7" t="s">
        <v>9063</v>
      </c>
      <c r="B2250" s="8" t="n">
        <v>1962</v>
      </c>
      <c r="C2250" s="8" t="s">
        <v>122</v>
      </c>
      <c r="D2250" s="8" t="n">
        <v>28</v>
      </c>
      <c r="E2250" s="7" t="s">
        <v>9043</v>
      </c>
      <c r="F2250" s="8" t="n">
        <v>8.2</v>
      </c>
      <c r="G2250" s="8"/>
      <c r="H2250" s="9" t="n">
        <v>40127</v>
      </c>
      <c r="I2250" s="7" t="s">
        <v>219</v>
      </c>
      <c r="J2250" s="7" t="s">
        <v>47</v>
      </c>
      <c r="K2250" s="7" t="s">
        <v>29</v>
      </c>
      <c r="L2250" s="10" t="s">
        <v>3130</v>
      </c>
      <c r="M2250" s="7" t="s">
        <v>9064</v>
      </c>
      <c r="N2250" s="8" t="n">
        <v>0</v>
      </c>
      <c r="O2250" s="8" t="n">
        <v>0</v>
      </c>
      <c r="P2250" s="8" t="n">
        <v>0</v>
      </c>
      <c r="Q2250" s="8" t="n">
        <v>0</v>
      </c>
      <c r="R2250" s="8" t="n">
        <v>0</v>
      </c>
      <c r="S2250" s="8" t="n">
        <v>0</v>
      </c>
      <c r="T2250" s="8" t="n">
        <v>67</v>
      </c>
      <c r="U2250" s="11" t="n">
        <f aca="false">O2250*4 + P2250*2 + MAX(0,N2250-O2250-P2250)*1 + Q2250*0.2 + R2250*2 + S2250*1 + IF(T2250="",0,IF(T2250&lt;=10,8,IF(T2250&lt;=50,6,IF(T2250&lt;=100,4,2))))</f>
        <v>4</v>
      </c>
      <c r="V2250" s="10" t="s">
        <v>9065</v>
      </c>
      <c r="W2250" s="7"/>
      <c r="X2250" s="8"/>
      <c r="Y2250" s="8" t="s">
        <v>9066</v>
      </c>
    </row>
    <row r="2251" customFormat="false" ht="15.75" hidden="false" customHeight="true" outlineLevel="0" collapsed="false">
      <c r="A2251" s="7" t="s">
        <v>9067</v>
      </c>
      <c r="B2251" s="8" t="n">
        <v>1960</v>
      </c>
      <c r="C2251" s="8" t="s">
        <v>122</v>
      </c>
      <c r="D2251" s="8" t="n">
        <v>143</v>
      </c>
      <c r="E2251" s="7" t="s">
        <v>9068</v>
      </c>
      <c r="F2251" s="8" t="n">
        <v>7.7</v>
      </c>
      <c r="G2251" s="8"/>
      <c r="H2251" s="9" t="n">
        <v>37313</v>
      </c>
      <c r="I2251" s="7" t="s">
        <v>1383</v>
      </c>
      <c r="J2251" s="7" t="s">
        <v>29</v>
      </c>
      <c r="K2251" s="7" t="s">
        <v>125</v>
      </c>
      <c r="L2251" s="10"/>
      <c r="M2251" s="7" t="s">
        <v>9069</v>
      </c>
      <c r="N2251" s="8" t="n">
        <v>0</v>
      </c>
      <c r="O2251" s="8" t="n">
        <v>0</v>
      </c>
      <c r="P2251" s="8" t="n">
        <v>0</v>
      </c>
      <c r="Q2251" s="8" t="n">
        <v>0</v>
      </c>
      <c r="R2251" s="8" t="n">
        <v>0</v>
      </c>
      <c r="S2251" s="8" t="n">
        <v>0</v>
      </c>
      <c r="T2251" s="8" t="n">
        <v>72</v>
      </c>
      <c r="U2251" s="11" t="n">
        <f aca="false">O2251*4 + P2251*2 + MAX(0,N2251-O2251-P2251)*1 + Q2251*0.2 + R2251*2 + S2251*1 + IF(T2251="",0,IF(T2251&lt;=10,8,IF(T2251&lt;=50,6,IF(T2251&lt;=100,4,2))))</f>
        <v>4</v>
      </c>
      <c r="V2251" s="10" t="s">
        <v>9070</v>
      </c>
      <c r="W2251" s="7"/>
      <c r="X2251" s="8"/>
      <c r="Y2251" s="8" t="s">
        <v>9071</v>
      </c>
    </row>
    <row r="2252" customFormat="false" ht="15.75" hidden="false" customHeight="true" outlineLevel="0" collapsed="false">
      <c r="A2252" s="7" t="s">
        <v>9072</v>
      </c>
      <c r="B2252" s="8" t="n">
        <v>1954</v>
      </c>
      <c r="C2252" s="8" t="s">
        <v>196</v>
      </c>
      <c r="D2252" s="8" t="n">
        <v>97</v>
      </c>
      <c r="E2252" s="7" t="s">
        <v>535</v>
      </c>
      <c r="F2252" s="8" t="n">
        <v>7.2</v>
      </c>
      <c r="G2252" s="8"/>
      <c r="H2252" s="9" t="n">
        <v>14025</v>
      </c>
      <c r="I2252" s="7" t="s">
        <v>1383</v>
      </c>
      <c r="J2252" s="7" t="s">
        <v>29</v>
      </c>
      <c r="K2252" s="7" t="s">
        <v>47</v>
      </c>
      <c r="L2252" s="10" t="s">
        <v>166</v>
      </c>
      <c r="M2252" s="7" t="s">
        <v>9073</v>
      </c>
      <c r="N2252" s="8" t="n">
        <v>0</v>
      </c>
      <c r="O2252" s="8" t="n">
        <v>0</v>
      </c>
      <c r="P2252" s="8" t="n">
        <v>0</v>
      </c>
      <c r="Q2252" s="8" t="n">
        <v>0</v>
      </c>
      <c r="R2252" s="8" t="n">
        <v>0</v>
      </c>
      <c r="S2252" s="8" t="n">
        <v>0</v>
      </c>
      <c r="T2252" s="8" t="n">
        <v>72</v>
      </c>
      <c r="U2252" s="11" t="n">
        <f aca="false">O2252*4 + P2252*2 + MAX(0,N2252-O2252-P2252)*1 + Q2252*0.2 + R2252*2 + S2252*1 + IF(T2252="",0,IF(T2252&lt;=10,8,IF(T2252&lt;=50,6,IF(T2252&lt;=100,4,2))))</f>
        <v>4</v>
      </c>
      <c r="V2252" s="10" t="s">
        <v>9074</v>
      </c>
      <c r="W2252" s="7"/>
      <c r="X2252" s="8"/>
      <c r="Y2252" s="8" t="s">
        <v>9075</v>
      </c>
    </row>
    <row r="2253" customFormat="false" ht="15.75" hidden="false" customHeight="true" outlineLevel="0" collapsed="false">
      <c r="A2253" s="7" t="s">
        <v>9076</v>
      </c>
      <c r="B2253" s="8" t="n">
        <v>1954</v>
      </c>
      <c r="C2253" s="8" t="s">
        <v>196</v>
      </c>
      <c r="D2253" s="8" t="n">
        <v>124</v>
      </c>
      <c r="E2253" s="7" t="s">
        <v>4722</v>
      </c>
      <c r="F2253" s="8" t="n">
        <v>8.3</v>
      </c>
      <c r="G2253" s="8"/>
      <c r="H2253" s="9" t="n">
        <v>20059</v>
      </c>
      <c r="I2253" s="7" t="s">
        <v>124</v>
      </c>
      <c r="J2253" s="7" t="s">
        <v>47</v>
      </c>
      <c r="K2253" s="7"/>
      <c r="L2253" s="10" t="s">
        <v>3351</v>
      </c>
      <c r="M2253" s="7" t="s">
        <v>9077</v>
      </c>
      <c r="N2253" s="8" t="n">
        <v>0</v>
      </c>
      <c r="O2253" s="8" t="n">
        <v>0</v>
      </c>
      <c r="P2253" s="8" t="n">
        <v>0</v>
      </c>
      <c r="Q2253" s="8" t="n">
        <v>0</v>
      </c>
      <c r="R2253" s="8" t="n">
        <v>0</v>
      </c>
      <c r="S2253" s="8" t="n">
        <v>0</v>
      </c>
      <c r="T2253" s="8" t="n">
        <v>75</v>
      </c>
      <c r="U2253" s="11" t="n">
        <f aca="false">O2253*4 + P2253*2 + MAX(0,N2253-O2253-P2253)*1 + Q2253*0.2 + R2253*2 + S2253*1 + IF(T2253="",0,IF(T2253&lt;=10,8,IF(T2253&lt;=50,6,IF(T2253&lt;=100,4,2))))</f>
        <v>4</v>
      </c>
      <c r="V2253" s="10" t="s">
        <v>9078</v>
      </c>
      <c r="W2253" s="7"/>
      <c r="X2253" s="8"/>
      <c r="Y2253" s="8" t="s">
        <v>9079</v>
      </c>
    </row>
    <row r="2254" customFormat="false" ht="15.75" hidden="false" customHeight="true" outlineLevel="0" collapsed="false">
      <c r="A2254" s="7" t="s">
        <v>9080</v>
      </c>
      <c r="B2254" s="8" t="n">
        <v>1959</v>
      </c>
      <c r="C2254" s="8" t="s">
        <v>196</v>
      </c>
      <c r="D2254" s="8" t="n">
        <v>125</v>
      </c>
      <c r="E2254" s="7" t="s">
        <v>9081</v>
      </c>
      <c r="F2254" s="8" t="n">
        <v>7.8</v>
      </c>
      <c r="G2254" s="8"/>
      <c r="H2254" s="9" t="n">
        <v>20018</v>
      </c>
      <c r="I2254" s="7" t="s">
        <v>46</v>
      </c>
      <c r="J2254" s="7" t="s">
        <v>47</v>
      </c>
      <c r="K2254" s="7"/>
      <c r="L2254" s="10" t="s">
        <v>416</v>
      </c>
      <c r="M2254" s="7" t="s">
        <v>9082</v>
      </c>
      <c r="N2254" s="8" t="n">
        <v>0</v>
      </c>
      <c r="O2254" s="8" t="n">
        <v>0</v>
      </c>
      <c r="P2254" s="8" t="n">
        <v>0</v>
      </c>
      <c r="Q2254" s="8" t="n">
        <v>2</v>
      </c>
      <c r="R2254" s="8" t="n">
        <v>0</v>
      </c>
      <c r="S2254" s="8" t="n">
        <v>0</v>
      </c>
      <c r="T2254" s="8" t="n">
        <v>75</v>
      </c>
      <c r="U2254" s="11" t="n">
        <f aca="false">O2254*4 + P2254*2 + MAX(0,N2254-O2254-P2254)*1 + Q2254*0.2 + R2254*2 + S2254*1 + IF(T2254="",0,IF(T2254&lt;=10,8,IF(T2254&lt;=50,6,IF(T2254&lt;=100,4,2))))</f>
        <v>4.4</v>
      </c>
      <c r="V2254" s="10" t="s">
        <v>9083</v>
      </c>
      <c r="W2254" s="7"/>
      <c r="X2254" s="8"/>
      <c r="Y2254" s="8" t="s">
        <v>9084</v>
      </c>
    </row>
    <row r="2255" customFormat="false" ht="15.75" hidden="false" customHeight="true" outlineLevel="0" collapsed="false">
      <c r="A2255" s="7" t="s">
        <v>9085</v>
      </c>
      <c r="B2255" s="8" t="n">
        <v>1946</v>
      </c>
      <c r="C2255" s="8" t="s">
        <v>243</v>
      </c>
      <c r="D2255" s="8" t="n">
        <v>104</v>
      </c>
      <c r="E2255" s="7" t="s">
        <v>9086</v>
      </c>
      <c r="F2255" s="8" t="n">
        <v>8</v>
      </c>
      <c r="G2255" s="8"/>
      <c r="H2255" s="9" t="n">
        <v>28161</v>
      </c>
      <c r="I2255" s="7" t="s">
        <v>280</v>
      </c>
      <c r="J2255" s="7" t="s">
        <v>38</v>
      </c>
      <c r="K2255" s="7" t="s">
        <v>29</v>
      </c>
      <c r="L2255" s="10" t="s">
        <v>9087</v>
      </c>
      <c r="M2255" s="7" t="s">
        <v>9088</v>
      </c>
      <c r="N2255" s="8" t="n">
        <v>0</v>
      </c>
      <c r="O2255" s="8" t="n">
        <v>0</v>
      </c>
      <c r="P2255" s="8" t="n">
        <v>0</v>
      </c>
      <c r="Q2255" s="8" t="n">
        <v>0</v>
      </c>
      <c r="R2255" s="8" t="n">
        <v>0</v>
      </c>
      <c r="S2255" s="8" t="n">
        <v>0</v>
      </c>
      <c r="T2255" s="8" t="n">
        <v>78</v>
      </c>
      <c r="U2255" s="11" t="n">
        <f aca="false">O2255*4 + P2255*2 + MAX(0,N2255-O2255-P2255)*1 + Q2255*0.2 + R2255*2 + S2255*1 + IF(T2255="",0,IF(T2255&lt;=10,8,IF(T2255&lt;=50,6,IF(T2255&lt;=100,4,2))))</f>
        <v>4</v>
      </c>
      <c r="V2255" s="10" t="s">
        <v>9089</v>
      </c>
      <c r="W2255" s="7"/>
      <c r="X2255" s="8"/>
      <c r="Y2255" s="8" t="s">
        <v>9090</v>
      </c>
    </row>
    <row r="2256" customFormat="false" ht="15.75" hidden="false" customHeight="true" outlineLevel="0" collapsed="false">
      <c r="A2256" s="7" t="s">
        <v>9091</v>
      </c>
      <c r="B2256" s="8" t="n">
        <v>1974</v>
      </c>
      <c r="C2256" s="8" t="s">
        <v>61</v>
      </c>
      <c r="D2256" s="8" t="n">
        <v>193</v>
      </c>
      <c r="E2256" s="7" t="s">
        <v>4581</v>
      </c>
      <c r="F2256" s="8" t="n">
        <v>7.2</v>
      </c>
      <c r="G2256" s="8"/>
      <c r="H2256" s="9" t="n">
        <v>7163</v>
      </c>
      <c r="I2256" s="7" t="s">
        <v>219</v>
      </c>
      <c r="J2256" s="7" t="s">
        <v>38</v>
      </c>
      <c r="K2256" s="7" t="s">
        <v>30</v>
      </c>
      <c r="L2256" s="10" t="s">
        <v>205</v>
      </c>
      <c r="M2256" s="7" t="s">
        <v>9092</v>
      </c>
      <c r="N2256" s="8" t="n">
        <v>0</v>
      </c>
      <c r="O2256" s="8" t="n">
        <v>0</v>
      </c>
      <c r="P2256" s="8" t="n">
        <v>0</v>
      </c>
      <c r="Q2256" s="8" t="n">
        <v>0</v>
      </c>
      <c r="R2256" s="8" t="n">
        <v>0</v>
      </c>
      <c r="S2256" s="8" t="n">
        <v>0</v>
      </c>
      <c r="T2256" s="8" t="n">
        <v>78</v>
      </c>
      <c r="U2256" s="11" t="n">
        <f aca="false">O2256*4 + P2256*2 + MAX(0,N2256-O2256-P2256)*1 + Q2256*0.2 + R2256*2 + S2256*1 + IF(T2256="",0,IF(T2256&lt;=10,8,IF(T2256&lt;=50,6,IF(T2256&lt;=100,4,2))))</f>
        <v>4</v>
      </c>
      <c r="V2256" s="10" t="s">
        <v>9093</v>
      </c>
      <c r="W2256" s="7"/>
      <c r="X2256" s="8"/>
      <c r="Y2256" s="8" t="s">
        <v>9094</v>
      </c>
    </row>
    <row r="2257" customFormat="false" ht="15.75" hidden="false" customHeight="true" outlineLevel="0" collapsed="false">
      <c r="A2257" s="7" t="s">
        <v>9095</v>
      </c>
      <c r="B2257" s="8" t="n">
        <v>1991</v>
      </c>
      <c r="C2257" s="8" t="s">
        <v>26</v>
      </c>
      <c r="D2257" s="8" t="n">
        <v>237</v>
      </c>
      <c r="E2257" s="7" t="s">
        <v>3841</v>
      </c>
      <c r="F2257" s="8" t="n">
        <v>8.2</v>
      </c>
      <c r="G2257" s="8"/>
      <c r="H2257" s="9" t="n">
        <v>15292</v>
      </c>
      <c r="I2257" s="7" t="s">
        <v>4209</v>
      </c>
      <c r="J2257" s="7" t="s">
        <v>29</v>
      </c>
      <c r="K2257" s="7" t="s">
        <v>54</v>
      </c>
      <c r="L2257" s="10"/>
      <c r="M2257" s="7" t="s">
        <v>9096</v>
      </c>
      <c r="N2257" s="8" t="n">
        <v>0</v>
      </c>
      <c r="O2257" s="8" t="n">
        <v>0</v>
      </c>
      <c r="P2257" s="8" t="n">
        <v>0</v>
      </c>
      <c r="Q2257" s="8" t="n">
        <v>0</v>
      </c>
      <c r="R2257" s="8" t="n">
        <v>0</v>
      </c>
      <c r="S2257" s="8" t="n">
        <v>0</v>
      </c>
      <c r="T2257" s="8" t="n">
        <v>78</v>
      </c>
      <c r="U2257" s="11" t="n">
        <f aca="false">O2257*4 + P2257*2 + MAX(0,N2257-O2257-P2257)*1 + Q2257*0.2 + R2257*2 + S2257*1 + IF(T2257="",0,IF(T2257&lt;=10,8,IF(T2257&lt;=50,6,IF(T2257&lt;=100,4,2))))</f>
        <v>4</v>
      </c>
      <c r="V2257" s="10" t="s">
        <v>9097</v>
      </c>
      <c r="W2257" s="7"/>
      <c r="X2257" s="8"/>
      <c r="Y2257" s="8" t="s">
        <v>9098</v>
      </c>
    </row>
    <row r="2258" customFormat="false" ht="15.75" hidden="false" customHeight="true" outlineLevel="0" collapsed="false">
      <c r="A2258" s="7" t="s">
        <v>9099</v>
      </c>
      <c r="B2258" s="8" t="n">
        <v>1973</v>
      </c>
      <c r="C2258" s="8" t="s">
        <v>61</v>
      </c>
      <c r="D2258" s="8" t="n">
        <v>98</v>
      </c>
      <c r="E2258" s="7" t="s">
        <v>1854</v>
      </c>
      <c r="F2258" s="8" t="n">
        <v>7.7</v>
      </c>
      <c r="G2258" s="8"/>
      <c r="H2258" s="9" t="n">
        <v>22916</v>
      </c>
      <c r="I2258" s="7" t="s">
        <v>232</v>
      </c>
      <c r="J2258" s="7" t="s">
        <v>38</v>
      </c>
      <c r="K2258" s="7" t="s">
        <v>47</v>
      </c>
      <c r="L2258" s="10" t="s">
        <v>1222</v>
      </c>
      <c r="M2258" s="7" t="s">
        <v>9100</v>
      </c>
      <c r="N2258" s="8" t="n">
        <v>0</v>
      </c>
      <c r="O2258" s="8" t="n">
        <v>0</v>
      </c>
      <c r="P2258" s="8" t="n">
        <v>0</v>
      </c>
      <c r="Q2258" s="8" t="n">
        <v>0</v>
      </c>
      <c r="R2258" s="8" t="n">
        <v>0</v>
      </c>
      <c r="S2258" s="8" t="n">
        <v>0</v>
      </c>
      <c r="T2258" s="8" t="n">
        <v>85</v>
      </c>
      <c r="U2258" s="11" t="n">
        <f aca="false">O2258*4 + P2258*2 + MAX(0,N2258-O2258-P2258)*1 + Q2258*0.2 + R2258*2 + S2258*1 + IF(T2258="",0,IF(T2258&lt;=10,8,IF(T2258&lt;=50,6,IF(T2258&lt;=100,4,2))))</f>
        <v>4</v>
      </c>
      <c r="V2258" s="10" t="s">
        <v>9101</v>
      </c>
      <c r="W2258" s="7"/>
      <c r="X2258" s="8"/>
      <c r="Y2258" s="8" t="s">
        <v>9102</v>
      </c>
    </row>
    <row r="2259" customFormat="false" ht="15.75" hidden="false" customHeight="true" outlineLevel="0" collapsed="false">
      <c r="A2259" s="7" t="s">
        <v>9103</v>
      </c>
      <c r="B2259" s="8" t="n">
        <v>1965</v>
      </c>
      <c r="C2259" s="8" t="s">
        <v>122</v>
      </c>
      <c r="D2259" s="8" t="n">
        <v>110</v>
      </c>
      <c r="E2259" s="7" t="s">
        <v>4799</v>
      </c>
      <c r="F2259" s="8" t="n">
        <v>7.4</v>
      </c>
      <c r="G2259" s="8"/>
      <c r="H2259" s="9" t="n">
        <v>40449</v>
      </c>
      <c r="I2259" s="7" t="s">
        <v>4256</v>
      </c>
      <c r="J2259" s="7" t="s">
        <v>29</v>
      </c>
      <c r="K2259" s="7" t="s">
        <v>54</v>
      </c>
      <c r="L2259" s="10" t="s">
        <v>205</v>
      </c>
      <c r="M2259" s="7" t="s">
        <v>9104</v>
      </c>
      <c r="N2259" s="8" t="n">
        <v>0</v>
      </c>
      <c r="O2259" s="8" t="n">
        <v>0</v>
      </c>
      <c r="P2259" s="8" t="n">
        <v>0</v>
      </c>
      <c r="Q2259" s="8" t="n">
        <v>0</v>
      </c>
      <c r="R2259" s="8" t="n">
        <v>0</v>
      </c>
      <c r="S2259" s="8" t="n">
        <v>0</v>
      </c>
      <c r="T2259" s="8" t="n">
        <v>85</v>
      </c>
      <c r="U2259" s="11" t="n">
        <f aca="false">O2259*4 + P2259*2 + MAX(0,N2259-O2259-P2259)*1 + Q2259*0.2 + R2259*2 + S2259*1 + IF(T2259="",0,IF(T2259&lt;=10,8,IF(T2259&lt;=50,6,IF(T2259&lt;=100,4,2))))</f>
        <v>4</v>
      </c>
      <c r="V2259" s="10" t="s">
        <v>9105</v>
      </c>
      <c r="W2259" s="7"/>
      <c r="X2259" s="8"/>
      <c r="Y2259" s="8" t="s">
        <v>9106</v>
      </c>
    </row>
    <row r="2260" customFormat="false" ht="15.75" hidden="false" customHeight="true" outlineLevel="0" collapsed="false">
      <c r="A2260" s="7" t="s">
        <v>9107</v>
      </c>
      <c r="B2260" s="8" t="n">
        <v>1994</v>
      </c>
      <c r="C2260" s="8" t="s">
        <v>26</v>
      </c>
      <c r="D2260" s="8" t="n">
        <v>102</v>
      </c>
      <c r="E2260" s="7" t="s">
        <v>802</v>
      </c>
      <c r="F2260" s="8" t="n">
        <v>7.9</v>
      </c>
      <c r="G2260" s="8"/>
      <c r="H2260" s="9" t="n">
        <v>113048</v>
      </c>
      <c r="I2260" s="7" t="s">
        <v>803</v>
      </c>
      <c r="J2260" s="7" t="s">
        <v>30</v>
      </c>
      <c r="K2260" s="7" t="s">
        <v>54</v>
      </c>
      <c r="L2260" s="10" t="s">
        <v>1280</v>
      </c>
      <c r="M2260" s="7" t="s">
        <v>9108</v>
      </c>
      <c r="N2260" s="8" t="n">
        <v>0</v>
      </c>
      <c r="O2260" s="8" t="n">
        <v>0</v>
      </c>
      <c r="P2260" s="8" t="n">
        <v>0</v>
      </c>
      <c r="Q2260" s="8" t="n">
        <v>0</v>
      </c>
      <c r="R2260" s="8" t="n">
        <v>0</v>
      </c>
      <c r="S2260" s="8" t="n">
        <v>0</v>
      </c>
      <c r="T2260" s="8" t="n">
        <v>88</v>
      </c>
      <c r="U2260" s="11" t="n">
        <f aca="false">O2260*4 + P2260*2 + MAX(0,N2260-O2260-P2260)*1 + Q2260*0.2 + R2260*2 + S2260*1 + IF(T2260="",0,IF(T2260&lt;=10,8,IF(T2260&lt;=50,6,IF(T2260&lt;=100,4,2))))</f>
        <v>4</v>
      </c>
      <c r="V2260" s="10" t="s">
        <v>9109</v>
      </c>
      <c r="W2260" s="7"/>
      <c r="X2260" s="8"/>
      <c r="Y2260" s="8" t="s">
        <v>9110</v>
      </c>
    </row>
    <row r="2261" customFormat="false" ht="15.75" hidden="false" customHeight="true" outlineLevel="0" collapsed="false">
      <c r="A2261" s="7" t="s">
        <v>9111</v>
      </c>
      <c r="B2261" s="8" t="n">
        <v>1963</v>
      </c>
      <c r="C2261" s="8" t="s">
        <v>122</v>
      </c>
      <c r="D2261" s="8" t="n">
        <v>186</v>
      </c>
      <c r="E2261" s="7" t="s">
        <v>9112</v>
      </c>
      <c r="F2261" s="8" t="n">
        <v>7.9</v>
      </c>
      <c r="G2261" s="8"/>
      <c r="H2261" s="9" t="n">
        <v>34874</v>
      </c>
      <c r="I2261" s="7" t="s">
        <v>1383</v>
      </c>
      <c r="J2261" s="7" t="s">
        <v>47</v>
      </c>
      <c r="K2261" s="7" t="s">
        <v>453</v>
      </c>
      <c r="L2261" s="10" t="s">
        <v>210</v>
      </c>
      <c r="M2261" s="7" t="s">
        <v>9113</v>
      </c>
      <c r="N2261" s="8" t="n">
        <v>0</v>
      </c>
      <c r="O2261" s="8" t="n">
        <v>0</v>
      </c>
      <c r="P2261" s="8" t="n">
        <v>0</v>
      </c>
      <c r="Q2261" s="8" t="n">
        <v>1</v>
      </c>
      <c r="R2261" s="8" t="n">
        <v>1</v>
      </c>
      <c r="S2261" s="8" t="n">
        <v>0</v>
      </c>
      <c r="T2261" s="8" t="n">
        <v>90</v>
      </c>
      <c r="U2261" s="11" t="n">
        <f aca="false">O2261*4 + P2261*2 + MAX(0,N2261-O2261-P2261)*1 + Q2261*0.2 + R2261*2 + S2261*1 + IF(T2261="",0,IF(T2261&lt;=10,8,IF(T2261&lt;=50,6,IF(T2261&lt;=100,4,2))))</f>
        <v>6.2</v>
      </c>
      <c r="V2261" s="10" t="s">
        <v>9114</v>
      </c>
      <c r="W2261" s="7"/>
      <c r="X2261" s="8"/>
      <c r="Y2261" s="8" t="s">
        <v>9115</v>
      </c>
    </row>
    <row r="2262" customFormat="false" ht="15.75" hidden="false" customHeight="true" outlineLevel="0" collapsed="false">
      <c r="A2262" s="7" t="s">
        <v>9116</v>
      </c>
      <c r="B2262" s="8" t="n">
        <v>1953</v>
      </c>
      <c r="C2262" s="8" t="s">
        <v>196</v>
      </c>
      <c r="D2262" s="8" t="n">
        <v>105</v>
      </c>
      <c r="E2262" s="7" t="s">
        <v>9117</v>
      </c>
      <c r="F2262" s="8" t="n">
        <v>7.8</v>
      </c>
      <c r="G2262" s="8"/>
      <c r="H2262" s="9" t="n">
        <v>12241</v>
      </c>
      <c r="I2262" s="7" t="s">
        <v>4256</v>
      </c>
      <c r="J2262" s="7" t="s">
        <v>29</v>
      </c>
      <c r="K2262" s="7" t="s">
        <v>47</v>
      </c>
      <c r="L2262" s="10" t="s">
        <v>517</v>
      </c>
      <c r="M2262" s="7" t="s">
        <v>9118</v>
      </c>
      <c r="N2262" s="8" t="n">
        <v>0</v>
      </c>
      <c r="O2262" s="8" t="n">
        <v>0</v>
      </c>
      <c r="P2262" s="8" t="n">
        <v>0</v>
      </c>
      <c r="Q2262" s="8" t="n">
        <v>1</v>
      </c>
      <c r="R2262" s="8" t="n">
        <v>0</v>
      </c>
      <c r="S2262" s="8" t="n">
        <v>0</v>
      </c>
      <c r="T2262" s="8" t="n">
        <v>90</v>
      </c>
      <c r="U2262" s="11" t="n">
        <f aca="false">O2262*4 + P2262*2 + MAX(0,N2262-O2262-P2262)*1 + Q2262*0.2 + R2262*2 + S2262*1 + IF(T2262="",0,IF(T2262&lt;=10,8,IF(T2262&lt;=50,6,IF(T2262&lt;=100,4,2))))</f>
        <v>4.2</v>
      </c>
      <c r="V2262" s="10" t="s">
        <v>9119</v>
      </c>
      <c r="W2262" s="7"/>
      <c r="X2262" s="8"/>
      <c r="Y2262" s="8" t="s">
        <v>9120</v>
      </c>
    </row>
    <row r="2263" customFormat="false" ht="15.75" hidden="false" customHeight="true" outlineLevel="0" collapsed="false">
      <c r="A2263" s="7" t="s">
        <v>9121</v>
      </c>
      <c r="B2263" s="8" t="n">
        <v>1956</v>
      </c>
      <c r="C2263" s="8" t="s">
        <v>196</v>
      </c>
      <c r="D2263" s="8" t="n">
        <v>101</v>
      </c>
      <c r="E2263" s="7" t="s">
        <v>4679</v>
      </c>
      <c r="F2263" s="8" t="n">
        <v>8.1</v>
      </c>
      <c r="G2263" s="8"/>
      <c r="H2263" s="9" t="n">
        <v>31015</v>
      </c>
      <c r="I2263" s="7" t="s">
        <v>219</v>
      </c>
      <c r="J2263" s="7" t="s">
        <v>154</v>
      </c>
      <c r="K2263" s="7" t="s">
        <v>131</v>
      </c>
      <c r="L2263" s="10" t="s">
        <v>517</v>
      </c>
      <c r="M2263" s="7" t="s">
        <v>9122</v>
      </c>
      <c r="N2263" s="8" t="n">
        <v>0</v>
      </c>
      <c r="O2263" s="8" t="n">
        <v>0</v>
      </c>
      <c r="P2263" s="8" t="n">
        <v>0</v>
      </c>
      <c r="Q2263" s="8" t="n">
        <v>0</v>
      </c>
      <c r="R2263" s="8" t="n">
        <v>0</v>
      </c>
      <c r="S2263" s="8" t="n">
        <v>0</v>
      </c>
      <c r="T2263" s="8" t="n">
        <v>95</v>
      </c>
      <c r="U2263" s="11" t="n">
        <f aca="false">O2263*4 + P2263*2 + MAX(0,N2263-O2263-P2263)*1 + Q2263*0.2 + R2263*2 + S2263*1 + IF(T2263="",0,IF(T2263&lt;=10,8,IF(T2263&lt;=50,6,IF(T2263&lt;=100,4,2))))</f>
        <v>4</v>
      </c>
      <c r="V2263" s="10" t="s">
        <v>9123</v>
      </c>
      <c r="W2263" s="7"/>
      <c r="X2263" s="8"/>
      <c r="Y2263" s="8" t="s">
        <v>9124</v>
      </c>
    </row>
    <row r="2264" customFormat="false" ht="15.75" hidden="false" customHeight="true" outlineLevel="0" collapsed="false">
      <c r="A2264" s="7" t="s">
        <v>9125</v>
      </c>
      <c r="B2264" s="8" t="n">
        <v>1966</v>
      </c>
      <c r="C2264" s="8" t="s">
        <v>122</v>
      </c>
      <c r="D2264" s="8" t="n">
        <v>65</v>
      </c>
      <c r="E2264" s="7" t="s">
        <v>4142</v>
      </c>
      <c r="F2264" s="8" t="n">
        <v>7.4</v>
      </c>
      <c r="G2264" s="8"/>
      <c r="H2264" s="9" t="n">
        <v>7547</v>
      </c>
      <c r="I2264" s="7" t="s">
        <v>9126</v>
      </c>
      <c r="J2264" s="7" t="s">
        <v>47</v>
      </c>
      <c r="K2264" s="7"/>
      <c r="L2264" s="10" t="s">
        <v>9127</v>
      </c>
      <c r="M2264" s="7" t="s">
        <v>9128</v>
      </c>
      <c r="N2264" s="8" t="n">
        <v>0</v>
      </c>
      <c r="O2264" s="8" t="n">
        <v>0</v>
      </c>
      <c r="P2264" s="8" t="n">
        <v>0</v>
      </c>
      <c r="Q2264" s="8" t="n">
        <v>0</v>
      </c>
      <c r="R2264" s="8" t="n">
        <v>0</v>
      </c>
      <c r="S2264" s="8" t="n">
        <v>0</v>
      </c>
      <c r="T2264" s="8" t="n">
        <v>95</v>
      </c>
      <c r="U2264" s="11" t="n">
        <f aca="false">O2264*4 + P2264*2 + MAX(0,N2264-O2264-P2264)*1 + Q2264*0.2 + R2264*2 + S2264*1 + IF(T2264="",0,IF(T2264&lt;=10,8,IF(T2264&lt;=50,6,IF(T2264&lt;=100,4,2))))</f>
        <v>4</v>
      </c>
      <c r="V2264" s="10" t="s">
        <v>9129</v>
      </c>
      <c r="W2264" s="7"/>
      <c r="X2264" s="8"/>
      <c r="Y2264" s="8" t="s">
        <v>9130</v>
      </c>
    </row>
    <row r="2265" customFormat="false" ht="15.75" hidden="false" customHeight="true" outlineLevel="0" collapsed="false">
      <c r="A2265" s="7" t="s">
        <v>9131</v>
      </c>
      <c r="B2265" s="8" t="n">
        <v>2004</v>
      </c>
      <c r="C2265" s="8" t="s">
        <v>35</v>
      </c>
      <c r="D2265" s="8" t="n">
        <v>118</v>
      </c>
      <c r="E2265" s="7" t="s">
        <v>4973</v>
      </c>
      <c r="F2265" s="8" t="n">
        <v>7.1</v>
      </c>
      <c r="G2265" s="8"/>
      <c r="H2265" s="9" t="n">
        <v>6856</v>
      </c>
      <c r="I2265" s="7" t="s">
        <v>9132</v>
      </c>
      <c r="J2265" s="7" t="s">
        <v>38</v>
      </c>
      <c r="K2265" s="7" t="s">
        <v>1102</v>
      </c>
      <c r="L2265" s="10"/>
      <c r="M2265" s="7" t="s">
        <v>9133</v>
      </c>
      <c r="N2265" s="8" t="n">
        <v>0</v>
      </c>
      <c r="O2265" s="8" t="n">
        <v>0</v>
      </c>
      <c r="P2265" s="8" t="n">
        <v>0</v>
      </c>
      <c r="Q2265" s="8" t="n">
        <v>0</v>
      </c>
      <c r="R2265" s="8" t="n">
        <v>0</v>
      </c>
      <c r="S2265" s="8" t="n">
        <v>0</v>
      </c>
      <c r="T2265" s="8" t="n">
        <v>95</v>
      </c>
      <c r="U2265" s="11" t="n">
        <f aca="false">O2265*4 + P2265*2 + MAX(0,N2265-O2265-P2265)*1 + Q2265*0.2 + R2265*2 + S2265*1 + IF(T2265="",0,IF(T2265&lt;=10,8,IF(T2265&lt;=50,6,IF(T2265&lt;=100,4,2))))</f>
        <v>4</v>
      </c>
      <c r="V2265" s="10" t="s">
        <v>9134</v>
      </c>
      <c r="W2265" s="7"/>
      <c r="X2265" s="8"/>
      <c r="Y2265" s="8" t="s">
        <v>9135</v>
      </c>
    </row>
    <row r="2266" customFormat="false" ht="15.75" hidden="false" customHeight="true" outlineLevel="0" collapsed="false">
      <c r="A2266" s="7" t="s">
        <v>9136</v>
      </c>
      <c r="B2266" s="8" t="n">
        <v>1985</v>
      </c>
      <c r="C2266" s="8" t="s">
        <v>109</v>
      </c>
      <c r="D2266" s="8" t="n">
        <v>105</v>
      </c>
      <c r="E2266" s="7" t="s">
        <v>4752</v>
      </c>
      <c r="F2266" s="8" t="n">
        <v>7.6</v>
      </c>
      <c r="G2266" s="8"/>
      <c r="H2266" s="9" t="n">
        <v>16058</v>
      </c>
      <c r="I2266" s="7" t="s">
        <v>219</v>
      </c>
      <c r="J2266" s="7" t="s">
        <v>47</v>
      </c>
      <c r="K2266" s="7"/>
      <c r="L2266" s="10" t="s">
        <v>478</v>
      </c>
      <c r="M2266" s="7" t="s">
        <v>9137</v>
      </c>
      <c r="N2266" s="8" t="n">
        <v>0</v>
      </c>
      <c r="O2266" s="8" t="n">
        <v>0</v>
      </c>
      <c r="P2266" s="8" t="n">
        <v>0</v>
      </c>
      <c r="Q2266" s="8" t="n">
        <v>0</v>
      </c>
      <c r="R2266" s="8" t="n">
        <v>1</v>
      </c>
      <c r="S2266" s="8" t="n">
        <v>0</v>
      </c>
      <c r="T2266" s="8" t="n">
        <v>101</v>
      </c>
      <c r="U2266" s="11" t="n">
        <f aca="false">O2266*4 + P2266*2 + MAX(0,N2266-O2266-P2266)*1 + Q2266*0.2 + R2266*2 + S2266*1 + IF(T2266="",0,IF(T2266&lt;=10,8,IF(T2266&lt;=50,6,IF(T2266&lt;=100,4,2))))</f>
        <v>4</v>
      </c>
      <c r="V2266" s="10" t="s">
        <v>9138</v>
      </c>
      <c r="W2266" s="7"/>
      <c r="X2266" s="8"/>
      <c r="Y2266" s="8" t="s">
        <v>9139</v>
      </c>
    </row>
    <row r="2267" customFormat="false" ht="15.75" hidden="false" customHeight="true" outlineLevel="0" collapsed="false">
      <c r="A2267" s="7" t="s">
        <v>9140</v>
      </c>
      <c r="B2267" s="8" t="n">
        <v>1963</v>
      </c>
      <c r="C2267" s="8" t="s">
        <v>122</v>
      </c>
      <c r="D2267" s="8" t="n">
        <v>20</v>
      </c>
      <c r="E2267" s="7" t="s">
        <v>9141</v>
      </c>
      <c r="F2267" s="8" t="n">
        <v>7.8</v>
      </c>
      <c r="G2267" s="8"/>
      <c r="H2267" s="9" t="n">
        <v>6388</v>
      </c>
      <c r="I2267" s="7" t="s">
        <v>1424</v>
      </c>
      <c r="J2267" s="7"/>
      <c r="K2267" s="7" t="s">
        <v>2730</v>
      </c>
      <c r="L2267" s="10"/>
      <c r="M2267" s="7" t="s">
        <v>9142</v>
      </c>
      <c r="N2267" s="8" t="n">
        <v>0</v>
      </c>
      <c r="O2267" s="8" t="n">
        <v>0</v>
      </c>
      <c r="P2267" s="8" t="n">
        <v>0</v>
      </c>
      <c r="Q2267" s="8" t="n">
        <v>0</v>
      </c>
      <c r="R2267" s="8" t="n">
        <v>0</v>
      </c>
      <c r="S2267" s="8" t="n">
        <v>0</v>
      </c>
      <c r="T2267" s="8" t="n">
        <v>101</v>
      </c>
      <c r="U2267" s="11" t="n">
        <f aca="false">O2267*4 + P2267*2 + MAX(0,N2267-O2267-P2267)*1 + Q2267*0.2 + R2267*2 + S2267*1 + IF(T2267="",0,IF(T2267&lt;=10,8,IF(T2267&lt;=50,6,IF(T2267&lt;=100,4,2))))</f>
        <v>2</v>
      </c>
      <c r="V2267" s="10" t="s">
        <v>9143</v>
      </c>
      <c r="W2267" s="7"/>
      <c r="X2267" s="8"/>
      <c r="Y2267" s="8" t="s">
        <v>9144</v>
      </c>
    </row>
    <row r="2268" customFormat="false" ht="15.75" hidden="false" customHeight="true" outlineLevel="0" collapsed="false">
      <c r="A2268" s="7" t="s">
        <v>9145</v>
      </c>
      <c r="B2268" s="8" t="n">
        <v>1959</v>
      </c>
      <c r="C2268" s="8" t="s">
        <v>196</v>
      </c>
      <c r="D2268" s="8" t="n">
        <v>141</v>
      </c>
      <c r="E2268" s="7" t="s">
        <v>9146</v>
      </c>
      <c r="F2268" s="8" t="n">
        <v>7.9</v>
      </c>
      <c r="G2268" s="8"/>
      <c r="H2268" s="9" t="n">
        <v>74205</v>
      </c>
      <c r="I2268" s="7" t="s">
        <v>46</v>
      </c>
      <c r="J2268" s="7" t="s">
        <v>268</v>
      </c>
      <c r="K2268" s="7" t="s">
        <v>82</v>
      </c>
      <c r="L2268" s="10" t="s">
        <v>220</v>
      </c>
      <c r="M2268" s="7" t="s">
        <v>9147</v>
      </c>
      <c r="N2268" s="8" t="n">
        <v>0</v>
      </c>
      <c r="O2268" s="8" t="n">
        <v>0</v>
      </c>
      <c r="P2268" s="8" t="n">
        <v>0</v>
      </c>
      <c r="Q2268" s="8" t="n">
        <v>0</v>
      </c>
      <c r="R2268" s="8" t="n">
        <v>0</v>
      </c>
      <c r="S2268" s="8" t="n">
        <v>0</v>
      </c>
      <c r="T2268" s="8" t="n">
        <v>101</v>
      </c>
      <c r="U2268" s="11" t="n">
        <f aca="false">O2268*4 + P2268*2 + MAX(0,N2268-O2268-P2268)*1 + Q2268*0.2 + R2268*2 + S2268*1 + IF(T2268="",0,IF(T2268&lt;=10,8,IF(T2268&lt;=50,6,IF(T2268&lt;=100,4,2))))</f>
        <v>2</v>
      </c>
      <c r="V2268" s="10" t="s">
        <v>9148</v>
      </c>
      <c r="W2268" s="7"/>
      <c r="X2268" s="8"/>
      <c r="Y2268" s="8" t="s">
        <v>9149</v>
      </c>
    </row>
    <row r="2269" customFormat="false" ht="15.75" hidden="false" customHeight="true" outlineLevel="0" collapsed="false">
      <c r="A2269" s="7" t="s">
        <v>9150</v>
      </c>
      <c r="B2269" s="8" t="n">
        <v>1973</v>
      </c>
      <c r="C2269" s="8" t="s">
        <v>61</v>
      </c>
      <c r="D2269" s="8" t="n">
        <v>210</v>
      </c>
      <c r="E2269" s="7" t="s">
        <v>9151</v>
      </c>
      <c r="F2269" s="8" t="n">
        <v>7.7</v>
      </c>
      <c r="G2269" s="8"/>
      <c r="H2269" s="9" t="n">
        <v>7790</v>
      </c>
      <c r="I2269" s="7" t="s">
        <v>219</v>
      </c>
      <c r="J2269" s="7" t="s">
        <v>29</v>
      </c>
      <c r="K2269" s="7" t="s">
        <v>47</v>
      </c>
      <c r="L2269" s="10" t="s">
        <v>205</v>
      </c>
      <c r="M2269" s="7" t="s">
        <v>9152</v>
      </c>
      <c r="N2269" s="8" t="n">
        <v>0</v>
      </c>
      <c r="O2269" s="8" t="n">
        <v>0</v>
      </c>
      <c r="P2269" s="8" t="n">
        <v>0</v>
      </c>
      <c r="Q2269" s="8" t="n">
        <v>0</v>
      </c>
      <c r="R2269" s="8" t="n">
        <v>0</v>
      </c>
      <c r="S2269" s="8" t="n">
        <v>0</v>
      </c>
      <c r="T2269" s="8" t="n">
        <v>104</v>
      </c>
      <c r="U2269" s="11" t="n">
        <f aca="false">O2269*4 + P2269*2 + MAX(0,N2269-O2269-P2269)*1 + Q2269*0.2 + R2269*2 + S2269*1 + IF(T2269="",0,IF(T2269&lt;=10,8,IF(T2269&lt;=50,6,IF(T2269&lt;=100,4,2))))</f>
        <v>2</v>
      </c>
      <c r="V2269" s="10" t="s">
        <v>9153</v>
      </c>
      <c r="W2269" s="7"/>
      <c r="X2269" s="8"/>
      <c r="Y2269" s="8" t="s">
        <v>9154</v>
      </c>
    </row>
    <row r="2270" customFormat="false" ht="15.75" hidden="false" customHeight="true" outlineLevel="0" collapsed="false">
      <c r="A2270" s="7" t="s">
        <v>9155</v>
      </c>
      <c r="B2270" s="8" t="n">
        <v>1938</v>
      </c>
      <c r="C2270" s="8" t="s">
        <v>96</v>
      </c>
      <c r="D2270" s="8" t="n">
        <v>102</v>
      </c>
      <c r="E2270" s="7" t="s">
        <v>9146</v>
      </c>
      <c r="F2270" s="8" t="n">
        <v>7.8</v>
      </c>
      <c r="G2270" s="8"/>
      <c r="H2270" s="9" t="n">
        <v>69619</v>
      </c>
      <c r="I2270" s="7" t="s">
        <v>46</v>
      </c>
      <c r="J2270" s="7" t="s">
        <v>30</v>
      </c>
      <c r="K2270" s="7"/>
      <c r="L2270" s="10" t="s">
        <v>1078</v>
      </c>
      <c r="M2270" s="7" t="s">
        <v>9156</v>
      </c>
      <c r="N2270" s="8" t="n">
        <v>0</v>
      </c>
      <c r="O2270" s="8" t="n">
        <v>0</v>
      </c>
      <c r="P2270" s="8" t="n">
        <v>0</v>
      </c>
      <c r="Q2270" s="8" t="n">
        <v>0</v>
      </c>
      <c r="R2270" s="8" t="n">
        <v>0</v>
      </c>
      <c r="S2270" s="8" t="n">
        <v>0</v>
      </c>
      <c r="T2270" s="8" t="n">
        <v>108</v>
      </c>
      <c r="U2270" s="11" t="n">
        <f aca="false">O2270*4 + P2270*2 + MAX(0,N2270-O2270-P2270)*1 + Q2270*0.2 + R2270*2 + S2270*1 + IF(T2270="",0,IF(T2270&lt;=10,8,IF(T2270&lt;=50,6,IF(T2270&lt;=100,4,2))))</f>
        <v>2</v>
      </c>
      <c r="V2270" s="10" t="s">
        <v>9157</v>
      </c>
      <c r="W2270" s="7"/>
      <c r="X2270" s="8"/>
      <c r="Y2270" s="8" t="s">
        <v>9158</v>
      </c>
    </row>
    <row r="2271" customFormat="false" ht="15.75" hidden="false" customHeight="true" outlineLevel="0" collapsed="false">
      <c r="A2271" s="7" t="s">
        <v>9159</v>
      </c>
      <c r="B2271" s="8" t="n">
        <v>1957</v>
      </c>
      <c r="C2271" s="8" t="s">
        <v>196</v>
      </c>
      <c r="D2271" s="8" t="n">
        <v>92</v>
      </c>
      <c r="E2271" s="7" t="s">
        <v>1437</v>
      </c>
      <c r="F2271" s="8" t="n">
        <v>8.1</v>
      </c>
      <c r="G2271" s="8"/>
      <c r="H2271" s="9" t="n">
        <v>125398</v>
      </c>
      <c r="I2271" s="7" t="s">
        <v>1438</v>
      </c>
      <c r="J2271" s="7" t="s">
        <v>29</v>
      </c>
      <c r="K2271" s="7" t="s">
        <v>47</v>
      </c>
      <c r="L2271" s="10" t="s">
        <v>517</v>
      </c>
      <c r="M2271" s="7" t="s">
        <v>9160</v>
      </c>
      <c r="N2271" s="8" t="n">
        <v>0</v>
      </c>
      <c r="O2271" s="8" t="n">
        <v>0</v>
      </c>
      <c r="P2271" s="8" t="n">
        <v>0</v>
      </c>
      <c r="Q2271" s="8" t="n">
        <v>1</v>
      </c>
      <c r="R2271" s="8" t="n">
        <v>1</v>
      </c>
      <c r="S2271" s="8" t="n">
        <v>0</v>
      </c>
      <c r="T2271" s="8" t="n">
        <v>108</v>
      </c>
      <c r="U2271" s="11" t="n">
        <f aca="false">O2271*4 + P2271*2 + MAX(0,N2271-O2271-P2271)*1 + Q2271*0.2 + R2271*2 + S2271*1 + IF(T2271="",0,IF(T2271&lt;=10,8,IF(T2271&lt;=50,6,IF(T2271&lt;=100,4,2))))</f>
        <v>4.2</v>
      </c>
      <c r="V2271" s="10" t="s">
        <v>9161</v>
      </c>
      <c r="W2271" s="7"/>
      <c r="X2271" s="8"/>
      <c r="Y2271" s="8" t="s">
        <v>9162</v>
      </c>
    </row>
    <row r="2272" customFormat="false" ht="15.75" hidden="false" customHeight="true" outlineLevel="0" collapsed="false">
      <c r="A2272" s="7" t="s">
        <v>9163</v>
      </c>
      <c r="B2272" s="8" t="n">
        <v>1939</v>
      </c>
      <c r="C2272" s="8" t="s">
        <v>96</v>
      </c>
      <c r="D2272" s="8" t="n">
        <v>102</v>
      </c>
      <c r="E2272" s="7" t="s">
        <v>9164</v>
      </c>
      <c r="F2272" s="8" t="n">
        <v>8.1</v>
      </c>
      <c r="G2272" s="8"/>
      <c r="H2272" s="9" t="n">
        <v>471268</v>
      </c>
      <c r="I2272" s="7" t="s">
        <v>46</v>
      </c>
      <c r="J2272" s="7" t="s">
        <v>38</v>
      </c>
      <c r="K2272" s="7" t="s">
        <v>259</v>
      </c>
      <c r="L2272" s="10" t="s">
        <v>1642</v>
      </c>
      <c r="M2272" s="7" t="s">
        <v>9165</v>
      </c>
      <c r="N2272" s="8" t="n">
        <v>2</v>
      </c>
      <c r="O2272" s="8" t="n">
        <v>0</v>
      </c>
      <c r="P2272" s="8" t="n">
        <v>0</v>
      </c>
      <c r="Q2272" s="8" t="n">
        <v>6</v>
      </c>
      <c r="R2272" s="8" t="n">
        <v>0</v>
      </c>
      <c r="S2272" s="8" t="n">
        <v>0</v>
      </c>
      <c r="T2272" s="8" t="n">
        <v>108</v>
      </c>
      <c r="U2272" s="11" t="n">
        <f aca="false">O2272*4 + P2272*2 + MAX(0,N2272-O2272-P2272)*1 + Q2272*0.2 + R2272*2 + S2272*1 + IF(T2272="",0,IF(T2272&lt;=10,8,IF(T2272&lt;=50,6,IF(T2272&lt;=100,4,2))))</f>
        <v>5.2</v>
      </c>
      <c r="V2272" s="10" t="s">
        <v>9166</v>
      </c>
      <c r="W2272" s="7"/>
      <c r="X2272" s="8"/>
      <c r="Y2272" s="8" t="s">
        <v>9167</v>
      </c>
    </row>
    <row r="2273" customFormat="false" ht="15.75" hidden="false" customHeight="true" outlineLevel="0" collapsed="false">
      <c r="A2273" s="7" t="s">
        <v>9168</v>
      </c>
      <c r="B2273" s="8" t="n">
        <v>1973</v>
      </c>
      <c r="C2273" s="8" t="s">
        <v>61</v>
      </c>
      <c r="D2273" s="8" t="n">
        <v>110</v>
      </c>
      <c r="E2273" s="7" t="s">
        <v>9169</v>
      </c>
      <c r="F2273" s="8" t="n">
        <v>7.1</v>
      </c>
      <c r="G2273" s="8"/>
      <c r="H2273" s="9" t="n">
        <v>69084</v>
      </c>
      <c r="I2273" s="7" t="s">
        <v>6182</v>
      </c>
      <c r="J2273" s="7" t="s">
        <v>147</v>
      </c>
      <c r="K2273" s="7" t="s">
        <v>125</v>
      </c>
      <c r="L2273" s="10" t="s">
        <v>9170</v>
      </c>
      <c r="M2273" s="7" t="s">
        <v>9171</v>
      </c>
      <c r="N2273" s="8" t="n">
        <v>0</v>
      </c>
      <c r="O2273" s="8" t="n">
        <v>0</v>
      </c>
      <c r="P2273" s="8" t="n">
        <v>0</v>
      </c>
      <c r="Q2273" s="8" t="n">
        <v>0</v>
      </c>
      <c r="R2273" s="8" t="n">
        <v>0</v>
      </c>
      <c r="S2273" s="8" t="n">
        <v>0</v>
      </c>
      <c r="T2273" s="8" t="n">
        <v>114</v>
      </c>
      <c r="U2273" s="11" t="n">
        <f aca="false">O2273*4 + P2273*2 + MAX(0,N2273-O2273-P2273)*1 + Q2273*0.2 + R2273*2 + S2273*1 + IF(T2273="",0,IF(T2273&lt;=10,8,IF(T2273&lt;=50,6,IF(T2273&lt;=100,4,2))))</f>
        <v>2</v>
      </c>
      <c r="V2273" s="10" t="s">
        <v>9172</v>
      </c>
      <c r="W2273" s="7"/>
      <c r="X2273" s="8"/>
      <c r="Y2273" s="8" t="s">
        <v>9173</v>
      </c>
    </row>
    <row r="2274" customFormat="false" ht="15.75" hidden="false" customHeight="true" outlineLevel="0" collapsed="false">
      <c r="A2274" s="7" t="s">
        <v>9174</v>
      </c>
      <c r="B2274" s="8" t="n">
        <v>1975</v>
      </c>
      <c r="C2274" s="8" t="s">
        <v>61</v>
      </c>
      <c r="D2274" s="8" t="n">
        <v>160</v>
      </c>
      <c r="E2274" s="7" t="s">
        <v>1767</v>
      </c>
      <c r="F2274" s="8" t="n">
        <v>7.6</v>
      </c>
      <c r="G2274" s="8"/>
      <c r="H2274" s="9" t="n">
        <v>31734</v>
      </c>
      <c r="I2274" s="7" t="s">
        <v>46</v>
      </c>
      <c r="J2274" s="7" t="s">
        <v>90</v>
      </c>
      <c r="K2274" s="7" t="s">
        <v>2022</v>
      </c>
      <c r="L2274" s="10" t="s">
        <v>205</v>
      </c>
      <c r="M2274" s="7" t="s">
        <v>9175</v>
      </c>
      <c r="N2274" s="8" t="n">
        <v>1</v>
      </c>
      <c r="O2274" s="8" t="n">
        <v>0</v>
      </c>
      <c r="P2274" s="8" t="n">
        <v>0</v>
      </c>
      <c r="Q2274" s="8" t="n">
        <v>5</v>
      </c>
      <c r="R2274" s="8" t="n">
        <v>0</v>
      </c>
      <c r="S2274" s="8" t="n">
        <v>0</v>
      </c>
      <c r="T2274" s="8" t="n">
        <v>114</v>
      </c>
      <c r="U2274" s="11" t="n">
        <f aca="false">O2274*4 + P2274*2 + MAX(0,N2274-O2274-P2274)*1 + Q2274*0.2 + R2274*2 + S2274*1 + IF(T2274="",0,IF(T2274&lt;=10,8,IF(T2274&lt;=50,6,IF(T2274&lt;=100,4,2))))</f>
        <v>4</v>
      </c>
      <c r="V2274" s="10" t="s">
        <v>9176</v>
      </c>
      <c r="W2274" s="7"/>
      <c r="X2274" s="8"/>
      <c r="Y2274" s="8" t="s">
        <v>9177</v>
      </c>
    </row>
    <row r="2275" customFormat="false" ht="15.75" hidden="false" customHeight="true" outlineLevel="0" collapsed="false">
      <c r="A2275" s="7" t="s">
        <v>9178</v>
      </c>
      <c r="B2275" s="8" t="n">
        <v>1974</v>
      </c>
      <c r="C2275" s="8" t="s">
        <v>61</v>
      </c>
      <c r="D2275" s="8" t="n">
        <v>155</v>
      </c>
      <c r="E2275" s="7" t="s">
        <v>4747</v>
      </c>
      <c r="F2275" s="8" t="n">
        <v>8</v>
      </c>
      <c r="G2275" s="8"/>
      <c r="H2275" s="9" t="n">
        <v>33854</v>
      </c>
      <c r="I2275" s="7" t="s">
        <v>46</v>
      </c>
      <c r="J2275" s="7" t="s">
        <v>29</v>
      </c>
      <c r="K2275" s="7" t="s">
        <v>47</v>
      </c>
      <c r="L2275" s="10" t="s">
        <v>531</v>
      </c>
      <c r="M2275" s="7" t="s">
        <v>9179</v>
      </c>
      <c r="N2275" s="8" t="n">
        <v>0</v>
      </c>
      <c r="O2275" s="8" t="n">
        <v>0</v>
      </c>
      <c r="P2275" s="8" t="n">
        <v>0</v>
      </c>
      <c r="Q2275" s="8" t="n">
        <v>2</v>
      </c>
      <c r="R2275" s="8" t="n">
        <v>0</v>
      </c>
      <c r="S2275" s="8" t="n">
        <v>0</v>
      </c>
      <c r="T2275" s="8" t="n">
        <v>114</v>
      </c>
      <c r="U2275" s="11" t="n">
        <f aca="false">O2275*4 + P2275*2 + MAX(0,N2275-O2275-P2275)*1 + Q2275*0.2 + R2275*2 + S2275*1 + IF(T2275="",0,IF(T2275&lt;=10,8,IF(T2275&lt;=50,6,IF(T2275&lt;=100,4,2))))</f>
        <v>2.4</v>
      </c>
      <c r="V2275" s="10" t="s">
        <v>9180</v>
      </c>
      <c r="W2275" s="7"/>
      <c r="X2275" s="8"/>
      <c r="Y2275" s="8" t="s">
        <v>9181</v>
      </c>
    </row>
    <row r="2276" customFormat="false" ht="15.75" hidden="false" customHeight="true" outlineLevel="0" collapsed="false">
      <c r="A2276" s="7" t="s">
        <v>9182</v>
      </c>
      <c r="B2276" s="8" t="n">
        <v>1970</v>
      </c>
      <c r="C2276" s="8" t="s">
        <v>61</v>
      </c>
      <c r="D2276" s="8" t="n">
        <v>113</v>
      </c>
      <c r="E2276" s="7" t="s">
        <v>656</v>
      </c>
      <c r="F2276" s="8" t="n">
        <v>7.9</v>
      </c>
      <c r="G2276" s="8"/>
      <c r="H2276" s="9" t="n">
        <v>39514</v>
      </c>
      <c r="I2276" s="7" t="s">
        <v>9183</v>
      </c>
      <c r="J2276" s="7" t="s">
        <v>47</v>
      </c>
      <c r="K2276" s="7"/>
      <c r="L2276" s="10"/>
      <c r="M2276" s="7" t="s">
        <v>9184</v>
      </c>
      <c r="N2276" s="8" t="n">
        <v>0</v>
      </c>
      <c r="O2276" s="8" t="n">
        <v>0</v>
      </c>
      <c r="P2276" s="8" t="n">
        <v>0</v>
      </c>
      <c r="Q2276" s="8" t="n">
        <v>1</v>
      </c>
      <c r="R2276" s="8" t="n">
        <v>0</v>
      </c>
      <c r="S2276" s="8" t="n">
        <v>0</v>
      </c>
      <c r="T2276" s="8" t="n">
        <v>118</v>
      </c>
      <c r="U2276" s="11" t="n">
        <f aca="false">O2276*4 + P2276*2 + MAX(0,N2276-O2276-P2276)*1 + Q2276*0.2 + R2276*2 + S2276*1 + IF(T2276="",0,IF(T2276&lt;=10,8,IF(T2276&lt;=50,6,IF(T2276&lt;=100,4,2))))</f>
        <v>2.2</v>
      </c>
      <c r="V2276" s="10" t="s">
        <v>9185</v>
      </c>
      <c r="W2276" s="7"/>
      <c r="X2276" s="8"/>
      <c r="Y2276" s="8" t="s">
        <v>9186</v>
      </c>
    </row>
    <row r="2277" customFormat="false" ht="15.75" hidden="false" customHeight="true" outlineLevel="0" collapsed="false">
      <c r="A2277" s="7" t="s">
        <v>9187</v>
      </c>
      <c r="B2277" s="8" t="n">
        <v>1972</v>
      </c>
      <c r="C2277" s="8" t="s">
        <v>61</v>
      </c>
      <c r="D2277" s="8" t="n">
        <v>95</v>
      </c>
      <c r="E2277" s="7" t="s">
        <v>4968</v>
      </c>
      <c r="F2277" s="8" t="n">
        <v>7.8</v>
      </c>
      <c r="G2277" s="8"/>
      <c r="H2277" s="9" t="n">
        <v>68774</v>
      </c>
      <c r="I2277" s="7" t="s">
        <v>9188</v>
      </c>
      <c r="J2277" s="7" t="s">
        <v>112</v>
      </c>
      <c r="K2277" s="7" t="s">
        <v>48</v>
      </c>
      <c r="L2277" s="10" t="s">
        <v>166</v>
      </c>
      <c r="M2277" s="7" t="s">
        <v>9189</v>
      </c>
      <c r="N2277" s="8" t="n">
        <v>0</v>
      </c>
      <c r="O2277" s="8" t="n">
        <v>0</v>
      </c>
      <c r="P2277" s="8" t="n">
        <v>0</v>
      </c>
      <c r="Q2277" s="8" t="n">
        <v>0</v>
      </c>
      <c r="R2277" s="8" t="n">
        <v>0</v>
      </c>
      <c r="S2277" s="8" t="n">
        <v>0</v>
      </c>
      <c r="T2277" s="8" t="n">
        <v>118</v>
      </c>
      <c r="U2277" s="11" t="n">
        <f aca="false">O2277*4 + P2277*2 + MAX(0,N2277-O2277-P2277)*1 + Q2277*0.2 + R2277*2 + S2277*1 + IF(T2277="",0,IF(T2277&lt;=10,8,IF(T2277&lt;=50,6,IF(T2277&lt;=100,4,2))))</f>
        <v>2</v>
      </c>
      <c r="V2277" s="10" t="s">
        <v>9190</v>
      </c>
      <c r="W2277" s="7"/>
      <c r="X2277" s="8"/>
      <c r="Y2277" s="8" t="s">
        <v>9191</v>
      </c>
    </row>
    <row r="2278" customFormat="false" ht="15.75" hidden="false" customHeight="true" outlineLevel="0" collapsed="false">
      <c r="A2278" s="7" t="s">
        <v>9192</v>
      </c>
      <c r="B2278" s="8" t="n">
        <v>1939</v>
      </c>
      <c r="C2278" s="8" t="s">
        <v>96</v>
      </c>
      <c r="D2278" s="8" t="n">
        <v>121</v>
      </c>
      <c r="E2278" s="7" t="s">
        <v>9146</v>
      </c>
      <c r="F2278" s="8" t="n">
        <v>7.6</v>
      </c>
      <c r="G2278" s="8"/>
      <c r="H2278" s="9" t="n">
        <v>17552</v>
      </c>
      <c r="I2278" s="7" t="s">
        <v>46</v>
      </c>
      <c r="J2278" s="7" t="s">
        <v>39</v>
      </c>
      <c r="K2278" s="7" t="s">
        <v>29</v>
      </c>
      <c r="L2278" s="10"/>
      <c r="M2278" s="7" t="s">
        <v>9193</v>
      </c>
      <c r="N2278" s="8" t="n">
        <v>0</v>
      </c>
      <c r="O2278" s="8" t="n">
        <v>0</v>
      </c>
      <c r="P2278" s="8" t="n">
        <v>0</v>
      </c>
      <c r="Q2278" s="8" t="n">
        <v>2</v>
      </c>
      <c r="R2278" s="8" t="n">
        <v>0</v>
      </c>
      <c r="S2278" s="8" t="n">
        <v>0</v>
      </c>
      <c r="T2278" s="8" t="n">
        <v>122</v>
      </c>
      <c r="U2278" s="11" t="n">
        <f aca="false">O2278*4 + P2278*2 + MAX(0,N2278-O2278-P2278)*1 + Q2278*0.2 + R2278*2 + S2278*1 + IF(T2278="",0,IF(T2278&lt;=10,8,IF(T2278&lt;=50,6,IF(T2278&lt;=100,4,2))))</f>
        <v>2.4</v>
      </c>
      <c r="V2278" s="10" t="s">
        <v>9194</v>
      </c>
      <c r="W2278" s="7"/>
      <c r="X2278" s="8"/>
      <c r="Y2278" s="8" t="s">
        <v>9195</v>
      </c>
    </row>
    <row r="2279" customFormat="false" ht="15.75" hidden="false" customHeight="true" outlineLevel="0" collapsed="false">
      <c r="A2279" s="7" t="s">
        <v>9196</v>
      </c>
      <c r="B2279" s="8" t="n">
        <v>1964</v>
      </c>
      <c r="C2279" s="8" t="s">
        <v>122</v>
      </c>
      <c r="D2279" s="8" t="n">
        <v>91</v>
      </c>
      <c r="E2279" s="7" t="s">
        <v>9197</v>
      </c>
      <c r="F2279" s="8" t="n">
        <v>7.8</v>
      </c>
      <c r="G2279" s="8"/>
      <c r="H2279" s="9" t="n">
        <v>35451</v>
      </c>
      <c r="I2279" s="7" t="s">
        <v>3350</v>
      </c>
      <c r="J2279" s="7" t="s">
        <v>90</v>
      </c>
      <c r="K2279" s="7" t="s">
        <v>29</v>
      </c>
      <c r="L2279" s="10" t="s">
        <v>2308</v>
      </c>
      <c r="M2279" s="7" t="s">
        <v>9198</v>
      </c>
      <c r="N2279" s="8" t="n">
        <v>0</v>
      </c>
      <c r="O2279" s="8" t="n">
        <v>0</v>
      </c>
      <c r="P2279" s="8" t="n">
        <v>0</v>
      </c>
      <c r="Q2279" s="8" t="n">
        <v>5</v>
      </c>
      <c r="R2279" s="8" t="n">
        <v>1</v>
      </c>
      <c r="S2279" s="8" t="n">
        <v>0</v>
      </c>
      <c r="T2279" s="8" t="n">
        <v>122</v>
      </c>
      <c r="U2279" s="11" t="n">
        <f aca="false">O2279*4 + P2279*2 + MAX(0,N2279-O2279-P2279)*1 + Q2279*0.2 + R2279*2 + S2279*1 + IF(T2279="",0,IF(T2279&lt;=10,8,IF(T2279&lt;=50,6,IF(T2279&lt;=100,4,2))))</f>
        <v>5</v>
      </c>
      <c r="V2279" s="10" t="s">
        <v>9199</v>
      </c>
      <c r="W2279" s="7"/>
      <c r="X2279" s="8"/>
      <c r="Y2279" s="8" t="s">
        <v>9200</v>
      </c>
    </row>
    <row r="2280" customFormat="false" ht="15.75" hidden="false" customHeight="true" outlineLevel="0" collapsed="false">
      <c r="A2280" s="7" t="s">
        <v>9201</v>
      </c>
      <c r="B2280" s="8" t="n">
        <v>1954</v>
      </c>
      <c r="C2280" s="8" t="s">
        <v>196</v>
      </c>
      <c r="D2280" s="8" t="n">
        <v>110</v>
      </c>
      <c r="E2280" s="7" t="s">
        <v>9202</v>
      </c>
      <c r="F2280" s="8" t="n">
        <v>7.6</v>
      </c>
      <c r="G2280" s="8"/>
      <c r="H2280" s="9" t="n">
        <v>21762</v>
      </c>
      <c r="I2280" s="7" t="s">
        <v>46</v>
      </c>
      <c r="J2280" s="7" t="s">
        <v>268</v>
      </c>
      <c r="K2280" s="7" t="s">
        <v>47</v>
      </c>
      <c r="L2280" s="10" t="s">
        <v>416</v>
      </c>
      <c r="M2280" s="7" t="s">
        <v>9203</v>
      </c>
      <c r="N2280" s="8" t="n">
        <v>0</v>
      </c>
      <c r="O2280" s="8" t="n">
        <v>0</v>
      </c>
      <c r="P2280" s="8" t="n">
        <v>0</v>
      </c>
      <c r="Q2280" s="8" t="n">
        <v>0</v>
      </c>
      <c r="R2280" s="8" t="n">
        <v>0</v>
      </c>
      <c r="S2280" s="8" t="n">
        <v>0</v>
      </c>
      <c r="T2280" s="8" t="n">
        <v>122</v>
      </c>
      <c r="U2280" s="11" t="n">
        <f aca="false">O2280*4 + P2280*2 + MAX(0,N2280-O2280-P2280)*1 + Q2280*0.2 + R2280*2 + S2280*1 + IF(T2280="",0,IF(T2280&lt;=10,8,IF(T2280&lt;=50,6,IF(T2280&lt;=100,4,2))))</f>
        <v>2</v>
      </c>
      <c r="V2280" s="10" t="s">
        <v>9204</v>
      </c>
      <c r="W2280" s="7"/>
      <c r="X2280" s="8"/>
      <c r="Y2280" s="8" t="s">
        <v>9205</v>
      </c>
    </row>
    <row r="2281" customFormat="false" ht="15.75" hidden="false" customHeight="true" outlineLevel="0" collapsed="false">
      <c r="A2281" s="7" t="s">
        <v>9206</v>
      </c>
      <c r="B2281" s="8" t="n">
        <v>1969</v>
      </c>
      <c r="C2281" s="8" t="s">
        <v>122</v>
      </c>
      <c r="D2281" s="8" t="n">
        <v>79</v>
      </c>
      <c r="E2281" s="7" t="s">
        <v>9207</v>
      </c>
      <c r="F2281" s="8" t="n">
        <v>7.5</v>
      </c>
      <c r="G2281" s="8"/>
      <c r="H2281" s="9" t="n">
        <v>16999</v>
      </c>
      <c r="I2281" s="7" t="s">
        <v>9208</v>
      </c>
      <c r="J2281" s="7" t="s">
        <v>47</v>
      </c>
      <c r="K2281" s="7" t="s">
        <v>48</v>
      </c>
      <c r="L2281" s="10" t="s">
        <v>478</v>
      </c>
      <c r="M2281" s="7" t="s">
        <v>9209</v>
      </c>
      <c r="N2281" s="8" t="n">
        <v>0</v>
      </c>
      <c r="O2281" s="8" t="n">
        <v>0</v>
      </c>
      <c r="P2281" s="8" t="n">
        <v>0</v>
      </c>
      <c r="Q2281" s="8" t="n">
        <v>0</v>
      </c>
      <c r="R2281" s="8" t="n">
        <v>0</v>
      </c>
      <c r="S2281" s="8" t="n">
        <v>0</v>
      </c>
      <c r="T2281" s="8" t="n">
        <v>122</v>
      </c>
      <c r="U2281" s="11" t="n">
        <f aca="false">O2281*4 + P2281*2 + MAX(0,N2281-O2281-P2281)*1 + Q2281*0.2 + R2281*2 + S2281*1 + IF(T2281="",0,IF(T2281&lt;=10,8,IF(T2281&lt;=50,6,IF(T2281&lt;=100,4,2))))</f>
        <v>2</v>
      </c>
      <c r="V2281" s="10" t="s">
        <v>9210</v>
      </c>
      <c r="W2281" s="7"/>
      <c r="X2281" s="8"/>
      <c r="Y2281" s="8" t="s">
        <v>9211</v>
      </c>
    </row>
    <row r="2282" customFormat="false" ht="15.75" hidden="false" customHeight="true" outlineLevel="0" collapsed="false">
      <c r="A2282" s="7" t="s">
        <v>9212</v>
      </c>
      <c r="B2282" s="8" t="n">
        <v>1977</v>
      </c>
      <c r="C2282" s="8" t="s">
        <v>61</v>
      </c>
      <c r="D2282" s="8" t="n">
        <v>111</v>
      </c>
      <c r="E2282" s="7" t="s">
        <v>9213</v>
      </c>
      <c r="F2282" s="8" t="n">
        <v>8.2</v>
      </c>
      <c r="G2282" s="8"/>
      <c r="H2282" s="9" t="n">
        <v>12529</v>
      </c>
      <c r="I2282" s="7" t="s">
        <v>3325</v>
      </c>
      <c r="J2282" s="7" t="s">
        <v>154</v>
      </c>
      <c r="K2282" s="7" t="s">
        <v>47</v>
      </c>
      <c r="L2282" s="10" t="s">
        <v>205</v>
      </c>
      <c r="M2282" s="7" t="s">
        <v>9214</v>
      </c>
      <c r="N2282" s="8" t="n">
        <v>0</v>
      </c>
      <c r="O2282" s="8" t="n">
        <v>0</v>
      </c>
      <c r="P2282" s="8" t="n">
        <v>0</v>
      </c>
      <c r="Q2282" s="8" t="n">
        <v>0</v>
      </c>
      <c r="R2282" s="8" t="n">
        <v>1</v>
      </c>
      <c r="S2282" s="8" t="n">
        <v>0</v>
      </c>
      <c r="T2282" s="8" t="n">
        <v>128</v>
      </c>
      <c r="U2282" s="11" t="n">
        <f aca="false">O2282*4 + P2282*2 + MAX(0,N2282-O2282-P2282)*1 + Q2282*0.2 + R2282*2 + S2282*1 + IF(T2282="",0,IF(T2282&lt;=10,8,IF(T2282&lt;=50,6,IF(T2282&lt;=100,4,2))))</f>
        <v>4</v>
      </c>
      <c r="V2282" s="10" t="s">
        <v>9215</v>
      </c>
      <c r="W2282" s="7"/>
      <c r="X2282" s="8"/>
      <c r="Y2282" s="8" t="s">
        <v>9216</v>
      </c>
    </row>
    <row r="2283" customFormat="false" ht="15.75" hidden="false" customHeight="true" outlineLevel="0" collapsed="false">
      <c r="A2283" s="7" t="s">
        <v>9217</v>
      </c>
      <c r="B2283" s="8" t="n">
        <v>1940</v>
      </c>
      <c r="C2283" s="8" t="s">
        <v>243</v>
      </c>
      <c r="D2283" s="8" t="n">
        <v>92</v>
      </c>
      <c r="E2283" s="7" t="s">
        <v>9146</v>
      </c>
      <c r="F2283" s="8" t="n">
        <v>7.8</v>
      </c>
      <c r="G2283" s="8"/>
      <c r="H2283" s="9" t="n">
        <v>68399</v>
      </c>
      <c r="I2283" s="7" t="s">
        <v>46</v>
      </c>
      <c r="J2283" s="7" t="s">
        <v>29</v>
      </c>
      <c r="K2283" s="7" t="s">
        <v>30</v>
      </c>
      <c r="L2283" s="10" t="s">
        <v>9218</v>
      </c>
      <c r="M2283" s="7" t="s">
        <v>9219</v>
      </c>
      <c r="N2283" s="8" t="n">
        <v>0</v>
      </c>
      <c r="O2283" s="8" t="n">
        <v>0</v>
      </c>
      <c r="P2283" s="8" t="n">
        <v>0</v>
      </c>
      <c r="Q2283" s="8" t="n">
        <v>0</v>
      </c>
      <c r="R2283" s="8" t="n">
        <v>0</v>
      </c>
      <c r="S2283" s="8" t="n">
        <v>0</v>
      </c>
      <c r="T2283" s="8" t="n">
        <v>129</v>
      </c>
      <c r="U2283" s="11" t="n">
        <f aca="false">O2283*4 + P2283*2 + MAX(0,N2283-O2283-P2283)*1 + Q2283*0.2 + R2283*2 + S2283*1 + IF(T2283="",0,IF(T2283&lt;=10,8,IF(T2283&lt;=50,6,IF(T2283&lt;=100,4,2))))</f>
        <v>2</v>
      </c>
      <c r="V2283" s="10" t="s">
        <v>9220</v>
      </c>
      <c r="W2283" s="7"/>
      <c r="X2283" s="8"/>
      <c r="Y2283" s="8" t="s">
        <v>9221</v>
      </c>
    </row>
    <row r="2284" customFormat="false" ht="15.75" hidden="false" customHeight="true" outlineLevel="0" collapsed="false">
      <c r="A2284" s="7" t="s">
        <v>9222</v>
      </c>
      <c r="B2284" s="8" t="n">
        <v>1962</v>
      </c>
      <c r="C2284" s="8" t="s">
        <v>122</v>
      </c>
      <c r="D2284" s="8" t="n">
        <v>227</v>
      </c>
      <c r="E2284" s="7" t="s">
        <v>9223</v>
      </c>
      <c r="F2284" s="8" t="n">
        <v>8.3</v>
      </c>
      <c r="G2284" s="8"/>
      <c r="H2284" s="9" t="n">
        <v>344705</v>
      </c>
      <c r="I2284" s="7" t="s">
        <v>280</v>
      </c>
      <c r="J2284" s="7" t="s">
        <v>39</v>
      </c>
      <c r="K2284" s="7" t="s">
        <v>48</v>
      </c>
      <c r="L2284" s="10" t="s">
        <v>2754</v>
      </c>
      <c r="M2284" s="7" t="s">
        <v>9224</v>
      </c>
      <c r="N2284" s="8" t="n">
        <v>7</v>
      </c>
      <c r="O2284" s="8" t="n">
        <v>1</v>
      </c>
      <c r="P2284" s="8" t="n">
        <v>1</v>
      </c>
      <c r="Q2284" s="8" t="n">
        <v>10</v>
      </c>
      <c r="R2284" s="8" t="n">
        <v>0</v>
      </c>
      <c r="S2284" s="8" t="n">
        <v>1</v>
      </c>
      <c r="T2284" s="8" t="n">
        <v>133</v>
      </c>
      <c r="U2284" s="11" t="n">
        <f aca="false">O2284*4 + P2284*2 + MAX(0,N2284-O2284-P2284)*1 + Q2284*0.2 + R2284*2 + S2284*1 + IF(T2284="",0,IF(T2284&lt;=10,8,IF(T2284&lt;=50,6,IF(T2284&lt;=100,4,2))))</f>
        <v>16</v>
      </c>
      <c r="V2284" s="10" t="s">
        <v>9225</v>
      </c>
      <c r="W2284" s="7"/>
      <c r="X2284" s="8"/>
      <c r="Y2284" s="8" t="s">
        <v>9226</v>
      </c>
    </row>
    <row r="2285" customFormat="false" ht="15.75" hidden="false" customHeight="true" outlineLevel="0" collapsed="false">
      <c r="A2285" s="7" t="s">
        <v>9227</v>
      </c>
      <c r="B2285" s="8" t="n">
        <v>1964</v>
      </c>
      <c r="C2285" s="8" t="s">
        <v>122</v>
      </c>
      <c r="D2285" s="8" t="n">
        <v>116</v>
      </c>
      <c r="E2285" s="7" t="s">
        <v>4652</v>
      </c>
      <c r="F2285" s="8" t="n">
        <v>7.3</v>
      </c>
      <c r="G2285" s="8"/>
      <c r="H2285" s="9" t="n">
        <v>7408</v>
      </c>
      <c r="I2285" s="7" t="s">
        <v>437</v>
      </c>
      <c r="J2285" s="7" t="s">
        <v>29</v>
      </c>
      <c r="K2285" s="7" t="s">
        <v>47</v>
      </c>
      <c r="L2285" s="10" t="s">
        <v>478</v>
      </c>
      <c r="M2285" s="7" t="s">
        <v>9228</v>
      </c>
      <c r="N2285" s="8" t="n">
        <v>0</v>
      </c>
      <c r="O2285" s="8" t="n">
        <v>0</v>
      </c>
      <c r="P2285" s="8" t="n">
        <v>0</v>
      </c>
      <c r="Q2285" s="8" t="n">
        <v>0</v>
      </c>
      <c r="R2285" s="8" t="n">
        <v>0</v>
      </c>
      <c r="S2285" s="8" t="n">
        <v>0</v>
      </c>
      <c r="T2285" s="8" t="n">
        <v>136</v>
      </c>
      <c r="U2285" s="11" t="n">
        <f aca="false">O2285*4 + P2285*2 + MAX(0,N2285-O2285-P2285)*1 + Q2285*0.2 + R2285*2 + S2285*1 + IF(T2285="",0,IF(T2285&lt;=10,8,IF(T2285&lt;=50,6,IF(T2285&lt;=100,4,2))))</f>
        <v>2</v>
      </c>
      <c r="V2285" s="10" t="s">
        <v>9229</v>
      </c>
      <c r="W2285" s="7"/>
      <c r="X2285" s="8"/>
      <c r="Y2285" s="8" t="s">
        <v>9230</v>
      </c>
    </row>
    <row r="2286" customFormat="false" ht="15.75" hidden="false" customHeight="true" outlineLevel="0" collapsed="false">
      <c r="A2286" s="7" t="s">
        <v>9231</v>
      </c>
      <c r="B2286" s="8" t="n">
        <v>1955</v>
      </c>
      <c r="C2286" s="8" t="s">
        <v>196</v>
      </c>
      <c r="D2286" s="8" t="n">
        <v>89</v>
      </c>
      <c r="E2286" s="7" t="s">
        <v>9081</v>
      </c>
      <c r="F2286" s="8" t="n">
        <v>7.6</v>
      </c>
      <c r="G2286" s="8"/>
      <c r="H2286" s="9" t="n">
        <v>18743</v>
      </c>
      <c r="I2286" s="7" t="s">
        <v>46</v>
      </c>
      <c r="J2286" s="7" t="s">
        <v>29</v>
      </c>
      <c r="K2286" s="7" t="s">
        <v>47</v>
      </c>
      <c r="L2286" s="10" t="s">
        <v>205</v>
      </c>
      <c r="M2286" s="7" t="s">
        <v>9232</v>
      </c>
      <c r="N2286" s="8" t="n">
        <v>0</v>
      </c>
      <c r="O2286" s="8" t="n">
        <v>0</v>
      </c>
      <c r="P2286" s="8" t="n">
        <v>0</v>
      </c>
      <c r="Q2286" s="8" t="n">
        <v>0</v>
      </c>
      <c r="R2286" s="8" t="n">
        <v>0</v>
      </c>
      <c r="S2286" s="8" t="n">
        <v>0</v>
      </c>
      <c r="T2286" s="8" t="n">
        <v>136</v>
      </c>
      <c r="U2286" s="11" t="n">
        <f aca="false">O2286*4 + P2286*2 + MAX(0,N2286-O2286-P2286)*1 + Q2286*0.2 + R2286*2 + S2286*1 + IF(T2286="",0,IF(T2286&lt;=10,8,IF(T2286&lt;=50,6,IF(T2286&lt;=100,4,2))))</f>
        <v>2</v>
      </c>
      <c r="V2286" s="10" t="s">
        <v>9233</v>
      </c>
      <c r="W2286" s="7"/>
      <c r="X2286" s="8"/>
      <c r="Y2286" s="8" t="s">
        <v>9234</v>
      </c>
    </row>
    <row r="2287" customFormat="false" ht="15.75" hidden="false" customHeight="true" outlineLevel="0" collapsed="false">
      <c r="A2287" s="7" t="s">
        <v>9235</v>
      </c>
      <c r="B2287" s="8" t="n">
        <v>1959</v>
      </c>
      <c r="C2287" s="8" t="s">
        <v>196</v>
      </c>
      <c r="D2287" s="8" t="n">
        <v>76</v>
      </c>
      <c r="E2287" s="7" t="s">
        <v>4679</v>
      </c>
      <c r="F2287" s="8" t="n">
        <v>7.5</v>
      </c>
      <c r="G2287" s="8"/>
      <c r="H2287" s="9" t="n">
        <v>27758</v>
      </c>
      <c r="I2287" s="7" t="s">
        <v>219</v>
      </c>
      <c r="J2287" s="7" t="s">
        <v>47</v>
      </c>
      <c r="K2287" s="7" t="s">
        <v>54</v>
      </c>
      <c r="L2287" s="10"/>
      <c r="M2287" s="7" t="s">
        <v>9236</v>
      </c>
      <c r="N2287" s="8" t="n">
        <v>0</v>
      </c>
      <c r="O2287" s="8" t="n">
        <v>0</v>
      </c>
      <c r="P2287" s="8" t="n">
        <v>0</v>
      </c>
      <c r="Q2287" s="8" t="n">
        <v>0</v>
      </c>
      <c r="R2287" s="8" t="n">
        <v>0</v>
      </c>
      <c r="S2287" s="8" t="n">
        <v>0</v>
      </c>
      <c r="T2287" s="8" t="n">
        <v>136</v>
      </c>
      <c r="U2287" s="11" t="n">
        <f aca="false">O2287*4 + P2287*2 + MAX(0,N2287-O2287-P2287)*1 + Q2287*0.2 + R2287*2 + S2287*1 + IF(T2287="",0,IF(T2287&lt;=10,8,IF(T2287&lt;=50,6,IF(T2287&lt;=100,4,2))))</f>
        <v>2</v>
      </c>
      <c r="V2287" s="10" t="s">
        <v>9237</v>
      </c>
      <c r="W2287" s="7"/>
      <c r="X2287" s="8"/>
      <c r="Y2287" s="8" t="s">
        <v>9238</v>
      </c>
    </row>
    <row r="2288" customFormat="false" ht="15.75" hidden="false" customHeight="true" outlineLevel="0" collapsed="false">
      <c r="A2288" s="7" t="s">
        <v>9239</v>
      </c>
      <c r="B2288" s="8" t="n">
        <v>1957</v>
      </c>
      <c r="C2288" s="8" t="s">
        <v>196</v>
      </c>
      <c r="D2288" s="8" t="n">
        <v>96</v>
      </c>
      <c r="E2288" s="7" t="s">
        <v>1437</v>
      </c>
      <c r="F2288" s="8" t="n">
        <v>8.1</v>
      </c>
      <c r="G2288" s="8"/>
      <c r="H2288" s="9" t="n">
        <v>216977</v>
      </c>
      <c r="I2288" s="7" t="s">
        <v>1438</v>
      </c>
      <c r="J2288" s="7" t="s">
        <v>38</v>
      </c>
      <c r="K2288" s="7" t="s">
        <v>47</v>
      </c>
      <c r="L2288" s="10" t="s">
        <v>766</v>
      </c>
      <c r="M2288" s="7" t="s">
        <v>9240</v>
      </c>
      <c r="N2288" s="8" t="n">
        <v>0</v>
      </c>
      <c r="O2288" s="8" t="n">
        <v>0</v>
      </c>
      <c r="P2288" s="8" t="n">
        <v>0</v>
      </c>
      <c r="Q2288" s="8" t="n">
        <v>0</v>
      </c>
      <c r="R2288" s="8" t="n">
        <v>0</v>
      </c>
      <c r="S2288" s="8" t="n">
        <v>0</v>
      </c>
      <c r="T2288" s="8" t="n">
        <v>136</v>
      </c>
      <c r="U2288" s="11" t="n">
        <f aca="false">O2288*4 + P2288*2 + MAX(0,N2288-O2288-P2288)*1 + Q2288*0.2 + R2288*2 + S2288*1 + IF(T2288="",0,IF(T2288&lt;=10,8,IF(T2288&lt;=50,6,IF(T2288&lt;=100,4,2))))</f>
        <v>2</v>
      </c>
      <c r="V2288" s="10" t="s">
        <v>9241</v>
      </c>
      <c r="W2288" s="7"/>
      <c r="X2288" s="8"/>
      <c r="Y2288" s="8" t="s">
        <v>9242</v>
      </c>
    </row>
    <row r="2289" customFormat="false" ht="15.75" hidden="false" customHeight="true" outlineLevel="0" collapsed="false">
      <c r="A2289" s="7" t="s">
        <v>9243</v>
      </c>
      <c r="B2289" s="8" t="n">
        <v>1932</v>
      </c>
      <c r="C2289" s="8" t="s">
        <v>96</v>
      </c>
      <c r="D2289" s="8" t="n">
        <v>83</v>
      </c>
      <c r="E2289" s="7" t="s">
        <v>932</v>
      </c>
      <c r="F2289" s="8" t="n">
        <v>7.9</v>
      </c>
      <c r="G2289" s="8"/>
      <c r="H2289" s="9" t="n">
        <v>17650</v>
      </c>
      <c r="I2289" s="7" t="s">
        <v>46</v>
      </c>
      <c r="J2289" s="7" t="s">
        <v>29</v>
      </c>
      <c r="K2289" s="7" t="s">
        <v>54</v>
      </c>
      <c r="L2289" s="10" t="s">
        <v>205</v>
      </c>
      <c r="M2289" s="7" t="s">
        <v>9244</v>
      </c>
      <c r="N2289" s="8" t="n">
        <v>0</v>
      </c>
      <c r="O2289" s="8" t="n">
        <v>0</v>
      </c>
      <c r="P2289" s="8" t="n">
        <v>0</v>
      </c>
      <c r="Q2289" s="8" t="n">
        <v>0</v>
      </c>
      <c r="R2289" s="8" t="n">
        <v>0</v>
      </c>
      <c r="S2289" s="8" t="n">
        <v>0</v>
      </c>
      <c r="T2289" s="8" t="n">
        <v>136</v>
      </c>
      <c r="U2289" s="11" t="n">
        <f aca="false">O2289*4 + P2289*2 + MAX(0,N2289-O2289-P2289)*1 + Q2289*0.2 + R2289*2 + S2289*1 + IF(T2289="",0,IF(T2289&lt;=10,8,IF(T2289&lt;=50,6,IF(T2289&lt;=100,4,2))))</f>
        <v>2</v>
      </c>
      <c r="V2289" s="10" t="s">
        <v>9245</v>
      </c>
      <c r="W2289" s="7"/>
      <c r="X2289" s="8"/>
      <c r="Y2289" s="8" t="s">
        <v>9246</v>
      </c>
    </row>
    <row r="2290" customFormat="false" ht="15.75" hidden="false" customHeight="true" outlineLevel="0" collapsed="false">
      <c r="A2290" s="7" t="s">
        <v>9247</v>
      </c>
      <c r="B2290" s="8" t="n">
        <v>1972</v>
      </c>
      <c r="C2290" s="8" t="s">
        <v>61</v>
      </c>
      <c r="D2290" s="8" t="n">
        <v>97</v>
      </c>
      <c r="E2290" s="7" t="s">
        <v>9248</v>
      </c>
      <c r="F2290" s="8" t="n">
        <v>7</v>
      </c>
      <c r="G2290" s="8"/>
      <c r="H2290" s="9" t="n">
        <v>1075</v>
      </c>
      <c r="I2290" s="7" t="s">
        <v>9249</v>
      </c>
      <c r="J2290" s="7" t="s">
        <v>47</v>
      </c>
      <c r="K2290" s="7"/>
      <c r="L2290" s="10"/>
      <c r="M2290" s="7" t="s">
        <v>9250</v>
      </c>
      <c r="N2290" s="8" t="n">
        <v>0</v>
      </c>
      <c r="O2290" s="8" t="n">
        <v>0</v>
      </c>
      <c r="P2290" s="8" t="n">
        <v>0</v>
      </c>
      <c r="Q2290" s="8" t="n">
        <v>0</v>
      </c>
      <c r="R2290" s="8" t="n">
        <v>0</v>
      </c>
      <c r="S2290" s="8" t="n">
        <v>0</v>
      </c>
      <c r="T2290" s="8" t="n">
        <v>136</v>
      </c>
      <c r="U2290" s="11" t="n">
        <f aca="false">O2290*4 + P2290*2 + MAX(0,N2290-O2290-P2290)*1 + Q2290*0.2 + R2290*2 + S2290*1 + IF(T2290="",0,IF(T2290&lt;=10,8,IF(T2290&lt;=50,6,IF(T2290&lt;=100,4,2))))</f>
        <v>2</v>
      </c>
      <c r="V2290" s="10" t="s">
        <v>9251</v>
      </c>
      <c r="W2290" s="7"/>
      <c r="X2290" s="8"/>
      <c r="Y2290" s="8" t="s">
        <v>9252</v>
      </c>
    </row>
    <row r="2291" customFormat="false" ht="15.75" hidden="false" customHeight="true" outlineLevel="0" collapsed="false">
      <c r="A2291" s="7" t="s">
        <v>9253</v>
      </c>
      <c r="B2291" s="8" t="n">
        <v>1969</v>
      </c>
      <c r="C2291" s="8" t="s">
        <v>122</v>
      </c>
      <c r="D2291" s="8" t="n">
        <v>135</v>
      </c>
      <c r="E2291" s="7" t="s">
        <v>1710</v>
      </c>
      <c r="F2291" s="8" t="n">
        <v>7.9</v>
      </c>
      <c r="G2291" s="8"/>
      <c r="H2291" s="9" t="n">
        <v>94573</v>
      </c>
      <c r="I2291" s="7" t="s">
        <v>46</v>
      </c>
      <c r="J2291" s="7" t="s">
        <v>112</v>
      </c>
      <c r="K2291" s="7" t="s">
        <v>39</v>
      </c>
      <c r="L2291" s="10"/>
      <c r="M2291" s="7" t="s">
        <v>9254</v>
      </c>
      <c r="N2291" s="8" t="n">
        <v>0</v>
      </c>
      <c r="O2291" s="8" t="n">
        <v>0</v>
      </c>
      <c r="P2291" s="8" t="n">
        <v>0</v>
      </c>
      <c r="Q2291" s="8" t="n">
        <v>2</v>
      </c>
      <c r="R2291" s="8" t="n">
        <v>0</v>
      </c>
      <c r="S2291" s="8" t="n">
        <v>0</v>
      </c>
      <c r="T2291" s="8" t="n">
        <v>136</v>
      </c>
      <c r="U2291" s="11" t="n">
        <f aca="false">O2291*4 + P2291*2 + MAX(0,N2291-O2291-P2291)*1 + Q2291*0.2 + R2291*2 + S2291*1 + IF(T2291="",0,IF(T2291&lt;=10,8,IF(T2291&lt;=50,6,IF(T2291&lt;=100,4,2))))</f>
        <v>2.4</v>
      </c>
      <c r="V2291" s="10" t="s">
        <v>9255</v>
      </c>
      <c r="W2291" s="7"/>
      <c r="X2291" s="8"/>
      <c r="Y2291" s="8" t="s">
        <v>9256</v>
      </c>
    </row>
    <row r="2292" customFormat="false" ht="15.75" hidden="false" customHeight="true" outlineLevel="0" collapsed="false">
      <c r="A2292" s="7" t="s">
        <v>9257</v>
      </c>
      <c r="B2292" s="8" t="n">
        <v>1945</v>
      </c>
      <c r="C2292" s="8" t="s">
        <v>243</v>
      </c>
      <c r="D2292" s="8" t="n">
        <v>189</v>
      </c>
      <c r="E2292" s="7" t="s">
        <v>9258</v>
      </c>
      <c r="F2292" s="8" t="n">
        <v>8.3</v>
      </c>
      <c r="G2292" s="8"/>
      <c r="H2292" s="9" t="n">
        <v>22669</v>
      </c>
      <c r="I2292" s="7" t="s">
        <v>219</v>
      </c>
      <c r="J2292" s="7" t="s">
        <v>29</v>
      </c>
      <c r="K2292" s="7" t="s">
        <v>47</v>
      </c>
      <c r="L2292" s="10" t="s">
        <v>517</v>
      </c>
      <c r="M2292" s="7" t="s">
        <v>9259</v>
      </c>
      <c r="N2292" s="8" t="n">
        <v>0</v>
      </c>
      <c r="O2292" s="8" t="n">
        <v>0</v>
      </c>
      <c r="P2292" s="8" t="n">
        <v>0</v>
      </c>
      <c r="Q2292" s="8" t="n">
        <v>1</v>
      </c>
      <c r="R2292" s="8" t="n">
        <v>0</v>
      </c>
      <c r="S2292" s="8" t="n">
        <v>0</v>
      </c>
      <c r="T2292" s="8" t="n">
        <v>136</v>
      </c>
      <c r="U2292" s="11" t="n">
        <f aca="false">O2292*4 + P2292*2 + MAX(0,N2292-O2292-P2292)*1 + Q2292*0.2 + R2292*2 + S2292*1 + IF(T2292="",0,IF(T2292&lt;=10,8,IF(T2292&lt;=50,6,IF(T2292&lt;=100,4,2))))</f>
        <v>2.2</v>
      </c>
      <c r="V2292" s="10" t="s">
        <v>9260</v>
      </c>
      <c r="W2292" s="7"/>
      <c r="X2292" s="8"/>
      <c r="Y2292" s="8" t="s">
        <v>9261</v>
      </c>
    </row>
    <row r="2293" customFormat="false" ht="15.75" hidden="false" customHeight="true" outlineLevel="0" collapsed="false">
      <c r="A2293" s="7" t="s">
        <v>9262</v>
      </c>
      <c r="B2293" s="8" t="n">
        <v>2001</v>
      </c>
      <c r="C2293" s="8" t="s">
        <v>35</v>
      </c>
      <c r="D2293" s="8" t="n">
        <v>103</v>
      </c>
      <c r="E2293" s="7" t="s">
        <v>9263</v>
      </c>
      <c r="F2293" s="8" t="n">
        <v>7</v>
      </c>
      <c r="G2293" s="8"/>
      <c r="H2293" s="9" t="n">
        <v>9651</v>
      </c>
      <c r="I2293" s="7" t="s">
        <v>9264</v>
      </c>
      <c r="J2293" s="7" t="s">
        <v>30</v>
      </c>
      <c r="K2293" s="7" t="s">
        <v>47</v>
      </c>
      <c r="L2293" s="10" t="s">
        <v>3130</v>
      </c>
      <c r="M2293" s="7" t="s">
        <v>9265</v>
      </c>
      <c r="N2293" s="8" t="n">
        <v>0</v>
      </c>
      <c r="O2293" s="8" t="n">
        <v>0</v>
      </c>
      <c r="P2293" s="8" t="n">
        <v>0</v>
      </c>
      <c r="Q2293" s="8" t="n">
        <v>0</v>
      </c>
      <c r="R2293" s="8" t="n">
        <v>0</v>
      </c>
      <c r="S2293" s="8" t="n">
        <v>0</v>
      </c>
      <c r="T2293" s="8" t="n">
        <v>136</v>
      </c>
      <c r="U2293" s="11" t="n">
        <f aca="false">O2293*4 + P2293*2 + MAX(0,N2293-O2293-P2293)*1 + Q2293*0.2 + R2293*2 + S2293*1 + IF(T2293="",0,IF(T2293&lt;=10,8,IF(T2293&lt;=50,6,IF(T2293&lt;=100,4,2))))</f>
        <v>2</v>
      </c>
      <c r="V2293" s="10" t="s">
        <v>9266</v>
      </c>
      <c r="W2293" s="7"/>
      <c r="X2293" s="8"/>
      <c r="Y2293" s="8" t="s">
        <v>9267</v>
      </c>
    </row>
    <row r="2294" customFormat="false" ht="15.75" hidden="false" customHeight="true" outlineLevel="0" collapsed="false">
      <c r="A2294" s="7" t="s">
        <v>9268</v>
      </c>
      <c r="B2294" s="8" t="n">
        <v>1974</v>
      </c>
      <c r="C2294" s="8" t="s">
        <v>61</v>
      </c>
      <c r="D2294" s="8" t="n">
        <v>130</v>
      </c>
      <c r="E2294" s="7" t="s">
        <v>88</v>
      </c>
      <c r="F2294" s="8" t="n">
        <v>8.1</v>
      </c>
      <c r="G2294" s="8"/>
      <c r="H2294" s="9" t="n">
        <v>378940</v>
      </c>
      <c r="I2294" s="7" t="s">
        <v>46</v>
      </c>
      <c r="J2294" s="7" t="s">
        <v>131</v>
      </c>
      <c r="K2294" s="7" t="s">
        <v>483</v>
      </c>
      <c r="L2294" s="10" t="s">
        <v>7302</v>
      </c>
      <c r="M2294" s="7" t="s">
        <v>9269</v>
      </c>
      <c r="N2294" s="8" t="n">
        <v>1</v>
      </c>
      <c r="O2294" s="8" t="n">
        <v>0</v>
      </c>
      <c r="P2294" s="8" t="n">
        <v>0</v>
      </c>
      <c r="Q2294" s="8" t="n">
        <v>11</v>
      </c>
      <c r="R2294" s="8" t="n">
        <v>0</v>
      </c>
      <c r="S2294" s="8" t="n">
        <v>1</v>
      </c>
      <c r="T2294" s="8" t="n">
        <v>146</v>
      </c>
      <c r="U2294" s="11" t="n">
        <f aca="false">O2294*4 + P2294*2 + MAX(0,N2294-O2294-P2294)*1 + Q2294*0.2 + R2294*2 + S2294*1 + IF(T2294="",0,IF(T2294&lt;=10,8,IF(T2294&lt;=50,6,IF(T2294&lt;=100,4,2))))</f>
        <v>6.2</v>
      </c>
      <c r="V2294" s="10" t="s">
        <v>9270</v>
      </c>
      <c r="W2294" s="7"/>
      <c r="X2294" s="8"/>
      <c r="Y2294" s="8" t="s">
        <v>9271</v>
      </c>
    </row>
    <row r="2295" customFormat="false" ht="15.75" hidden="false" customHeight="true" outlineLevel="0" collapsed="false">
      <c r="A2295" s="7" t="s">
        <v>9272</v>
      </c>
      <c r="B2295" s="8" t="n">
        <v>1937</v>
      </c>
      <c r="C2295" s="8" t="s">
        <v>96</v>
      </c>
      <c r="D2295" s="8" t="n">
        <v>113</v>
      </c>
      <c r="E2295" s="7" t="s">
        <v>8970</v>
      </c>
      <c r="F2295" s="8" t="n">
        <v>8</v>
      </c>
      <c r="G2295" s="8"/>
      <c r="H2295" s="9" t="n">
        <v>41289</v>
      </c>
      <c r="I2295" s="7" t="s">
        <v>219</v>
      </c>
      <c r="J2295" s="7" t="s">
        <v>154</v>
      </c>
      <c r="K2295" s="7" t="s">
        <v>47</v>
      </c>
      <c r="L2295" s="10" t="s">
        <v>205</v>
      </c>
      <c r="M2295" s="7" t="s">
        <v>9273</v>
      </c>
      <c r="N2295" s="8" t="n">
        <v>0</v>
      </c>
      <c r="O2295" s="8" t="n">
        <v>0</v>
      </c>
      <c r="P2295" s="8" t="n">
        <v>0</v>
      </c>
      <c r="Q2295" s="8" t="n">
        <v>1</v>
      </c>
      <c r="R2295" s="8" t="n">
        <v>0</v>
      </c>
      <c r="S2295" s="8" t="n">
        <v>0</v>
      </c>
      <c r="T2295" s="8" t="n">
        <v>146</v>
      </c>
      <c r="U2295" s="11" t="n">
        <f aca="false">O2295*4 + P2295*2 + MAX(0,N2295-O2295-P2295)*1 + Q2295*0.2 + R2295*2 + S2295*1 + IF(T2295="",0,IF(T2295&lt;=10,8,IF(T2295&lt;=50,6,IF(T2295&lt;=100,4,2))))</f>
        <v>2.2</v>
      </c>
      <c r="V2295" s="10" t="s">
        <v>9274</v>
      </c>
      <c r="W2295" s="7"/>
      <c r="X2295" s="8"/>
      <c r="Y2295" s="8" t="s">
        <v>9275</v>
      </c>
    </row>
    <row r="2296" customFormat="false" ht="15.75" hidden="false" customHeight="true" outlineLevel="0" collapsed="false">
      <c r="A2296" s="7" t="s">
        <v>9276</v>
      </c>
      <c r="B2296" s="8" t="n">
        <v>1975</v>
      </c>
      <c r="C2296" s="8" t="s">
        <v>61</v>
      </c>
      <c r="D2296" s="8" t="n">
        <v>120</v>
      </c>
      <c r="E2296" s="7" t="s">
        <v>9277</v>
      </c>
      <c r="F2296" s="8" t="n">
        <v>6.1</v>
      </c>
      <c r="G2296" s="8"/>
      <c r="H2296" s="9" t="n">
        <v>2958</v>
      </c>
      <c r="I2296" s="7" t="s">
        <v>219</v>
      </c>
      <c r="J2296" s="7" t="s">
        <v>38</v>
      </c>
      <c r="K2296" s="7" t="s">
        <v>29</v>
      </c>
      <c r="L2296" s="10"/>
      <c r="M2296" s="7" t="s">
        <v>9278</v>
      </c>
      <c r="N2296" s="8" t="n">
        <v>0</v>
      </c>
      <c r="O2296" s="8" t="n">
        <v>0</v>
      </c>
      <c r="P2296" s="8" t="n">
        <v>0</v>
      </c>
      <c r="Q2296" s="8" t="n">
        <v>0</v>
      </c>
      <c r="R2296" s="8" t="n">
        <v>0</v>
      </c>
      <c r="S2296" s="8" t="n">
        <v>0</v>
      </c>
      <c r="T2296" s="8" t="n">
        <v>146</v>
      </c>
      <c r="U2296" s="11" t="n">
        <f aca="false">O2296*4 + P2296*2 + MAX(0,N2296-O2296-P2296)*1 + Q2296*0.2 + R2296*2 + S2296*1 + IF(T2296="",0,IF(T2296&lt;=10,8,IF(T2296&lt;=50,6,IF(T2296&lt;=100,4,2))))</f>
        <v>2</v>
      </c>
      <c r="V2296" s="10" t="s">
        <v>9279</v>
      </c>
      <c r="W2296" s="7"/>
      <c r="X2296" s="8"/>
      <c r="Y2296" s="8" t="s">
        <v>9280</v>
      </c>
    </row>
    <row r="2297" customFormat="false" ht="15.75" hidden="false" customHeight="true" outlineLevel="0" collapsed="false">
      <c r="A2297" s="7" t="s">
        <v>9281</v>
      </c>
      <c r="B2297" s="8" t="n">
        <v>1932</v>
      </c>
      <c r="C2297" s="8" t="s">
        <v>96</v>
      </c>
      <c r="D2297" s="8" t="n">
        <v>75</v>
      </c>
      <c r="E2297" s="7" t="s">
        <v>4652</v>
      </c>
      <c r="F2297" s="8" t="n">
        <v>7.4</v>
      </c>
      <c r="G2297" s="8"/>
      <c r="H2297" s="9" t="n">
        <v>23014</v>
      </c>
      <c r="I2297" s="7" t="s">
        <v>3350</v>
      </c>
      <c r="J2297" s="7" t="s">
        <v>147</v>
      </c>
      <c r="K2297" s="7" t="s">
        <v>38</v>
      </c>
      <c r="L2297" s="10" t="s">
        <v>9282</v>
      </c>
      <c r="M2297" s="7" t="s">
        <v>9283</v>
      </c>
      <c r="N2297" s="8" t="n">
        <v>0</v>
      </c>
      <c r="O2297" s="8" t="n">
        <v>0</v>
      </c>
      <c r="P2297" s="8" t="n">
        <v>0</v>
      </c>
      <c r="Q2297" s="8" t="n">
        <v>0</v>
      </c>
      <c r="R2297" s="8" t="n">
        <v>0</v>
      </c>
      <c r="S2297" s="8" t="n">
        <v>0</v>
      </c>
      <c r="T2297" s="8" t="n">
        <v>146</v>
      </c>
      <c r="U2297" s="11" t="n">
        <f aca="false">O2297*4 + P2297*2 + MAX(0,N2297-O2297-P2297)*1 + Q2297*0.2 + R2297*2 + S2297*1 + IF(T2297="",0,IF(T2297&lt;=10,8,IF(T2297&lt;=50,6,IF(T2297&lt;=100,4,2))))</f>
        <v>2</v>
      </c>
      <c r="V2297" s="10" t="s">
        <v>9284</v>
      </c>
      <c r="W2297" s="7"/>
      <c r="X2297" s="8"/>
      <c r="Y2297" s="8" t="s">
        <v>9285</v>
      </c>
    </row>
    <row r="2298" customFormat="false" ht="15.75" hidden="false" customHeight="true" outlineLevel="0" collapsed="false">
      <c r="A2298" s="7" t="s">
        <v>9286</v>
      </c>
      <c r="B2298" s="8" t="n">
        <v>1996</v>
      </c>
      <c r="C2298" s="8" t="s">
        <v>26</v>
      </c>
      <c r="D2298" s="8" t="n">
        <v>90</v>
      </c>
      <c r="E2298" s="7" t="s">
        <v>9287</v>
      </c>
      <c r="F2298" s="8" t="n">
        <v>7.1</v>
      </c>
      <c r="G2298" s="8"/>
      <c r="H2298" s="9" t="n">
        <v>5214</v>
      </c>
      <c r="I2298" s="7" t="s">
        <v>46</v>
      </c>
      <c r="J2298" s="7" t="s">
        <v>29</v>
      </c>
      <c r="K2298" s="7" t="s">
        <v>30</v>
      </c>
      <c r="L2298" s="10" t="s">
        <v>374</v>
      </c>
      <c r="M2298" s="7" t="s">
        <v>9288</v>
      </c>
      <c r="N2298" s="8" t="n">
        <v>0</v>
      </c>
      <c r="O2298" s="8" t="n">
        <v>0</v>
      </c>
      <c r="P2298" s="8" t="n">
        <v>0</v>
      </c>
      <c r="Q2298" s="8" t="n">
        <v>0</v>
      </c>
      <c r="R2298" s="8" t="n">
        <v>0</v>
      </c>
      <c r="S2298" s="8" t="n">
        <v>0</v>
      </c>
      <c r="T2298" s="8" t="n">
        <v>146</v>
      </c>
      <c r="U2298" s="11" t="n">
        <f aca="false">O2298*4 + P2298*2 + MAX(0,N2298-O2298-P2298)*1 + Q2298*0.2 + R2298*2 + S2298*1 + IF(T2298="",0,IF(T2298&lt;=10,8,IF(T2298&lt;=50,6,IF(T2298&lt;=100,4,2))))</f>
        <v>2</v>
      </c>
      <c r="V2298" s="10" t="s">
        <v>9289</v>
      </c>
      <c r="W2298" s="7"/>
      <c r="X2298" s="8"/>
      <c r="Y2298" s="8" t="s">
        <v>9290</v>
      </c>
    </row>
    <row r="2299" customFormat="false" ht="15.75" hidden="false" customHeight="true" outlineLevel="0" collapsed="false">
      <c r="A2299" s="7" t="s">
        <v>9291</v>
      </c>
      <c r="B2299" s="8" t="n">
        <v>1960</v>
      </c>
      <c r="C2299" s="8" t="s">
        <v>122</v>
      </c>
      <c r="D2299" s="8" t="n">
        <v>126</v>
      </c>
      <c r="E2299" s="7" t="s">
        <v>9292</v>
      </c>
      <c r="F2299" s="8" t="n">
        <v>7.8</v>
      </c>
      <c r="G2299" s="8"/>
      <c r="H2299" s="9" t="n">
        <v>3713</v>
      </c>
      <c r="I2299" s="7" t="s">
        <v>3848</v>
      </c>
      <c r="J2299" s="7" t="s">
        <v>47</v>
      </c>
      <c r="K2299" s="7"/>
      <c r="L2299" s="10" t="s">
        <v>9293</v>
      </c>
      <c r="M2299" s="7" t="s">
        <v>9294</v>
      </c>
      <c r="N2299" s="8" t="n">
        <v>0</v>
      </c>
      <c r="O2299" s="8" t="n">
        <v>0</v>
      </c>
      <c r="P2299" s="8" t="n">
        <v>0</v>
      </c>
      <c r="Q2299" s="8" t="n">
        <v>0</v>
      </c>
      <c r="R2299" s="8" t="n">
        <v>0</v>
      </c>
      <c r="S2299" s="8" t="n">
        <v>0</v>
      </c>
      <c r="T2299" s="8" t="n">
        <v>152</v>
      </c>
      <c r="U2299" s="11" t="n">
        <f aca="false">O2299*4 + P2299*2 + MAX(0,N2299-O2299-P2299)*1 + Q2299*0.2 + R2299*2 + S2299*1 + IF(T2299="",0,IF(T2299&lt;=10,8,IF(T2299&lt;=50,6,IF(T2299&lt;=100,4,2))))</f>
        <v>2</v>
      </c>
      <c r="V2299" s="10" t="s">
        <v>9295</v>
      </c>
      <c r="W2299" s="7"/>
      <c r="X2299" s="8"/>
      <c r="Y2299" s="8" t="s">
        <v>9296</v>
      </c>
    </row>
    <row r="2300" customFormat="false" ht="15.75" hidden="false" customHeight="true" outlineLevel="0" collapsed="false">
      <c r="A2300" s="7" t="s">
        <v>9297</v>
      </c>
      <c r="B2300" s="8" t="n">
        <v>1978</v>
      </c>
      <c r="C2300" s="8" t="s">
        <v>61</v>
      </c>
      <c r="D2300" s="8" t="n">
        <v>94</v>
      </c>
      <c r="E2300" s="7" t="s">
        <v>452</v>
      </c>
      <c r="F2300" s="8" t="n">
        <v>7.7</v>
      </c>
      <c r="G2300" s="8"/>
      <c r="H2300" s="9" t="n">
        <v>69723</v>
      </c>
      <c r="I2300" s="7" t="s">
        <v>46</v>
      </c>
      <c r="J2300" s="7" t="s">
        <v>29</v>
      </c>
      <c r="K2300" s="7" t="s">
        <v>47</v>
      </c>
      <c r="L2300" s="10"/>
      <c r="M2300" s="7" t="s">
        <v>9298</v>
      </c>
      <c r="N2300" s="8" t="n">
        <v>1</v>
      </c>
      <c r="O2300" s="8" t="n">
        <v>0</v>
      </c>
      <c r="P2300" s="8" t="n">
        <v>0</v>
      </c>
      <c r="Q2300" s="8" t="n">
        <v>4</v>
      </c>
      <c r="R2300" s="8" t="n">
        <v>0</v>
      </c>
      <c r="S2300" s="8" t="n">
        <v>0</v>
      </c>
      <c r="T2300" s="8" t="n">
        <v>152</v>
      </c>
      <c r="U2300" s="11" t="n">
        <f aca="false">O2300*4 + P2300*2 + MAX(0,N2300-O2300-P2300)*1 + Q2300*0.2 + R2300*2 + S2300*1 + IF(T2300="",0,IF(T2300&lt;=10,8,IF(T2300&lt;=50,6,IF(T2300&lt;=100,4,2))))</f>
        <v>3.8</v>
      </c>
      <c r="V2300" s="10" t="s">
        <v>9299</v>
      </c>
      <c r="W2300" s="7"/>
      <c r="X2300" s="8"/>
      <c r="Y2300" s="8" t="s">
        <v>9300</v>
      </c>
    </row>
    <row r="2301" customFormat="false" ht="15.75" hidden="false" customHeight="true" outlineLevel="0" collapsed="false">
      <c r="A2301" s="7" t="s">
        <v>9301</v>
      </c>
      <c r="B2301" s="8" t="n">
        <v>1979</v>
      </c>
      <c r="C2301" s="8" t="s">
        <v>61</v>
      </c>
      <c r="D2301" s="8" t="n">
        <v>110</v>
      </c>
      <c r="E2301" s="7" t="s">
        <v>9302</v>
      </c>
      <c r="F2301" s="8" t="n">
        <v>7.2</v>
      </c>
      <c r="G2301" s="8"/>
      <c r="H2301" s="9" t="n">
        <v>446</v>
      </c>
      <c r="I2301" s="7" t="s">
        <v>9303</v>
      </c>
      <c r="J2301" s="7" t="s">
        <v>90</v>
      </c>
      <c r="K2301" s="7" t="s">
        <v>47</v>
      </c>
      <c r="L2301" s="10"/>
      <c r="M2301" s="7" t="s">
        <v>9304</v>
      </c>
      <c r="N2301" s="8" t="n">
        <v>0</v>
      </c>
      <c r="O2301" s="8" t="n">
        <v>0</v>
      </c>
      <c r="P2301" s="8" t="n">
        <v>0</v>
      </c>
      <c r="Q2301" s="8" t="n">
        <v>0</v>
      </c>
      <c r="R2301" s="8" t="n">
        <v>0</v>
      </c>
      <c r="S2301" s="8" t="n">
        <v>0</v>
      </c>
      <c r="T2301" s="8" t="n">
        <v>152</v>
      </c>
      <c r="U2301" s="11" t="n">
        <f aca="false">O2301*4 + P2301*2 + MAX(0,N2301-O2301-P2301)*1 + Q2301*0.2 + R2301*2 + S2301*1 + IF(T2301="",0,IF(T2301&lt;=10,8,IF(T2301&lt;=50,6,IF(T2301&lt;=100,4,2))))</f>
        <v>2</v>
      </c>
      <c r="V2301" s="10" t="s">
        <v>9305</v>
      </c>
      <c r="W2301" s="7"/>
      <c r="X2301" s="8"/>
      <c r="Y2301" s="8" t="s">
        <v>9306</v>
      </c>
    </row>
    <row r="2302" customFormat="false" ht="15.75" hidden="false" customHeight="true" outlineLevel="0" collapsed="false">
      <c r="A2302" s="7" t="s">
        <v>9307</v>
      </c>
      <c r="B2302" s="8" t="n">
        <v>1947</v>
      </c>
      <c r="C2302" s="8" t="s">
        <v>243</v>
      </c>
      <c r="D2302" s="8" t="n">
        <v>97</v>
      </c>
      <c r="E2302" s="7" t="s">
        <v>9308</v>
      </c>
      <c r="F2302" s="8" t="n">
        <v>7.9</v>
      </c>
      <c r="G2302" s="8"/>
      <c r="H2302" s="9" t="n">
        <v>45054</v>
      </c>
      <c r="I2302" s="7" t="s">
        <v>46</v>
      </c>
      <c r="J2302" s="7" t="s">
        <v>47</v>
      </c>
      <c r="K2302" s="7" t="s">
        <v>483</v>
      </c>
      <c r="L2302" s="10" t="s">
        <v>447</v>
      </c>
      <c r="M2302" s="7" t="s">
        <v>9309</v>
      </c>
      <c r="N2302" s="8" t="n">
        <v>0</v>
      </c>
      <c r="O2302" s="8" t="n">
        <v>0</v>
      </c>
      <c r="P2302" s="8" t="n">
        <v>0</v>
      </c>
      <c r="Q2302" s="8" t="n">
        <v>0</v>
      </c>
      <c r="R2302" s="8" t="n">
        <v>0</v>
      </c>
      <c r="S2302" s="8" t="n">
        <v>0</v>
      </c>
      <c r="T2302" s="8" t="n">
        <v>157</v>
      </c>
      <c r="U2302" s="11" t="n">
        <f aca="false">O2302*4 + P2302*2 + MAX(0,N2302-O2302-P2302)*1 + Q2302*0.2 + R2302*2 + S2302*1 + IF(T2302="",0,IF(T2302&lt;=10,8,IF(T2302&lt;=50,6,IF(T2302&lt;=100,4,2))))</f>
        <v>2</v>
      </c>
      <c r="V2302" s="10" t="s">
        <v>9310</v>
      </c>
      <c r="W2302" s="7"/>
      <c r="X2302" s="8"/>
      <c r="Y2302" s="8" t="s">
        <v>9311</v>
      </c>
    </row>
    <row r="2303" customFormat="false" ht="15.75" hidden="false" customHeight="true" outlineLevel="0" collapsed="false">
      <c r="A2303" s="7" t="s">
        <v>9312</v>
      </c>
      <c r="B2303" s="8" t="n">
        <v>1973</v>
      </c>
      <c r="C2303" s="8" t="s">
        <v>61</v>
      </c>
      <c r="D2303" s="8" t="n">
        <v>123</v>
      </c>
      <c r="E2303" s="7" t="s">
        <v>541</v>
      </c>
      <c r="F2303" s="8" t="n">
        <v>7.8</v>
      </c>
      <c r="G2303" s="8"/>
      <c r="H2303" s="9" t="n">
        <v>51760</v>
      </c>
      <c r="I2303" s="7" t="s">
        <v>28</v>
      </c>
      <c r="J2303" s="7" t="s">
        <v>30</v>
      </c>
      <c r="K2303" s="7" t="s">
        <v>47</v>
      </c>
      <c r="L2303" s="10"/>
      <c r="M2303" s="7" t="s">
        <v>9313</v>
      </c>
      <c r="N2303" s="8" t="n">
        <v>1</v>
      </c>
      <c r="O2303" s="8" t="n">
        <v>0</v>
      </c>
      <c r="P2303" s="8" t="n">
        <v>0</v>
      </c>
      <c r="Q2303" s="8" t="n">
        <v>3</v>
      </c>
      <c r="R2303" s="8" t="n">
        <v>0</v>
      </c>
      <c r="S2303" s="8" t="n">
        <v>0</v>
      </c>
      <c r="T2303" s="8" t="n">
        <v>157</v>
      </c>
      <c r="U2303" s="11" t="n">
        <f aca="false">O2303*4 + P2303*2 + MAX(0,N2303-O2303-P2303)*1 + Q2303*0.2 + R2303*2 + S2303*1 + IF(T2303="",0,IF(T2303&lt;=10,8,IF(T2303&lt;=50,6,IF(T2303&lt;=100,4,2))))</f>
        <v>3.6</v>
      </c>
      <c r="V2303" s="10" t="s">
        <v>9314</v>
      </c>
      <c r="W2303" s="7"/>
      <c r="X2303" s="8"/>
      <c r="Y2303" s="8" t="s">
        <v>9315</v>
      </c>
    </row>
    <row r="2304" customFormat="false" ht="15.75" hidden="false" customHeight="true" outlineLevel="0" collapsed="false">
      <c r="A2304" s="7" t="s">
        <v>9316</v>
      </c>
      <c r="B2304" s="8" t="n">
        <v>1964</v>
      </c>
      <c r="C2304" s="8" t="s">
        <v>122</v>
      </c>
      <c r="D2304" s="8" t="n">
        <v>137</v>
      </c>
      <c r="E2304" s="7" t="s">
        <v>9317</v>
      </c>
      <c r="F2304" s="8" t="n">
        <v>7.6</v>
      </c>
      <c r="G2304" s="8"/>
      <c r="H2304" s="9" t="n">
        <v>15282</v>
      </c>
      <c r="I2304" s="7" t="s">
        <v>1383</v>
      </c>
      <c r="J2304" s="7" t="s">
        <v>47</v>
      </c>
      <c r="K2304" s="7" t="s">
        <v>48</v>
      </c>
      <c r="L2304" s="10" t="s">
        <v>1616</v>
      </c>
      <c r="M2304" s="7" t="s">
        <v>9318</v>
      </c>
      <c r="N2304" s="8" t="n">
        <v>0</v>
      </c>
      <c r="O2304" s="8" t="n">
        <v>0</v>
      </c>
      <c r="P2304" s="8" t="n">
        <v>0</v>
      </c>
      <c r="Q2304" s="8" t="n">
        <v>3</v>
      </c>
      <c r="R2304" s="8" t="n">
        <v>0</v>
      </c>
      <c r="S2304" s="8" t="n">
        <v>0</v>
      </c>
      <c r="T2304" s="8" t="n">
        <v>157</v>
      </c>
      <c r="U2304" s="11" t="n">
        <f aca="false">O2304*4 + P2304*2 + MAX(0,N2304-O2304-P2304)*1 + Q2304*0.2 + R2304*2 + S2304*1 + IF(T2304="",0,IF(T2304&lt;=10,8,IF(T2304&lt;=50,6,IF(T2304&lt;=100,4,2))))</f>
        <v>2.6</v>
      </c>
      <c r="V2304" s="10" t="s">
        <v>9319</v>
      </c>
      <c r="W2304" s="7"/>
      <c r="X2304" s="8"/>
      <c r="Y2304" s="8" t="s">
        <v>9320</v>
      </c>
    </row>
    <row r="2305" customFormat="false" ht="15.75" hidden="false" customHeight="true" outlineLevel="0" collapsed="false">
      <c r="A2305" s="7" t="s">
        <v>9321</v>
      </c>
      <c r="B2305" s="8" t="n">
        <v>1987</v>
      </c>
      <c r="C2305" s="8" t="s">
        <v>109</v>
      </c>
      <c r="D2305" s="8" t="n">
        <v>83</v>
      </c>
      <c r="E2305" s="7" t="s">
        <v>4313</v>
      </c>
      <c r="F2305" s="8" t="n">
        <v>8.1</v>
      </c>
      <c r="G2305" s="8"/>
      <c r="H2305" s="9" t="n">
        <v>23435</v>
      </c>
      <c r="I2305" s="7" t="s">
        <v>1424</v>
      </c>
      <c r="J2305" s="7" t="s">
        <v>39</v>
      </c>
      <c r="K2305" s="7" t="s">
        <v>259</v>
      </c>
      <c r="L2305" s="10"/>
      <c r="M2305" s="7" t="s">
        <v>9322</v>
      </c>
      <c r="N2305" s="8" t="n">
        <v>0</v>
      </c>
      <c r="O2305" s="8" t="n">
        <v>0</v>
      </c>
      <c r="P2305" s="8" t="n">
        <v>0</v>
      </c>
      <c r="Q2305" s="8" t="n">
        <v>0</v>
      </c>
      <c r="R2305" s="8" t="n">
        <v>0</v>
      </c>
      <c r="S2305" s="8" t="n">
        <v>0</v>
      </c>
      <c r="T2305" s="8" t="n">
        <v>157</v>
      </c>
      <c r="U2305" s="11" t="n">
        <f aca="false">O2305*4 + P2305*2 + MAX(0,N2305-O2305-P2305)*1 + Q2305*0.2 + R2305*2 + S2305*1 + IF(T2305="",0,IF(T2305&lt;=10,8,IF(T2305&lt;=50,6,IF(T2305&lt;=100,4,2))))</f>
        <v>2</v>
      </c>
      <c r="V2305" s="10" t="s">
        <v>9323</v>
      </c>
      <c r="W2305" s="7"/>
      <c r="X2305" s="8"/>
      <c r="Y2305" s="8" t="s">
        <v>9324</v>
      </c>
    </row>
    <row r="2306" customFormat="false" ht="15.75" hidden="false" customHeight="true" outlineLevel="0" collapsed="false">
      <c r="A2306" s="7" t="s">
        <v>9325</v>
      </c>
      <c r="B2306" s="8" t="n">
        <v>1989</v>
      </c>
      <c r="C2306" s="8" t="s">
        <v>109</v>
      </c>
      <c r="D2306" s="8" t="n">
        <v>157</v>
      </c>
      <c r="E2306" s="7" t="s">
        <v>9326</v>
      </c>
      <c r="F2306" s="8" t="n">
        <v>7.7</v>
      </c>
      <c r="G2306" s="8"/>
      <c r="H2306" s="9" t="n">
        <v>7103</v>
      </c>
      <c r="I2306" s="7" t="s">
        <v>9327</v>
      </c>
      <c r="J2306" s="7" t="s">
        <v>47</v>
      </c>
      <c r="K2306" s="7" t="s">
        <v>453</v>
      </c>
      <c r="L2306" s="10"/>
      <c r="M2306" s="7" t="s">
        <v>9328</v>
      </c>
      <c r="N2306" s="8" t="n">
        <v>0</v>
      </c>
      <c r="O2306" s="8" t="n">
        <v>0</v>
      </c>
      <c r="P2306" s="8" t="n">
        <v>0</v>
      </c>
      <c r="Q2306" s="8" t="n">
        <v>0</v>
      </c>
      <c r="R2306" s="8" t="n">
        <v>1</v>
      </c>
      <c r="S2306" s="8" t="n">
        <v>0</v>
      </c>
      <c r="T2306" s="8" t="n">
        <v>157</v>
      </c>
      <c r="U2306" s="11" t="n">
        <f aca="false">O2306*4 + P2306*2 + MAX(0,N2306-O2306-P2306)*1 + Q2306*0.2 + R2306*2 + S2306*1 + IF(T2306="",0,IF(T2306&lt;=10,8,IF(T2306&lt;=50,6,IF(T2306&lt;=100,4,2))))</f>
        <v>4</v>
      </c>
      <c r="V2306" s="10" t="s">
        <v>9329</v>
      </c>
      <c r="W2306" s="7"/>
      <c r="X2306" s="8"/>
      <c r="Y2306" s="8" t="s">
        <v>9330</v>
      </c>
    </row>
    <row r="2307" customFormat="false" ht="15.75" hidden="false" customHeight="true" outlineLevel="0" collapsed="false">
      <c r="A2307" s="7" t="s">
        <v>9331</v>
      </c>
      <c r="B2307" s="8" t="n">
        <v>1992</v>
      </c>
      <c r="C2307" s="8" t="s">
        <v>26</v>
      </c>
      <c r="D2307" s="8" t="n">
        <v>94</v>
      </c>
      <c r="E2307" s="7" t="s">
        <v>9332</v>
      </c>
      <c r="F2307" s="8" t="n">
        <v>7.1</v>
      </c>
      <c r="G2307" s="8"/>
      <c r="H2307" s="9" t="n">
        <v>21229</v>
      </c>
      <c r="I2307" s="7" t="s">
        <v>9333</v>
      </c>
      <c r="J2307" s="7" t="s">
        <v>38</v>
      </c>
      <c r="K2307" s="7" t="s">
        <v>48</v>
      </c>
      <c r="L2307" s="10" t="s">
        <v>478</v>
      </c>
      <c r="M2307" s="7" t="s">
        <v>9334</v>
      </c>
      <c r="N2307" s="8" t="n">
        <v>0</v>
      </c>
      <c r="O2307" s="8" t="n">
        <v>0</v>
      </c>
      <c r="P2307" s="8" t="n">
        <v>0</v>
      </c>
      <c r="Q2307" s="8" t="n">
        <v>2</v>
      </c>
      <c r="R2307" s="8" t="n">
        <v>0</v>
      </c>
      <c r="S2307" s="8" t="n">
        <v>0</v>
      </c>
      <c r="T2307" s="8" t="n">
        <v>157</v>
      </c>
      <c r="U2307" s="11" t="n">
        <f aca="false">O2307*4 + P2307*2 + MAX(0,N2307-O2307-P2307)*1 + Q2307*0.2 + R2307*2 + S2307*1 + IF(T2307="",0,IF(T2307&lt;=10,8,IF(T2307&lt;=50,6,IF(T2307&lt;=100,4,2))))</f>
        <v>2.4</v>
      </c>
      <c r="V2307" s="10" t="s">
        <v>9335</v>
      </c>
      <c r="W2307" s="7"/>
      <c r="X2307" s="8"/>
      <c r="Y2307" s="8" t="s">
        <v>9336</v>
      </c>
    </row>
    <row r="2308" customFormat="false" ht="15.75" hidden="false" customHeight="true" outlineLevel="0" collapsed="false">
      <c r="A2308" s="7" t="s">
        <v>9337</v>
      </c>
      <c r="B2308" s="8" t="n">
        <v>2002</v>
      </c>
      <c r="C2308" s="8" t="s">
        <v>35</v>
      </c>
      <c r="D2308" s="8" t="n">
        <v>551</v>
      </c>
      <c r="E2308" s="7" t="s">
        <v>9338</v>
      </c>
      <c r="F2308" s="8" t="n">
        <v>8.2</v>
      </c>
      <c r="G2308" s="8"/>
      <c r="H2308" s="9" t="n">
        <v>1551</v>
      </c>
      <c r="I2308" s="7" t="s">
        <v>9339</v>
      </c>
      <c r="J2308" s="7" t="s">
        <v>2730</v>
      </c>
      <c r="K2308" s="7"/>
      <c r="L2308" s="10"/>
      <c r="M2308" s="7" t="s">
        <v>9340</v>
      </c>
      <c r="N2308" s="8" t="n">
        <v>0</v>
      </c>
      <c r="O2308" s="8" t="n">
        <v>0</v>
      </c>
      <c r="P2308" s="8" t="n">
        <v>0</v>
      </c>
      <c r="Q2308" s="8" t="n">
        <v>0</v>
      </c>
      <c r="R2308" s="8" t="n">
        <v>0</v>
      </c>
      <c r="S2308" s="8" t="n">
        <v>0</v>
      </c>
      <c r="T2308" s="8" t="n">
        <v>157</v>
      </c>
      <c r="U2308" s="11" t="n">
        <f aca="false">O2308*4 + P2308*2 + MAX(0,N2308-O2308-P2308)*1 + Q2308*0.2 + R2308*2 + S2308*1 + IF(T2308="",0,IF(T2308&lt;=10,8,IF(T2308&lt;=50,6,IF(T2308&lt;=100,4,2))))</f>
        <v>2</v>
      </c>
      <c r="V2308" s="10" t="s">
        <v>9341</v>
      </c>
      <c r="W2308" s="7"/>
      <c r="X2308" s="8"/>
      <c r="Y2308" s="8" t="s">
        <v>9342</v>
      </c>
    </row>
    <row r="2309" customFormat="false" ht="15.75" hidden="false" customHeight="true" outlineLevel="0" collapsed="false">
      <c r="A2309" s="7" t="s">
        <v>9343</v>
      </c>
      <c r="B2309" s="8" t="n">
        <v>1942</v>
      </c>
      <c r="C2309" s="8" t="s">
        <v>243</v>
      </c>
      <c r="D2309" s="8" t="n">
        <v>88</v>
      </c>
      <c r="E2309" s="7" t="s">
        <v>9344</v>
      </c>
      <c r="F2309" s="8" t="n">
        <v>7.6</v>
      </c>
      <c r="G2309" s="8"/>
      <c r="H2309" s="9" t="n">
        <v>28898</v>
      </c>
      <c r="I2309" s="7" t="s">
        <v>46</v>
      </c>
      <c r="J2309" s="7" t="s">
        <v>29</v>
      </c>
      <c r="K2309" s="7" t="s">
        <v>47</v>
      </c>
      <c r="L2309" s="10" t="s">
        <v>9345</v>
      </c>
      <c r="M2309" s="7" t="s">
        <v>9346</v>
      </c>
      <c r="N2309" s="8" t="n">
        <v>0</v>
      </c>
      <c r="O2309" s="8" t="n">
        <v>0</v>
      </c>
      <c r="P2309" s="8" t="n">
        <v>0</v>
      </c>
      <c r="Q2309" s="8" t="n">
        <v>4</v>
      </c>
      <c r="R2309" s="8" t="n">
        <v>0</v>
      </c>
      <c r="S2309" s="8" t="n">
        <v>0</v>
      </c>
      <c r="T2309" s="8" t="n">
        <v>169</v>
      </c>
      <c r="U2309" s="11" t="n">
        <f aca="false">O2309*4 + P2309*2 + MAX(0,N2309-O2309-P2309)*1 + Q2309*0.2 + R2309*2 + S2309*1 + IF(T2309="",0,IF(T2309&lt;=10,8,IF(T2309&lt;=50,6,IF(T2309&lt;=100,4,2))))</f>
        <v>2.8</v>
      </c>
      <c r="V2309" s="10" t="s">
        <v>9347</v>
      </c>
      <c r="W2309" s="7"/>
      <c r="X2309" s="8"/>
      <c r="Y2309" s="8" t="s">
        <v>9348</v>
      </c>
    </row>
    <row r="2310" customFormat="false" ht="15.75" hidden="false" customHeight="true" outlineLevel="0" collapsed="false">
      <c r="A2310" s="7" t="s">
        <v>9349</v>
      </c>
      <c r="B2310" s="8" t="n">
        <v>1959</v>
      </c>
      <c r="C2310" s="8" t="s">
        <v>196</v>
      </c>
      <c r="D2310" s="8" t="n">
        <v>90</v>
      </c>
      <c r="E2310" s="7" t="s">
        <v>4665</v>
      </c>
      <c r="F2310" s="8" t="n">
        <v>7.8</v>
      </c>
      <c r="G2310" s="8"/>
      <c r="H2310" s="9" t="n">
        <v>39723</v>
      </c>
      <c r="I2310" s="7" t="s">
        <v>3183</v>
      </c>
      <c r="J2310" s="7" t="s">
        <v>29</v>
      </c>
      <c r="K2310" s="7" t="s">
        <v>259</v>
      </c>
      <c r="L2310" s="10" t="s">
        <v>1439</v>
      </c>
      <c r="M2310" s="7" t="s">
        <v>9350</v>
      </c>
      <c r="N2310" s="8" t="n">
        <v>0</v>
      </c>
      <c r="O2310" s="8" t="n">
        <v>0</v>
      </c>
      <c r="P2310" s="8" t="n">
        <v>0</v>
      </c>
      <c r="Q2310" s="8" t="n">
        <v>1</v>
      </c>
      <c r="R2310" s="8" t="n">
        <v>0</v>
      </c>
      <c r="S2310" s="8" t="n">
        <v>0</v>
      </c>
      <c r="T2310" s="8" t="n">
        <v>169</v>
      </c>
      <c r="U2310" s="11" t="n">
        <f aca="false">O2310*4 + P2310*2 + MAX(0,N2310-O2310-P2310)*1 + Q2310*0.2 + R2310*2 + S2310*1 + IF(T2310="",0,IF(T2310&lt;=10,8,IF(T2310&lt;=50,6,IF(T2310&lt;=100,4,2))))</f>
        <v>2.2</v>
      </c>
      <c r="V2310" s="10" t="s">
        <v>9351</v>
      </c>
      <c r="W2310" s="7"/>
      <c r="X2310" s="8"/>
      <c r="Y2310" s="8" t="s">
        <v>9352</v>
      </c>
    </row>
    <row r="2311" customFormat="false" ht="15.75" hidden="false" customHeight="true" outlineLevel="0" collapsed="false">
      <c r="A2311" s="7" t="s">
        <v>9353</v>
      </c>
      <c r="B2311" s="8" t="n">
        <v>1948</v>
      </c>
      <c r="C2311" s="8" t="s">
        <v>243</v>
      </c>
      <c r="D2311" s="8" t="n">
        <v>87</v>
      </c>
      <c r="E2311" s="7" t="s">
        <v>9117</v>
      </c>
      <c r="F2311" s="8" t="n">
        <v>7.8</v>
      </c>
      <c r="G2311" s="8"/>
      <c r="H2311" s="9" t="n">
        <v>15009</v>
      </c>
      <c r="I2311" s="7" t="s">
        <v>46</v>
      </c>
      <c r="J2311" s="7" t="s">
        <v>29</v>
      </c>
      <c r="K2311" s="7" t="s">
        <v>47</v>
      </c>
      <c r="L2311" s="10" t="s">
        <v>447</v>
      </c>
      <c r="M2311" s="7" t="s">
        <v>9354</v>
      </c>
      <c r="N2311" s="8" t="n">
        <v>0</v>
      </c>
      <c r="O2311" s="8" t="n">
        <v>0</v>
      </c>
      <c r="P2311" s="8" t="n">
        <v>0</v>
      </c>
      <c r="Q2311" s="8" t="n">
        <v>0</v>
      </c>
      <c r="R2311" s="8" t="n">
        <v>0</v>
      </c>
      <c r="S2311" s="8" t="n">
        <v>0</v>
      </c>
      <c r="T2311" s="8" t="n">
        <v>169</v>
      </c>
      <c r="U2311" s="11" t="n">
        <f aca="false">O2311*4 + P2311*2 + MAX(0,N2311-O2311-P2311)*1 + Q2311*0.2 + R2311*2 + S2311*1 + IF(T2311="",0,IF(T2311&lt;=10,8,IF(T2311&lt;=50,6,IF(T2311&lt;=100,4,2))))</f>
        <v>2</v>
      </c>
      <c r="V2311" s="10" t="s">
        <v>9355</v>
      </c>
      <c r="W2311" s="7"/>
      <c r="X2311" s="8"/>
      <c r="Y2311" s="8" t="s">
        <v>9356</v>
      </c>
    </row>
    <row r="2312" customFormat="false" ht="15.75" hidden="false" customHeight="true" outlineLevel="0" collapsed="false">
      <c r="A2312" s="7" t="s">
        <v>9357</v>
      </c>
      <c r="B2312" s="8" t="n">
        <v>1964</v>
      </c>
      <c r="C2312" s="8" t="s">
        <v>122</v>
      </c>
      <c r="D2312" s="8" t="n">
        <v>117</v>
      </c>
      <c r="E2312" s="7" t="s">
        <v>9014</v>
      </c>
      <c r="F2312" s="8" t="n">
        <v>8.1</v>
      </c>
      <c r="G2312" s="8"/>
      <c r="H2312" s="9" t="n">
        <v>8049</v>
      </c>
      <c r="I2312" s="7" t="s">
        <v>3848</v>
      </c>
      <c r="J2312" s="7" t="s">
        <v>29</v>
      </c>
      <c r="K2312" s="7" t="s">
        <v>47</v>
      </c>
      <c r="L2312" s="10" t="s">
        <v>517</v>
      </c>
      <c r="M2312" s="7" t="s">
        <v>9358</v>
      </c>
      <c r="N2312" s="8" t="n">
        <v>0</v>
      </c>
      <c r="O2312" s="8" t="n">
        <v>0</v>
      </c>
      <c r="P2312" s="8" t="n">
        <v>0</v>
      </c>
      <c r="Q2312" s="8" t="n">
        <v>0</v>
      </c>
      <c r="R2312" s="8" t="n">
        <v>0</v>
      </c>
      <c r="S2312" s="8" t="n">
        <v>0</v>
      </c>
      <c r="T2312" s="8" t="n">
        <v>169</v>
      </c>
      <c r="U2312" s="11" t="n">
        <f aca="false">O2312*4 + P2312*2 + MAX(0,N2312-O2312-P2312)*1 + Q2312*0.2 + R2312*2 + S2312*1 + IF(T2312="",0,IF(T2312&lt;=10,8,IF(T2312&lt;=50,6,IF(T2312&lt;=100,4,2))))</f>
        <v>2</v>
      </c>
      <c r="V2312" s="10" t="s">
        <v>9359</v>
      </c>
      <c r="W2312" s="7"/>
      <c r="X2312" s="8"/>
      <c r="Y2312" s="8" t="s">
        <v>9360</v>
      </c>
    </row>
    <row r="2313" customFormat="false" ht="15.75" hidden="false" customHeight="true" outlineLevel="0" collapsed="false">
      <c r="A2313" s="7" t="s">
        <v>9361</v>
      </c>
      <c r="B2313" s="8" t="n">
        <v>1964</v>
      </c>
      <c r="C2313" s="8" t="s">
        <v>122</v>
      </c>
      <c r="D2313" s="8" t="n">
        <v>117</v>
      </c>
      <c r="E2313" s="7" t="s">
        <v>9068</v>
      </c>
      <c r="F2313" s="8" t="n">
        <v>7.4</v>
      </c>
      <c r="G2313" s="8"/>
      <c r="H2313" s="9" t="n">
        <v>19442</v>
      </c>
      <c r="I2313" s="7" t="s">
        <v>28</v>
      </c>
      <c r="J2313" s="7" t="s">
        <v>47</v>
      </c>
      <c r="K2313" s="7"/>
      <c r="L2313" s="10" t="s">
        <v>447</v>
      </c>
      <c r="M2313" s="7" t="s">
        <v>9362</v>
      </c>
      <c r="N2313" s="8" t="n">
        <v>0</v>
      </c>
      <c r="O2313" s="8" t="n">
        <v>0</v>
      </c>
      <c r="P2313" s="8" t="n">
        <v>0</v>
      </c>
      <c r="Q2313" s="8" t="n">
        <v>0</v>
      </c>
      <c r="R2313" s="8" t="n">
        <v>1</v>
      </c>
      <c r="S2313" s="8" t="n">
        <v>0</v>
      </c>
      <c r="T2313" s="8" t="n">
        <v>169</v>
      </c>
      <c r="U2313" s="11" t="n">
        <f aca="false">O2313*4 + P2313*2 + MAX(0,N2313-O2313-P2313)*1 + Q2313*0.2 + R2313*2 + S2313*1 + IF(T2313="",0,IF(T2313&lt;=10,8,IF(T2313&lt;=50,6,IF(T2313&lt;=100,4,2))))</f>
        <v>4</v>
      </c>
      <c r="V2313" s="10" t="s">
        <v>9363</v>
      </c>
      <c r="W2313" s="7"/>
      <c r="X2313" s="8"/>
      <c r="Y2313" s="8" t="s">
        <v>9364</v>
      </c>
    </row>
    <row r="2314" customFormat="false" ht="15.75" hidden="false" customHeight="true" outlineLevel="0" collapsed="false">
      <c r="A2314" s="7" t="s">
        <v>9365</v>
      </c>
      <c r="B2314" s="8" t="n">
        <v>1947</v>
      </c>
      <c r="C2314" s="8" t="s">
        <v>243</v>
      </c>
      <c r="D2314" s="8" t="n">
        <v>101</v>
      </c>
      <c r="E2314" s="7" t="s">
        <v>9086</v>
      </c>
      <c r="F2314" s="8" t="n">
        <v>7.7</v>
      </c>
      <c r="G2314" s="8"/>
      <c r="H2314" s="9" t="n">
        <v>31706</v>
      </c>
      <c r="I2314" s="7" t="s">
        <v>280</v>
      </c>
      <c r="J2314" s="7" t="s">
        <v>131</v>
      </c>
      <c r="K2314" s="7" t="s">
        <v>47</v>
      </c>
      <c r="L2314" s="10" t="s">
        <v>536</v>
      </c>
      <c r="M2314" s="7" t="s">
        <v>9366</v>
      </c>
      <c r="N2314" s="8" t="n">
        <v>2</v>
      </c>
      <c r="O2314" s="8" t="n">
        <v>0</v>
      </c>
      <c r="P2314" s="8" t="n">
        <v>0</v>
      </c>
      <c r="Q2314" s="8" t="n">
        <v>2</v>
      </c>
      <c r="R2314" s="8" t="n">
        <v>0</v>
      </c>
      <c r="S2314" s="8" t="n">
        <v>0</v>
      </c>
      <c r="T2314" s="8" t="n">
        <v>169</v>
      </c>
      <c r="U2314" s="11" t="n">
        <f aca="false">O2314*4 + P2314*2 + MAX(0,N2314-O2314-P2314)*1 + Q2314*0.2 + R2314*2 + S2314*1 + IF(T2314="",0,IF(T2314&lt;=10,8,IF(T2314&lt;=50,6,IF(T2314&lt;=100,4,2))))</f>
        <v>4.4</v>
      </c>
      <c r="V2314" s="10" t="s">
        <v>9367</v>
      </c>
      <c r="W2314" s="7"/>
      <c r="X2314" s="8"/>
      <c r="Y2314" s="8" t="s">
        <v>9368</v>
      </c>
    </row>
    <row r="2315" customFormat="false" ht="15.75" hidden="false" customHeight="true" outlineLevel="0" collapsed="false">
      <c r="A2315" s="7" t="s">
        <v>9369</v>
      </c>
      <c r="B2315" s="8" t="n">
        <v>1968</v>
      </c>
      <c r="C2315" s="8" t="s">
        <v>122</v>
      </c>
      <c r="D2315" s="8" t="n">
        <v>97</v>
      </c>
      <c r="E2315" s="7" t="s">
        <v>9370</v>
      </c>
      <c r="F2315" s="8" t="n">
        <v>7.6</v>
      </c>
      <c r="G2315" s="8"/>
      <c r="H2315" s="9" t="n">
        <v>5439</v>
      </c>
      <c r="I2315" s="7" t="s">
        <v>1429</v>
      </c>
      <c r="J2315" s="7" t="s">
        <v>47</v>
      </c>
      <c r="K2315" s="7"/>
      <c r="L2315" s="10" t="s">
        <v>205</v>
      </c>
      <c r="M2315" s="7" t="s">
        <v>9371</v>
      </c>
      <c r="N2315" s="8" t="n">
        <v>0</v>
      </c>
      <c r="O2315" s="8" t="n">
        <v>0</v>
      </c>
      <c r="P2315" s="8" t="n">
        <v>0</v>
      </c>
      <c r="Q2315" s="8" t="n">
        <v>0</v>
      </c>
      <c r="R2315" s="8" t="n">
        <v>0</v>
      </c>
      <c r="S2315" s="8" t="n">
        <v>0</v>
      </c>
      <c r="T2315" s="8" t="n">
        <v>169</v>
      </c>
      <c r="U2315" s="11" t="n">
        <f aca="false">O2315*4 + P2315*2 + MAX(0,N2315-O2315-P2315)*1 + Q2315*0.2 + R2315*2 + S2315*1 + IF(T2315="",0,IF(T2315&lt;=10,8,IF(T2315&lt;=50,6,IF(T2315&lt;=100,4,2))))</f>
        <v>2</v>
      </c>
      <c r="V2315" s="10" t="s">
        <v>9372</v>
      </c>
      <c r="W2315" s="7"/>
      <c r="X2315" s="8"/>
      <c r="Y2315" s="8" t="s">
        <v>9373</v>
      </c>
    </row>
    <row r="2316" customFormat="false" ht="15.75" hidden="false" customHeight="true" outlineLevel="0" collapsed="false">
      <c r="A2316" s="7" t="s">
        <v>9374</v>
      </c>
      <c r="B2316" s="8" t="n">
        <v>1962</v>
      </c>
      <c r="C2316" s="8" t="s">
        <v>122</v>
      </c>
      <c r="D2316" s="8" t="n">
        <v>95</v>
      </c>
      <c r="E2316" s="7" t="s">
        <v>1514</v>
      </c>
      <c r="F2316" s="8" t="n">
        <v>7.9</v>
      </c>
      <c r="G2316" s="8"/>
      <c r="H2316" s="9" t="n">
        <v>38415</v>
      </c>
      <c r="I2316" s="7" t="s">
        <v>373</v>
      </c>
      <c r="J2316" s="7" t="s">
        <v>38</v>
      </c>
      <c r="K2316" s="7" t="s">
        <v>47</v>
      </c>
      <c r="L2316" s="10" t="s">
        <v>9375</v>
      </c>
      <c r="M2316" s="7" t="s">
        <v>9376</v>
      </c>
      <c r="N2316" s="8" t="n">
        <v>0</v>
      </c>
      <c r="O2316" s="8" t="n">
        <v>0</v>
      </c>
      <c r="P2316" s="8" t="n">
        <v>0</v>
      </c>
      <c r="Q2316" s="8" t="n">
        <v>0</v>
      </c>
      <c r="R2316" s="8" t="n">
        <v>0</v>
      </c>
      <c r="S2316" s="8" t="n">
        <v>0</v>
      </c>
      <c r="T2316" s="8" t="n">
        <v>169</v>
      </c>
      <c r="U2316" s="11" t="n">
        <f aca="false">O2316*4 + P2316*2 + MAX(0,N2316-O2316-P2316)*1 + Q2316*0.2 + R2316*2 + S2316*1 + IF(T2316="",0,IF(T2316&lt;=10,8,IF(T2316&lt;=50,6,IF(T2316&lt;=100,4,2))))</f>
        <v>2</v>
      </c>
      <c r="V2316" s="10" t="s">
        <v>9377</v>
      </c>
      <c r="W2316" s="7"/>
      <c r="X2316" s="8"/>
      <c r="Y2316" s="8" t="s">
        <v>9378</v>
      </c>
    </row>
    <row r="2317" customFormat="false" ht="15.75" hidden="false" customHeight="true" outlineLevel="0" collapsed="false">
      <c r="A2317" s="7" t="s">
        <v>9379</v>
      </c>
      <c r="B2317" s="8" t="n">
        <v>1968</v>
      </c>
      <c r="C2317" s="8" t="s">
        <v>122</v>
      </c>
      <c r="D2317" s="8" t="n">
        <v>75</v>
      </c>
      <c r="E2317" s="7" t="s">
        <v>9380</v>
      </c>
      <c r="F2317" s="8" t="n">
        <v>7.2</v>
      </c>
      <c r="G2317" s="8"/>
      <c r="H2317" s="9" t="n">
        <v>2943</v>
      </c>
      <c r="I2317" s="7" t="s">
        <v>46</v>
      </c>
      <c r="J2317" s="7" t="s">
        <v>2730</v>
      </c>
      <c r="K2317" s="7"/>
      <c r="L2317" s="10"/>
      <c r="M2317" s="7" t="s">
        <v>9381</v>
      </c>
      <c r="N2317" s="8" t="n">
        <v>0</v>
      </c>
      <c r="O2317" s="8" t="n">
        <v>0</v>
      </c>
      <c r="P2317" s="8" t="n">
        <v>0</v>
      </c>
      <c r="Q2317" s="8" t="n">
        <v>0</v>
      </c>
      <c r="R2317" s="8" t="n">
        <v>0</v>
      </c>
      <c r="S2317" s="8" t="n">
        <v>0</v>
      </c>
      <c r="T2317" s="8" t="n">
        <v>169</v>
      </c>
      <c r="U2317" s="11" t="n">
        <f aca="false">O2317*4 + P2317*2 + MAX(0,N2317-O2317-P2317)*1 + Q2317*0.2 + R2317*2 + S2317*1 + IF(T2317="",0,IF(T2317&lt;=10,8,IF(T2317&lt;=50,6,IF(T2317&lt;=100,4,2))))</f>
        <v>2</v>
      </c>
      <c r="V2317" s="10" t="s">
        <v>9382</v>
      </c>
      <c r="W2317" s="7"/>
      <c r="X2317" s="8"/>
      <c r="Y2317" s="8" t="s">
        <v>9383</v>
      </c>
    </row>
    <row r="2318" customFormat="false" ht="15.75" hidden="false" customHeight="true" outlineLevel="0" collapsed="false">
      <c r="A2318" s="7" t="s">
        <v>9384</v>
      </c>
      <c r="B2318" s="8" t="n">
        <v>1971</v>
      </c>
      <c r="C2318" s="8" t="s">
        <v>61</v>
      </c>
      <c r="D2318" s="8" t="n">
        <v>776</v>
      </c>
      <c r="E2318" s="7" t="s">
        <v>9385</v>
      </c>
      <c r="F2318" s="8" t="n">
        <v>7.4</v>
      </c>
      <c r="G2318" s="8"/>
      <c r="H2318" s="9" t="n">
        <v>1725</v>
      </c>
      <c r="I2318" s="7" t="s">
        <v>219</v>
      </c>
      <c r="J2318" s="7" t="s">
        <v>47</v>
      </c>
      <c r="K2318" s="7" t="s">
        <v>125</v>
      </c>
      <c r="L2318" s="10"/>
      <c r="M2318" s="7" t="s">
        <v>9386</v>
      </c>
      <c r="N2318" s="8" t="n">
        <v>0</v>
      </c>
      <c r="O2318" s="8" t="n">
        <v>0</v>
      </c>
      <c r="P2318" s="8" t="n">
        <v>0</v>
      </c>
      <c r="Q2318" s="8" t="n">
        <v>0</v>
      </c>
      <c r="R2318" s="8" t="n">
        <v>0</v>
      </c>
      <c r="S2318" s="8" t="n">
        <v>0</v>
      </c>
      <c r="T2318" s="8" t="n">
        <v>169</v>
      </c>
      <c r="U2318" s="11" t="n">
        <f aca="false">O2318*4 + P2318*2 + MAX(0,N2318-O2318-P2318)*1 + Q2318*0.2 + R2318*2 + S2318*1 + IF(T2318="",0,IF(T2318&lt;=10,8,IF(T2318&lt;=50,6,IF(T2318&lt;=100,4,2))))</f>
        <v>2</v>
      </c>
      <c r="V2318" s="10" t="s">
        <v>9387</v>
      </c>
      <c r="W2318" s="7"/>
      <c r="X2318" s="8"/>
      <c r="Y2318" s="8" t="s">
        <v>9388</v>
      </c>
    </row>
    <row r="2319" customFormat="false" ht="15.75" hidden="false" customHeight="true" outlineLevel="0" collapsed="false">
      <c r="A2319" s="7" t="s">
        <v>9389</v>
      </c>
      <c r="B2319" s="8" t="n">
        <v>1983</v>
      </c>
      <c r="C2319" s="8" t="s">
        <v>109</v>
      </c>
      <c r="D2319" s="8" t="n">
        <v>85</v>
      </c>
      <c r="E2319" s="7" t="s">
        <v>4679</v>
      </c>
      <c r="F2319" s="8" t="n">
        <v>7.3</v>
      </c>
      <c r="G2319" s="8"/>
      <c r="H2319" s="9" t="n">
        <v>13296</v>
      </c>
      <c r="I2319" s="7" t="s">
        <v>9390</v>
      </c>
      <c r="J2319" s="7" t="s">
        <v>47</v>
      </c>
      <c r="K2319" s="7" t="s">
        <v>54</v>
      </c>
      <c r="L2319" s="10"/>
      <c r="M2319" s="7" t="s">
        <v>9391</v>
      </c>
      <c r="N2319" s="8" t="n">
        <v>0</v>
      </c>
      <c r="O2319" s="8" t="n">
        <v>0</v>
      </c>
      <c r="P2319" s="8" t="n">
        <v>0</v>
      </c>
      <c r="Q2319" s="8" t="n">
        <v>0</v>
      </c>
      <c r="R2319" s="8" t="n">
        <v>0</v>
      </c>
      <c r="S2319" s="8" t="n">
        <v>0</v>
      </c>
      <c r="T2319" s="8" t="n">
        <v>169</v>
      </c>
      <c r="U2319" s="11" t="n">
        <f aca="false">O2319*4 + P2319*2 + MAX(0,N2319-O2319-P2319)*1 + Q2319*0.2 + R2319*2 + S2319*1 + IF(T2319="",0,IF(T2319&lt;=10,8,IF(T2319&lt;=50,6,IF(T2319&lt;=100,4,2))))</f>
        <v>2</v>
      </c>
      <c r="V2319" s="10" t="s">
        <v>9392</v>
      </c>
      <c r="W2319" s="7"/>
      <c r="X2319" s="8"/>
      <c r="Y2319" s="8" t="s">
        <v>9393</v>
      </c>
    </row>
    <row r="2320" customFormat="false" ht="15.75" hidden="false" customHeight="true" outlineLevel="0" collapsed="false">
      <c r="A2320" s="7" t="s">
        <v>9394</v>
      </c>
      <c r="B2320" s="8" t="n">
        <v>1967</v>
      </c>
      <c r="C2320" s="8" t="s">
        <v>122</v>
      </c>
      <c r="D2320" s="8" t="n">
        <v>125</v>
      </c>
      <c r="E2320" s="7" t="s">
        <v>9197</v>
      </c>
      <c r="F2320" s="8" t="n">
        <v>7.7</v>
      </c>
      <c r="G2320" s="8"/>
      <c r="H2320" s="9" t="n">
        <v>13936</v>
      </c>
      <c r="I2320" s="7" t="s">
        <v>219</v>
      </c>
      <c r="J2320" s="7" t="s">
        <v>90</v>
      </c>
      <c r="K2320" s="7" t="s">
        <v>30</v>
      </c>
      <c r="L2320" s="10" t="s">
        <v>478</v>
      </c>
      <c r="M2320" s="7" t="s">
        <v>9395</v>
      </c>
      <c r="N2320" s="8" t="n">
        <v>0</v>
      </c>
      <c r="O2320" s="8" t="n">
        <v>0</v>
      </c>
      <c r="P2320" s="8" t="n">
        <v>0</v>
      </c>
      <c r="Q2320" s="8" t="n">
        <v>1</v>
      </c>
      <c r="R2320" s="8" t="n">
        <v>0</v>
      </c>
      <c r="S2320" s="8" t="n">
        <v>0</v>
      </c>
      <c r="T2320" s="8" t="n">
        <v>185</v>
      </c>
      <c r="U2320" s="11" t="n">
        <f aca="false">O2320*4 + P2320*2 + MAX(0,N2320-O2320-P2320)*1 + Q2320*0.2 + R2320*2 + S2320*1 + IF(T2320="",0,IF(T2320&lt;=10,8,IF(T2320&lt;=50,6,IF(T2320&lt;=100,4,2))))</f>
        <v>2.2</v>
      </c>
      <c r="V2320" s="10" t="s">
        <v>9396</v>
      </c>
      <c r="W2320" s="7"/>
      <c r="X2320" s="8"/>
      <c r="Y2320" s="8" t="s">
        <v>9397</v>
      </c>
    </row>
    <row r="2321" customFormat="false" ht="15.75" hidden="false" customHeight="true" outlineLevel="0" collapsed="false">
      <c r="A2321" s="7" t="s">
        <v>9398</v>
      </c>
      <c r="B2321" s="8" t="n">
        <v>1963</v>
      </c>
      <c r="C2321" s="8" t="s">
        <v>122</v>
      </c>
      <c r="D2321" s="8" t="n">
        <v>119</v>
      </c>
      <c r="E2321" s="7" t="s">
        <v>146</v>
      </c>
      <c r="F2321" s="8" t="n">
        <v>7.6</v>
      </c>
      <c r="G2321" s="8"/>
      <c r="H2321" s="9" t="n">
        <v>221582</v>
      </c>
      <c r="I2321" s="7" t="s">
        <v>46</v>
      </c>
      <c r="J2321" s="7" t="s">
        <v>147</v>
      </c>
      <c r="K2321" s="7" t="s">
        <v>125</v>
      </c>
      <c r="L2321" s="10"/>
      <c r="M2321" s="7" t="s">
        <v>9399</v>
      </c>
      <c r="N2321" s="8" t="n">
        <v>0</v>
      </c>
      <c r="O2321" s="8" t="n">
        <v>0</v>
      </c>
      <c r="P2321" s="8" t="n">
        <v>0</v>
      </c>
      <c r="Q2321" s="8" t="n">
        <v>1</v>
      </c>
      <c r="R2321" s="8" t="n">
        <v>0</v>
      </c>
      <c r="S2321" s="8" t="n">
        <v>0</v>
      </c>
      <c r="T2321" s="8" t="n">
        <v>185</v>
      </c>
      <c r="U2321" s="11" t="n">
        <f aca="false">O2321*4 + P2321*2 + MAX(0,N2321-O2321-P2321)*1 + Q2321*0.2 + R2321*2 + S2321*1 + IF(T2321="",0,IF(T2321&lt;=10,8,IF(T2321&lt;=50,6,IF(T2321&lt;=100,4,2))))</f>
        <v>2.2</v>
      </c>
      <c r="V2321" s="10" t="s">
        <v>9400</v>
      </c>
      <c r="W2321" s="7"/>
      <c r="X2321" s="8"/>
      <c r="Y2321" s="8" t="s">
        <v>9401</v>
      </c>
    </row>
    <row r="2322" customFormat="false" ht="15.75" hidden="false" customHeight="true" outlineLevel="0" collapsed="false">
      <c r="A2322" s="7" t="s">
        <v>9402</v>
      </c>
      <c r="B2322" s="8" t="n">
        <v>1951</v>
      </c>
      <c r="C2322" s="8" t="s">
        <v>196</v>
      </c>
      <c r="D2322" s="8" t="n">
        <v>99</v>
      </c>
      <c r="E2322" s="7" t="s">
        <v>8970</v>
      </c>
      <c r="F2322" s="8" t="n">
        <v>7.4</v>
      </c>
      <c r="G2322" s="8"/>
      <c r="H2322" s="9" t="n">
        <v>7463</v>
      </c>
      <c r="I2322" s="7" t="s">
        <v>9403</v>
      </c>
      <c r="J2322" s="7" t="s">
        <v>29</v>
      </c>
      <c r="K2322" s="7" t="s">
        <v>47</v>
      </c>
      <c r="L2322" s="10" t="s">
        <v>205</v>
      </c>
      <c r="M2322" s="7" t="s">
        <v>9404</v>
      </c>
      <c r="N2322" s="8" t="n">
        <v>0</v>
      </c>
      <c r="O2322" s="8" t="n">
        <v>0</v>
      </c>
      <c r="P2322" s="8" t="n">
        <v>0</v>
      </c>
      <c r="Q2322" s="8" t="n">
        <v>0</v>
      </c>
      <c r="R2322" s="8" t="n">
        <v>0</v>
      </c>
      <c r="S2322" s="8" t="n">
        <v>0</v>
      </c>
      <c r="T2322" s="8" t="n">
        <v>185</v>
      </c>
      <c r="U2322" s="11" t="n">
        <f aca="false">O2322*4 + P2322*2 + MAX(0,N2322-O2322-P2322)*1 + Q2322*0.2 + R2322*2 + S2322*1 + IF(T2322="",0,IF(T2322&lt;=10,8,IF(T2322&lt;=50,6,IF(T2322&lt;=100,4,2))))</f>
        <v>2</v>
      </c>
      <c r="V2322" s="10" t="s">
        <v>9405</v>
      </c>
      <c r="W2322" s="7"/>
      <c r="X2322" s="8"/>
      <c r="Y2322" s="8" t="s">
        <v>9406</v>
      </c>
    </row>
    <row r="2323" customFormat="false" ht="15.75" hidden="false" customHeight="true" outlineLevel="0" collapsed="false">
      <c r="A2323" s="7" t="s">
        <v>9407</v>
      </c>
      <c r="B2323" s="8" t="n">
        <v>1962</v>
      </c>
      <c r="C2323" s="8" t="s">
        <v>122</v>
      </c>
      <c r="D2323" s="8" t="n">
        <v>113</v>
      </c>
      <c r="E2323" s="7" t="s">
        <v>1632</v>
      </c>
      <c r="F2323" s="8" t="n">
        <v>8</v>
      </c>
      <c r="G2323" s="8"/>
      <c r="H2323" s="9" t="n">
        <v>12134</v>
      </c>
      <c r="I2323" s="7" t="s">
        <v>124</v>
      </c>
      <c r="J2323" s="7" t="s">
        <v>47</v>
      </c>
      <c r="K2323" s="7"/>
      <c r="L2323" s="10" t="s">
        <v>5978</v>
      </c>
      <c r="M2323" s="7" t="s">
        <v>9408</v>
      </c>
      <c r="N2323" s="8" t="n">
        <v>0</v>
      </c>
      <c r="O2323" s="8" t="n">
        <v>0</v>
      </c>
      <c r="P2323" s="8" t="n">
        <v>0</v>
      </c>
      <c r="Q2323" s="8" t="n">
        <v>0</v>
      </c>
      <c r="R2323" s="8" t="n">
        <v>0</v>
      </c>
      <c r="S2323" s="8" t="n">
        <v>0</v>
      </c>
      <c r="T2323" s="8" t="n">
        <v>185</v>
      </c>
      <c r="U2323" s="11" t="n">
        <f aca="false">O2323*4 + P2323*2 + MAX(0,N2323-O2323-P2323)*1 + Q2323*0.2 + R2323*2 + S2323*1 + IF(T2323="",0,IF(T2323&lt;=10,8,IF(T2323&lt;=50,6,IF(T2323&lt;=100,4,2))))</f>
        <v>2</v>
      </c>
      <c r="V2323" s="10" t="s">
        <v>9409</v>
      </c>
      <c r="W2323" s="7"/>
      <c r="X2323" s="8"/>
      <c r="Y2323" s="8" t="s">
        <v>9410</v>
      </c>
    </row>
    <row r="2324" customFormat="false" ht="15.75" hidden="false" customHeight="true" outlineLevel="0" collapsed="false">
      <c r="A2324" s="7" t="s">
        <v>9411</v>
      </c>
      <c r="B2324" s="8" t="n">
        <v>1984</v>
      </c>
      <c r="C2324" s="8" t="s">
        <v>109</v>
      </c>
      <c r="D2324" s="8" t="n">
        <v>141</v>
      </c>
      <c r="E2324" s="7" t="s">
        <v>4747</v>
      </c>
      <c r="F2324" s="8" t="n">
        <v>7.6</v>
      </c>
      <c r="G2324" s="8"/>
      <c r="H2324" s="9" t="n">
        <v>7527</v>
      </c>
      <c r="I2324" s="7" t="s">
        <v>46</v>
      </c>
      <c r="J2324" s="7" t="s">
        <v>47</v>
      </c>
      <c r="K2324" s="7"/>
      <c r="L2324" s="10" t="s">
        <v>205</v>
      </c>
      <c r="M2324" s="7" t="s">
        <v>9412</v>
      </c>
      <c r="N2324" s="8" t="n">
        <v>0</v>
      </c>
      <c r="O2324" s="8" t="n">
        <v>0</v>
      </c>
      <c r="P2324" s="8" t="n">
        <v>0</v>
      </c>
      <c r="Q2324" s="8" t="n">
        <v>0</v>
      </c>
      <c r="R2324" s="8" t="n">
        <v>1</v>
      </c>
      <c r="S2324" s="8" t="n">
        <v>0</v>
      </c>
      <c r="T2324" s="8" t="n">
        <v>185</v>
      </c>
      <c r="U2324" s="11" t="n">
        <f aca="false">O2324*4 + P2324*2 + MAX(0,N2324-O2324-P2324)*1 + Q2324*0.2 + R2324*2 + S2324*1 + IF(T2324="",0,IF(T2324&lt;=10,8,IF(T2324&lt;=50,6,IF(T2324&lt;=100,4,2))))</f>
        <v>4</v>
      </c>
      <c r="V2324" s="10" t="s">
        <v>9413</v>
      </c>
      <c r="W2324" s="7"/>
      <c r="X2324" s="8"/>
      <c r="Y2324" s="8" t="s">
        <v>9414</v>
      </c>
    </row>
    <row r="2325" customFormat="false" ht="15.75" hidden="false" customHeight="true" outlineLevel="0" collapsed="false">
      <c r="A2325" s="7" t="s">
        <v>9415</v>
      </c>
      <c r="B2325" s="8" t="n">
        <v>1924</v>
      </c>
      <c r="C2325" s="8" t="s">
        <v>851</v>
      </c>
      <c r="D2325" s="8" t="n">
        <v>140</v>
      </c>
      <c r="E2325" s="7" t="s">
        <v>9416</v>
      </c>
      <c r="F2325" s="8" t="n">
        <v>8</v>
      </c>
      <c r="G2325" s="8"/>
      <c r="H2325" s="9" t="n">
        <v>11658</v>
      </c>
      <c r="I2325" s="7" t="s">
        <v>46</v>
      </c>
      <c r="J2325" s="7" t="s">
        <v>268</v>
      </c>
      <c r="K2325" s="7" t="s">
        <v>131</v>
      </c>
      <c r="L2325" s="10" t="s">
        <v>205</v>
      </c>
      <c r="M2325" s="7" t="s">
        <v>9417</v>
      </c>
      <c r="N2325" s="8" t="n">
        <v>0</v>
      </c>
      <c r="O2325" s="8" t="n">
        <v>0</v>
      </c>
      <c r="P2325" s="8" t="n">
        <v>0</v>
      </c>
      <c r="Q2325" s="8" t="n">
        <v>0</v>
      </c>
      <c r="R2325" s="8" t="n">
        <v>0</v>
      </c>
      <c r="S2325" s="8" t="n">
        <v>0</v>
      </c>
      <c r="T2325" s="8" t="n">
        <v>185</v>
      </c>
      <c r="U2325" s="11" t="n">
        <f aca="false">O2325*4 + P2325*2 + MAX(0,N2325-O2325-P2325)*1 + Q2325*0.2 + R2325*2 + S2325*1 + IF(T2325="",0,IF(T2325&lt;=10,8,IF(T2325&lt;=50,6,IF(T2325&lt;=100,4,2))))</f>
        <v>2</v>
      </c>
      <c r="V2325" s="10" t="s">
        <v>9418</v>
      </c>
      <c r="W2325" s="7"/>
      <c r="X2325" s="8"/>
      <c r="Y2325" s="8" t="s">
        <v>9419</v>
      </c>
    </row>
    <row r="2326" customFormat="false" ht="15.75" hidden="false" customHeight="true" outlineLevel="0" collapsed="false">
      <c r="A2326" s="7" t="s">
        <v>9420</v>
      </c>
      <c r="B2326" s="8" t="n">
        <v>1957</v>
      </c>
      <c r="C2326" s="8" t="s">
        <v>196</v>
      </c>
      <c r="D2326" s="8" t="n">
        <v>146</v>
      </c>
      <c r="E2326" s="7" t="s">
        <v>9421</v>
      </c>
      <c r="F2326" s="8" t="n">
        <v>8.3</v>
      </c>
      <c r="G2326" s="8"/>
      <c r="H2326" s="9" t="n">
        <v>8371</v>
      </c>
      <c r="I2326" s="7" t="s">
        <v>3848</v>
      </c>
      <c r="J2326" s="7" t="s">
        <v>90</v>
      </c>
      <c r="K2326" s="7" t="s">
        <v>29</v>
      </c>
      <c r="L2326" s="10"/>
      <c r="M2326" s="7" t="s">
        <v>9422</v>
      </c>
      <c r="N2326" s="8" t="n">
        <v>0</v>
      </c>
      <c r="O2326" s="8" t="n">
        <v>0</v>
      </c>
      <c r="P2326" s="8" t="n">
        <v>0</v>
      </c>
      <c r="Q2326" s="8" t="n">
        <v>0</v>
      </c>
      <c r="R2326" s="8" t="n">
        <v>0</v>
      </c>
      <c r="S2326" s="8" t="n">
        <v>0</v>
      </c>
      <c r="T2326" s="8" t="n">
        <v>185</v>
      </c>
      <c r="U2326" s="11" t="n">
        <f aca="false">O2326*4 + P2326*2 + MAX(0,N2326-O2326-P2326)*1 + Q2326*0.2 + R2326*2 + S2326*1 + IF(T2326="",0,IF(T2326&lt;=10,8,IF(T2326&lt;=50,6,IF(T2326&lt;=100,4,2))))</f>
        <v>2</v>
      </c>
      <c r="V2326" s="10" t="s">
        <v>9423</v>
      </c>
      <c r="W2326" s="7"/>
      <c r="X2326" s="8"/>
      <c r="Y2326" s="8" t="s">
        <v>9424</v>
      </c>
    </row>
    <row r="2327" customFormat="false" ht="15.75" hidden="false" customHeight="true" outlineLevel="0" collapsed="false">
      <c r="A2327" s="7" t="s">
        <v>9425</v>
      </c>
      <c r="B2327" s="8" t="n">
        <v>1943</v>
      </c>
      <c r="C2327" s="8" t="s">
        <v>243</v>
      </c>
      <c r="D2327" s="8" t="n">
        <v>163</v>
      </c>
      <c r="E2327" s="7" t="s">
        <v>9086</v>
      </c>
      <c r="F2327" s="8" t="n">
        <v>8</v>
      </c>
      <c r="G2327" s="8"/>
      <c r="H2327" s="9" t="n">
        <v>18402</v>
      </c>
      <c r="I2327" s="7" t="s">
        <v>280</v>
      </c>
      <c r="J2327" s="7" t="s">
        <v>154</v>
      </c>
      <c r="K2327" s="7" t="s">
        <v>29</v>
      </c>
      <c r="L2327" s="10" t="s">
        <v>853</v>
      </c>
      <c r="M2327" s="7" t="s">
        <v>9426</v>
      </c>
      <c r="N2327" s="8" t="n">
        <v>0</v>
      </c>
      <c r="O2327" s="8" t="n">
        <v>0</v>
      </c>
      <c r="P2327" s="8" t="n">
        <v>0</v>
      </c>
      <c r="Q2327" s="8" t="n">
        <v>0</v>
      </c>
      <c r="R2327" s="8" t="n">
        <v>0</v>
      </c>
      <c r="S2327" s="8" t="n">
        <v>0</v>
      </c>
      <c r="T2327" s="8" t="n">
        <v>196</v>
      </c>
      <c r="U2327" s="11" t="n">
        <f aca="false">O2327*4 + P2327*2 + MAX(0,N2327-O2327-P2327)*1 + Q2327*0.2 + R2327*2 + S2327*1 + IF(T2327="",0,IF(T2327&lt;=10,8,IF(T2327&lt;=50,6,IF(T2327&lt;=100,4,2))))</f>
        <v>2</v>
      </c>
      <c r="V2327" s="10" t="s">
        <v>9427</v>
      </c>
      <c r="W2327" s="7"/>
      <c r="X2327" s="8"/>
      <c r="Y2327" s="8" t="s">
        <v>9428</v>
      </c>
    </row>
    <row r="2328" customFormat="false" ht="15.75" hidden="false" customHeight="true" outlineLevel="0" collapsed="false">
      <c r="A2328" s="7" t="s">
        <v>9429</v>
      </c>
      <c r="B2328" s="8" t="n">
        <v>1967</v>
      </c>
      <c r="C2328" s="8" t="s">
        <v>122</v>
      </c>
      <c r="D2328" s="8" t="n">
        <v>45</v>
      </c>
      <c r="E2328" s="7" t="s">
        <v>9430</v>
      </c>
      <c r="F2328" s="8" t="n">
        <v>5.3</v>
      </c>
      <c r="G2328" s="8"/>
      <c r="H2328" s="9" t="n">
        <v>3433</v>
      </c>
      <c r="I2328" s="7" t="s">
        <v>2168</v>
      </c>
      <c r="J2328" s="7" t="s">
        <v>47</v>
      </c>
      <c r="K2328" s="7"/>
      <c r="L2328" s="10"/>
      <c r="M2328" s="7" t="s">
        <v>9431</v>
      </c>
      <c r="N2328" s="8" t="n">
        <v>0</v>
      </c>
      <c r="O2328" s="8" t="n">
        <v>0</v>
      </c>
      <c r="P2328" s="8" t="n">
        <v>0</v>
      </c>
      <c r="Q2328" s="8" t="n">
        <v>0</v>
      </c>
      <c r="R2328" s="8" t="n">
        <v>0</v>
      </c>
      <c r="S2328" s="8" t="n">
        <v>0</v>
      </c>
      <c r="T2328" s="8" t="n">
        <v>196</v>
      </c>
      <c r="U2328" s="11" t="n">
        <f aca="false">O2328*4 + P2328*2 + MAX(0,N2328-O2328-P2328)*1 + Q2328*0.2 + R2328*2 + S2328*1 + IF(T2328="",0,IF(T2328&lt;=10,8,IF(T2328&lt;=50,6,IF(T2328&lt;=100,4,2))))</f>
        <v>2</v>
      </c>
      <c r="V2328" s="10" t="s">
        <v>9432</v>
      </c>
      <c r="W2328" s="7"/>
      <c r="X2328" s="8"/>
      <c r="Y2328" s="8" t="s">
        <v>9433</v>
      </c>
    </row>
    <row r="2329" customFormat="false" ht="15.75" hidden="false" customHeight="true" outlineLevel="0" collapsed="false">
      <c r="A2329" s="7" t="s">
        <v>9434</v>
      </c>
      <c r="B2329" s="8" t="n">
        <v>1945</v>
      </c>
      <c r="C2329" s="8" t="s">
        <v>243</v>
      </c>
      <c r="D2329" s="8" t="n">
        <v>87</v>
      </c>
      <c r="E2329" s="7" t="s">
        <v>9086</v>
      </c>
      <c r="F2329" s="8" t="n">
        <v>7.4</v>
      </c>
      <c r="G2329" s="8"/>
      <c r="H2329" s="9" t="n">
        <v>11504</v>
      </c>
      <c r="I2329" s="7" t="s">
        <v>280</v>
      </c>
      <c r="J2329" s="7" t="s">
        <v>29</v>
      </c>
      <c r="K2329" s="7" t="s">
        <v>47</v>
      </c>
      <c r="L2329" s="10" t="s">
        <v>205</v>
      </c>
      <c r="M2329" s="7" t="s">
        <v>9435</v>
      </c>
      <c r="N2329" s="8" t="n">
        <v>0</v>
      </c>
      <c r="O2329" s="8" t="n">
        <v>0</v>
      </c>
      <c r="P2329" s="8" t="n">
        <v>0</v>
      </c>
      <c r="Q2329" s="8" t="n">
        <v>0</v>
      </c>
      <c r="R2329" s="8" t="n">
        <v>0</v>
      </c>
      <c r="S2329" s="8" t="n">
        <v>0</v>
      </c>
      <c r="T2329" s="8" t="n">
        <v>196</v>
      </c>
      <c r="U2329" s="11" t="n">
        <f aca="false">O2329*4 + P2329*2 + MAX(0,N2329-O2329-P2329)*1 + Q2329*0.2 + R2329*2 + S2329*1 + IF(T2329="",0,IF(T2329&lt;=10,8,IF(T2329&lt;=50,6,IF(T2329&lt;=100,4,2))))</f>
        <v>2</v>
      </c>
      <c r="V2329" s="10" t="s">
        <v>9436</v>
      </c>
      <c r="W2329" s="7"/>
      <c r="X2329" s="8"/>
      <c r="Y2329" s="8" t="s">
        <v>9437</v>
      </c>
    </row>
    <row r="2330" customFormat="false" ht="15.75" hidden="false" customHeight="true" outlineLevel="0" collapsed="false">
      <c r="A2330" s="7" t="s">
        <v>9438</v>
      </c>
      <c r="B2330" s="8" t="n">
        <v>1962</v>
      </c>
      <c r="C2330" s="8" t="s">
        <v>122</v>
      </c>
      <c r="D2330" s="8" t="n">
        <v>126</v>
      </c>
      <c r="E2330" s="7" t="s">
        <v>9068</v>
      </c>
      <c r="F2330" s="8" t="n">
        <v>7.7</v>
      </c>
      <c r="G2330" s="8"/>
      <c r="H2330" s="9" t="n">
        <v>24657</v>
      </c>
      <c r="I2330" s="7" t="s">
        <v>1383</v>
      </c>
      <c r="J2330" s="7" t="s">
        <v>29</v>
      </c>
      <c r="K2330" s="7" t="s">
        <v>47</v>
      </c>
      <c r="L2330" s="10"/>
      <c r="M2330" s="7" t="s">
        <v>9439</v>
      </c>
      <c r="N2330" s="8" t="n">
        <v>0</v>
      </c>
      <c r="O2330" s="8" t="n">
        <v>0</v>
      </c>
      <c r="P2330" s="8" t="n">
        <v>0</v>
      </c>
      <c r="Q2330" s="8" t="n">
        <v>0</v>
      </c>
      <c r="R2330" s="8" t="n">
        <v>0</v>
      </c>
      <c r="S2330" s="8" t="n">
        <v>0</v>
      </c>
      <c r="T2330" s="8" t="n">
        <v>196</v>
      </c>
      <c r="U2330" s="11" t="n">
        <f aca="false">O2330*4 + P2330*2 + MAX(0,N2330-O2330-P2330)*1 + Q2330*0.2 + R2330*2 + S2330*1 + IF(T2330="",0,IF(T2330&lt;=10,8,IF(T2330&lt;=50,6,IF(T2330&lt;=100,4,2))))</f>
        <v>2</v>
      </c>
      <c r="V2330" s="10" t="s">
        <v>9440</v>
      </c>
      <c r="W2330" s="7"/>
      <c r="X2330" s="8"/>
      <c r="Y2330" s="8" t="s">
        <v>9441</v>
      </c>
    </row>
    <row r="2331" customFormat="false" ht="15.75" hidden="false" customHeight="true" outlineLevel="0" collapsed="false">
      <c r="A2331" s="7" t="s">
        <v>9442</v>
      </c>
      <c r="B2331" s="8" t="n">
        <v>1922</v>
      </c>
      <c r="C2331" s="8" t="s">
        <v>851</v>
      </c>
      <c r="D2331" s="8" t="n">
        <v>95</v>
      </c>
      <c r="E2331" s="7" t="s">
        <v>1519</v>
      </c>
      <c r="F2331" s="8" t="n">
        <v>7.8</v>
      </c>
      <c r="G2331" s="8"/>
      <c r="H2331" s="9" t="n">
        <v>124095</v>
      </c>
      <c r="I2331" s="7" t="s">
        <v>258</v>
      </c>
      <c r="J2331" s="7" t="s">
        <v>147</v>
      </c>
      <c r="K2331" s="7" t="s">
        <v>38</v>
      </c>
      <c r="L2331" s="10" t="s">
        <v>9443</v>
      </c>
      <c r="M2331" s="7" t="s">
        <v>9444</v>
      </c>
      <c r="N2331" s="8" t="n">
        <v>0</v>
      </c>
      <c r="O2331" s="8" t="n">
        <v>0</v>
      </c>
      <c r="P2331" s="8" t="n">
        <v>0</v>
      </c>
      <c r="Q2331" s="8" t="n">
        <v>0</v>
      </c>
      <c r="R2331" s="8" t="n">
        <v>0</v>
      </c>
      <c r="S2331" s="8" t="n">
        <v>0</v>
      </c>
      <c r="T2331" s="8" t="n">
        <v>196</v>
      </c>
      <c r="U2331" s="11" t="n">
        <f aca="false">O2331*4 + P2331*2 + MAX(0,N2331-O2331-P2331)*1 + Q2331*0.2 + R2331*2 + S2331*1 + IF(T2331="",0,IF(T2331&lt;=10,8,IF(T2331&lt;=50,6,IF(T2331&lt;=100,4,2))))</f>
        <v>2</v>
      </c>
      <c r="V2331" s="10" t="s">
        <v>9445</v>
      </c>
      <c r="W2331" s="7"/>
      <c r="X2331" s="8"/>
      <c r="Y2331" s="8" t="s">
        <v>9446</v>
      </c>
    </row>
    <row r="2332" customFormat="false" ht="15.75" hidden="false" customHeight="true" outlineLevel="0" collapsed="false">
      <c r="A2332" s="7" t="s">
        <v>9447</v>
      </c>
      <c r="B2332" s="8" t="n">
        <v>1946</v>
      </c>
      <c r="C2332" s="8" t="s">
        <v>243</v>
      </c>
      <c r="D2332" s="8" t="n">
        <v>120</v>
      </c>
      <c r="E2332" s="7" t="s">
        <v>535</v>
      </c>
      <c r="F2332" s="8" t="n">
        <v>7.6</v>
      </c>
      <c r="G2332" s="8"/>
      <c r="H2332" s="9" t="n">
        <v>10812</v>
      </c>
      <c r="I2332" s="7" t="s">
        <v>28</v>
      </c>
      <c r="J2332" s="7" t="s">
        <v>154</v>
      </c>
      <c r="K2332" s="7" t="s">
        <v>47</v>
      </c>
      <c r="L2332" s="10" t="s">
        <v>416</v>
      </c>
      <c r="M2332" s="7" t="s">
        <v>9448</v>
      </c>
      <c r="N2332" s="8" t="n">
        <v>0</v>
      </c>
      <c r="O2332" s="8" t="n">
        <v>0</v>
      </c>
      <c r="P2332" s="8" t="n">
        <v>0</v>
      </c>
      <c r="Q2332" s="8" t="n">
        <v>1</v>
      </c>
      <c r="R2332" s="8" t="n">
        <v>0</v>
      </c>
      <c r="S2332" s="8" t="n">
        <v>0</v>
      </c>
      <c r="T2332" s="8" t="n">
        <v>196</v>
      </c>
      <c r="U2332" s="11" t="n">
        <f aca="false">O2332*4 + P2332*2 + MAX(0,N2332-O2332-P2332)*1 + Q2332*0.2 + R2332*2 + S2332*1 + IF(T2332="",0,IF(T2332&lt;=10,8,IF(T2332&lt;=50,6,IF(T2332&lt;=100,4,2))))</f>
        <v>2.2</v>
      </c>
      <c r="V2332" s="10" t="s">
        <v>9449</v>
      </c>
      <c r="W2332" s="7"/>
      <c r="X2332" s="8"/>
      <c r="Y2332" s="8" t="s">
        <v>9450</v>
      </c>
    </row>
    <row r="2333" customFormat="false" ht="15.75" hidden="false" customHeight="true" outlineLevel="0" collapsed="false">
      <c r="A2333" s="7" t="s">
        <v>9451</v>
      </c>
      <c r="B2333" s="8" t="n">
        <v>2017</v>
      </c>
      <c r="C2333" s="8" t="s">
        <v>176</v>
      </c>
      <c r="D2333" s="8" t="n">
        <v>115</v>
      </c>
      <c r="E2333" s="7" t="s">
        <v>9263</v>
      </c>
      <c r="F2333" s="8" t="n">
        <v>6.7</v>
      </c>
      <c r="G2333" s="8"/>
      <c r="H2333" s="9" t="n">
        <v>7807</v>
      </c>
      <c r="I2333" s="7" t="s">
        <v>9452</v>
      </c>
      <c r="J2333" s="7" t="s">
        <v>47</v>
      </c>
      <c r="K2333" s="7" t="s">
        <v>453</v>
      </c>
      <c r="L2333" s="10" t="s">
        <v>205</v>
      </c>
      <c r="M2333" s="7" t="s">
        <v>9453</v>
      </c>
      <c r="N2333" s="8" t="n">
        <v>0</v>
      </c>
      <c r="O2333" s="8" t="n">
        <v>0</v>
      </c>
      <c r="P2333" s="8" t="n">
        <v>0</v>
      </c>
      <c r="Q2333" s="8" t="n">
        <v>0</v>
      </c>
      <c r="R2333" s="8" t="n">
        <v>0</v>
      </c>
      <c r="S2333" s="8" t="n">
        <v>0</v>
      </c>
      <c r="T2333" s="8" t="n">
        <v>196</v>
      </c>
      <c r="U2333" s="11" t="n">
        <f aca="false">O2333*4 + P2333*2 + MAX(0,N2333-O2333-P2333)*1 + Q2333*0.2 + R2333*2 + S2333*1 + IF(T2333="",0,IF(T2333&lt;=10,8,IF(T2333&lt;=50,6,IF(T2333&lt;=100,4,2))))</f>
        <v>2</v>
      </c>
      <c r="V2333" s="10" t="s">
        <v>9454</v>
      </c>
      <c r="W2333" s="7"/>
      <c r="X2333" s="8"/>
      <c r="Y2333" s="8" t="s">
        <v>9455</v>
      </c>
    </row>
    <row r="2334" customFormat="false" ht="15.75" hidden="false" customHeight="true" outlineLevel="0" collapsed="false">
      <c r="A2334" s="7" t="s">
        <v>9456</v>
      </c>
      <c r="B2334" s="8" t="n">
        <v>2010</v>
      </c>
      <c r="C2334" s="8" t="s">
        <v>176</v>
      </c>
      <c r="D2334" s="8" t="n">
        <v>114</v>
      </c>
      <c r="E2334" s="7" t="s">
        <v>4973</v>
      </c>
      <c r="F2334" s="8" t="n">
        <v>6.7</v>
      </c>
      <c r="G2334" s="8"/>
      <c r="H2334" s="9" t="n">
        <v>19087</v>
      </c>
      <c r="I2334" s="7" t="s">
        <v>9457</v>
      </c>
      <c r="J2334" s="7" t="s">
        <v>38</v>
      </c>
      <c r="K2334" s="7" t="s">
        <v>47</v>
      </c>
      <c r="L2334" s="10" t="s">
        <v>205</v>
      </c>
      <c r="M2334" s="7" t="s">
        <v>9458</v>
      </c>
      <c r="N2334" s="8" t="n">
        <v>0</v>
      </c>
      <c r="O2334" s="8" t="n">
        <v>0</v>
      </c>
      <c r="P2334" s="8" t="n">
        <v>0</v>
      </c>
      <c r="Q2334" s="8" t="n">
        <v>0</v>
      </c>
      <c r="R2334" s="8" t="n">
        <v>1</v>
      </c>
      <c r="S2334" s="8" t="n">
        <v>0</v>
      </c>
      <c r="T2334" s="8" t="n">
        <v>196</v>
      </c>
      <c r="U2334" s="11" t="n">
        <f aca="false">O2334*4 + P2334*2 + MAX(0,N2334-O2334-P2334)*1 + Q2334*0.2 + R2334*2 + S2334*1 + IF(T2334="",0,IF(T2334&lt;=10,8,IF(T2334&lt;=50,6,IF(T2334&lt;=100,4,2))))</f>
        <v>4</v>
      </c>
      <c r="V2334" s="10" t="s">
        <v>9459</v>
      </c>
      <c r="W2334" s="7"/>
      <c r="X2334" s="8"/>
      <c r="Y2334" s="8" t="s">
        <v>9460</v>
      </c>
    </row>
    <row r="2335" customFormat="false" ht="15.75" hidden="false" customHeight="true" outlineLevel="0" collapsed="false">
      <c r="A2335" s="7" t="s">
        <v>9461</v>
      </c>
      <c r="B2335" s="8" t="n">
        <v>2008</v>
      </c>
      <c r="C2335" s="8" t="s">
        <v>35</v>
      </c>
      <c r="D2335" s="8" t="n">
        <v>87</v>
      </c>
      <c r="E2335" s="7" t="s">
        <v>9263</v>
      </c>
      <c r="F2335" s="8" t="n">
        <v>6.5</v>
      </c>
      <c r="G2335" s="8"/>
      <c r="H2335" s="9" t="n">
        <v>6270</v>
      </c>
      <c r="I2335" s="7" t="s">
        <v>9462</v>
      </c>
      <c r="J2335" s="7" t="s">
        <v>131</v>
      </c>
      <c r="K2335" s="7" t="s">
        <v>125</v>
      </c>
      <c r="L2335" s="10"/>
      <c r="M2335" s="7" t="s">
        <v>9463</v>
      </c>
      <c r="N2335" s="8" t="n">
        <v>0</v>
      </c>
      <c r="O2335" s="8" t="n">
        <v>0</v>
      </c>
      <c r="P2335" s="8" t="n">
        <v>0</v>
      </c>
      <c r="Q2335" s="8" t="n">
        <v>0</v>
      </c>
      <c r="R2335" s="8" t="n">
        <v>0</v>
      </c>
      <c r="S2335" s="8" t="n">
        <v>0</v>
      </c>
      <c r="T2335" s="8" t="n">
        <v>196</v>
      </c>
      <c r="U2335" s="11" t="n">
        <f aca="false">O2335*4 + P2335*2 + MAX(0,N2335-O2335-P2335)*1 + Q2335*0.2 + R2335*2 + S2335*1 + IF(T2335="",0,IF(T2335&lt;=10,8,IF(T2335&lt;=50,6,IF(T2335&lt;=100,4,2))))</f>
        <v>2</v>
      </c>
      <c r="V2335" s="10" t="s">
        <v>9464</v>
      </c>
      <c r="W2335" s="7"/>
      <c r="X2335" s="8"/>
      <c r="Y2335" s="8" t="s">
        <v>9465</v>
      </c>
    </row>
    <row r="2336" customFormat="false" ht="15.75" hidden="false" customHeight="true" outlineLevel="0" collapsed="false">
      <c r="A2336" s="7" t="s">
        <v>9466</v>
      </c>
      <c r="B2336" s="8" t="n">
        <v>1990</v>
      </c>
      <c r="C2336" s="8" t="s">
        <v>26</v>
      </c>
      <c r="D2336" s="8" t="n">
        <v>78</v>
      </c>
      <c r="E2336" s="7" t="s">
        <v>9467</v>
      </c>
      <c r="F2336" s="8" t="n">
        <v>8.2</v>
      </c>
      <c r="G2336" s="8"/>
      <c r="H2336" s="9" t="n">
        <v>21591</v>
      </c>
      <c r="I2336" s="7" t="s">
        <v>46</v>
      </c>
      <c r="J2336" s="7" t="s">
        <v>2730</v>
      </c>
      <c r="K2336" s="7" t="s">
        <v>1102</v>
      </c>
      <c r="L2336" s="10"/>
      <c r="M2336" s="7" t="s">
        <v>9468</v>
      </c>
      <c r="N2336" s="8" t="n">
        <v>0</v>
      </c>
      <c r="O2336" s="8" t="n">
        <v>0</v>
      </c>
      <c r="P2336" s="8" t="n">
        <v>0</v>
      </c>
      <c r="Q2336" s="8" t="n">
        <v>0</v>
      </c>
      <c r="R2336" s="8" t="n">
        <v>0</v>
      </c>
      <c r="S2336" s="8" t="n">
        <v>0</v>
      </c>
      <c r="T2336" s="8" t="n">
        <v>196</v>
      </c>
      <c r="U2336" s="11" t="n">
        <f aca="false">O2336*4 + P2336*2 + MAX(0,N2336-O2336-P2336)*1 + Q2336*0.2 + R2336*2 + S2336*1 + IF(T2336="",0,IF(T2336&lt;=10,8,IF(T2336&lt;=50,6,IF(T2336&lt;=100,4,2))))</f>
        <v>2</v>
      </c>
      <c r="V2336" s="10" t="s">
        <v>9469</v>
      </c>
      <c r="W2336" s="7"/>
      <c r="X2336" s="8"/>
      <c r="Y2336" s="8" t="s">
        <v>9470</v>
      </c>
    </row>
    <row r="2337" customFormat="false" ht="15.75" hidden="false" customHeight="true" outlineLevel="0" collapsed="false">
      <c r="A2337" s="7" t="s">
        <v>9471</v>
      </c>
      <c r="B2337" s="8" t="n">
        <v>1936</v>
      </c>
      <c r="C2337" s="8" t="s">
        <v>96</v>
      </c>
      <c r="D2337" s="8" t="n">
        <v>71</v>
      </c>
      <c r="E2337" s="7" t="s">
        <v>9472</v>
      </c>
      <c r="F2337" s="8" t="n">
        <v>6.9</v>
      </c>
      <c r="G2337" s="8"/>
      <c r="H2337" s="9" t="n">
        <v>1342</v>
      </c>
      <c r="I2337" s="7" t="s">
        <v>9473</v>
      </c>
      <c r="J2337" s="7" t="s">
        <v>90</v>
      </c>
      <c r="K2337" s="7" t="s">
        <v>29</v>
      </c>
      <c r="L2337" s="10"/>
      <c r="M2337" s="7" t="s">
        <v>9474</v>
      </c>
      <c r="N2337" s="8" t="n">
        <v>0</v>
      </c>
      <c r="O2337" s="8" t="n">
        <v>0</v>
      </c>
      <c r="P2337" s="8" t="n">
        <v>0</v>
      </c>
      <c r="Q2337" s="8" t="n">
        <v>0</v>
      </c>
      <c r="R2337" s="8" t="n">
        <v>0</v>
      </c>
      <c r="S2337" s="8" t="n">
        <v>0</v>
      </c>
      <c r="T2337" s="8" t="n">
        <v>211</v>
      </c>
      <c r="U2337" s="11" t="n">
        <f aca="false">O2337*4 + P2337*2 + MAX(0,N2337-O2337-P2337)*1 + Q2337*0.2 + R2337*2 + S2337*1 + IF(T2337="",0,IF(T2337&lt;=10,8,IF(T2337&lt;=50,6,IF(T2337&lt;=100,4,2))))</f>
        <v>2</v>
      </c>
      <c r="V2337" s="10" t="s">
        <v>9475</v>
      </c>
      <c r="W2337" s="7"/>
      <c r="X2337" s="8"/>
      <c r="Y2337" s="8" t="s">
        <v>9476</v>
      </c>
    </row>
    <row r="2338" customFormat="false" ht="15.75" hidden="false" customHeight="true" outlineLevel="0" collapsed="false">
      <c r="A2338" s="7" t="s">
        <v>9477</v>
      </c>
      <c r="B2338" s="8" t="n">
        <v>1945</v>
      </c>
      <c r="C2338" s="8" t="s">
        <v>243</v>
      </c>
      <c r="D2338" s="8" t="n">
        <v>86</v>
      </c>
      <c r="E2338" s="7" t="s">
        <v>9223</v>
      </c>
      <c r="F2338" s="8" t="n">
        <v>8</v>
      </c>
      <c r="G2338" s="8"/>
      <c r="H2338" s="9" t="n">
        <v>49054</v>
      </c>
      <c r="I2338" s="7" t="s">
        <v>280</v>
      </c>
      <c r="J2338" s="7" t="s">
        <v>29</v>
      </c>
      <c r="K2338" s="7" t="s">
        <v>47</v>
      </c>
      <c r="L2338" s="10" t="s">
        <v>1006</v>
      </c>
      <c r="M2338" s="7" t="s">
        <v>9478</v>
      </c>
      <c r="N2338" s="8" t="n">
        <v>0</v>
      </c>
      <c r="O2338" s="8" t="n">
        <v>0</v>
      </c>
      <c r="P2338" s="8" t="n">
        <v>0</v>
      </c>
      <c r="Q2338" s="8" t="n">
        <v>3</v>
      </c>
      <c r="R2338" s="8" t="n">
        <v>1</v>
      </c>
      <c r="S2338" s="8" t="n">
        <v>0</v>
      </c>
      <c r="T2338" s="8" t="n">
        <v>211</v>
      </c>
      <c r="U2338" s="11" t="n">
        <f aca="false">O2338*4 + P2338*2 + MAX(0,N2338-O2338-P2338)*1 + Q2338*0.2 + R2338*2 + S2338*1 + IF(T2338="",0,IF(T2338&lt;=10,8,IF(T2338&lt;=50,6,IF(T2338&lt;=100,4,2))))</f>
        <v>4.6</v>
      </c>
      <c r="V2338" s="10" t="s">
        <v>9479</v>
      </c>
      <c r="W2338" s="7"/>
      <c r="X2338" s="8"/>
      <c r="Y2338" s="8" t="s">
        <v>9480</v>
      </c>
    </row>
    <row r="2339" customFormat="false" ht="15.75" hidden="false" customHeight="true" outlineLevel="0" collapsed="false">
      <c r="A2339" s="7" t="s">
        <v>9481</v>
      </c>
      <c r="B2339" s="8" t="n">
        <v>1977</v>
      </c>
      <c r="C2339" s="8" t="s">
        <v>61</v>
      </c>
      <c r="D2339" s="8" t="n">
        <v>92</v>
      </c>
      <c r="E2339" s="7" t="s">
        <v>9482</v>
      </c>
      <c r="F2339" s="8" t="n">
        <v>7.3</v>
      </c>
      <c r="G2339" s="8"/>
      <c r="H2339" s="9" t="n">
        <v>116195</v>
      </c>
      <c r="I2339" s="7" t="s">
        <v>28</v>
      </c>
      <c r="J2339" s="7" t="s">
        <v>147</v>
      </c>
      <c r="K2339" s="7"/>
      <c r="L2339" s="10" t="s">
        <v>9483</v>
      </c>
      <c r="M2339" s="7" t="s">
        <v>9484</v>
      </c>
      <c r="N2339" s="8" t="n">
        <v>0</v>
      </c>
      <c r="O2339" s="8" t="n">
        <v>0</v>
      </c>
      <c r="P2339" s="8" t="n">
        <v>0</v>
      </c>
      <c r="Q2339" s="8" t="n">
        <v>0</v>
      </c>
      <c r="R2339" s="8" t="n">
        <v>0</v>
      </c>
      <c r="S2339" s="8" t="n">
        <v>0</v>
      </c>
      <c r="T2339" s="8" t="n">
        <v>211</v>
      </c>
      <c r="U2339" s="11" t="n">
        <f aca="false">O2339*4 + P2339*2 + MAX(0,N2339-O2339-P2339)*1 + Q2339*0.2 + R2339*2 + S2339*1 + IF(T2339="",0,IF(T2339&lt;=10,8,IF(T2339&lt;=50,6,IF(T2339&lt;=100,4,2))))</f>
        <v>2</v>
      </c>
      <c r="V2339" s="10" t="s">
        <v>9485</v>
      </c>
      <c r="W2339" s="7"/>
      <c r="X2339" s="8"/>
      <c r="Y2339" s="8" t="s">
        <v>9486</v>
      </c>
    </row>
    <row r="2340" customFormat="false" ht="15.75" hidden="false" customHeight="true" outlineLevel="0" collapsed="false">
      <c r="A2340" s="7" t="s">
        <v>9487</v>
      </c>
      <c r="B2340" s="8" t="n">
        <v>1950</v>
      </c>
      <c r="C2340" s="8" t="s">
        <v>196</v>
      </c>
      <c r="D2340" s="8" t="n">
        <v>94</v>
      </c>
      <c r="E2340" s="7" t="s">
        <v>9202</v>
      </c>
      <c r="F2340" s="8" t="n">
        <v>7.9</v>
      </c>
      <c r="G2340" s="8"/>
      <c r="H2340" s="9" t="n">
        <v>39640</v>
      </c>
      <c r="I2340" s="7" t="s">
        <v>46</v>
      </c>
      <c r="J2340" s="7" t="s">
        <v>47</v>
      </c>
      <c r="K2340" s="7" t="s">
        <v>483</v>
      </c>
      <c r="L2340" s="10" t="s">
        <v>416</v>
      </c>
      <c r="M2340" s="7" t="s">
        <v>9488</v>
      </c>
      <c r="N2340" s="8" t="n">
        <v>0</v>
      </c>
      <c r="O2340" s="8" t="n">
        <v>0</v>
      </c>
      <c r="P2340" s="8" t="n">
        <v>0</v>
      </c>
      <c r="Q2340" s="8" t="n">
        <v>0</v>
      </c>
      <c r="R2340" s="8" t="n">
        <v>0</v>
      </c>
      <c r="S2340" s="8" t="n">
        <v>0</v>
      </c>
      <c r="T2340" s="8" t="n">
        <v>211</v>
      </c>
      <c r="U2340" s="11" t="n">
        <f aca="false">O2340*4 + P2340*2 + MAX(0,N2340-O2340-P2340)*1 + Q2340*0.2 + R2340*2 + S2340*1 + IF(T2340="",0,IF(T2340&lt;=10,8,IF(T2340&lt;=50,6,IF(T2340&lt;=100,4,2))))</f>
        <v>2</v>
      </c>
      <c r="V2340" s="10" t="s">
        <v>9489</v>
      </c>
      <c r="W2340" s="7"/>
      <c r="X2340" s="8"/>
      <c r="Y2340" s="8" t="s">
        <v>9490</v>
      </c>
    </row>
    <row r="2341" customFormat="false" ht="15.75" hidden="false" customHeight="true" outlineLevel="0" collapsed="false">
      <c r="A2341" s="7" t="s">
        <v>9491</v>
      </c>
      <c r="B2341" s="8" t="n">
        <v>1969</v>
      </c>
      <c r="C2341" s="8" t="s">
        <v>122</v>
      </c>
      <c r="D2341" s="8" t="n">
        <v>145</v>
      </c>
      <c r="E2341" s="7" t="s">
        <v>4717</v>
      </c>
      <c r="F2341" s="8" t="n">
        <v>8.1</v>
      </c>
      <c r="G2341" s="8"/>
      <c r="H2341" s="9" t="n">
        <v>29546</v>
      </c>
      <c r="I2341" s="7" t="s">
        <v>4256</v>
      </c>
      <c r="J2341" s="7" t="s">
        <v>154</v>
      </c>
      <c r="K2341" s="7" t="s">
        <v>47</v>
      </c>
      <c r="L2341" s="10" t="s">
        <v>205</v>
      </c>
      <c r="M2341" s="7" t="s">
        <v>9492</v>
      </c>
      <c r="N2341" s="8" t="n">
        <v>0</v>
      </c>
      <c r="O2341" s="8" t="n">
        <v>0</v>
      </c>
      <c r="P2341" s="8" t="n">
        <v>0</v>
      </c>
      <c r="Q2341" s="8" t="n">
        <v>0</v>
      </c>
      <c r="R2341" s="8" t="n">
        <v>0</v>
      </c>
      <c r="S2341" s="8" t="n">
        <v>0</v>
      </c>
      <c r="T2341" s="8" t="n">
        <v>211</v>
      </c>
      <c r="U2341" s="11" t="n">
        <f aca="false">O2341*4 + P2341*2 + MAX(0,N2341-O2341-P2341)*1 + Q2341*0.2 + R2341*2 + S2341*1 + IF(T2341="",0,IF(T2341&lt;=10,8,IF(T2341&lt;=50,6,IF(T2341&lt;=100,4,2))))</f>
        <v>2</v>
      </c>
      <c r="V2341" s="10" t="s">
        <v>9493</v>
      </c>
      <c r="W2341" s="7"/>
      <c r="X2341" s="8"/>
      <c r="Y2341" s="8" t="s">
        <v>9494</v>
      </c>
    </row>
    <row r="2342" customFormat="false" ht="15.75" hidden="false" customHeight="true" outlineLevel="0" collapsed="false">
      <c r="A2342" s="7" t="s">
        <v>9495</v>
      </c>
      <c r="B2342" s="8" t="n">
        <v>1984</v>
      </c>
      <c r="C2342" s="8" t="s">
        <v>109</v>
      </c>
      <c r="D2342" s="8" t="n">
        <v>119</v>
      </c>
      <c r="E2342" s="7" t="s">
        <v>9496</v>
      </c>
      <c r="F2342" s="8" t="n">
        <v>8.3</v>
      </c>
      <c r="G2342" s="8"/>
      <c r="H2342" s="9" t="n">
        <v>2214</v>
      </c>
      <c r="I2342" s="7" t="s">
        <v>139</v>
      </c>
      <c r="J2342" s="7" t="s">
        <v>2730</v>
      </c>
      <c r="K2342" s="7" t="s">
        <v>453</v>
      </c>
      <c r="L2342" s="10"/>
      <c r="M2342" s="7" t="s">
        <v>9497</v>
      </c>
      <c r="N2342" s="8" t="n">
        <v>0</v>
      </c>
      <c r="O2342" s="8" t="n">
        <v>0</v>
      </c>
      <c r="P2342" s="8" t="n">
        <v>0</v>
      </c>
      <c r="Q2342" s="8" t="n">
        <v>0</v>
      </c>
      <c r="R2342" s="8" t="n">
        <v>0</v>
      </c>
      <c r="S2342" s="8" t="n">
        <v>0</v>
      </c>
      <c r="T2342" s="8" t="n">
        <v>211</v>
      </c>
      <c r="U2342" s="11" t="n">
        <f aca="false">O2342*4 + P2342*2 + MAX(0,N2342-O2342-P2342)*1 + Q2342*0.2 + R2342*2 + S2342*1 + IF(T2342="",0,IF(T2342&lt;=10,8,IF(T2342&lt;=50,6,IF(T2342&lt;=100,4,2))))</f>
        <v>2</v>
      </c>
      <c r="V2342" s="10" t="s">
        <v>9498</v>
      </c>
      <c r="W2342" s="7"/>
      <c r="X2342" s="8"/>
      <c r="Y2342" s="8" t="s">
        <v>9499</v>
      </c>
    </row>
    <row r="2343" customFormat="false" ht="15.75" hidden="false" customHeight="true" outlineLevel="0" collapsed="false">
      <c r="A2343" s="7" t="s">
        <v>9500</v>
      </c>
      <c r="B2343" s="8" t="n">
        <v>1972</v>
      </c>
      <c r="C2343" s="8" t="s">
        <v>61</v>
      </c>
      <c r="D2343" s="8" t="n">
        <v>93</v>
      </c>
      <c r="E2343" s="7" t="s">
        <v>9501</v>
      </c>
      <c r="F2343" s="8" t="n">
        <v>6</v>
      </c>
      <c r="G2343" s="8"/>
      <c r="H2343" s="9" t="n">
        <v>31344</v>
      </c>
      <c r="I2343" s="7" t="s">
        <v>46</v>
      </c>
      <c r="J2343" s="7" t="s">
        <v>30</v>
      </c>
      <c r="K2343" s="7" t="s">
        <v>54</v>
      </c>
      <c r="L2343" s="10"/>
      <c r="M2343" s="7" t="s">
        <v>9502</v>
      </c>
      <c r="N2343" s="8" t="n">
        <v>0</v>
      </c>
      <c r="O2343" s="8" t="n">
        <v>0</v>
      </c>
      <c r="P2343" s="8" t="n">
        <v>0</v>
      </c>
      <c r="Q2343" s="8" t="n">
        <v>0</v>
      </c>
      <c r="R2343" s="8" t="n">
        <v>0</v>
      </c>
      <c r="S2343" s="8" t="n">
        <v>0</v>
      </c>
      <c r="T2343" s="8" t="n">
        <v>211</v>
      </c>
      <c r="U2343" s="11" t="n">
        <f aca="false">O2343*4 + P2343*2 + MAX(0,N2343-O2343-P2343)*1 + Q2343*0.2 + R2343*2 + S2343*1 + IF(T2343="",0,IF(T2343&lt;=10,8,IF(T2343&lt;=50,6,IF(T2343&lt;=100,4,2))))</f>
        <v>2</v>
      </c>
      <c r="V2343" s="10" t="s">
        <v>9503</v>
      </c>
      <c r="W2343" s="7"/>
      <c r="X2343" s="8"/>
      <c r="Y2343" s="8" t="s">
        <v>9504</v>
      </c>
    </row>
    <row r="2344" customFormat="false" ht="15.75" hidden="false" customHeight="true" outlineLevel="0" collapsed="false">
      <c r="A2344" s="7" t="s">
        <v>9505</v>
      </c>
      <c r="B2344" s="8" t="n">
        <v>1931</v>
      </c>
      <c r="C2344" s="8" t="s">
        <v>96</v>
      </c>
      <c r="D2344" s="8" t="n">
        <v>114</v>
      </c>
      <c r="E2344" s="7" t="s">
        <v>9506</v>
      </c>
      <c r="F2344" s="8" t="n">
        <v>7</v>
      </c>
      <c r="G2344" s="8"/>
      <c r="H2344" s="9" t="n">
        <v>3338</v>
      </c>
      <c r="I2344" s="7" t="s">
        <v>139</v>
      </c>
      <c r="J2344" s="7" t="s">
        <v>29</v>
      </c>
      <c r="K2344" s="7" t="s">
        <v>47</v>
      </c>
      <c r="L2344" s="10"/>
      <c r="M2344" s="7" t="s">
        <v>9507</v>
      </c>
      <c r="N2344" s="8" t="n">
        <v>0</v>
      </c>
      <c r="O2344" s="8" t="n">
        <v>0</v>
      </c>
      <c r="P2344" s="8" t="n">
        <v>0</v>
      </c>
      <c r="Q2344" s="8" t="n">
        <v>0</v>
      </c>
      <c r="R2344" s="8" t="n">
        <v>0</v>
      </c>
      <c r="S2344" s="8" t="n">
        <v>0</v>
      </c>
      <c r="T2344" s="8" t="n">
        <v>211</v>
      </c>
      <c r="U2344" s="11" t="n">
        <f aca="false">O2344*4 + P2344*2 + MAX(0,N2344-O2344-P2344)*1 + Q2344*0.2 + R2344*2 + S2344*1 + IF(T2344="",0,IF(T2344&lt;=10,8,IF(T2344&lt;=50,6,IF(T2344&lt;=100,4,2))))</f>
        <v>2</v>
      </c>
      <c r="V2344" s="10" t="s">
        <v>9508</v>
      </c>
      <c r="W2344" s="7"/>
      <c r="X2344" s="8"/>
      <c r="Y2344" s="8" t="s">
        <v>9509</v>
      </c>
    </row>
    <row r="2345" customFormat="false" ht="15.75" hidden="false" customHeight="true" outlineLevel="0" collapsed="false">
      <c r="A2345" s="7" t="s">
        <v>9510</v>
      </c>
      <c r="B2345" s="8" t="n">
        <v>1976</v>
      </c>
      <c r="C2345" s="8" t="s">
        <v>61</v>
      </c>
      <c r="D2345" s="8" t="n">
        <v>103</v>
      </c>
      <c r="E2345" s="7" t="s">
        <v>9511</v>
      </c>
      <c r="F2345" s="8" t="n">
        <v>8.2</v>
      </c>
      <c r="G2345" s="8"/>
      <c r="H2345" s="9" t="n">
        <v>7618</v>
      </c>
      <c r="I2345" s="7" t="s">
        <v>46</v>
      </c>
      <c r="J2345" s="7" t="s">
        <v>2730</v>
      </c>
      <c r="K2345" s="7"/>
      <c r="L2345" s="10"/>
      <c r="M2345" s="7" t="s">
        <v>9512</v>
      </c>
      <c r="N2345" s="8" t="n">
        <v>1</v>
      </c>
      <c r="O2345" s="8" t="n">
        <v>0</v>
      </c>
      <c r="P2345" s="8" t="n">
        <v>0</v>
      </c>
      <c r="Q2345" s="8" t="n">
        <v>1</v>
      </c>
      <c r="R2345" s="8" t="n">
        <v>0</v>
      </c>
      <c r="S2345" s="8" t="n">
        <v>0</v>
      </c>
      <c r="T2345" s="8" t="n">
        <v>225</v>
      </c>
      <c r="U2345" s="11" t="n">
        <f aca="false">O2345*4 + P2345*2 + MAX(0,N2345-O2345-P2345)*1 + Q2345*0.2 + R2345*2 + S2345*1 + IF(T2345="",0,IF(T2345&lt;=10,8,IF(T2345&lt;=50,6,IF(T2345&lt;=100,4,2))))</f>
        <v>3.2</v>
      </c>
      <c r="V2345" s="10" t="s">
        <v>9513</v>
      </c>
      <c r="W2345" s="7"/>
      <c r="X2345" s="8"/>
      <c r="Y2345" s="8" t="s">
        <v>9514</v>
      </c>
    </row>
    <row r="2346" customFormat="false" ht="15.75" hidden="false" customHeight="true" outlineLevel="0" collapsed="false">
      <c r="A2346" s="7" t="s">
        <v>9515</v>
      </c>
      <c r="B2346" s="8" t="n">
        <v>1916</v>
      </c>
      <c r="C2346" s="8" t="s">
        <v>9516</v>
      </c>
      <c r="D2346" s="8" t="n">
        <v>210</v>
      </c>
      <c r="E2346" s="7" t="s">
        <v>9517</v>
      </c>
      <c r="F2346" s="8" t="n">
        <v>7.6</v>
      </c>
      <c r="G2346" s="8"/>
      <c r="H2346" s="9" t="n">
        <v>18102</v>
      </c>
      <c r="I2346" s="7" t="s">
        <v>46</v>
      </c>
      <c r="J2346" s="7" t="s">
        <v>47</v>
      </c>
      <c r="K2346" s="7" t="s">
        <v>453</v>
      </c>
      <c r="L2346" s="10" t="s">
        <v>9518</v>
      </c>
      <c r="M2346" s="7" t="s">
        <v>9519</v>
      </c>
      <c r="N2346" s="8" t="n">
        <v>0</v>
      </c>
      <c r="O2346" s="8" t="n">
        <v>0</v>
      </c>
      <c r="P2346" s="8" t="n">
        <v>0</v>
      </c>
      <c r="Q2346" s="8" t="n">
        <v>0</v>
      </c>
      <c r="R2346" s="8" t="n">
        <v>0</v>
      </c>
      <c r="S2346" s="8" t="n">
        <v>0</v>
      </c>
      <c r="T2346" s="8" t="n">
        <v>225</v>
      </c>
      <c r="U2346" s="11" t="n">
        <f aca="false">O2346*4 + P2346*2 + MAX(0,N2346-O2346-P2346)*1 + Q2346*0.2 + R2346*2 + S2346*1 + IF(T2346="",0,IF(T2346&lt;=10,8,IF(T2346&lt;=50,6,IF(T2346&lt;=100,4,2))))</f>
        <v>2</v>
      </c>
      <c r="V2346" s="10" t="s">
        <v>9520</v>
      </c>
      <c r="W2346" s="7"/>
      <c r="X2346" s="8"/>
      <c r="Y2346" s="8" t="s">
        <v>9521</v>
      </c>
    </row>
    <row r="2347" customFormat="false" ht="15.75" hidden="false" customHeight="true" outlineLevel="0" collapsed="false">
      <c r="A2347" s="7" t="s">
        <v>9522</v>
      </c>
      <c r="B2347" s="8" t="n">
        <v>1968</v>
      </c>
      <c r="C2347" s="8" t="s">
        <v>122</v>
      </c>
      <c r="D2347" s="8" t="n">
        <v>260</v>
      </c>
      <c r="E2347" s="7" t="s">
        <v>9523</v>
      </c>
      <c r="F2347" s="8" t="n">
        <v>7.6</v>
      </c>
      <c r="G2347" s="8"/>
      <c r="H2347" s="9" t="n">
        <v>1326</v>
      </c>
      <c r="I2347" s="7" t="s">
        <v>292</v>
      </c>
      <c r="J2347" s="7" t="s">
        <v>2730</v>
      </c>
      <c r="K2347" s="7" t="s">
        <v>453</v>
      </c>
      <c r="L2347" s="10"/>
      <c r="M2347" s="7" t="s">
        <v>9524</v>
      </c>
      <c r="N2347" s="8" t="n">
        <v>0</v>
      </c>
      <c r="O2347" s="8" t="n">
        <v>0</v>
      </c>
      <c r="P2347" s="8" t="n">
        <v>0</v>
      </c>
      <c r="Q2347" s="8" t="n">
        <v>0</v>
      </c>
      <c r="R2347" s="8" t="n">
        <v>0</v>
      </c>
      <c r="S2347" s="8" t="n">
        <v>0</v>
      </c>
      <c r="T2347" s="8" t="n">
        <v>225</v>
      </c>
      <c r="U2347" s="11" t="n">
        <f aca="false">O2347*4 + P2347*2 + MAX(0,N2347-O2347-P2347)*1 + Q2347*0.2 + R2347*2 + S2347*1 + IF(T2347="",0,IF(T2347&lt;=10,8,IF(T2347&lt;=50,6,IF(T2347&lt;=100,4,2))))</f>
        <v>2</v>
      </c>
      <c r="V2347" s="10" t="s">
        <v>9525</v>
      </c>
      <c r="W2347" s="7"/>
      <c r="X2347" s="8"/>
      <c r="Y2347" s="8" t="s">
        <v>9526</v>
      </c>
    </row>
    <row r="2348" customFormat="false" ht="15.75" hidden="false" customHeight="true" outlineLevel="0" collapsed="false">
      <c r="A2348" s="7" t="s">
        <v>9527</v>
      </c>
      <c r="B2348" s="8" t="n">
        <v>1952</v>
      </c>
      <c r="C2348" s="8" t="s">
        <v>196</v>
      </c>
      <c r="D2348" s="8" t="n">
        <v>118</v>
      </c>
      <c r="E2348" s="7" t="s">
        <v>535</v>
      </c>
      <c r="F2348" s="8" t="n">
        <v>7.4</v>
      </c>
      <c r="G2348" s="8"/>
      <c r="H2348" s="9" t="n">
        <v>5511</v>
      </c>
      <c r="I2348" s="7" t="s">
        <v>28</v>
      </c>
      <c r="J2348" s="7" t="s">
        <v>47</v>
      </c>
      <c r="K2348" s="7"/>
      <c r="L2348" s="10"/>
      <c r="M2348" s="7" t="s">
        <v>9528</v>
      </c>
      <c r="N2348" s="8" t="n">
        <v>0</v>
      </c>
      <c r="O2348" s="8" t="n">
        <v>0</v>
      </c>
      <c r="P2348" s="8" t="n">
        <v>0</v>
      </c>
      <c r="Q2348" s="8" t="n">
        <v>0</v>
      </c>
      <c r="R2348" s="8" t="n">
        <v>0</v>
      </c>
      <c r="S2348" s="8" t="n">
        <v>0</v>
      </c>
      <c r="T2348" s="8" t="n">
        <v>225</v>
      </c>
      <c r="U2348" s="11" t="n">
        <f aca="false">O2348*4 + P2348*2 + MAX(0,N2348-O2348-P2348)*1 + Q2348*0.2 + R2348*2 + S2348*1 + IF(T2348="",0,IF(T2348&lt;=10,8,IF(T2348&lt;=50,6,IF(T2348&lt;=100,4,2))))</f>
        <v>2</v>
      </c>
      <c r="V2348" s="10" t="s">
        <v>9529</v>
      </c>
      <c r="W2348" s="7"/>
      <c r="X2348" s="8"/>
      <c r="Y2348" s="8" t="s">
        <v>9530</v>
      </c>
    </row>
    <row r="2349" customFormat="false" ht="15.75" hidden="false" customHeight="true" outlineLevel="0" collapsed="false">
      <c r="A2349" s="7" t="s">
        <v>9531</v>
      </c>
      <c r="B2349" s="8" t="n">
        <v>1928</v>
      </c>
      <c r="C2349" s="8" t="s">
        <v>851</v>
      </c>
      <c r="D2349" s="8" t="n">
        <v>98</v>
      </c>
      <c r="E2349" s="7" t="s">
        <v>9532</v>
      </c>
      <c r="F2349" s="8" t="n">
        <v>8</v>
      </c>
      <c r="G2349" s="8"/>
      <c r="H2349" s="9" t="n">
        <v>10100</v>
      </c>
      <c r="I2349" s="7" t="s">
        <v>46</v>
      </c>
      <c r="J2349" s="7" t="s">
        <v>29</v>
      </c>
      <c r="K2349" s="7" t="s">
        <v>47</v>
      </c>
      <c r="L2349" s="10" t="s">
        <v>1899</v>
      </c>
      <c r="M2349" s="7" t="s">
        <v>9533</v>
      </c>
      <c r="N2349" s="8" t="n">
        <v>0</v>
      </c>
      <c r="O2349" s="8" t="n">
        <v>0</v>
      </c>
      <c r="P2349" s="8" t="n">
        <v>0</v>
      </c>
      <c r="Q2349" s="8" t="n">
        <v>2</v>
      </c>
      <c r="R2349" s="8" t="n">
        <v>0</v>
      </c>
      <c r="S2349" s="8" t="n">
        <v>0</v>
      </c>
      <c r="T2349" s="8" t="n">
        <v>225</v>
      </c>
      <c r="U2349" s="11" t="n">
        <f aca="false">O2349*4 + P2349*2 + MAX(0,N2349-O2349-P2349)*1 + Q2349*0.2 + R2349*2 + S2349*1 + IF(T2349="",0,IF(T2349&lt;=10,8,IF(T2349&lt;=50,6,IF(T2349&lt;=100,4,2))))</f>
        <v>2.4</v>
      </c>
      <c r="V2349" s="10" t="s">
        <v>9534</v>
      </c>
      <c r="W2349" s="7"/>
      <c r="X2349" s="8"/>
      <c r="Y2349" s="8" t="s">
        <v>9535</v>
      </c>
    </row>
    <row r="2350" customFormat="false" ht="15.75" hidden="false" customHeight="true" outlineLevel="0" collapsed="false">
      <c r="A2350" s="7" t="s">
        <v>9536</v>
      </c>
      <c r="B2350" s="8" t="n">
        <v>1971</v>
      </c>
      <c r="C2350" s="8" t="s">
        <v>61</v>
      </c>
      <c r="D2350" s="8" t="n">
        <v>200</v>
      </c>
      <c r="E2350" s="7" t="s">
        <v>9537</v>
      </c>
      <c r="F2350" s="8" t="n">
        <v>7.5</v>
      </c>
      <c r="G2350" s="8"/>
      <c r="H2350" s="9" t="n">
        <v>8337</v>
      </c>
      <c r="I2350" s="7" t="s">
        <v>9327</v>
      </c>
      <c r="J2350" s="7" t="s">
        <v>112</v>
      </c>
      <c r="K2350" s="7" t="s">
        <v>39</v>
      </c>
      <c r="L2350" s="10"/>
      <c r="M2350" s="7" t="s">
        <v>9538</v>
      </c>
      <c r="N2350" s="8" t="n">
        <v>0</v>
      </c>
      <c r="O2350" s="8" t="n">
        <v>0</v>
      </c>
      <c r="P2350" s="8" t="n">
        <v>0</v>
      </c>
      <c r="Q2350" s="8" t="n">
        <v>0</v>
      </c>
      <c r="R2350" s="8" t="n">
        <v>0</v>
      </c>
      <c r="S2350" s="8" t="n">
        <v>0</v>
      </c>
      <c r="T2350" s="8" t="n">
        <v>225</v>
      </c>
      <c r="U2350" s="11" t="n">
        <f aca="false">O2350*4 + P2350*2 + MAX(0,N2350-O2350-P2350)*1 + Q2350*0.2 + R2350*2 + S2350*1 + IF(T2350="",0,IF(T2350&lt;=10,8,IF(T2350&lt;=50,6,IF(T2350&lt;=100,4,2))))</f>
        <v>2</v>
      </c>
      <c r="V2350" s="10" t="s">
        <v>9539</v>
      </c>
      <c r="W2350" s="7"/>
      <c r="X2350" s="8"/>
      <c r="Y2350" s="8" t="s">
        <v>9540</v>
      </c>
    </row>
    <row r="2351" customFormat="false" ht="15.75" hidden="false" customHeight="true" outlineLevel="0" collapsed="false">
      <c r="A2351" s="7" t="s">
        <v>9541</v>
      </c>
      <c r="B2351" s="8" t="n">
        <v>1974</v>
      </c>
      <c r="C2351" s="8" t="s">
        <v>61</v>
      </c>
      <c r="D2351" s="8" t="n">
        <v>86</v>
      </c>
      <c r="E2351" s="7" t="s">
        <v>4814</v>
      </c>
      <c r="F2351" s="8" t="n">
        <v>6.6</v>
      </c>
      <c r="G2351" s="8"/>
      <c r="H2351" s="9" t="n">
        <v>3971</v>
      </c>
      <c r="I2351" s="7" t="s">
        <v>3398</v>
      </c>
      <c r="J2351" s="7" t="s">
        <v>47</v>
      </c>
      <c r="K2351" s="7"/>
      <c r="L2351" s="10" t="s">
        <v>205</v>
      </c>
      <c r="M2351" s="7" t="s">
        <v>9542</v>
      </c>
      <c r="N2351" s="8" t="n">
        <v>0</v>
      </c>
      <c r="O2351" s="8" t="n">
        <v>0</v>
      </c>
      <c r="P2351" s="8" t="n">
        <v>0</v>
      </c>
      <c r="Q2351" s="8" t="n">
        <v>0</v>
      </c>
      <c r="R2351" s="8" t="n">
        <v>0</v>
      </c>
      <c r="S2351" s="8" t="n">
        <v>0</v>
      </c>
      <c r="T2351" s="8" t="n">
        <v>225</v>
      </c>
      <c r="U2351" s="11" t="n">
        <f aca="false">O2351*4 + P2351*2 + MAX(0,N2351-O2351-P2351)*1 + Q2351*0.2 + R2351*2 + S2351*1 + IF(T2351="",0,IF(T2351&lt;=10,8,IF(T2351&lt;=50,6,IF(T2351&lt;=100,4,2))))</f>
        <v>2</v>
      </c>
      <c r="V2351" s="10" t="s">
        <v>9543</v>
      </c>
      <c r="W2351" s="7"/>
      <c r="X2351" s="8"/>
      <c r="Y2351" s="8" t="s">
        <v>9544</v>
      </c>
    </row>
    <row r="2352" customFormat="false" ht="15.75" hidden="false" customHeight="true" outlineLevel="0" collapsed="false">
      <c r="A2352" s="7" t="s">
        <v>9545</v>
      </c>
      <c r="B2352" s="8" t="n">
        <v>2021</v>
      </c>
      <c r="C2352" s="8" t="s">
        <v>378</v>
      </c>
      <c r="D2352" s="8" t="n">
        <v>73</v>
      </c>
      <c r="E2352" s="7" t="s">
        <v>1495</v>
      </c>
      <c r="F2352" s="8" t="n">
        <v>7.3</v>
      </c>
      <c r="G2352" s="8"/>
      <c r="H2352" s="9" t="n">
        <v>21126</v>
      </c>
      <c r="I2352" s="7" t="s">
        <v>219</v>
      </c>
      <c r="J2352" s="7" t="s">
        <v>38</v>
      </c>
      <c r="K2352" s="7" t="s">
        <v>47</v>
      </c>
      <c r="L2352" s="10" t="s">
        <v>9546</v>
      </c>
      <c r="M2352" s="7" t="s">
        <v>9547</v>
      </c>
      <c r="N2352" s="8" t="n">
        <v>0</v>
      </c>
      <c r="O2352" s="8" t="n">
        <v>0</v>
      </c>
      <c r="P2352" s="8" t="n">
        <v>0</v>
      </c>
      <c r="Q2352" s="8" t="n">
        <v>0</v>
      </c>
      <c r="R2352" s="8" t="n">
        <v>0</v>
      </c>
      <c r="S2352" s="8" t="n">
        <v>0</v>
      </c>
      <c r="T2352" s="8" t="n">
        <v>225</v>
      </c>
      <c r="U2352" s="11" t="n">
        <f aca="false">O2352*4 + P2352*2 + MAX(0,N2352-O2352-P2352)*1 + Q2352*0.2 + R2352*2 + S2352*1 + IF(T2352="",0,IF(T2352&lt;=10,8,IF(T2352&lt;=50,6,IF(T2352&lt;=100,4,2))))</f>
        <v>2</v>
      </c>
      <c r="V2352" s="10" t="s">
        <v>9548</v>
      </c>
      <c r="W2352" s="7"/>
      <c r="X2352" s="8"/>
      <c r="Y2352" s="8" t="s">
        <v>9549</v>
      </c>
    </row>
    <row r="2353" customFormat="false" ht="15.75" hidden="false" customHeight="true" outlineLevel="0" collapsed="false">
      <c r="A2353" s="7" t="s">
        <v>9550</v>
      </c>
      <c r="B2353" s="8" t="n">
        <v>2000</v>
      </c>
      <c r="C2353" s="8" t="s">
        <v>35</v>
      </c>
      <c r="D2353" s="8" t="n">
        <v>288</v>
      </c>
      <c r="E2353" s="7" t="s">
        <v>9551</v>
      </c>
      <c r="F2353" s="8" t="n">
        <v>8.1</v>
      </c>
      <c r="G2353" s="8"/>
      <c r="H2353" s="9" t="n">
        <v>1735</v>
      </c>
      <c r="I2353" s="7" t="s">
        <v>46</v>
      </c>
      <c r="J2353" s="7" t="s">
        <v>2730</v>
      </c>
      <c r="K2353" s="7" t="s">
        <v>48</v>
      </c>
      <c r="L2353" s="10"/>
      <c r="M2353" s="7" t="s">
        <v>9552</v>
      </c>
      <c r="N2353" s="8" t="n">
        <v>0</v>
      </c>
      <c r="O2353" s="8" t="n">
        <v>0</v>
      </c>
      <c r="P2353" s="8" t="n">
        <v>0</v>
      </c>
      <c r="Q2353" s="8" t="n">
        <v>0</v>
      </c>
      <c r="R2353" s="8" t="n">
        <v>0</v>
      </c>
      <c r="S2353" s="8" t="n">
        <v>0</v>
      </c>
      <c r="T2353" s="8" t="n">
        <v>225</v>
      </c>
      <c r="U2353" s="11" t="n">
        <f aca="false">O2353*4 + P2353*2 + MAX(0,N2353-O2353-P2353)*1 + Q2353*0.2 + R2353*2 + S2353*1 + IF(T2353="",0,IF(T2353&lt;=10,8,IF(T2353&lt;=50,6,IF(T2353&lt;=100,4,2))))</f>
        <v>2</v>
      </c>
      <c r="V2353" s="10" t="s">
        <v>9553</v>
      </c>
      <c r="W2353" s="7"/>
      <c r="X2353" s="8"/>
      <c r="Y2353" s="8" t="s">
        <v>9554</v>
      </c>
    </row>
    <row r="2354" customFormat="false" ht="15.75" hidden="false" customHeight="true" outlineLevel="0" collapsed="false">
      <c r="A2354" s="7" t="s">
        <v>9555</v>
      </c>
      <c r="B2354" s="8" t="n">
        <v>1998</v>
      </c>
      <c r="C2354" s="8" t="s">
        <v>26</v>
      </c>
      <c r="D2354" s="8" t="n">
        <v>113</v>
      </c>
      <c r="E2354" s="7" t="s">
        <v>9326</v>
      </c>
      <c r="F2354" s="8" t="n">
        <v>7.3</v>
      </c>
      <c r="G2354" s="8"/>
      <c r="H2354" s="9" t="n">
        <v>4669</v>
      </c>
      <c r="I2354" s="7" t="s">
        <v>3842</v>
      </c>
      <c r="J2354" s="7" t="s">
        <v>29</v>
      </c>
      <c r="K2354" s="7" t="s">
        <v>47</v>
      </c>
      <c r="L2354" s="10"/>
      <c r="M2354" s="7" t="s">
        <v>9556</v>
      </c>
      <c r="N2354" s="8" t="n">
        <v>0</v>
      </c>
      <c r="O2354" s="8" t="n">
        <v>0</v>
      </c>
      <c r="P2354" s="8" t="n">
        <v>0</v>
      </c>
      <c r="Q2354" s="8" t="n">
        <v>0</v>
      </c>
      <c r="R2354" s="8" t="n">
        <v>0</v>
      </c>
      <c r="S2354" s="8" t="n">
        <v>0</v>
      </c>
      <c r="T2354" s="8" t="n">
        <v>225</v>
      </c>
      <c r="U2354" s="11" t="n">
        <f aca="false">O2354*4 + P2354*2 + MAX(0,N2354-O2354-P2354)*1 + Q2354*0.2 + R2354*2 + S2354*1 + IF(T2354="",0,IF(T2354&lt;=10,8,IF(T2354&lt;=50,6,IF(T2354&lt;=100,4,2))))</f>
        <v>2</v>
      </c>
      <c r="V2354" s="10" t="s">
        <v>9557</v>
      </c>
      <c r="W2354" s="7"/>
      <c r="X2354" s="8"/>
      <c r="Y2354" s="8" t="s">
        <v>9558</v>
      </c>
    </row>
    <row r="2355" customFormat="false" ht="15.75" hidden="false" customHeight="true" outlineLevel="0" collapsed="false">
      <c r="A2355" s="7" t="s">
        <v>9559</v>
      </c>
      <c r="B2355" s="8" t="n">
        <v>1997</v>
      </c>
      <c r="C2355" s="8" t="s">
        <v>26</v>
      </c>
      <c r="D2355" s="8" t="n">
        <v>96</v>
      </c>
      <c r="E2355" s="7" t="s">
        <v>802</v>
      </c>
      <c r="F2355" s="8" t="n">
        <v>7.6</v>
      </c>
      <c r="G2355" s="8"/>
      <c r="H2355" s="9" t="n">
        <v>38737</v>
      </c>
      <c r="I2355" s="7" t="s">
        <v>803</v>
      </c>
      <c r="J2355" s="7" t="s">
        <v>29</v>
      </c>
      <c r="K2355" s="7" t="s">
        <v>1102</v>
      </c>
      <c r="L2355" s="10" t="s">
        <v>1280</v>
      </c>
      <c r="M2355" s="7" t="s">
        <v>9560</v>
      </c>
      <c r="N2355" s="8" t="n">
        <v>0</v>
      </c>
      <c r="O2355" s="8" t="n">
        <v>0</v>
      </c>
      <c r="P2355" s="8" t="n">
        <v>0</v>
      </c>
      <c r="Q2355" s="8" t="n">
        <v>0</v>
      </c>
      <c r="R2355" s="8" t="n">
        <v>0</v>
      </c>
      <c r="S2355" s="8" t="n">
        <v>0</v>
      </c>
      <c r="T2355" s="8" t="n">
        <v>225</v>
      </c>
      <c r="U2355" s="11" t="n">
        <f aca="false">O2355*4 + P2355*2 + MAX(0,N2355-O2355-P2355)*1 + Q2355*0.2 + R2355*2 + S2355*1 + IF(T2355="",0,IF(T2355&lt;=10,8,IF(T2355&lt;=50,6,IF(T2355&lt;=100,4,2))))</f>
        <v>2</v>
      </c>
      <c r="V2355" s="10" t="s">
        <v>9561</v>
      </c>
      <c r="W2355" s="7"/>
      <c r="X2355" s="8"/>
      <c r="Y2355" s="8" t="s">
        <v>9562</v>
      </c>
    </row>
    <row r="2356" customFormat="false" ht="15.75" hidden="false" customHeight="true" outlineLevel="0" collapsed="false">
      <c r="A2356" s="7" t="s">
        <v>9563</v>
      </c>
      <c r="B2356" s="8" t="n">
        <v>1996</v>
      </c>
      <c r="C2356" s="8" t="s">
        <v>26</v>
      </c>
      <c r="D2356" s="8" t="n">
        <v>100</v>
      </c>
      <c r="E2356" s="7" t="s">
        <v>1086</v>
      </c>
      <c r="F2356" s="8" t="n">
        <v>6.4</v>
      </c>
      <c r="G2356" s="8"/>
      <c r="H2356" s="9" t="n">
        <v>72524</v>
      </c>
      <c r="I2356" s="7" t="s">
        <v>1111</v>
      </c>
      <c r="J2356" s="7" t="s">
        <v>47</v>
      </c>
      <c r="K2356" s="7" t="s">
        <v>1102</v>
      </c>
      <c r="L2356" s="10" t="s">
        <v>1439</v>
      </c>
      <c r="M2356" s="7" t="s">
        <v>9564</v>
      </c>
      <c r="N2356" s="8" t="n">
        <v>0</v>
      </c>
      <c r="O2356" s="8" t="n">
        <v>0</v>
      </c>
      <c r="P2356" s="8" t="n">
        <v>0</v>
      </c>
      <c r="Q2356" s="8" t="n">
        <v>0</v>
      </c>
      <c r="R2356" s="8" t="n">
        <v>0</v>
      </c>
      <c r="S2356" s="8" t="n">
        <v>0</v>
      </c>
      <c r="T2356" s="8" t="n">
        <v>225</v>
      </c>
      <c r="U2356" s="11" t="n">
        <f aca="false">O2356*4 + P2356*2 + MAX(0,N2356-O2356-P2356)*1 + Q2356*0.2 + R2356*2 + S2356*1 + IF(T2356="",0,IF(T2356&lt;=10,8,IF(T2356&lt;=50,6,IF(T2356&lt;=100,4,2))))</f>
        <v>2</v>
      </c>
      <c r="V2356" s="10" t="s">
        <v>9565</v>
      </c>
      <c r="W2356" s="7"/>
      <c r="X2356" s="8"/>
      <c r="Y2356" s="8" t="s">
        <v>9566</v>
      </c>
    </row>
    <row r="2357" customFormat="false" ht="15.75" hidden="false" customHeight="true" outlineLevel="0" collapsed="false">
      <c r="A2357" s="7" t="s">
        <v>9567</v>
      </c>
      <c r="B2357" s="8" t="n">
        <v>1993</v>
      </c>
      <c r="C2357" s="8" t="s">
        <v>26</v>
      </c>
      <c r="D2357" s="8" t="n">
        <v>79</v>
      </c>
      <c r="E2357" s="7" t="s">
        <v>9568</v>
      </c>
      <c r="F2357" s="8" t="n">
        <v>7.3</v>
      </c>
      <c r="G2357" s="8"/>
      <c r="H2357" s="9" t="n">
        <v>3234</v>
      </c>
      <c r="I2357" s="7" t="s">
        <v>280</v>
      </c>
      <c r="J2357" s="7"/>
      <c r="K2357" s="7" t="s">
        <v>48</v>
      </c>
      <c r="L2357" s="10"/>
      <c r="M2357" s="7" t="s">
        <v>9569</v>
      </c>
      <c r="N2357" s="8" t="n">
        <v>0</v>
      </c>
      <c r="O2357" s="8" t="n">
        <v>0</v>
      </c>
      <c r="P2357" s="8" t="n">
        <v>0</v>
      </c>
      <c r="Q2357" s="8" t="n">
        <v>0</v>
      </c>
      <c r="R2357" s="8" t="n">
        <v>0</v>
      </c>
      <c r="S2357" s="8" t="n">
        <v>0</v>
      </c>
      <c r="T2357" s="8" t="n">
        <v>225</v>
      </c>
      <c r="U2357" s="11" t="n">
        <f aca="false">O2357*4 + P2357*2 + MAX(0,N2357-O2357-P2357)*1 + Q2357*0.2 + R2357*2 + S2357*1 + IF(T2357="",0,IF(T2357&lt;=10,8,IF(T2357&lt;=50,6,IF(T2357&lt;=100,4,2))))</f>
        <v>2</v>
      </c>
      <c r="V2357" s="10" t="s">
        <v>9570</v>
      </c>
      <c r="W2357" s="7"/>
      <c r="X2357" s="8"/>
      <c r="Y2357" s="8" t="s">
        <v>9571</v>
      </c>
    </row>
    <row r="2358" customFormat="false" ht="15.75" hidden="false" customHeight="true" outlineLevel="0" collapsed="false">
      <c r="A2358" s="7" t="s">
        <v>9572</v>
      </c>
      <c r="B2358" s="8" t="n">
        <v>1986</v>
      </c>
      <c r="C2358" s="8" t="s">
        <v>109</v>
      </c>
      <c r="D2358" s="8" t="n">
        <v>99</v>
      </c>
      <c r="E2358" s="7" t="s">
        <v>9573</v>
      </c>
      <c r="F2358" s="8" t="n">
        <v>7.6</v>
      </c>
      <c r="G2358" s="8"/>
      <c r="H2358" s="9" t="n">
        <v>12176</v>
      </c>
      <c r="I2358" s="7" t="s">
        <v>219</v>
      </c>
      <c r="J2358" s="7" t="s">
        <v>29</v>
      </c>
      <c r="K2358" s="7" t="s">
        <v>47</v>
      </c>
      <c r="L2358" s="10" t="s">
        <v>517</v>
      </c>
      <c r="M2358" s="7" t="s">
        <v>9574</v>
      </c>
      <c r="N2358" s="8" t="n">
        <v>0</v>
      </c>
      <c r="O2358" s="8" t="n">
        <v>0</v>
      </c>
      <c r="P2358" s="8" t="n">
        <v>0</v>
      </c>
      <c r="Q2358" s="8" t="n">
        <v>0</v>
      </c>
      <c r="R2358" s="8" t="n">
        <v>1</v>
      </c>
      <c r="S2358" s="8" t="n">
        <v>0</v>
      </c>
      <c r="T2358" s="8" t="n">
        <v>225</v>
      </c>
      <c r="U2358" s="11" t="n">
        <f aca="false">O2358*4 + P2358*2 + MAX(0,N2358-O2358-P2358)*1 + Q2358*0.2 + R2358*2 + S2358*1 + IF(T2358="",0,IF(T2358&lt;=10,8,IF(T2358&lt;=50,6,IF(T2358&lt;=100,4,2))))</f>
        <v>4</v>
      </c>
      <c r="V2358" s="10" t="s">
        <v>9575</v>
      </c>
      <c r="W2358" s="7"/>
      <c r="X2358" s="8"/>
      <c r="Y2358" s="8" t="s">
        <v>9576</v>
      </c>
    </row>
    <row r="2359" customFormat="false" ht="15.75" hidden="false" customHeight="true" outlineLevel="0" collapsed="false">
      <c r="A2359" s="7" t="s">
        <v>9577</v>
      </c>
      <c r="B2359" s="8" t="n">
        <v>1983</v>
      </c>
      <c r="C2359" s="8" t="s">
        <v>109</v>
      </c>
      <c r="D2359" s="8" t="n">
        <v>79</v>
      </c>
      <c r="E2359" s="7" t="s">
        <v>9578</v>
      </c>
      <c r="F2359" s="8" t="n">
        <v>6.6</v>
      </c>
      <c r="G2359" s="8"/>
      <c r="H2359" s="9" t="n">
        <v>2792</v>
      </c>
      <c r="I2359" s="7" t="s">
        <v>46</v>
      </c>
      <c r="J2359" s="7" t="s">
        <v>111</v>
      </c>
      <c r="K2359" s="7" t="s">
        <v>47</v>
      </c>
      <c r="L2359" s="10"/>
      <c r="M2359" s="7" t="s">
        <v>9579</v>
      </c>
      <c r="N2359" s="8" t="n">
        <v>0</v>
      </c>
      <c r="O2359" s="8" t="n">
        <v>0</v>
      </c>
      <c r="P2359" s="8" t="n">
        <v>0</v>
      </c>
      <c r="Q2359" s="8" t="n">
        <v>0</v>
      </c>
      <c r="R2359" s="8" t="n">
        <v>0</v>
      </c>
      <c r="S2359" s="8" t="n">
        <v>0</v>
      </c>
      <c r="T2359" s="8" t="n">
        <v>243</v>
      </c>
      <c r="U2359" s="11" t="n">
        <f aca="false">O2359*4 + P2359*2 + MAX(0,N2359-O2359-P2359)*1 + Q2359*0.2 + R2359*2 + S2359*1 + IF(T2359="",0,IF(T2359&lt;=10,8,IF(T2359&lt;=50,6,IF(T2359&lt;=100,4,2))))</f>
        <v>2</v>
      </c>
      <c r="V2359" s="10" t="s">
        <v>9580</v>
      </c>
      <c r="W2359" s="7"/>
      <c r="X2359" s="8"/>
      <c r="Y2359" s="8" t="s">
        <v>9581</v>
      </c>
    </row>
    <row r="2360" customFormat="false" ht="15.75" hidden="false" customHeight="true" outlineLevel="0" collapsed="false">
      <c r="A2360" s="7" t="s">
        <v>9582</v>
      </c>
      <c r="B2360" s="8" t="n">
        <v>1929</v>
      </c>
      <c r="C2360" s="8" t="s">
        <v>851</v>
      </c>
      <c r="D2360" s="8" t="n">
        <v>109</v>
      </c>
      <c r="E2360" s="7" t="s">
        <v>9583</v>
      </c>
      <c r="F2360" s="8" t="n">
        <v>7.7</v>
      </c>
      <c r="G2360" s="8"/>
      <c r="H2360" s="9" t="n">
        <v>13019</v>
      </c>
      <c r="I2360" s="7" t="s">
        <v>258</v>
      </c>
      <c r="J2360" s="7" t="s">
        <v>29</v>
      </c>
      <c r="K2360" s="7" t="s">
        <v>54</v>
      </c>
      <c r="L2360" s="10"/>
      <c r="M2360" s="7" t="s">
        <v>9584</v>
      </c>
      <c r="N2360" s="8" t="n">
        <v>0</v>
      </c>
      <c r="O2360" s="8" t="n">
        <v>0</v>
      </c>
      <c r="P2360" s="8" t="n">
        <v>0</v>
      </c>
      <c r="Q2360" s="8" t="n">
        <v>0</v>
      </c>
      <c r="R2360" s="8" t="n">
        <v>0</v>
      </c>
      <c r="S2360" s="8" t="n">
        <v>0</v>
      </c>
      <c r="T2360" s="8" t="n">
        <v>243</v>
      </c>
      <c r="U2360" s="11" t="n">
        <f aca="false">O2360*4 + P2360*2 + MAX(0,N2360-O2360-P2360)*1 + Q2360*0.2 + R2360*2 + S2360*1 + IF(T2360="",0,IF(T2360&lt;=10,8,IF(T2360&lt;=50,6,IF(T2360&lt;=100,4,2))))</f>
        <v>2</v>
      </c>
      <c r="V2360" s="10" t="s">
        <v>9585</v>
      </c>
      <c r="W2360" s="7"/>
      <c r="X2360" s="8"/>
      <c r="Y2360" s="8" t="s">
        <v>9586</v>
      </c>
    </row>
    <row r="2361" customFormat="false" ht="15.75" hidden="false" customHeight="true" outlineLevel="0" collapsed="false">
      <c r="A2361" s="7" t="s">
        <v>9587</v>
      </c>
      <c r="B2361" s="8" t="n">
        <v>1941</v>
      </c>
      <c r="C2361" s="8" t="s">
        <v>243</v>
      </c>
      <c r="D2361" s="8" t="n">
        <v>90</v>
      </c>
      <c r="E2361" s="7" t="s">
        <v>9588</v>
      </c>
      <c r="F2361" s="8" t="n">
        <v>7.9</v>
      </c>
      <c r="G2361" s="8"/>
      <c r="H2361" s="9" t="n">
        <v>31047</v>
      </c>
      <c r="I2361" s="7" t="s">
        <v>46</v>
      </c>
      <c r="J2361" s="7" t="s">
        <v>39</v>
      </c>
      <c r="K2361" s="7" t="s">
        <v>30</v>
      </c>
      <c r="L2361" s="10" t="s">
        <v>205</v>
      </c>
      <c r="M2361" s="7" t="s">
        <v>9589</v>
      </c>
      <c r="N2361" s="8" t="n">
        <v>0</v>
      </c>
      <c r="O2361" s="8" t="n">
        <v>0</v>
      </c>
      <c r="P2361" s="8" t="n">
        <v>0</v>
      </c>
      <c r="Q2361" s="8" t="n">
        <v>0</v>
      </c>
      <c r="R2361" s="8" t="n">
        <v>0</v>
      </c>
      <c r="S2361" s="8" t="n">
        <v>0</v>
      </c>
      <c r="T2361" s="8" t="n">
        <v>243</v>
      </c>
      <c r="U2361" s="11" t="n">
        <f aca="false">O2361*4 + P2361*2 + MAX(0,N2361-O2361-P2361)*1 + Q2361*0.2 + R2361*2 + S2361*1 + IF(T2361="",0,IF(T2361&lt;=10,8,IF(T2361&lt;=50,6,IF(T2361&lt;=100,4,2))))</f>
        <v>2</v>
      </c>
      <c r="V2361" s="10" t="s">
        <v>9590</v>
      </c>
      <c r="W2361" s="7"/>
      <c r="X2361" s="8"/>
      <c r="Y2361" s="8" t="s">
        <v>9591</v>
      </c>
    </row>
    <row r="2362" customFormat="false" ht="15.75" hidden="false" customHeight="true" outlineLevel="0" collapsed="false">
      <c r="A2362" s="7" t="s">
        <v>9592</v>
      </c>
      <c r="B2362" s="8" t="n">
        <v>1930</v>
      </c>
      <c r="C2362" s="8" t="s">
        <v>96</v>
      </c>
      <c r="D2362" s="8" t="n">
        <v>75</v>
      </c>
      <c r="E2362" s="7" t="s">
        <v>9593</v>
      </c>
      <c r="F2362" s="8" t="n">
        <v>7.2</v>
      </c>
      <c r="G2362" s="8"/>
      <c r="H2362" s="9" t="n">
        <v>7057</v>
      </c>
      <c r="I2362" s="7" t="s">
        <v>9594</v>
      </c>
      <c r="J2362" s="7" t="s">
        <v>47</v>
      </c>
      <c r="K2362" s="7"/>
      <c r="L2362" s="10" t="s">
        <v>526</v>
      </c>
      <c r="M2362" s="7" t="s">
        <v>9595</v>
      </c>
      <c r="N2362" s="8" t="n">
        <v>0</v>
      </c>
      <c r="O2362" s="8" t="n">
        <v>0</v>
      </c>
      <c r="P2362" s="8" t="n">
        <v>0</v>
      </c>
      <c r="Q2362" s="8" t="n">
        <v>0</v>
      </c>
      <c r="R2362" s="8" t="n">
        <v>0</v>
      </c>
      <c r="S2362" s="8" t="n">
        <v>0</v>
      </c>
      <c r="T2362" s="8" t="n">
        <v>243</v>
      </c>
      <c r="U2362" s="11" t="n">
        <f aca="false">O2362*4 + P2362*2 + MAX(0,N2362-O2362-P2362)*1 + Q2362*0.2 + R2362*2 + S2362*1 + IF(T2362="",0,IF(T2362&lt;=10,8,IF(T2362&lt;=50,6,IF(T2362&lt;=100,4,2))))</f>
        <v>2</v>
      </c>
      <c r="V2362" s="10" t="s">
        <v>9596</v>
      </c>
      <c r="W2362" s="7"/>
      <c r="X2362" s="8"/>
      <c r="Y2362" s="8" t="s">
        <v>9597</v>
      </c>
    </row>
    <row r="2363" customFormat="false" ht="15.75" hidden="false" customHeight="true" outlineLevel="0" collapsed="false">
      <c r="A2363" s="7" t="s">
        <v>9598</v>
      </c>
      <c r="B2363" s="8" t="n">
        <v>1946</v>
      </c>
      <c r="C2363" s="8" t="s">
        <v>243</v>
      </c>
      <c r="D2363" s="8" t="n">
        <v>97</v>
      </c>
      <c r="E2363" s="7" t="s">
        <v>9599</v>
      </c>
      <c r="F2363" s="8" t="n">
        <v>7.7</v>
      </c>
      <c r="G2363" s="8"/>
      <c r="H2363" s="9" t="n">
        <v>28769</v>
      </c>
      <c r="I2363" s="7" t="s">
        <v>46</v>
      </c>
      <c r="J2363" s="7" t="s">
        <v>268</v>
      </c>
      <c r="K2363" s="7" t="s">
        <v>29</v>
      </c>
      <c r="L2363" s="10" t="s">
        <v>220</v>
      </c>
      <c r="M2363" s="7" t="s">
        <v>9600</v>
      </c>
      <c r="N2363" s="8" t="n">
        <v>0</v>
      </c>
      <c r="O2363" s="8" t="n">
        <v>0</v>
      </c>
      <c r="P2363" s="8" t="n">
        <v>0</v>
      </c>
      <c r="Q2363" s="8" t="n">
        <v>0</v>
      </c>
      <c r="R2363" s="8" t="n">
        <v>0</v>
      </c>
      <c r="S2363" s="8" t="n">
        <v>0</v>
      </c>
      <c r="T2363" s="8" t="n">
        <v>243</v>
      </c>
      <c r="U2363" s="11" t="n">
        <f aca="false">O2363*4 + P2363*2 + MAX(0,N2363-O2363-P2363)*1 + Q2363*0.2 + R2363*2 + S2363*1 + IF(T2363="",0,IF(T2363&lt;=10,8,IF(T2363&lt;=50,6,IF(T2363&lt;=100,4,2))))</f>
        <v>2</v>
      </c>
      <c r="V2363" s="10" t="s">
        <v>9601</v>
      </c>
      <c r="W2363" s="7"/>
      <c r="X2363" s="8"/>
      <c r="Y2363" s="8" t="s">
        <v>9602</v>
      </c>
    </row>
    <row r="2364" customFormat="false" ht="15.75" hidden="false" customHeight="true" outlineLevel="0" collapsed="false">
      <c r="A2364" s="7" t="s">
        <v>9603</v>
      </c>
      <c r="B2364" s="8" t="n">
        <v>1967</v>
      </c>
      <c r="C2364" s="8" t="s">
        <v>122</v>
      </c>
      <c r="D2364" s="8" t="n">
        <v>81</v>
      </c>
      <c r="E2364" s="7" t="s">
        <v>4679</v>
      </c>
      <c r="F2364" s="8" t="n">
        <v>7.6</v>
      </c>
      <c r="G2364" s="8"/>
      <c r="H2364" s="9" t="n">
        <v>14248</v>
      </c>
      <c r="I2364" s="7" t="s">
        <v>219</v>
      </c>
      <c r="J2364" s="7" t="s">
        <v>47</v>
      </c>
      <c r="K2364" s="7"/>
      <c r="L2364" s="10" t="s">
        <v>3213</v>
      </c>
      <c r="M2364" s="7" t="s">
        <v>9604</v>
      </c>
      <c r="N2364" s="8" t="n">
        <v>0</v>
      </c>
      <c r="O2364" s="8" t="n">
        <v>0</v>
      </c>
      <c r="P2364" s="8" t="n">
        <v>0</v>
      </c>
      <c r="Q2364" s="8" t="n">
        <v>0</v>
      </c>
      <c r="R2364" s="8" t="n">
        <v>0</v>
      </c>
      <c r="S2364" s="8" t="n">
        <v>0</v>
      </c>
      <c r="T2364" s="8" t="n">
        <v>243</v>
      </c>
      <c r="U2364" s="11" t="n">
        <f aca="false">O2364*4 + P2364*2 + MAX(0,N2364-O2364-P2364)*1 + Q2364*0.2 + R2364*2 + S2364*1 + IF(T2364="",0,IF(T2364&lt;=10,8,IF(T2364&lt;=50,6,IF(T2364&lt;=100,4,2))))</f>
        <v>2</v>
      </c>
      <c r="V2364" s="10" t="s">
        <v>9605</v>
      </c>
      <c r="W2364" s="7"/>
      <c r="X2364" s="8"/>
      <c r="Y2364" s="8" t="s">
        <v>9606</v>
      </c>
    </row>
    <row r="2365" customFormat="false" ht="15.75" hidden="false" customHeight="true" outlineLevel="0" collapsed="false">
      <c r="A2365" s="7" t="s">
        <v>9607</v>
      </c>
      <c r="B2365" s="8" t="n">
        <v>1944</v>
      </c>
      <c r="C2365" s="8" t="s">
        <v>243</v>
      </c>
      <c r="D2365" s="8" t="n">
        <v>124</v>
      </c>
      <c r="E2365" s="7" t="s">
        <v>9086</v>
      </c>
      <c r="F2365" s="8" t="n">
        <v>7.3</v>
      </c>
      <c r="G2365" s="8"/>
      <c r="H2365" s="9" t="n">
        <v>7331</v>
      </c>
      <c r="I2365" s="7" t="s">
        <v>280</v>
      </c>
      <c r="J2365" s="7" t="s">
        <v>30</v>
      </c>
      <c r="K2365" s="7" t="s">
        <v>125</v>
      </c>
      <c r="L2365" s="10" t="s">
        <v>205</v>
      </c>
      <c r="M2365" s="7" t="s">
        <v>9608</v>
      </c>
      <c r="N2365" s="8" t="n">
        <v>0</v>
      </c>
      <c r="O2365" s="8" t="n">
        <v>0</v>
      </c>
      <c r="P2365" s="8" t="n">
        <v>0</v>
      </c>
      <c r="Q2365" s="8" t="n">
        <v>0</v>
      </c>
      <c r="R2365" s="8" t="n">
        <v>0</v>
      </c>
      <c r="S2365" s="8" t="n">
        <v>0</v>
      </c>
      <c r="T2365" s="8" t="n">
        <v>243</v>
      </c>
      <c r="U2365" s="11" t="n">
        <f aca="false">O2365*4 + P2365*2 + MAX(0,N2365-O2365-P2365)*1 + Q2365*0.2 + R2365*2 + S2365*1 + IF(T2365="",0,IF(T2365&lt;=10,8,IF(T2365&lt;=50,6,IF(T2365&lt;=100,4,2))))</f>
        <v>2</v>
      </c>
      <c r="V2365" s="10" t="s">
        <v>9609</v>
      </c>
      <c r="W2365" s="7"/>
      <c r="X2365" s="8"/>
      <c r="Y2365" s="8" t="s">
        <v>9610</v>
      </c>
    </row>
    <row r="2366" customFormat="false" ht="15.75" hidden="false" customHeight="true" outlineLevel="0" collapsed="false">
      <c r="A2366" s="7" t="s">
        <v>9611</v>
      </c>
      <c r="B2366" s="8" t="n">
        <v>1970</v>
      </c>
      <c r="C2366" s="8" t="s">
        <v>61</v>
      </c>
      <c r="D2366" s="8" t="n">
        <v>98</v>
      </c>
      <c r="E2366" s="7" t="s">
        <v>9302</v>
      </c>
      <c r="F2366" s="8" t="n">
        <v>7.3</v>
      </c>
      <c r="G2366" s="8"/>
      <c r="H2366" s="9" t="n">
        <v>1122</v>
      </c>
      <c r="I2366" s="7" t="s">
        <v>9612</v>
      </c>
      <c r="J2366" s="7" t="s">
        <v>47</v>
      </c>
      <c r="K2366" s="7"/>
      <c r="L2366" s="10" t="s">
        <v>374</v>
      </c>
      <c r="M2366" s="7" t="s">
        <v>9613</v>
      </c>
      <c r="N2366" s="8" t="n">
        <v>0</v>
      </c>
      <c r="O2366" s="8" t="n">
        <v>0</v>
      </c>
      <c r="P2366" s="8" t="n">
        <v>0</v>
      </c>
      <c r="Q2366" s="8" t="n">
        <v>0</v>
      </c>
      <c r="R2366" s="8" t="n">
        <v>0</v>
      </c>
      <c r="S2366" s="8" t="n">
        <v>0</v>
      </c>
      <c r="T2366" s="8" t="n">
        <v>243</v>
      </c>
      <c r="U2366" s="11" t="n">
        <f aca="false">O2366*4 + P2366*2 + MAX(0,N2366-O2366-P2366)*1 + Q2366*0.2 + R2366*2 + S2366*1 + IF(T2366="",0,IF(T2366&lt;=10,8,IF(T2366&lt;=50,6,IF(T2366&lt;=100,4,2))))</f>
        <v>2</v>
      </c>
      <c r="V2366" s="10" t="s">
        <v>9614</v>
      </c>
      <c r="W2366" s="7"/>
      <c r="X2366" s="8"/>
      <c r="Y2366" s="8" t="s">
        <v>9615</v>
      </c>
    </row>
    <row r="2367" customFormat="false" ht="15.75" hidden="false" customHeight="true" outlineLevel="0" collapsed="false">
      <c r="A2367" s="7" t="s">
        <v>9616</v>
      </c>
      <c r="B2367" s="8" t="n">
        <v>1988</v>
      </c>
      <c r="C2367" s="8" t="s">
        <v>109</v>
      </c>
      <c r="D2367" s="8" t="n">
        <v>84</v>
      </c>
      <c r="E2367" s="7" t="s">
        <v>5059</v>
      </c>
      <c r="F2367" s="8" t="n">
        <v>7.4</v>
      </c>
      <c r="G2367" s="8"/>
      <c r="H2367" s="9" t="n">
        <v>5771</v>
      </c>
      <c r="I2367" s="7" t="s">
        <v>9617</v>
      </c>
      <c r="J2367" s="7" t="s">
        <v>90</v>
      </c>
      <c r="K2367" s="7" t="s">
        <v>47</v>
      </c>
      <c r="L2367" s="10" t="s">
        <v>220</v>
      </c>
      <c r="M2367" s="7" t="s">
        <v>9618</v>
      </c>
      <c r="N2367" s="8" t="n">
        <v>0</v>
      </c>
      <c r="O2367" s="8" t="n">
        <v>0</v>
      </c>
      <c r="P2367" s="8" t="n">
        <v>0</v>
      </c>
      <c r="Q2367" s="8" t="n">
        <v>0</v>
      </c>
      <c r="R2367" s="8" t="n">
        <v>0</v>
      </c>
      <c r="S2367" s="8" t="n">
        <v>0</v>
      </c>
      <c r="T2367" s="8" t="n">
        <v>243</v>
      </c>
      <c r="U2367" s="11" t="n">
        <f aca="false">O2367*4 + P2367*2 + MAX(0,N2367-O2367-P2367)*1 + Q2367*0.2 + R2367*2 + S2367*1 + IF(T2367="",0,IF(T2367&lt;=10,8,IF(T2367&lt;=50,6,IF(T2367&lt;=100,4,2))))</f>
        <v>2</v>
      </c>
      <c r="V2367" s="10" t="s">
        <v>9619</v>
      </c>
      <c r="W2367" s="7"/>
      <c r="X2367" s="8"/>
      <c r="Y2367" s="8" t="s">
        <v>9620</v>
      </c>
    </row>
    <row r="2368" customFormat="false" ht="15.75" hidden="false" customHeight="true" outlineLevel="0" collapsed="false">
      <c r="A2368" s="7" t="s">
        <v>9621</v>
      </c>
      <c r="B2368" s="8" t="n">
        <v>2010</v>
      </c>
      <c r="C2368" s="8" t="s">
        <v>176</v>
      </c>
      <c r="D2368" s="8" t="n">
        <v>90</v>
      </c>
      <c r="E2368" s="7" t="s">
        <v>9622</v>
      </c>
      <c r="F2368" s="8" t="n">
        <v>7.6</v>
      </c>
      <c r="G2368" s="8"/>
      <c r="H2368" s="9" t="n">
        <v>6603</v>
      </c>
      <c r="I2368" s="7" t="s">
        <v>9623</v>
      </c>
      <c r="J2368" s="7" t="s">
        <v>2730</v>
      </c>
      <c r="K2368" s="7"/>
      <c r="L2368" s="10" t="s">
        <v>205</v>
      </c>
      <c r="M2368" s="7" t="s">
        <v>9624</v>
      </c>
      <c r="N2368" s="8" t="n">
        <v>0</v>
      </c>
      <c r="O2368" s="8" t="n">
        <v>0</v>
      </c>
      <c r="P2368" s="8" t="n">
        <v>0</v>
      </c>
      <c r="Q2368" s="8" t="n">
        <v>0</v>
      </c>
      <c r="R2368" s="8" t="n">
        <v>0</v>
      </c>
      <c r="S2368" s="8" t="n">
        <v>0</v>
      </c>
      <c r="T2368" s="8" t="n">
        <v>243</v>
      </c>
      <c r="U2368" s="11" t="n">
        <f aca="false">O2368*4 + P2368*2 + MAX(0,N2368-O2368-P2368)*1 + Q2368*0.2 + R2368*2 + S2368*1 + IF(T2368="",0,IF(T2368&lt;=10,8,IF(T2368&lt;=50,6,IF(T2368&lt;=100,4,2))))</f>
        <v>2</v>
      </c>
      <c r="V2368" s="10" t="s">
        <v>9625</v>
      </c>
      <c r="W2368" s="7"/>
      <c r="X2368" s="8"/>
      <c r="Y2368" s="8" t="s">
        <v>9626</v>
      </c>
    </row>
    <row r="2369" customFormat="false" ht="15.75" hidden="false" customHeight="true" outlineLevel="0" collapsed="false">
      <c r="A2369" s="7" t="s">
        <v>9627</v>
      </c>
      <c r="B2369" s="8" t="n">
        <v>2004</v>
      </c>
      <c r="C2369" s="8" t="s">
        <v>35</v>
      </c>
      <c r="D2369" s="8" t="n">
        <v>130</v>
      </c>
      <c r="E2369" s="7" t="s">
        <v>4948</v>
      </c>
      <c r="F2369" s="8" t="n">
        <v>6.6</v>
      </c>
      <c r="G2369" s="8"/>
      <c r="H2369" s="9" t="n">
        <v>2324</v>
      </c>
      <c r="I2369" s="7" t="s">
        <v>219</v>
      </c>
      <c r="J2369" s="7" t="s">
        <v>29</v>
      </c>
      <c r="K2369" s="7" t="s">
        <v>125</v>
      </c>
      <c r="L2369" s="10"/>
      <c r="M2369" s="7" t="s">
        <v>9628</v>
      </c>
      <c r="N2369" s="8" t="n">
        <v>0</v>
      </c>
      <c r="O2369" s="8" t="n">
        <v>0</v>
      </c>
      <c r="P2369" s="8" t="n">
        <v>0</v>
      </c>
      <c r="Q2369" s="8" t="n">
        <v>0</v>
      </c>
      <c r="R2369" s="8" t="n">
        <v>0</v>
      </c>
      <c r="S2369" s="8" t="n">
        <v>0</v>
      </c>
      <c r="T2369" s="8" t="n">
        <v>243</v>
      </c>
      <c r="U2369" s="11" t="n">
        <f aca="false">O2369*4 + P2369*2 + MAX(0,N2369-O2369-P2369)*1 + Q2369*0.2 + R2369*2 + S2369*1 + IF(T2369="",0,IF(T2369&lt;=10,8,IF(T2369&lt;=50,6,IF(T2369&lt;=100,4,2))))</f>
        <v>2</v>
      </c>
      <c r="V2369" s="10" t="s">
        <v>9629</v>
      </c>
      <c r="W2369" s="7"/>
      <c r="X2369" s="8"/>
      <c r="Y2369" s="8" t="s">
        <v>9630</v>
      </c>
    </row>
    <row r="2370" customFormat="false" ht="15.75" hidden="false" customHeight="true" outlineLevel="0" collapsed="false">
      <c r="A2370" s="7" t="s">
        <v>9631</v>
      </c>
      <c r="B2370" s="8" t="n">
        <v>2002</v>
      </c>
      <c r="C2370" s="8" t="s">
        <v>35</v>
      </c>
      <c r="D2370" s="8" t="n">
        <v>97</v>
      </c>
      <c r="E2370" s="7" t="s">
        <v>2796</v>
      </c>
      <c r="F2370" s="8" t="n">
        <v>6.8</v>
      </c>
      <c r="G2370" s="8"/>
      <c r="H2370" s="9" t="n">
        <v>12587</v>
      </c>
      <c r="I2370" s="7" t="s">
        <v>9632</v>
      </c>
      <c r="J2370" s="7" t="s">
        <v>47</v>
      </c>
      <c r="K2370" s="7"/>
      <c r="L2370" s="10"/>
      <c r="M2370" s="7" t="s">
        <v>9633</v>
      </c>
      <c r="N2370" s="8" t="n">
        <v>0</v>
      </c>
      <c r="O2370" s="8" t="n">
        <v>0</v>
      </c>
      <c r="P2370" s="8" t="n">
        <v>0</v>
      </c>
      <c r="Q2370" s="8" t="n">
        <v>0</v>
      </c>
      <c r="R2370" s="8" t="n">
        <v>0</v>
      </c>
      <c r="S2370" s="8" t="n">
        <v>0</v>
      </c>
      <c r="T2370" s="8" t="n">
        <v>243</v>
      </c>
      <c r="U2370" s="11" t="n">
        <f aca="false">O2370*4 + P2370*2 + MAX(0,N2370-O2370-P2370)*1 + Q2370*0.2 + R2370*2 + S2370*1 + IF(T2370="",0,IF(T2370&lt;=10,8,IF(T2370&lt;=50,6,IF(T2370&lt;=100,4,2))))</f>
        <v>2</v>
      </c>
      <c r="V2370" s="10" t="s">
        <v>9634</v>
      </c>
      <c r="W2370" s="7"/>
      <c r="X2370" s="8"/>
      <c r="Y2370" s="8" t="s">
        <v>9635</v>
      </c>
    </row>
    <row r="2371" customFormat="false" ht="15.75" hidden="false" customHeight="true" outlineLevel="0" collapsed="false">
      <c r="A2371" s="7" t="s">
        <v>9636</v>
      </c>
      <c r="B2371" s="8" t="n">
        <v>2000</v>
      </c>
      <c r="C2371" s="8" t="s">
        <v>35</v>
      </c>
      <c r="D2371" s="8" t="n">
        <v>171</v>
      </c>
      <c r="E2371" s="7" t="s">
        <v>4493</v>
      </c>
      <c r="F2371" s="8" t="n">
        <v>7</v>
      </c>
      <c r="G2371" s="8"/>
      <c r="H2371" s="9" t="n">
        <v>1917</v>
      </c>
      <c r="I2371" s="7" t="s">
        <v>9637</v>
      </c>
      <c r="J2371" s="7" t="s">
        <v>47</v>
      </c>
      <c r="K2371" s="7"/>
      <c r="L2371" s="10"/>
      <c r="M2371" s="7" t="s">
        <v>9638</v>
      </c>
      <c r="N2371" s="8" t="n">
        <v>0</v>
      </c>
      <c r="O2371" s="8" t="n">
        <v>0</v>
      </c>
      <c r="P2371" s="8" t="n">
        <v>0</v>
      </c>
      <c r="Q2371" s="8" t="n">
        <v>0</v>
      </c>
      <c r="R2371" s="8" t="n">
        <v>0</v>
      </c>
      <c r="S2371" s="8" t="n">
        <v>0</v>
      </c>
      <c r="T2371" s="8" t="n">
        <v>243</v>
      </c>
      <c r="U2371" s="11" t="n">
        <f aca="false">O2371*4 + P2371*2 + MAX(0,N2371-O2371-P2371)*1 + Q2371*0.2 + R2371*2 + S2371*1 + IF(T2371="",0,IF(T2371&lt;=10,8,IF(T2371&lt;=50,6,IF(T2371&lt;=100,4,2))))</f>
        <v>2</v>
      </c>
      <c r="V2371" s="10" t="s">
        <v>9639</v>
      </c>
      <c r="W2371" s="7"/>
      <c r="X2371" s="8"/>
      <c r="Y2371" s="8" t="s">
        <v>9640</v>
      </c>
    </row>
    <row r="2372" customFormat="false" ht="15.75" hidden="false" customHeight="true" outlineLevel="0" collapsed="false">
      <c r="A2372" s="7" t="s">
        <v>9641</v>
      </c>
      <c r="B2372" s="8" t="n">
        <v>1997</v>
      </c>
      <c r="C2372" s="8" t="s">
        <v>26</v>
      </c>
      <c r="D2372" s="8" t="n">
        <v>95</v>
      </c>
      <c r="E2372" s="7" t="s">
        <v>4313</v>
      </c>
      <c r="F2372" s="8" t="n">
        <v>7.7</v>
      </c>
      <c r="G2372" s="8"/>
      <c r="H2372" s="9" t="n">
        <v>44806</v>
      </c>
      <c r="I2372" s="7" t="s">
        <v>2814</v>
      </c>
      <c r="J2372" s="7" t="s">
        <v>47</v>
      </c>
      <c r="K2372" s="7"/>
      <c r="L2372" s="10" t="s">
        <v>374</v>
      </c>
      <c r="M2372" s="7" t="s">
        <v>9642</v>
      </c>
      <c r="N2372" s="8" t="n">
        <v>0</v>
      </c>
      <c r="O2372" s="8" t="n">
        <v>0</v>
      </c>
      <c r="P2372" s="8" t="n">
        <v>0</v>
      </c>
      <c r="Q2372" s="8" t="n">
        <v>0</v>
      </c>
      <c r="R2372" s="8" t="n">
        <v>1</v>
      </c>
      <c r="S2372" s="8" t="n">
        <v>0</v>
      </c>
      <c r="T2372" s="8" t="n">
        <v>243</v>
      </c>
      <c r="U2372" s="11" t="n">
        <f aca="false">O2372*4 + P2372*2 + MAX(0,N2372-O2372-P2372)*1 + Q2372*0.2 + R2372*2 + S2372*1 + IF(T2372="",0,IF(T2372&lt;=10,8,IF(T2372&lt;=50,6,IF(T2372&lt;=100,4,2))))</f>
        <v>4</v>
      </c>
      <c r="V2372" s="10" t="s">
        <v>9643</v>
      </c>
      <c r="W2372" s="7"/>
      <c r="X2372" s="8"/>
      <c r="Y2372" s="8" t="s">
        <v>9644</v>
      </c>
    </row>
    <row r="2373" customFormat="false" ht="15.75" hidden="false" customHeight="true" outlineLevel="0" collapsed="false">
      <c r="A2373" s="7" t="s">
        <v>9645</v>
      </c>
      <c r="B2373" s="8" t="n">
        <v>1924</v>
      </c>
      <c r="C2373" s="8" t="s">
        <v>851</v>
      </c>
      <c r="D2373" s="8" t="n">
        <v>90</v>
      </c>
      <c r="E2373" s="7" t="s">
        <v>1519</v>
      </c>
      <c r="F2373" s="8" t="n">
        <v>8</v>
      </c>
      <c r="G2373" s="8"/>
      <c r="H2373" s="9" t="n">
        <v>16646</v>
      </c>
      <c r="I2373" s="7" t="s">
        <v>258</v>
      </c>
      <c r="J2373" s="7" t="s">
        <v>47</v>
      </c>
      <c r="K2373" s="7"/>
      <c r="L2373" s="10" t="s">
        <v>9646</v>
      </c>
      <c r="M2373" s="7" t="s">
        <v>9647</v>
      </c>
      <c r="N2373" s="8" t="n">
        <v>0</v>
      </c>
      <c r="O2373" s="8" t="n">
        <v>0</v>
      </c>
      <c r="P2373" s="8" t="n">
        <v>0</v>
      </c>
      <c r="Q2373" s="8" t="n">
        <v>0</v>
      </c>
      <c r="R2373" s="8" t="n">
        <v>0</v>
      </c>
      <c r="S2373" s="8" t="n">
        <v>0</v>
      </c>
      <c r="T2373" s="8" t="n">
        <v>243</v>
      </c>
      <c r="U2373" s="11" t="n">
        <f aca="false">O2373*4 + P2373*2 + MAX(0,N2373-O2373-P2373)*1 + Q2373*0.2 + R2373*2 + S2373*1 + IF(T2373="",0,IF(T2373&lt;=10,8,IF(T2373&lt;=50,6,IF(T2373&lt;=100,4,2))))</f>
        <v>2</v>
      </c>
      <c r="V2373" s="10" t="s">
        <v>9648</v>
      </c>
      <c r="W2373" s="7"/>
      <c r="X2373" s="8"/>
      <c r="Y2373" s="8" t="s">
        <v>9649</v>
      </c>
    </row>
    <row r="2374" customFormat="false" ht="15.75" hidden="false" customHeight="true" outlineLevel="0" collapsed="false">
      <c r="A2374" s="7" t="s">
        <v>9650</v>
      </c>
      <c r="B2374" s="8" t="n">
        <v>2025</v>
      </c>
      <c r="C2374" s="8" t="s">
        <v>378</v>
      </c>
      <c r="D2374" s="8" t="n">
        <v>108</v>
      </c>
      <c r="E2374" s="7" t="s">
        <v>5522</v>
      </c>
      <c r="F2374" s="8" t="n">
        <v>6.6</v>
      </c>
      <c r="G2374" s="8" t="n">
        <v>7</v>
      </c>
      <c r="H2374" s="9" t="n">
        <v>151258</v>
      </c>
      <c r="I2374" s="7" t="s">
        <v>46</v>
      </c>
      <c r="J2374" s="7"/>
      <c r="K2374" s="7"/>
      <c r="L2374" s="10" t="s">
        <v>113</v>
      </c>
      <c r="M2374" s="7" t="s">
        <v>9651</v>
      </c>
      <c r="N2374" s="8" t="n">
        <v>0</v>
      </c>
      <c r="O2374" s="8" t="n">
        <v>0</v>
      </c>
      <c r="P2374" s="8" t="n">
        <v>0</v>
      </c>
      <c r="Q2374" s="8" t="n">
        <v>0</v>
      </c>
      <c r="R2374" s="8" t="n">
        <v>0</v>
      </c>
      <c r="S2374" s="8" t="n">
        <v>0</v>
      </c>
      <c r="T2374" s="8"/>
      <c r="U2374" s="11" t="n">
        <f aca="false">O2374*4 + P2374*2 + MAX(0,N2374-O2374-P2374)*1 + Q2374*0.2 + R2374*2 + S2374*1 + IF(T2374="",0,IF(T2374&lt;=10,8,IF(T2374&lt;=50,6,IF(T2374&lt;=100,4,2))))</f>
        <v>0</v>
      </c>
      <c r="V2374" s="10"/>
      <c r="W2374" s="7"/>
      <c r="X2374" s="8"/>
      <c r="Y2374" s="8" t="s">
        <v>9652</v>
      </c>
    </row>
    <row r="2375" customFormat="false" ht="15.75" hidden="false" customHeight="true" outlineLevel="0" collapsed="false">
      <c r="A2375" s="7" t="s">
        <v>9653</v>
      </c>
      <c r="B2375" s="8" t="n">
        <v>2026</v>
      </c>
      <c r="C2375" s="8" t="s">
        <v>378</v>
      </c>
      <c r="D2375" s="8" t="n">
        <v>172</v>
      </c>
      <c r="E2375" s="7" t="s">
        <v>979</v>
      </c>
      <c r="F2375" s="8" t="n">
        <v>8.4</v>
      </c>
      <c r="G2375" s="8" t="n">
        <v>9</v>
      </c>
      <c r="H2375" s="9" t="n">
        <v>518463</v>
      </c>
      <c r="I2375" s="7" t="s">
        <v>359</v>
      </c>
      <c r="J2375" s="7"/>
      <c r="K2375" s="7"/>
      <c r="L2375" s="10"/>
      <c r="M2375" s="7" t="s">
        <v>9654</v>
      </c>
      <c r="N2375" s="8" t="n">
        <v>0</v>
      </c>
      <c r="O2375" s="8" t="n">
        <v>0</v>
      </c>
      <c r="P2375" s="8" t="n">
        <v>0</v>
      </c>
      <c r="Q2375" s="8" t="n">
        <v>0</v>
      </c>
      <c r="R2375" s="8" t="n">
        <v>0</v>
      </c>
      <c r="S2375" s="8" t="n">
        <v>0</v>
      </c>
      <c r="T2375" s="8"/>
      <c r="U2375" s="11" t="n">
        <f aca="false">O2375*4 + P2375*2 + MAX(0,N2375-O2375-P2375)*1 + Q2375*0.2 + R2375*2 + S2375*1 + IF(T2375="",0,IF(T2375&lt;=10,8,IF(T2375&lt;=50,6,IF(T2375&lt;=100,4,2))))</f>
        <v>0</v>
      </c>
      <c r="V2375" s="10"/>
      <c r="W2375" s="7"/>
      <c r="X2375" s="8"/>
      <c r="Y2375" s="8" t="s">
        <v>9655</v>
      </c>
    </row>
    <row r="2376" customFormat="false" ht="15.75" hidden="false" customHeight="true" outlineLevel="0" collapsed="false">
      <c r="A2376" s="7" t="s">
        <v>9656</v>
      </c>
      <c r="B2376" s="8" t="n">
        <v>2025</v>
      </c>
      <c r="C2376" s="8" t="s">
        <v>378</v>
      </c>
      <c r="D2376" s="8" t="n">
        <v>92</v>
      </c>
      <c r="E2376" s="7" t="s">
        <v>8548</v>
      </c>
      <c r="F2376" s="8" t="n">
        <v>5.8</v>
      </c>
      <c r="G2376" s="8" t="n">
        <v>6</v>
      </c>
      <c r="H2376" s="9" t="n">
        <v>37355</v>
      </c>
      <c r="I2376" s="7" t="s">
        <v>46</v>
      </c>
      <c r="J2376" s="7"/>
      <c r="K2376" s="7"/>
      <c r="L2376" s="10" t="s">
        <v>192</v>
      </c>
      <c r="M2376" s="7" t="s">
        <v>9657</v>
      </c>
      <c r="N2376" s="8" t="n">
        <v>0</v>
      </c>
      <c r="O2376" s="8" t="n">
        <v>0</v>
      </c>
      <c r="P2376" s="8" t="n">
        <v>0</v>
      </c>
      <c r="Q2376" s="8" t="n">
        <v>0</v>
      </c>
      <c r="R2376" s="8" t="n">
        <v>0</v>
      </c>
      <c r="S2376" s="8" t="n">
        <v>0</v>
      </c>
      <c r="T2376" s="8"/>
      <c r="U2376" s="11" t="n">
        <f aca="false">O2376*4 + P2376*2 + MAX(0,N2376-O2376-P2376)*1 + Q2376*0.2 + R2376*2 + S2376*1 + IF(T2376="",0,IF(T2376&lt;=10,8,IF(T2376&lt;=50,6,IF(T2376&lt;=100,4,2))))</f>
        <v>0</v>
      </c>
      <c r="V2376" s="10"/>
      <c r="W2376" s="7"/>
      <c r="X2376" s="8"/>
      <c r="Y2376" s="8" t="s">
        <v>9658</v>
      </c>
    </row>
    <row r="2377" customFormat="false" ht="15.75" hidden="false" customHeight="true" outlineLevel="0" collapsed="false">
      <c r="A2377" s="7" t="s">
        <v>9659</v>
      </c>
      <c r="B2377" s="8" t="n">
        <v>2025</v>
      </c>
      <c r="C2377" s="8" t="s">
        <v>378</v>
      </c>
      <c r="D2377" s="8" t="n">
        <v>130</v>
      </c>
      <c r="E2377" s="7" t="s">
        <v>2266</v>
      </c>
      <c r="F2377" s="8" t="n">
        <v>6.8</v>
      </c>
      <c r="G2377" s="8" t="n">
        <v>5</v>
      </c>
      <c r="H2377" s="9" t="n">
        <v>57293</v>
      </c>
      <c r="I2377" s="7" t="s">
        <v>46</v>
      </c>
      <c r="J2377" s="7" t="s">
        <v>47</v>
      </c>
      <c r="K2377" s="7"/>
      <c r="L2377" s="10" t="s">
        <v>9660</v>
      </c>
      <c r="M2377" s="7" t="s">
        <v>9661</v>
      </c>
      <c r="N2377" s="8" t="n">
        <v>0</v>
      </c>
      <c r="O2377" s="8" t="n">
        <v>0</v>
      </c>
      <c r="P2377" s="8" t="n">
        <v>0</v>
      </c>
      <c r="Q2377" s="8" t="n">
        <v>0</v>
      </c>
      <c r="R2377" s="8" t="n">
        <v>0</v>
      </c>
      <c r="S2377" s="8" t="n">
        <v>0</v>
      </c>
      <c r="T2377" s="8"/>
      <c r="U2377" s="11" t="n">
        <f aca="false">O2377*4 + P2377*2 + MAX(0,N2377-O2377-P2377)*1 + Q2377*0.2 + R2377*2 + S2377*1 + IF(T2377="",0,IF(T2377&lt;=10,8,IF(T2377&lt;=50,6,IF(T2377&lt;=100,4,2))))</f>
        <v>0</v>
      </c>
      <c r="V2377" s="10"/>
      <c r="W2377" s="7"/>
      <c r="X2377" s="8"/>
      <c r="Y2377" s="8" t="s">
        <v>9662</v>
      </c>
    </row>
    <row r="2378" customFormat="false" ht="15.75" hidden="false" customHeight="true" outlineLevel="0" collapsed="false">
      <c r="A2378" s="7" t="s">
        <v>9663</v>
      </c>
      <c r="B2378" s="8" t="n">
        <v>2016</v>
      </c>
      <c r="C2378" s="8" t="s">
        <v>176</v>
      </c>
      <c r="D2378" s="8" t="n">
        <v>108</v>
      </c>
      <c r="E2378" s="7" t="s">
        <v>6710</v>
      </c>
      <c r="F2378" s="8" t="n">
        <v>6</v>
      </c>
      <c r="G2378" s="8" t="n">
        <v>5</v>
      </c>
      <c r="H2378" s="9" t="n">
        <v>120411</v>
      </c>
      <c r="I2378" s="7" t="s">
        <v>9664</v>
      </c>
      <c r="J2378" s="7"/>
      <c r="K2378" s="7"/>
      <c r="L2378" s="10" t="s">
        <v>192</v>
      </c>
      <c r="M2378" s="7" t="s">
        <v>9665</v>
      </c>
      <c r="N2378" s="8" t="n">
        <v>0</v>
      </c>
      <c r="O2378" s="8" t="n">
        <v>0</v>
      </c>
      <c r="P2378" s="8" t="n">
        <v>0</v>
      </c>
      <c r="Q2378" s="8" t="n">
        <v>0</v>
      </c>
      <c r="R2378" s="8" t="n">
        <v>0</v>
      </c>
      <c r="S2378" s="8" t="n">
        <v>0</v>
      </c>
      <c r="T2378" s="8"/>
      <c r="U2378" s="11" t="n">
        <f aca="false">O2378*4 + P2378*2 + MAX(0,N2378-O2378-P2378)*1 + Q2378*0.2 + R2378*2 + S2378*1 + IF(T2378="",0,IF(T2378&lt;=10,8,IF(T2378&lt;=50,6,IF(T2378&lt;=100,4,2))))</f>
        <v>0</v>
      </c>
      <c r="V2378" s="10"/>
      <c r="W2378" s="7"/>
      <c r="X2378" s="8"/>
      <c r="Y2378" s="8" t="s">
        <v>9666</v>
      </c>
    </row>
    <row r="2379" customFormat="false" ht="15.75" hidden="false" customHeight="true" outlineLevel="0" collapsed="false">
      <c r="A2379" s="7" t="s">
        <v>5763</v>
      </c>
      <c r="B2379" s="8" t="n">
        <v>2003</v>
      </c>
      <c r="C2379" s="8" t="s">
        <v>35</v>
      </c>
      <c r="D2379" s="8" t="n">
        <v>98</v>
      </c>
      <c r="E2379" s="7" t="s">
        <v>6600</v>
      </c>
      <c r="F2379" s="8" t="n">
        <v>6.2</v>
      </c>
      <c r="G2379" s="8" t="n">
        <v>8</v>
      </c>
      <c r="H2379" s="9" t="n">
        <v>164106</v>
      </c>
      <c r="I2379" s="7" t="s">
        <v>46</v>
      </c>
      <c r="J2379" s="7"/>
      <c r="K2379" s="7"/>
      <c r="L2379" s="10"/>
      <c r="M2379" s="7" t="s">
        <v>9667</v>
      </c>
      <c r="N2379" s="8" t="n">
        <v>0</v>
      </c>
      <c r="O2379" s="8" t="n">
        <v>0</v>
      </c>
      <c r="P2379" s="8" t="n">
        <v>0</v>
      </c>
      <c r="Q2379" s="8" t="n">
        <v>0</v>
      </c>
      <c r="R2379" s="8" t="n">
        <v>0</v>
      </c>
      <c r="S2379" s="8" t="n">
        <v>0</v>
      </c>
      <c r="T2379" s="8"/>
      <c r="U2379" s="11" t="n">
        <f aca="false">O2379*4 + P2379*2 + MAX(0,N2379-O2379-P2379)*1 + Q2379*0.2 + R2379*2 + S2379*1 + IF(T2379="",0,IF(T2379&lt;=10,8,IF(T2379&lt;=50,6,IF(T2379&lt;=100,4,2))))</f>
        <v>0</v>
      </c>
      <c r="V2379" s="10"/>
      <c r="W2379" s="7"/>
      <c r="X2379" s="8"/>
      <c r="Y2379" s="8" t="s">
        <v>9668</v>
      </c>
    </row>
    <row r="2380" customFormat="false" ht="15.75" hidden="false" customHeight="true" outlineLevel="0" collapsed="false">
      <c r="A2380" s="7" t="s">
        <v>9669</v>
      </c>
      <c r="B2380" s="8" t="n">
        <v>2009</v>
      </c>
      <c r="C2380" s="8" t="s">
        <v>35</v>
      </c>
      <c r="D2380" s="8" t="n">
        <v>122</v>
      </c>
      <c r="E2380" s="7" t="s">
        <v>1010</v>
      </c>
      <c r="F2380" s="8" t="n">
        <v>6.7</v>
      </c>
      <c r="G2380" s="8" t="n">
        <v>7</v>
      </c>
      <c r="H2380" s="9" t="n">
        <v>48326</v>
      </c>
      <c r="I2380" s="7" t="s">
        <v>46</v>
      </c>
      <c r="J2380" s="7" t="s">
        <v>47</v>
      </c>
      <c r="K2380" s="7"/>
      <c r="L2380" s="10" t="s">
        <v>177</v>
      </c>
      <c r="M2380" s="7" t="s">
        <v>9670</v>
      </c>
      <c r="N2380" s="8" t="n">
        <v>0</v>
      </c>
      <c r="O2380" s="8" t="n">
        <v>0</v>
      </c>
      <c r="P2380" s="8" t="n">
        <v>0</v>
      </c>
      <c r="Q2380" s="8" t="n">
        <v>0</v>
      </c>
      <c r="R2380" s="8" t="n">
        <v>0</v>
      </c>
      <c r="S2380" s="8" t="n">
        <v>0</v>
      </c>
      <c r="T2380" s="8"/>
      <c r="U2380" s="11" t="n">
        <f aca="false">O2380*4 + P2380*2 + MAX(0,N2380-O2380-P2380)*1 + Q2380*0.2 + R2380*2 + S2380*1 + IF(T2380="",0,IF(T2380&lt;=10,8,IF(T2380&lt;=50,6,IF(T2380&lt;=100,4,2))))</f>
        <v>0</v>
      </c>
      <c r="V2380" s="10"/>
      <c r="W2380" s="7"/>
      <c r="X2380" s="8"/>
      <c r="Y2380" s="8" t="s">
        <v>9671</v>
      </c>
    </row>
    <row r="2381" customFormat="false" ht="15.75" hidden="false" customHeight="true" outlineLevel="0" collapsed="false">
      <c r="A2381" s="7" t="s">
        <v>461</v>
      </c>
      <c r="B2381" s="8" t="n">
        <v>2007</v>
      </c>
      <c r="C2381" s="8" t="s">
        <v>35</v>
      </c>
      <c r="D2381" s="8" t="n">
        <v>111</v>
      </c>
      <c r="E2381" s="7" t="s">
        <v>462</v>
      </c>
      <c r="F2381" s="8" t="n">
        <v>6.5</v>
      </c>
      <c r="G2381" s="8" t="n">
        <v>6</v>
      </c>
      <c r="H2381" s="9" t="n">
        <v>111259</v>
      </c>
      <c r="I2381" s="7" t="s">
        <v>9672</v>
      </c>
      <c r="J2381" s="7"/>
      <c r="K2381" s="7"/>
      <c r="L2381" s="10" t="s">
        <v>9673</v>
      </c>
      <c r="M2381" s="7" t="s">
        <v>9674</v>
      </c>
      <c r="N2381" s="8" t="n">
        <v>0</v>
      </c>
      <c r="O2381" s="8" t="n">
        <v>0</v>
      </c>
      <c r="P2381" s="8" t="n">
        <v>0</v>
      </c>
      <c r="Q2381" s="8" t="n">
        <v>0</v>
      </c>
      <c r="R2381" s="8" t="n">
        <v>0</v>
      </c>
      <c r="S2381" s="8" t="n">
        <v>0</v>
      </c>
      <c r="T2381" s="8"/>
      <c r="U2381" s="11" t="n">
        <f aca="false">O2381*4 + P2381*2 + MAX(0,N2381-O2381-P2381)*1 + Q2381*0.2 + R2381*2 + S2381*1 + IF(T2381="",0,IF(T2381&lt;=10,8,IF(T2381&lt;=50,6,IF(T2381&lt;=100,4,2))))</f>
        <v>0</v>
      </c>
      <c r="V2381" s="10"/>
      <c r="W2381" s="7"/>
      <c r="X2381" s="8"/>
      <c r="Y2381" s="8" t="s">
        <v>9675</v>
      </c>
    </row>
    <row r="2382" customFormat="false" ht="15.75" hidden="false" customHeight="true" outlineLevel="0" collapsed="false">
      <c r="A2382" s="7" t="s">
        <v>9676</v>
      </c>
      <c r="B2382" s="8" t="n">
        <v>2014</v>
      </c>
      <c r="C2382" s="8" t="s">
        <v>176</v>
      </c>
      <c r="D2382" s="8" t="n">
        <v>136</v>
      </c>
      <c r="E2382" s="7" t="s">
        <v>2106</v>
      </c>
      <c r="F2382" s="8" t="n">
        <v>6.4</v>
      </c>
      <c r="G2382" s="8" t="n">
        <v>6</v>
      </c>
      <c r="H2382" s="9" t="n">
        <v>6892</v>
      </c>
      <c r="I2382" s="7" t="s">
        <v>9677</v>
      </c>
      <c r="J2382" s="7" t="s">
        <v>47</v>
      </c>
      <c r="K2382" s="7"/>
      <c r="L2382" s="10" t="s">
        <v>972</v>
      </c>
      <c r="M2382" s="7" t="s">
        <v>9678</v>
      </c>
      <c r="N2382" s="8" t="n">
        <v>0</v>
      </c>
      <c r="O2382" s="8" t="n">
        <v>0</v>
      </c>
      <c r="P2382" s="8" t="n">
        <v>0</v>
      </c>
      <c r="Q2382" s="8" t="n">
        <v>0</v>
      </c>
      <c r="R2382" s="8" t="n">
        <v>0</v>
      </c>
      <c r="S2382" s="8" t="n">
        <v>0</v>
      </c>
      <c r="T2382" s="8"/>
      <c r="U2382" s="11" t="n">
        <f aca="false">O2382*4 + P2382*2 + MAX(0,N2382-O2382-P2382)*1 + Q2382*0.2 + R2382*2 + S2382*1 + IF(T2382="",0,IF(T2382&lt;=10,8,IF(T2382&lt;=50,6,IF(T2382&lt;=100,4,2))))</f>
        <v>0</v>
      </c>
      <c r="V2382" s="10"/>
      <c r="W2382" s="7"/>
      <c r="X2382" s="8"/>
      <c r="Y2382" s="8" t="s">
        <v>9679</v>
      </c>
    </row>
    <row r="2383" customFormat="false" ht="15.75" hidden="false" customHeight="true" outlineLevel="0" collapsed="false">
      <c r="A2383" s="7" t="s">
        <v>9680</v>
      </c>
      <c r="B2383" s="8" t="n">
        <v>2015</v>
      </c>
      <c r="C2383" s="8" t="s">
        <v>176</v>
      </c>
      <c r="D2383" s="8" t="n">
        <v>99</v>
      </c>
      <c r="E2383" s="7" t="s">
        <v>5839</v>
      </c>
      <c r="F2383" s="8" t="n">
        <v>4.9</v>
      </c>
      <c r="G2383" s="8" t="n">
        <v>4</v>
      </c>
      <c r="H2383" s="9" t="n">
        <v>117305</v>
      </c>
      <c r="I2383" s="7" t="s">
        <v>9681</v>
      </c>
      <c r="J2383" s="7"/>
      <c r="K2383" s="7"/>
      <c r="L2383" s="10" t="s">
        <v>9682</v>
      </c>
      <c r="M2383" s="7" t="s">
        <v>9683</v>
      </c>
      <c r="N2383" s="8" t="n">
        <v>0</v>
      </c>
      <c r="O2383" s="8" t="n">
        <v>0</v>
      </c>
      <c r="P2383" s="8" t="n">
        <v>0</v>
      </c>
      <c r="Q2383" s="8" t="n">
        <v>0</v>
      </c>
      <c r="R2383" s="8" t="n">
        <v>0</v>
      </c>
      <c r="S2383" s="8" t="n">
        <v>0</v>
      </c>
      <c r="T2383" s="8"/>
      <c r="U2383" s="11" t="n">
        <f aca="false">O2383*4 + P2383*2 + MAX(0,N2383-O2383-P2383)*1 + Q2383*0.2 + R2383*2 + S2383*1 + IF(T2383="",0,IF(T2383&lt;=10,8,IF(T2383&lt;=50,6,IF(T2383&lt;=100,4,2))))</f>
        <v>0</v>
      </c>
      <c r="V2383" s="10"/>
      <c r="W2383" s="7"/>
      <c r="X2383" s="8"/>
      <c r="Y2383" s="8" t="s">
        <v>9684</v>
      </c>
    </row>
    <row r="2384" customFormat="false" ht="15" hidden="false" customHeight="true" outlineLevel="0" collapsed="false"/>
    <row r="2385" customFormat="false" ht="15" hidden="false" customHeight="true" outlineLevel="0" collapsed="false"/>
    <row r="2386" customFormat="false" ht="15" hidden="false" customHeight="true" outlineLevel="0" collapsed="false"/>
    <row r="2387" customFormat="false" ht="15" hidden="false" customHeight="true" outlineLevel="0" collapsed="false"/>
    <row r="2388" customFormat="false" ht="15" hidden="false" customHeight="true" outlineLevel="0" collapsed="false"/>
    <row r="2389" customFormat="false" ht="15" hidden="false" customHeight="true" outlineLevel="0" collapsed="false"/>
    <row r="2390" customFormat="false" ht="15" hidden="false" customHeight="true" outlineLevel="0" collapsed="false"/>
    <row r="2391" customFormat="false" ht="15" hidden="false" customHeight="true" outlineLevel="0" collapsed="false"/>
    <row r="2392" customFormat="false" ht="15" hidden="false" customHeight="true" outlineLevel="0" collapsed="false"/>
  </sheetData>
  <autoFilter ref="A1:Y4000"/>
  <conditionalFormatting sqref="G2:G4000">
    <cfRule type="colorScale" priority="2">
      <colorScale>
        <cfvo type="num" val="1"/>
        <cfvo type="num" val="6"/>
        <cfvo type="num" val="10"/>
        <color rgb="FFF8696B"/>
        <color rgb="FFFFEB84"/>
        <color rgb="FF63BE7B"/>
      </colorScale>
    </cfRule>
  </conditionalFormatting>
  <conditionalFormatting sqref="F2:F4000">
    <cfRule type="colorScale" priority="3">
      <colorScale>
        <cfvo type="num" val="1"/>
        <cfvo type="num" val="6.5"/>
        <cfvo type="num" val="10"/>
        <color rgb="FFF8696B"/>
        <color rgb="FFFFEB84"/>
        <color rgb="FF63BE7B"/>
      </colorScale>
    </cfRule>
  </conditionalFormatting>
  <conditionalFormatting sqref="H2:H4000">
    <cfRule type="dataBar" priority="4">
      <dataBar showValue="1" minLength="10" maxLength="90">
        <cfvo type="min" val="0"/>
        <cfvo type="max" val="0"/>
        <color rgb="FF8EA9DB"/>
      </dataBar>
      <extLst>
        <ext xmlns:x14="http://schemas.microsoft.com/office/spreadsheetml/2009/9/main" uri="{B025F937-C7B1-47D3-B67F-A62EFF666E3E}">
          <x14:id>{8E656D5C-26C7-4888-B617-859B979875EE}</x14:id>
        </ext>
      </extLst>
    </cfRule>
  </conditionalFormatting>
  <conditionalFormatting sqref="U2:U4000">
    <cfRule type="dataBar" priority="5">
      <dataBar showValue="1" minLength="10" maxLength="90">
        <cfvo type="min" val="0"/>
        <cfvo type="max" val="0"/>
        <color rgb="FFC00000"/>
      </dataBar>
      <extLst>
        <ext xmlns:x14="http://schemas.microsoft.com/office/spreadsheetml/2009/9/main" uri="{B025F937-C7B1-47D3-B67F-A62EFF666E3E}">
          <x14:id>{C46F47B9-F689-461A-A1C8-D313C4EE2E70}</x14:id>
        </ext>
      </extLst>
    </cfRule>
  </conditionalFormatting>
  <conditionalFormatting sqref="A2:A4000">
    <cfRule type="expression" priority="6" aboveAverage="0" equalAverage="0" bottom="0" percent="0" rank="0" text="" dxfId="74">
      <formula>AND($G2="",$U2&gt;=8)</formula>
    </cfRule>
    <cfRule type="expression" priority="7" aboveAverage="0" equalAverage="0" bottom="0" percent="0" rank="0" text="" dxfId="75">
      <formula>AND($T2&lt;&gt;"",$T2&lt;=100)</formula>
    </cfRule>
    <cfRule type="expression" priority="8" aboveAverage="0" equalAverage="0" bottom="0" percent="0" rank="0" text="" dxfId="76">
      <formula>$G2&lt;&gt;""</formula>
    </cfRule>
  </conditionalFormatting>
  <conditionalFormatting sqref="D2:D4000">
    <cfRule type="expression" priority="9" aboveAverage="0" equalAverage="0" bottom="0" percent="0" rank="0" text="" dxfId="77">
      <formula>$D2&gt;=180</formula>
    </cfRule>
  </conditionalFormatting>
  <conditionalFormatting sqref="E2:E4000">
    <cfRule type="expression" priority="10" aboveAverage="0" equalAverage="0" bottom="0" percent="0" rank="0" text="" dxfId="76">
      <formula>$G2&lt;&gt;""</formula>
    </cfRule>
  </conditionalFormatting>
  <conditionalFormatting sqref="M2:M4000">
    <cfRule type="expression" priority="11" aboveAverage="0" equalAverage="0" bottom="0" percent="0" rank="0" text="" dxfId="76">
      <formula>$G2&lt;&gt;""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656D5C-26C7-4888-B617-859B979875EE}">
            <x14:dataBar minLength="10" maxLength="90" axisPosition="none" gradient="true">
              <x14:cfvo type="min"/>
              <x14:cfvo type="max"/>
              <x14:negativeFillColor rgb="FF8EA9DB"/>
              <x14:axisColor rgb="FF000000"/>
            </x14:dataBar>
          </x14:cfRule>
          <xm:sqref>H2:H4000</xm:sqref>
        </x14:conditionalFormatting>
        <x14:conditionalFormatting xmlns:xm="http://schemas.microsoft.com/office/excel/2006/main">
          <x14:cfRule type="dataBar" id="{C46F47B9-F689-461A-A1C8-D313C4EE2E70}">
            <x14:dataBar minLength="10" maxLength="90" axisPosition="none" gradient="true">
              <x14:cfvo type="min"/>
              <x14:cfvo type="max"/>
              <x14:negativeFillColor rgb="FFC00000"/>
              <x14:axisColor rgb="FF000000"/>
            </x14:dataBar>
          </x14:cfRule>
          <xm:sqref>U2:U4000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7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24"/>
    <col collapsed="false" customWidth="true" hidden="false" outlineLevel="0" max="7" min="7" style="1" width="7"/>
    <col collapsed="false" customWidth="true" hidden="false" outlineLevel="0" max="8" min="8" style="1" width="8"/>
    <col collapsed="false" customWidth="true" hidden="false" outlineLevel="0" max="9" min="9" style="1" width="11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5"/>
    <col collapsed="false" customWidth="true" hidden="false" outlineLevel="0" max="13" min="13" style="1" width="9"/>
    <col collapsed="false" customWidth="true" hidden="false" outlineLevel="0" max="14" min="14" style="1" width="62"/>
    <col collapsed="false" customWidth="true" hidden="false" outlineLevel="0" max="15" min="15" style="1" width="7"/>
    <col collapsed="false" customWidth="true" hidden="false" outlineLevel="0" max="16" min="16" style="1" width="8"/>
    <col collapsed="false" customWidth="true" hidden="false" outlineLevel="0" max="17" min="17" style="1" width="9"/>
    <col collapsed="false" customWidth="true" hidden="false" outlineLevel="0" max="18" min="18" style="1" width="56"/>
    <col collapsed="false" customWidth="true" hidden="false" outlineLevel="0" max="19" min="19" style="1" width="11"/>
  </cols>
  <sheetData>
    <row r="1" customFormat="false" ht="31.5" hidden="false" customHeight="true" outlineLevel="0" collapsed="false">
      <c r="A1" s="2" t="s">
        <v>9685</v>
      </c>
      <c r="B1" s="2" t="s">
        <v>9686</v>
      </c>
      <c r="C1" s="2" t="s">
        <v>9687</v>
      </c>
      <c r="D1" s="2" t="s">
        <v>2</v>
      </c>
      <c r="E1" s="2" t="s">
        <v>9688</v>
      </c>
      <c r="F1" s="2" t="s">
        <v>9689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9690</v>
      </c>
      <c r="P1" s="2" t="s">
        <v>9691</v>
      </c>
      <c r="Q1" s="2" t="s">
        <v>9692</v>
      </c>
      <c r="R1" s="2" t="s">
        <v>21</v>
      </c>
      <c r="S1" s="2" t="s">
        <v>24</v>
      </c>
    </row>
    <row r="2" customFormat="false" ht="15.75" hidden="false" customHeight="true" outlineLevel="0" collapsed="false">
      <c r="A2" s="7" t="s">
        <v>9693</v>
      </c>
      <c r="B2" s="8" t="n">
        <v>2008</v>
      </c>
      <c r="C2" s="8" t="n">
        <v>2013</v>
      </c>
      <c r="D2" s="8" t="s">
        <v>35</v>
      </c>
      <c r="E2" s="8" t="s">
        <v>9685</v>
      </c>
      <c r="F2" s="7" t="s">
        <v>9694</v>
      </c>
      <c r="G2" s="8" t="n">
        <v>9.5</v>
      </c>
      <c r="H2" s="8" t="n">
        <v>9</v>
      </c>
      <c r="I2" s="9" t="n">
        <v>2659109</v>
      </c>
      <c r="J2" s="7"/>
      <c r="K2" s="7" t="s">
        <v>131</v>
      </c>
      <c r="L2" s="7" t="s">
        <v>54</v>
      </c>
      <c r="M2" s="10" t="s">
        <v>238</v>
      </c>
      <c r="N2" s="7"/>
      <c r="O2" s="8" t="n">
        <v>24</v>
      </c>
      <c r="P2" s="8" t="n">
        <v>1</v>
      </c>
      <c r="Q2" s="8" t="n">
        <v>114</v>
      </c>
      <c r="R2" s="7"/>
      <c r="S2" s="7" t="s">
        <v>9695</v>
      </c>
    </row>
    <row r="3" customFormat="false" ht="15.75" hidden="false" customHeight="true" outlineLevel="0" collapsed="false">
      <c r="A3" s="7" t="s">
        <v>9696</v>
      </c>
      <c r="B3" s="8" t="n">
        <v>2011</v>
      </c>
      <c r="C3" s="8" t="n">
        <v>2019</v>
      </c>
      <c r="D3" s="8" t="s">
        <v>176</v>
      </c>
      <c r="E3" s="8" t="s">
        <v>9685</v>
      </c>
      <c r="F3" s="7" t="s">
        <v>9697</v>
      </c>
      <c r="G3" s="8" t="n">
        <v>9.2</v>
      </c>
      <c r="H3" s="8" t="n">
        <v>10</v>
      </c>
      <c r="I3" s="9" t="n">
        <v>2648630</v>
      </c>
      <c r="J3" s="7"/>
      <c r="K3" s="7" t="s">
        <v>38</v>
      </c>
      <c r="L3" s="7" t="s">
        <v>47</v>
      </c>
      <c r="M3" s="10" t="s">
        <v>9698</v>
      </c>
      <c r="N3" s="7"/>
      <c r="O3" s="8" t="n">
        <v>245</v>
      </c>
      <c r="P3" s="8" t="n">
        <v>1</v>
      </c>
      <c r="Q3" s="8" t="n">
        <v>466</v>
      </c>
      <c r="R3" s="7"/>
      <c r="S3" s="7" t="s">
        <v>9699</v>
      </c>
    </row>
    <row r="4" customFormat="false" ht="15.75" hidden="false" customHeight="true" outlineLevel="0" collapsed="false">
      <c r="A4" s="7" t="s">
        <v>9700</v>
      </c>
      <c r="B4" s="8" t="n">
        <v>2016</v>
      </c>
      <c r="C4" s="8" t="n">
        <v>2025</v>
      </c>
      <c r="D4" s="8" t="s">
        <v>176</v>
      </c>
      <c r="E4" s="8" t="s">
        <v>9685</v>
      </c>
      <c r="F4" s="7" t="s">
        <v>9701</v>
      </c>
      <c r="G4" s="8" t="n">
        <v>8.6</v>
      </c>
      <c r="H4" s="8" t="n">
        <v>8</v>
      </c>
      <c r="I4" s="9" t="n">
        <v>1728260</v>
      </c>
      <c r="J4" s="7"/>
      <c r="K4" s="7" t="s">
        <v>147</v>
      </c>
      <c r="L4" s="7" t="s">
        <v>38</v>
      </c>
      <c r="M4" s="10" t="s">
        <v>238</v>
      </c>
      <c r="N4" s="7"/>
      <c r="O4" s="8" t="n">
        <v>36</v>
      </c>
      <c r="P4" s="8" t="n">
        <v>0</v>
      </c>
      <c r="Q4" s="8" t="n">
        <v>113</v>
      </c>
      <c r="R4" s="7"/>
      <c r="S4" s="7" t="s">
        <v>9702</v>
      </c>
    </row>
    <row r="5" customFormat="false" ht="15.75" hidden="false" customHeight="true" outlineLevel="0" collapsed="false">
      <c r="A5" s="7" t="s">
        <v>9703</v>
      </c>
      <c r="B5" s="8" t="n">
        <v>2010</v>
      </c>
      <c r="C5" s="8" t="n">
        <v>2022</v>
      </c>
      <c r="D5" s="8" t="s">
        <v>176</v>
      </c>
      <c r="E5" s="8" t="s">
        <v>9685</v>
      </c>
      <c r="F5" s="7" t="s">
        <v>9704</v>
      </c>
      <c r="G5" s="8" t="n">
        <v>8.1</v>
      </c>
      <c r="H5" s="8" t="n">
        <v>8</v>
      </c>
      <c r="I5" s="9" t="n">
        <v>1208602</v>
      </c>
      <c r="J5" s="7"/>
      <c r="K5" s="7" t="s">
        <v>147</v>
      </c>
      <c r="L5" s="7" t="s">
        <v>131</v>
      </c>
      <c r="M5" s="10" t="s">
        <v>9705</v>
      </c>
      <c r="N5" s="7"/>
      <c r="O5" s="8" t="n">
        <v>14</v>
      </c>
      <c r="P5" s="8" t="n">
        <v>0</v>
      </c>
      <c r="Q5" s="8" t="n">
        <v>101</v>
      </c>
      <c r="R5" s="7"/>
      <c r="S5" s="7" t="s">
        <v>9706</v>
      </c>
    </row>
    <row r="6" customFormat="false" ht="15.75" hidden="false" customHeight="true" outlineLevel="0" collapsed="false">
      <c r="A6" s="7" t="s">
        <v>9707</v>
      </c>
      <c r="B6" s="8" t="n">
        <v>1994</v>
      </c>
      <c r="C6" s="8" t="n">
        <v>2004</v>
      </c>
      <c r="D6" s="8" t="s">
        <v>26</v>
      </c>
      <c r="E6" s="8" t="s">
        <v>9685</v>
      </c>
      <c r="F6" s="7" t="s">
        <v>9708</v>
      </c>
      <c r="G6" s="8" t="n">
        <v>8.8</v>
      </c>
      <c r="H6" s="8"/>
      <c r="I6" s="9" t="n">
        <v>1202980</v>
      </c>
      <c r="J6" s="7"/>
      <c r="K6" s="7" t="s">
        <v>29</v>
      </c>
      <c r="L6" s="7" t="s">
        <v>30</v>
      </c>
      <c r="M6" s="10" t="s">
        <v>9709</v>
      </c>
      <c r="N6" s="7"/>
      <c r="O6" s="8" t="n">
        <v>2</v>
      </c>
      <c r="P6" s="8" t="n">
        <v>0</v>
      </c>
      <c r="Q6" s="8" t="n">
        <v>20</v>
      </c>
      <c r="R6" s="7"/>
      <c r="S6" s="7" t="s">
        <v>9710</v>
      </c>
    </row>
    <row r="7" customFormat="false" ht="15.75" hidden="false" customHeight="true" outlineLevel="0" collapsed="false">
      <c r="A7" s="7" t="s">
        <v>9711</v>
      </c>
      <c r="B7" s="8" t="n">
        <v>2010</v>
      </c>
      <c r="C7" s="8" t="n">
        <v>2017</v>
      </c>
      <c r="D7" s="8" t="s">
        <v>176</v>
      </c>
      <c r="E7" s="8" t="s">
        <v>9685</v>
      </c>
      <c r="F7" s="7" t="s">
        <v>9712</v>
      </c>
      <c r="G7" s="8" t="n">
        <v>9</v>
      </c>
      <c r="H7" s="8" t="n">
        <v>7</v>
      </c>
      <c r="I7" s="9" t="n">
        <v>1096466</v>
      </c>
      <c r="J7" s="7"/>
      <c r="K7" s="7" t="s">
        <v>47</v>
      </c>
      <c r="L7" s="7" t="s">
        <v>54</v>
      </c>
      <c r="M7" s="10" t="s">
        <v>177</v>
      </c>
      <c r="N7" s="7"/>
      <c r="O7" s="8" t="n">
        <v>14</v>
      </c>
      <c r="P7" s="8" t="n">
        <v>0</v>
      </c>
      <c r="Q7" s="8" t="n">
        <v>69</v>
      </c>
      <c r="R7" s="7"/>
      <c r="S7" s="7" t="s">
        <v>9713</v>
      </c>
    </row>
    <row r="8" customFormat="false" ht="15.75" hidden="false" customHeight="true" outlineLevel="0" collapsed="false">
      <c r="A8" s="7" t="s">
        <v>9714</v>
      </c>
      <c r="B8" s="8" t="n">
        <v>2019</v>
      </c>
      <c r="C8" s="8" t="n">
        <v>2019</v>
      </c>
      <c r="D8" s="8" t="s">
        <v>176</v>
      </c>
      <c r="E8" s="8" t="s">
        <v>9715</v>
      </c>
      <c r="F8" s="7" t="s">
        <v>9716</v>
      </c>
      <c r="G8" s="8" t="n">
        <v>9.3</v>
      </c>
      <c r="H8" s="8" t="n">
        <v>8</v>
      </c>
      <c r="I8" s="9" t="n">
        <v>1056716</v>
      </c>
      <c r="J8" s="7"/>
      <c r="K8" s="7" t="s">
        <v>131</v>
      </c>
      <c r="L8" s="7" t="s">
        <v>453</v>
      </c>
      <c r="M8" s="10" t="s">
        <v>55</v>
      </c>
      <c r="N8" s="7"/>
      <c r="O8" s="8" t="n">
        <v>32</v>
      </c>
      <c r="P8" s="8" t="n">
        <v>1</v>
      </c>
      <c r="Q8" s="8" t="n">
        <v>49</v>
      </c>
      <c r="R8" s="7"/>
      <c r="S8" s="7" t="s">
        <v>9717</v>
      </c>
    </row>
    <row r="9" customFormat="false" ht="15.75" hidden="false" customHeight="true" outlineLevel="0" collapsed="false">
      <c r="A9" s="7" t="s">
        <v>9718</v>
      </c>
      <c r="B9" s="8" t="n">
        <v>2019</v>
      </c>
      <c r="C9" s="8" t="n">
        <v>2026</v>
      </c>
      <c r="D9" s="8" t="s">
        <v>176</v>
      </c>
      <c r="E9" s="8" t="s">
        <v>9685</v>
      </c>
      <c r="F9" s="7" t="s">
        <v>9719</v>
      </c>
      <c r="G9" s="8" t="n">
        <v>8.5</v>
      </c>
      <c r="H9" s="8" t="n">
        <v>9</v>
      </c>
      <c r="I9" s="9" t="n">
        <v>1017599</v>
      </c>
      <c r="J9" s="7"/>
      <c r="K9" s="7" t="s">
        <v>112</v>
      </c>
      <c r="L9" s="7" t="s">
        <v>54</v>
      </c>
      <c r="M9" s="10" t="s">
        <v>113</v>
      </c>
      <c r="N9" s="7"/>
      <c r="O9" s="8" t="n">
        <v>0</v>
      </c>
      <c r="P9" s="8" t="n">
        <v>0</v>
      </c>
      <c r="Q9" s="8" t="n">
        <v>41</v>
      </c>
      <c r="R9" s="7"/>
      <c r="S9" s="7" t="s">
        <v>9720</v>
      </c>
    </row>
    <row r="10" customFormat="false" ht="15.75" hidden="false" customHeight="true" outlineLevel="0" collapsed="false">
      <c r="A10" s="7" t="s">
        <v>9721</v>
      </c>
      <c r="B10" s="8" t="n">
        <v>2006</v>
      </c>
      <c r="C10" s="8" t="n">
        <v>2013</v>
      </c>
      <c r="D10" s="8" t="s">
        <v>35</v>
      </c>
      <c r="E10" s="8" t="s">
        <v>9685</v>
      </c>
      <c r="F10" s="7" t="s">
        <v>9722</v>
      </c>
      <c r="G10" s="8" t="n">
        <v>8.6</v>
      </c>
      <c r="H10" s="8"/>
      <c r="I10" s="9" t="n">
        <v>949478</v>
      </c>
      <c r="J10" s="7"/>
      <c r="K10" s="7" t="s">
        <v>47</v>
      </c>
      <c r="L10" s="7" t="s">
        <v>54</v>
      </c>
      <c r="M10" s="10" t="s">
        <v>5389</v>
      </c>
      <c r="N10" s="7"/>
      <c r="O10" s="8" t="n">
        <v>7</v>
      </c>
      <c r="P10" s="8" t="n">
        <v>0</v>
      </c>
      <c r="Q10" s="8" t="n">
        <v>68</v>
      </c>
      <c r="R10" s="7"/>
      <c r="S10" s="7" t="s">
        <v>9723</v>
      </c>
    </row>
    <row r="11" customFormat="false" ht="15.75" hidden="false" customHeight="true" outlineLevel="0" collapsed="false">
      <c r="A11" s="7" t="s">
        <v>9724</v>
      </c>
      <c r="B11" s="8" t="n">
        <v>2007</v>
      </c>
      <c r="C11" s="8" t="n">
        <v>2019</v>
      </c>
      <c r="D11" s="8" t="s">
        <v>35</v>
      </c>
      <c r="E11" s="8" t="s">
        <v>9685</v>
      </c>
      <c r="F11" s="7" t="s">
        <v>9725</v>
      </c>
      <c r="G11" s="8" t="n">
        <v>8.1</v>
      </c>
      <c r="H11" s="8"/>
      <c r="I11" s="9" t="n">
        <v>943333</v>
      </c>
      <c r="J11" s="7"/>
      <c r="K11" s="7" t="s">
        <v>29</v>
      </c>
      <c r="L11" s="7" t="s">
        <v>30</v>
      </c>
      <c r="M11" s="10" t="s">
        <v>4938</v>
      </c>
      <c r="N11" s="7"/>
      <c r="O11" s="8" t="n">
        <v>13</v>
      </c>
      <c r="P11" s="8" t="n">
        <v>0</v>
      </c>
      <c r="Q11" s="8" t="n">
        <v>130</v>
      </c>
      <c r="R11" s="7"/>
      <c r="S11" s="7" t="s">
        <v>9726</v>
      </c>
    </row>
    <row r="12" customFormat="false" ht="15.75" hidden="false" customHeight="true" outlineLevel="0" collapsed="false">
      <c r="A12" s="7" t="s">
        <v>9727</v>
      </c>
      <c r="B12" s="8" t="n">
        <v>2015</v>
      </c>
      <c r="C12" s="8" t="n">
        <v>2022</v>
      </c>
      <c r="D12" s="8" t="s">
        <v>176</v>
      </c>
      <c r="E12" s="8" t="s">
        <v>9685</v>
      </c>
      <c r="F12" s="7" t="s">
        <v>9728</v>
      </c>
      <c r="G12" s="8" t="n">
        <v>9</v>
      </c>
      <c r="H12" s="8" t="n">
        <v>9</v>
      </c>
      <c r="I12" s="9" t="n">
        <v>855649</v>
      </c>
      <c r="J12" s="7"/>
      <c r="K12" s="7" t="s">
        <v>47</v>
      </c>
      <c r="L12" s="7" t="s">
        <v>54</v>
      </c>
      <c r="M12" s="10" t="s">
        <v>238</v>
      </c>
      <c r="N12" s="7"/>
      <c r="O12" s="8" t="n">
        <v>0</v>
      </c>
      <c r="P12" s="8" t="n">
        <v>0</v>
      </c>
      <c r="Q12" s="8" t="n">
        <v>122</v>
      </c>
      <c r="R12" s="7"/>
      <c r="S12" s="7" t="s">
        <v>9729</v>
      </c>
    </row>
    <row r="13" customFormat="false" ht="15.75" hidden="false" customHeight="true" outlineLevel="0" collapsed="false">
      <c r="A13" s="7" t="s">
        <v>9730</v>
      </c>
      <c r="B13" s="8" t="n">
        <v>2005</v>
      </c>
      <c r="C13" s="8" t="n">
        <v>2013</v>
      </c>
      <c r="D13" s="8" t="s">
        <v>35</v>
      </c>
      <c r="E13" s="8" t="s">
        <v>9685</v>
      </c>
      <c r="F13" s="7" t="s">
        <v>9731</v>
      </c>
      <c r="G13" s="8" t="n">
        <v>9</v>
      </c>
      <c r="H13" s="8" t="n">
        <v>10</v>
      </c>
      <c r="I13" s="9" t="n">
        <v>844701</v>
      </c>
      <c r="J13" s="7"/>
      <c r="K13" s="7" t="s">
        <v>30</v>
      </c>
      <c r="L13" s="7"/>
      <c r="M13" s="10" t="s">
        <v>9732</v>
      </c>
      <c r="N13" s="7"/>
      <c r="O13" s="8" t="n">
        <v>6</v>
      </c>
      <c r="P13" s="8" t="n">
        <v>0</v>
      </c>
      <c r="Q13" s="8" t="n">
        <v>135</v>
      </c>
      <c r="R13" s="7"/>
      <c r="S13" s="7" t="s">
        <v>9733</v>
      </c>
    </row>
    <row r="14" customFormat="false" ht="15.75" hidden="false" customHeight="true" outlineLevel="0" collapsed="false">
      <c r="A14" s="7" t="s">
        <v>9734</v>
      </c>
      <c r="B14" s="8" t="n">
        <v>2013</v>
      </c>
      <c r="C14" s="8" t="n">
        <v>2022</v>
      </c>
      <c r="D14" s="8" t="s">
        <v>176</v>
      </c>
      <c r="E14" s="8" t="s">
        <v>9685</v>
      </c>
      <c r="F14" s="7" t="s">
        <v>9735</v>
      </c>
      <c r="G14" s="8" t="n">
        <v>8.7</v>
      </c>
      <c r="H14" s="8" t="n">
        <v>9</v>
      </c>
      <c r="I14" s="9" t="n">
        <v>788117</v>
      </c>
      <c r="J14" s="7"/>
      <c r="K14" s="7" t="s">
        <v>47</v>
      </c>
      <c r="L14" s="7" t="s">
        <v>54</v>
      </c>
      <c r="M14" s="10" t="s">
        <v>636</v>
      </c>
      <c r="N14" s="7"/>
      <c r="O14" s="8" t="n">
        <v>0</v>
      </c>
      <c r="P14" s="8" t="n">
        <v>0</v>
      </c>
      <c r="Q14" s="8" t="n">
        <v>0</v>
      </c>
      <c r="R14" s="7"/>
      <c r="S14" s="7" t="s">
        <v>9736</v>
      </c>
    </row>
    <row r="15" customFormat="false" ht="15.75" hidden="false" customHeight="true" outlineLevel="0" collapsed="false">
      <c r="A15" s="7" t="s">
        <v>9737</v>
      </c>
      <c r="B15" s="8" t="n">
        <v>2005</v>
      </c>
      <c r="C15" s="8" t="n">
        <v>2014</v>
      </c>
      <c r="D15" s="8" t="s">
        <v>35</v>
      </c>
      <c r="E15" s="8" t="s">
        <v>9685</v>
      </c>
      <c r="F15" s="7" t="s">
        <v>9738</v>
      </c>
      <c r="G15" s="8" t="n">
        <v>8.3</v>
      </c>
      <c r="H15" s="8" t="n">
        <v>8</v>
      </c>
      <c r="I15" s="9" t="n">
        <v>787329</v>
      </c>
      <c r="J15" s="7"/>
      <c r="K15" s="7" t="s">
        <v>29</v>
      </c>
      <c r="L15" s="7" t="s">
        <v>30</v>
      </c>
      <c r="M15" s="10" t="s">
        <v>177</v>
      </c>
      <c r="N15" s="7"/>
      <c r="O15" s="8" t="n">
        <v>10</v>
      </c>
      <c r="P15" s="8" t="n">
        <v>0</v>
      </c>
      <c r="Q15" s="8" t="n">
        <v>53</v>
      </c>
      <c r="R15" s="7"/>
      <c r="S15" s="7" t="s">
        <v>9739</v>
      </c>
    </row>
    <row r="16" customFormat="false" ht="15.75" hidden="false" customHeight="true" outlineLevel="0" collapsed="false">
      <c r="A16" s="7" t="s">
        <v>9740</v>
      </c>
      <c r="B16" s="8" t="n">
        <v>2021</v>
      </c>
      <c r="C16" s="8" t="n">
        <v>2025</v>
      </c>
      <c r="D16" s="8" t="s">
        <v>378</v>
      </c>
      <c r="E16" s="8" t="s">
        <v>9685</v>
      </c>
      <c r="F16" s="7" t="s">
        <v>4264</v>
      </c>
      <c r="G16" s="8" t="n">
        <v>7.9</v>
      </c>
      <c r="H16" s="8" t="n">
        <v>8</v>
      </c>
      <c r="I16" s="9" t="n">
        <v>772350</v>
      </c>
      <c r="J16" s="7"/>
      <c r="K16" s="7" t="s">
        <v>112</v>
      </c>
      <c r="L16" s="7" t="s">
        <v>54</v>
      </c>
      <c r="M16" s="10" t="s">
        <v>238</v>
      </c>
      <c r="N16" s="7"/>
      <c r="O16" s="8" t="n">
        <v>0</v>
      </c>
      <c r="P16" s="8" t="n">
        <v>0</v>
      </c>
      <c r="Q16" s="8" t="n">
        <v>0</v>
      </c>
      <c r="R16" s="7"/>
      <c r="S16" s="7" t="s">
        <v>9741</v>
      </c>
    </row>
    <row r="17" customFormat="false" ht="15.75" hidden="false" customHeight="true" outlineLevel="0" collapsed="false">
      <c r="A17" s="7" t="s">
        <v>9742</v>
      </c>
      <c r="B17" s="8" t="n">
        <v>2014</v>
      </c>
      <c r="C17" s="8"/>
      <c r="D17" s="8" t="s">
        <v>176</v>
      </c>
      <c r="E17" s="8" t="s">
        <v>9685</v>
      </c>
      <c r="F17" s="7" t="s">
        <v>9743</v>
      </c>
      <c r="G17" s="8" t="n">
        <v>8.8</v>
      </c>
      <c r="H17" s="8"/>
      <c r="I17" s="9" t="n">
        <v>765168</v>
      </c>
      <c r="J17" s="7"/>
      <c r="K17" s="7" t="s">
        <v>47</v>
      </c>
      <c r="L17" s="7" t="s">
        <v>54</v>
      </c>
      <c r="M17" s="10" t="s">
        <v>55</v>
      </c>
      <c r="N17" s="7"/>
      <c r="O17" s="8" t="n">
        <v>0</v>
      </c>
      <c r="P17" s="8" t="n">
        <v>0</v>
      </c>
      <c r="Q17" s="8" t="n">
        <v>37</v>
      </c>
      <c r="R17" s="7"/>
      <c r="S17" s="7" t="s">
        <v>9744</v>
      </c>
    </row>
    <row r="18" customFormat="false" ht="15.75" hidden="false" customHeight="true" outlineLevel="0" collapsed="false">
      <c r="A18" s="7" t="s">
        <v>9745</v>
      </c>
      <c r="B18" s="8" t="n">
        <v>2023</v>
      </c>
      <c r="C18" s="8"/>
      <c r="D18" s="8" t="s">
        <v>378</v>
      </c>
      <c r="E18" s="8" t="s">
        <v>9685</v>
      </c>
      <c r="F18" s="7" t="s">
        <v>9746</v>
      </c>
      <c r="G18" s="8" t="n">
        <v>8.4</v>
      </c>
      <c r="H18" s="8" t="n">
        <v>8</v>
      </c>
      <c r="I18" s="9" t="n">
        <v>746592</v>
      </c>
      <c r="J18" s="7"/>
      <c r="K18" s="7" t="s">
        <v>112</v>
      </c>
      <c r="L18" s="7" t="s">
        <v>39</v>
      </c>
      <c r="M18" s="7"/>
      <c r="N18" s="7"/>
      <c r="O18" s="8" t="n">
        <v>0</v>
      </c>
      <c r="P18" s="8" t="n">
        <v>0</v>
      </c>
      <c r="Q18" s="8" t="n">
        <v>0</v>
      </c>
      <c r="R18" s="7"/>
      <c r="S18" s="7"/>
    </row>
    <row r="19" customFormat="false" ht="15.75" hidden="false" customHeight="true" outlineLevel="0" collapsed="false">
      <c r="A19" s="7" t="s">
        <v>9747</v>
      </c>
      <c r="B19" s="8" t="n">
        <v>2011</v>
      </c>
      <c r="C19" s="8"/>
      <c r="D19" s="8" t="s">
        <v>176</v>
      </c>
      <c r="E19" s="8" t="s">
        <v>9685</v>
      </c>
      <c r="F19" s="7" t="s">
        <v>9748</v>
      </c>
      <c r="G19" s="8" t="n">
        <v>8.7</v>
      </c>
      <c r="H19" s="8" t="n">
        <v>9</v>
      </c>
      <c r="I19" s="9" t="n">
        <v>745407</v>
      </c>
      <c r="J19" s="7"/>
      <c r="K19" s="7" t="s">
        <v>47</v>
      </c>
      <c r="L19" s="7" t="s">
        <v>54</v>
      </c>
      <c r="M19" s="10" t="s">
        <v>238</v>
      </c>
      <c r="N19" s="7"/>
      <c r="O19" s="8" t="n">
        <v>0</v>
      </c>
      <c r="P19" s="8" t="n">
        <v>0</v>
      </c>
      <c r="Q19" s="8" t="n">
        <v>1</v>
      </c>
      <c r="R19" s="7"/>
      <c r="S19" s="7" t="s">
        <v>9749</v>
      </c>
    </row>
    <row r="20" customFormat="false" ht="15.75" hidden="false" customHeight="true" outlineLevel="0" collapsed="false">
      <c r="A20" s="7" t="s">
        <v>9750</v>
      </c>
      <c r="B20" s="8" t="n">
        <v>2013</v>
      </c>
      <c r="C20" s="8" t="n">
        <v>2023</v>
      </c>
      <c r="D20" s="8" t="s">
        <v>176</v>
      </c>
      <c r="E20" s="8" t="s">
        <v>9685</v>
      </c>
      <c r="F20" s="7" t="s">
        <v>4336</v>
      </c>
      <c r="G20" s="8" t="n">
        <v>9.1</v>
      </c>
      <c r="H20" s="8"/>
      <c r="I20" s="9" t="n">
        <v>737873</v>
      </c>
      <c r="J20" s="7"/>
      <c r="K20" s="7" t="s">
        <v>579</v>
      </c>
      <c r="L20" s="7" t="s">
        <v>112</v>
      </c>
      <c r="M20" s="10" t="s">
        <v>9751</v>
      </c>
      <c r="N20" s="7"/>
      <c r="O20" s="8" t="n">
        <v>0</v>
      </c>
      <c r="P20" s="8" t="n">
        <v>0</v>
      </c>
      <c r="Q20" s="8" t="n">
        <v>0</v>
      </c>
      <c r="R20" s="7"/>
      <c r="S20" s="7" t="s">
        <v>9752</v>
      </c>
    </row>
    <row r="21" customFormat="false" ht="15.75" hidden="false" customHeight="true" outlineLevel="0" collapsed="false">
      <c r="A21" s="7" t="s">
        <v>9753</v>
      </c>
      <c r="B21" s="8" t="n">
        <v>2013</v>
      </c>
      <c r="C21" s="8"/>
      <c r="D21" s="8" t="s">
        <v>176</v>
      </c>
      <c r="E21" s="8" t="s">
        <v>9685</v>
      </c>
      <c r="F21" s="7" t="s">
        <v>9754</v>
      </c>
      <c r="G21" s="8" t="n">
        <v>9</v>
      </c>
      <c r="H21" s="8"/>
      <c r="I21" s="9" t="n">
        <v>707560</v>
      </c>
      <c r="J21" s="7"/>
      <c r="K21" s="7" t="s">
        <v>579</v>
      </c>
      <c r="L21" s="7" t="s">
        <v>39</v>
      </c>
      <c r="M21" s="10" t="s">
        <v>5649</v>
      </c>
      <c r="N21" s="7"/>
      <c r="O21" s="8" t="n">
        <v>37</v>
      </c>
      <c r="P21" s="8" t="n">
        <v>0</v>
      </c>
      <c r="Q21" s="8" t="n">
        <v>41</v>
      </c>
      <c r="R21" s="7"/>
      <c r="S21" s="7" t="s">
        <v>9755</v>
      </c>
    </row>
    <row r="22" customFormat="false" ht="15.75" hidden="false" customHeight="true" outlineLevel="0" collapsed="false">
      <c r="A22" s="7" t="s">
        <v>9756</v>
      </c>
      <c r="B22" s="8" t="n">
        <v>2004</v>
      </c>
      <c r="C22" s="8" t="n">
        <v>2010</v>
      </c>
      <c r="D22" s="8" t="s">
        <v>35</v>
      </c>
      <c r="E22" s="8" t="s">
        <v>9685</v>
      </c>
      <c r="F22" s="7" t="s">
        <v>9757</v>
      </c>
      <c r="G22" s="8" t="n">
        <v>8.3</v>
      </c>
      <c r="H22" s="8" t="n">
        <v>9</v>
      </c>
      <c r="I22" s="9" t="n">
        <v>679064</v>
      </c>
      <c r="J22" s="7"/>
      <c r="K22" s="7" t="s">
        <v>38</v>
      </c>
      <c r="L22" s="7" t="s">
        <v>39</v>
      </c>
      <c r="M22" s="10" t="s">
        <v>177</v>
      </c>
      <c r="N22" s="7"/>
      <c r="O22" s="8" t="n">
        <v>9</v>
      </c>
      <c r="P22" s="8" t="n">
        <v>0</v>
      </c>
      <c r="Q22" s="8" t="n">
        <v>127</v>
      </c>
      <c r="R22" s="7"/>
      <c r="S22" s="7" t="s">
        <v>9758</v>
      </c>
    </row>
    <row r="23" customFormat="false" ht="15.75" hidden="false" customHeight="true" outlineLevel="0" collapsed="false">
      <c r="A23" s="7" t="s">
        <v>9759</v>
      </c>
      <c r="B23" s="8" t="n">
        <v>2005</v>
      </c>
      <c r="C23" s="8" t="n">
        <v>2017</v>
      </c>
      <c r="D23" s="8" t="s">
        <v>35</v>
      </c>
      <c r="E23" s="8" t="s">
        <v>9685</v>
      </c>
      <c r="F23" s="7" t="s">
        <v>9760</v>
      </c>
      <c r="G23" s="8" t="n">
        <v>8.3</v>
      </c>
      <c r="H23" s="8"/>
      <c r="I23" s="9" t="n">
        <v>676791</v>
      </c>
      <c r="J23" s="7"/>
      <c r="K23" s="7" t="s">
        <v>112</v>
      </c>
      <c r="L23" s="7" t="s">
        <v>54</v>
      </c>
      <c r="M23" s="10" t="s">
        <v>177</v>
      </c>
      <c r="N23" s="7"/>
      <c r="O23" s="8" t="n">
        <v>0</v>
      </c>
      <c r="P23" s="8" t="n">
        <v>0</v>
      </c>
      <c r="Q23" s="8" t="n">
        <v>0</v>
      </c>
      <c r="R23" s="7"/>
      <c r="S23" s="7" t="s">
        <v>9761</v>
      </c>
    </row>
    <row r="24" customFormat="false" ht="15.75" hidden="false" customHeight="true" outlineLevel="0" collapsed="false">
      <c r="A24" s="7" t="s">
        <v>9762</v>
      </c>
      <c r="B24" s="8" t="n">
        <v>2020</v>
      </c>
      <c r="C24" s="8" t="n">
        <v>2020</v>
      </c>
      <c r="D24" s="8" t="s">
        <v>378</v>
      </c>
      <c r="E24" s="8" t="s">
        <v>9715</v>
      </c>
      <c r="F24" s="7" t="s">
        <v>7895</v>
      </c>
      <c r="G24" s="8" t="n">
        <v>8.5</v>
      </c>
      <c r="H24" s="8" t="n">
        <v>6</v>
      </c>
      <c r="I24" s="9" t="n">
        <v>674068</v>
      </c>
      <c r="J24" s="7"/>
      <c r="K24" s="7" t="s">
        <v>47</v>
      </c>
      <c r="L24" s="7"/>
      <c r="M24" s="10" t="s">
        <v>238</v>
      </c>
      <c r="N24" s="7"/>
      <c r="O24" s="8" t="n">
        <v>34</v>
      </c>
      <c r="P24" s="8" t="n">
        <v>0</v>
      </c>
      <c r="Q24" s="8" t="n">
        <v>44</v>
      </c>
      <c r="R24" s="7"/>
      <c r="S24" s="7" t="s">
        <v>9763</v>
      </c>
    </row>
    <row r="25" customFormat="false" ht="15.75" hidden="false" customHeight="true" outlineLevel="0" collapsed="false">
      <c r="A25" s="7" t="s">
        <v>9764</v>
      </c>
      <c r="B25" s="8" t="n">
        <v>2019</v>
      </c>
      <c r="C25" s="8" t="n">
        <v>2023</v>
      </c>
      <c r="D25" s="8" t="s">
        <v>176</v>
      </c>
      <c r="E25" s="8" t="s">
        <v>9685</v>
      </c>
      <c r="F25" s="7" t="s">
        <v>9765</v>
      </c>
      <c r="G25" s="8" t="n">
        <v>8.6</v>
      </c>
      <c r="H25" s="8" t="n">
        <v>10</v>
      </c>
      <c r="I25" s="9" t="n">
        <v>663211</v>
      </c>
      <c r="J25" s="7"/>
      <c r="K25" s="7" t="s">
        <v>38</v>
      </c>
      <c r="L25" s="7" t="s">
        <v>112</v>
      </c>
      <c r="M25" s="10" t="s">
        <v>177</v>
      </c>
      <c r="N25" s="7"/>
      <c r="O25" s="8" t="n">
        <v>54</v>
      </c>
      <c r="P25" s="8" t="n">
        <v>0</v>
      </c>
      <c r="Q25" s="8" t="n">
        <v>116</v>
      </c>
      <c r="R25" s="7"/>
      <c r="S25" s="7" t="s">
        <v>9766</v>
      </c>
    </row>
    <row r="26" customFormat="false" ht="15.75" hidden="false" customHeight="true" outlineLevel="0" collapsed="false">
      <c r="A26" s="7" t="s">
        <v>9767</v>
      </c>
      <c r="B26" s="8" t="n">
        <v>2013</v>
      </c>
      <c r="C26" s="8" t="n">
        <v>2020</v>
      </c>
      <c r="D26" s="8" t="s">
        <v>176</v>
      </c>
      <c r="E26" s="8" t="s">
        <v>9685</v>
      </c>
      <c r="F26" s="7" t="s">
        <v>9768</v>
      </c>
      <c r="G26" s="8" t="n">
        <v>8.5</v>
      </c>
      <c r="H26" s="8" t="n">
        <v>8</v>
      </c>
      <c r="I26" s="9" t="n">
        <v>647472</v>
      </c>
      <c r="J26" s="7"/>
      <c r="K26" s="7" t="s">
        <v>112</v>
      </c>
      <c r="L26" s="7" t="s">
        <v>39</v>
      </c>
      <c r="M26" s="10" t="s">
        <v>238</v>
      </c>
      <c r="N26" s="7"/>
      <c r="O26" s="8" t="n">
        <v>9</v>
      </c>
      <c r="P26" s="8" t="n">
        <v>0</v>
      </c>
      <c r="Q26" s="8" t="n">
        <v>93</v>
      </c>
      <c r="R26" s="7"/>
      <c r="S26" s="7" t="s">
        <v>9769</v>
      </c>
    </row>
    <row r="27" customFormat="false" ht="15.75" hidden="false" customHeight="true" outlineLevel="0" collapsed="false">
      <c r="A27" s="7" t="s">
        <v>9770</v>
      </c>
      <c r="B27" s="8" t="n">
        <v>2019</v>
      </c>
      <c r="C27" s="8"/>
      <c r="D27" s="8" t="s">
        <v>176</v>
      </c>
      <c r="E27" s="8" t="s">
        <v>9685</v>
      </c>
      <c r="F27" s="7" t="s">
        <v>9771</v>
      </c>
      <c r="G27" s="8" t="n">
        <v>7.8</v>
      </c>
      <c r="H27" s="8" t="n">
        <v>7</v>
      </c>
      <c r="I27" s="9" t="n">
        <v>623459</v>
      </c>
      <c r="J27" s="7"/>
      <c r="K27" s="7" t="s">
        <v>112</v>
      </c>
      <c r="L27" s="7" t="s">
        <v>39</v>
      </c>
      <c r="M27" s="10" t="s">
        <v>238</v>
      </c>
      <c r="N27" s="7"/>
      <c r="O27" s="8" t="n">
        <v>0</v>
      </c>
      <c r="P27" s="8" t="n">
        <v>0</v>
      </c>
      <c r="Q27" s="8" t="n">
        <v>0</v>
      </c>
      <c r="R27" s="7"/>
      <c r="S27" s="7" t="s">
        <v>9772</v>
      </c>
    </row>
    <row r="28" customFormat="false" ht="15.75" hidden="false" customHeight="true" outlineLevel="0" collapsed="false">
      <c r="A28" s="7" t="s">
        <v>9773</v>
      </c>
      <c r="B28" s="8" t="n">
        <v>2017</v>
      </c>
      <c r="C28" s="8" t="n">
        <v>2021</v>
      </c>
      <c r="D28" s="8" t="s">
        <v>176</v>
      </c>
      <c r="E28" s="8" t="s">
        <v>9685</v>
      </c>
      <c r="F28" s="7" t="s">
        <v>9774</v>
      </c>
      <c r="G28" s="8" t="n">
        <v>8.2</v>
      </c>
      <c r="H28" s="8"/>
      <c r="I28" s="9" t="n">
        <v>615958</v>
      </c>
      <c r="J28" s="7"/>
      <c r="K28" s="7" t="s">
        <v>112</v>
      </c>
      <c r="L28" s="7" t="s">
        <v>54</v>
      </c>
      <c r="M28" s="10" t="s">
        <v>6886</v>
      </c>
      <c r="N28" s="7"/>
      <c r="O28" s="8" t="n">
        <v>0</v>
      </c>
      <c r="P28" s="8" t="n">
        <v>0</v>
      </c>
      <c r="Q28" s="8" t="n">
        <v>0</v>
      </c>
      <c r="R28" s="7"/>
      <c r="S28" s="7" t="s">
        <v>9775</v>
      </c>
    </row>
    <row r="29" customFormat="false" ht="15.75" hidden="false" customHeight="true" outlineLevel="0" collapsed="false">
      <c r="A29" s="7" t="s">
        <v>9776</v>
      </c>
      <c r="B29" s="8" t="n">
        <v>2001</v>
      </c>
      <c r="C29" s="8" t="n">
        <v>2001</v>
      </c>
      <c r="D29" s="8" t="s">
        <v>35</v>
      </c>
      <c r="E29" s="8" t="s">
        <v>9715</v>
      </c>
      <c r="F29" s="7" t="s">
        <v>9777</v>
      </c>
      <c r="G29" s="8" t="n">
        <v>9.4</v>
      </c>
      <c r="H29" s="8" t="n">
        <v>10</v>
      </c>
      <c r="I29" s="9" t="n">
        <v>601272</v>
      </c>
      <c r="J29" s="7"/>
      <c r="K29" s="7" t="s">
        <v>112</v>
      </c>
      <c r="L29" s="7" t="s">
        <v>453</v>
      </c>
      <c r="M29" s="10" t="s">
        <v>2609</v>
      </c>
      <c r="N29" s="7"/>
      <c r="O29" s="8" t="n">
        <v>0</v>
      </c>
      <c r="P29" s="8" t="n">
        <v>0</v>
      </c>
      <c r="Q29" s="8" t="n">
        <v>0</v>
      </c>
      <c r="R29" s="7"/>
      <c r="S29" s="7" t="s">
        <v>9778</v>
      </c>
    </row>
    <row r="30" customFormat="false" ht="15.75" hidden="false" customHeight="true" outlineLevel="0" collapsed="false">
      <c r="A30" s="7" t="s">
        <v>9779</v>
      </c>
      <c r="B30" s="8" t="n">
        <v>2004</v>
      </c>
      <c r="C30" s="8" t="n">
        <v>2012</v>
      </c>
      <c r="D30" s="8" t="s">
        <v>35</v>
      </c>
      <c r="E30" s="8" t="s">
        <v>9685</v>
      </c>
      <c r="F30" s="7" t="s">
        <v>9780</v>
      </c>
      <c r="G30" s="8" t="n">
        <v>8.7</v>
      </c>
      <c r="H30" s="8"/>
      <c r="I30" s="9" t="n">
        <v>598198</v>
      </c>
      <c r="J30" s="7"/>
      <c r="K30" s="7" t="s">
        <v>47</v>
      </c>
      <c r="L30" s="7"/>
      <c r="M30" s="10" t="s">
        <v>5389</v>
      </c>
      <c r="N30" s="7"/>
      <c r="O30" s="8" t="n">
        <v>11</v>
      </c>
      <c r="P30" s="8" t="n">
        <v>0</v>
      </c>
      <c r="Q30" s="8" t="n">
        <v>82</v>
      </c>
      <c r="R30" s="7"/>
      <c r="S30" s="7" t="s">
        <v>9781</v>
      </c>
    </row>
    <row r="31" customFormat="false" ht="15.75" hidden="false" customHeight="true" outlineLevel="0" collapsed="false">
      <c r="A31" s="7" t="s">
        <v>9782</v>
      </c>
      <c r="B31" s="8" t="n">
        <v>1999</v>
      </c>
      <c r="C31" s="8" t="n">
        <v>2007</v>
      </c>
      <c r="D31" s="8" t="s">
        <v>26</v>
      </c>
      <c r="E31" s="8" t="s">
        <v>9685</v>
      </c>
      <c r="F31" s="7" t="s">
        <v>9783</v>
      </c>
      <c r="G31" s="8" t="n">
        <v>9.2</v>
      </c>
      <c r="H31" s="8"/>
      <c r="I31" s="9" t="n">
        <v>591163</v>
      </c>
      <c r="J31" s="7"/>
      <c r="K31" s="7" t="s">
        <v>47</v>
      </c>
      <c r="L31" s="7" t="s">
        <v>54</v>
      </c>
      <c r="M31" s="10" t="s">
        <v>55</v>
      </c>
      <c r="N31" s="7"/>
      <c r="O31" s="8" t="n">
        <v>25</v>
      </c>
      <c r="P31" s="8" t="n">
        <v>1</v>
      </c>
      <c r="Q31" s="8" t="n">
        <v>47</v>
      </c>
      <c r="R31" s="7"/>
      <c r="S31" s="7" t="s">
        <v>9784</v>
      </c>
    </row>
    <row r="32" customFormat="false" ht="15.75" hidden="false" customHeight="true" outlineLevel="0" collapsed="false">
      <c r="A32" s="7" t="s">
        <v>9785</v>
      </c>
      <c r="B32" s="8" t="n">
        <v>2013</v>
      </c>
      <c r="C32" s="8" t="n">
        <v>2018</v>
      </c>
      <c r="D32" s="8" t="s">
        <v>176</v>
      </c>
      <c r="E32" s="8" t="s">
        <v>9685</v>
      </c>
      <c r="F32" s="7" t="s">
        <v>9786</v>
      </c>
      <c r="G32" s="8" t="n">
        <v>8.6</v>
      </c>
      <c r="H32" s="8" t="n">
        <v>9</v>
      </c>
      <c r="I32" s="9" t="n">
        <v>562047</v>
      </c>
      <c r="J32" s="7"/>
      <c r="K32" s="7" t="s">
        <v>131</v>
      </c>
      <c r="L32" s="7" t="s">
        <v>47</v>
      </c>
      <c r="M32" s="10" t="s">
        <v>238</v>
      </c>
      <c r="N32" s="7"/>
      <c r="O32" s="8" t="n">
        <v>7</v>
      </c>
      <c r="P32" s="8" t="n">
        <v>0</v>
      </c>
      <c r="Q32" s="8" t="n">
        <v>119</v>
      </c>
      <c r="R32" s="7"/>
      <c r="S32" s="7" t="s">
        <v>9787</v>
      </c>
    </row>
    <row r="33" customFormat="false" ht="15.75" hidden="false" customHeight="true" outlineLevel="0" collapsed="false">
      <c r="A33" s="7" t="s">
        <v>9788</v>
      </c>
      <c r="B33" s="8" t="n">
        <v>2022</v>
      </c>
      <c r="C33" s="8"/>
      <c r="D33" s="8" t="s">
        <v>378</v>
      </c>
      <c r="E33" s="8" t="s">
        <v>9685</v>
      </c>
      <c r="F33" s="7" t="s">
        <v>9789</v>
      </c>
      <c r="G33" s="8" t="n">
        <v>8.3</v>
      </c>
      <c r="H33" s="8" t="n">
        <v>8</v>
      </c>
      <c r="I33" s="9" t="n">
        <v>560835</v>
      </c>
      <c r="J33" s="7"/>
      <c r="K33" s="7" t="s">
        <v>112</v>
      </c>
      <c r="L33" s="7" t="s">
        <v>39</v>
      </c>
      <c r="M33" s="10" t="s">
        <v>55</v>
      </c>
      <c r="N33" s="7"/>
      <c r="O33" s="8" t="n">
        <v>0</v>
      </c>
      <c r="P33" s="8" t="n">
        <v>0</v>
      </c>
      <c r="Q33" s="8" t="n">
        <v>0</v>
      </c>
      <c r="R33" s="7"/>
      <c r="S33" s="7" t="s">
        <v>9790</v>
      </c>
    </row>
    <row r="34" customFormat="false" ht="15.75" hidden="false" customHeight="true" outlineLevel="0" collapsed="false">
      <c r="A34" s="7" t="s">
        <v>9791</v>
      </c>
      <c r="B34" s="8" t="n">
        <v>2016</v>
      </c>
      <c r="C34" s="8" t="n">
        <v>2022</v>
      </c>
      <c r="D34" s="8" t="s">
        <v>176</v>
      </c>
      <c r="E34" s="8" t="s">
        <v>9685</v>
      </c>
      <c r="F34" s="7" t="s">
        <v>9792</v>
      </c>
      <c r="G34" s="8" t="n">
        <v>8.4</v>
      </c>
      <c r="H34" s="8"/>
      <c r="I34" s="9" t="n">
        <v>560086</v>
      </c>
      <c r="J34" s="7"/>
      <c r="K34" s="7" t="s">
        <v>111</v>
      </c>
      <c r="L34" s="7" t="s">
        <v>125</v>
      </c>
      <c r="M34" s="10"/>
      <c r="N34" s="7"/>
      <c r="O34" s="8" t="n">
        <v>41</v>
      </c>
      <c r="P34" s="8" t="n">
        <v>0</v>
      </c>
      <c r="Q34" s="8" t="n">
        <v>207</v>
      </c>
      <c r="R34" s="7"/>
      <c r="S34" s="7" t="s">
        <v>9793</v>
      </c>
    </row>
    <row r="35" customFormat="false" ht="15.75" hidden="false" customHeight="true" outlineLevel="0" collapsed="false">
      <c r="A35" s="7" t="s">
        <v>9794</v>
      </c>
      <c r="B35" s="8" t="n">
        <v>2017</v>
      </c>
      <c r="C35" s="8" t="n">
        <v>2020</v>
      </c>
      <c r="D35" s="8" t="s">
        <v>176</v>
      </c>
      <c r="E35" s="8" t="s">
        <v>9685</v>
      </c>
      <c r="F35" s="7" t="s">
        <v>9795</v>
      </c>
      <c r="G35" s="8" t="n">
        <v>8.7</v>
      </c>
      <c r="H35" s="8"/>
      <c r="I35" s="9" t="n">
        <v>557436</v>
      </c>
      <c r="J35" s="7"/>
      <c r="K35" s="7" t="s">
        <v>47</v>
      </c>
      <c r="L35" s="7" t="s">
        <v>54</v>
      </c>
      <c r="M35" s="10" t="s">
        <v>238</v>
      </c>
      <c r="N35" s="7"/>
      <c r="O35" s="8" t="n">
        <v>0</v>
      </c>
      <c r="P35" s="8" t="n">
        <v>0</v>
      </c>
      <c r="Q35" s="8" t="n">
        <v>0</v>
      </c>
      <c r="R35" s="7"/>
      <c r="S35" s="7" t="s">
        <v>9796</v>
      </c>
    </row>
    <row r="36" customFormat="false" ht="15.75" hidden="false" customHeight="true" outlineLevel="0" collapsed="false">
      <c r="A36" s="7" t="s">
        <v>9797</v>
      </c>
      <c r="B36" s="8" t="n">
        <v>2011</v>
      </c>
      <c r="C36" s="8" t="n">
        <v>2019</v>
      </c>
      <c r="D36" s="8" t="s">
        <v>176</v>
      </c>
      <c r="E36" s="8" t="s">
        <v>9685</v>
      </c>
      <c r="F36" s="7" t="s">
        <v>9798</v>
      </c>
      <c r="G36" s="8" t="n">
        <v>8.4</v>
      </c>
      <c r="H36" s="8"/>
      <c r="I36" s="9" t="n">
        <v>546718</v>
      </c>
      <c r="J36" s="7"/>
      <c r="K36" s="7" t="s">
        <v>30</v>
      </c>
      <c r="L36" s="7" t="s">
        <v>47</v>
      </c>
      <c r="M36" s="10" t="s">
        <v>5302</v>
      </c>
      <c r="N36" s="7"/>
      <c r="O36" s="8" t="n">
        <v>0</v>
      </c>
      <c r="P36" s="8" t="n">
        <v>0</v>
      </c>
      <c r="Q36" s="8" t="n">
        <v>0</v>
      </c>
      <c r="R36" s="7"/>
      <c r="S36" s="7" t="s">
        <v>9799</v>
      </c>
    </row>
    <row r="37" customFormat="false" ht="15.75" hidden="false" customHeight="true" outlineLevel="0" collapsed="false">
      <c r="A37" s="7" t="s">
        <v>9800</v>
      </c>
      <c r="B37" s="8" t="n">
        <v>2005</v>
      </c>
      <c r="C37" s="8" t="n">
        <v>2020</v>
      </c>
      <c r="D37" s="8" t="s">
        <v>35</v>
      </c>
      <c r="E37" s="8" t="s">
        <v>9685</v>
      </c>
      <c r="F37" s="7" t="s">
        <v>9801</v>
      </c>
      <c r="G37" s="8" t="n">
        <v>8.4</v>
      </c>
      <c r="H37" s="8"/>
      <c r="I37" s="9" t="n">
        <v>545519</v>
      </c>
      <c r="J37" s="7"/>
      <c r="K37" s="7" t="s">
        <v>147</v>
      </c>
      <c r="L37" s="7" t="s">
        <v>38</v>
      </c>
      <c r="M37" s="10" t="s">
        <v>69</v>
      </c>
      <c r="N37" s="7"/>
      <c r="O37" s="8" t="n">
        <v>0</v>
      </c>
      <c r="P37" s="8" t="n">
        <v>0</v>
      </c>
      <c r="Q37" s="8" t="n">
        <v>10</v>
      </c>
      <c r="R37" s="7"/>
      <c r="S37" s="7" t="s">
        <v>9802</v>
      </c>
    </row>
    <row r="38" customFormat="false" ht="15.75" hidden="false" customHeight="true" outlineLevel="0" collapsed="false">
      <c r="A38" s="7" t="s">
        <v>9803</v>
      </c>
      <c r="B38" s="8" t="n">
        <v>2009</v>
      </c>
      <c r="C38" s="8" t="n">
        <v>2020</v>
      </c>
      <c r="D38" s="8" t="s">
        <v>35</v>
      </c>
      <c r="E38" s="8" t="s">
        <v>9685</v>
      </c>
      <c r="F38" s="7" t="s">
        <v>9804</v>
      </c>
      <c r="G38" s="8" t="n">
        <v>8.5</v>
      </c>
      <c r="H38" s="8" t="n">
        <v>8</v>
      </c>
      <c r="I38" s="9" t="n">
        <v>545098</v>
      </c>
      <c r="J38" s="7"/>
      <c r="K38" s="7" t="s">
        <v>29</v>
      </c>
      <c r="L38" s="7" t="s">
        <v>30</v>
      </c>
      <c r="M38" s="10" t="s">
        <v>177</v>
      </c>
      <c r="N38" s="7"/>
      <c r="O38" s="8" t="n">
        <v>71</v>
      </c>
      <c r="P38" s="8" t="n">
        <v>1</v>
      </c>
      <c r="Q38" s="8" t="n">
        <v>162</v>
      </c>
      <c r="R38" s="7"/>
      <c r="S38" s="7" t="s">
        <v>9805</v>
      </c>
    </row>
    <row r="39" customFormat="false" ht="15.75" hidden="false" customHeight="true" outlineLevel="0" collapsed="false">
      <c r="A39" s="7" t="s">
        <v>5890</v>
      </c>
      <c r="B39" s="8" t="n">
        <v>2015</v>
      </c>
      <c r="C39" s="8" t="n">
        <v>2018</v>
      </c>
      <c r="D39" s="8" t="s">
        <v>176</v>
      </c>
      <c r="E39" s="8" t="s">
        <v>9685</v>
      </c>
      <c r="F39" s="7" t="s">
        <v>9806</v>
      </c>
      <c r="G39" s="8" t="n">
        <v>8.6</v>
      </c>
      <c r="H39" s="8"/>
      <c r="I39" s="9" t="n">
        <v>538914</v>
      </c>
      <c r="J39" s="7"/>
      <c r="K39" s="7" t="s">
        <v>112</v>
      </c>
      <c r="L39" s="7" t="s">
        <v>54</v>
      </c>
      <c r="M39" s="10" t="s">
        <v>177</v>
      </c>
      <c r="N39" s="7"/>
      <c r="O39" s="8" t="n">
        <v>0</v>
      </c>
      <c r="P39" s="8" t="n">
        <v>0</v>
      </c>
      <c r="Q39" s="8" t="n">
        <v>0</v>
      </c>
      <c r="R39" s="7"/>
      <c r="S39" s="7" t="s">
        <v>9807</v>
      </c>
    </row>
    <row r="40" customFormat="false" ht="15.75" hidden="false" customHeight="true" outlineLevel="0" collapsed="false">
      <c r="A40" s="7" t="s">
        <v>9808</v>
      </c>
      <c r="B40" s="8" t="n">
        <v>2015</v>
      </c>
      <c r="C40" s="8" t="n">
        <v>2017</v>
      </c>
      <c r="D40" s="8" t="s">
        <v>176</v>
      </c>
      <c r="E40" s="8" t="s">
        <v>9685</v>
      </c>
      <c r="F40" s="7" t="s">
        <v>9809</v>
      </c>
      <c r="G40" s="8" t="n">
        <v>8.7</v>
      </c>
      <c r="H40" s="8" t="n">
        <v>8</v>
      </c>
      <c r="I40" s="9" t="n">
        <v>533791</v>
      </c>
      <c r="J40" s="7"/>
      <c r="K40" s="7" t="s">
        <v>47</v>
      </c>
      <c r="L40" s="7" t="s">
        <v>54</v>
      </c>
      <c r="M40" s="10" t="s">
        <v>238</v>
      </c>
      <c r="N40" s="7"/>
      <c r="O40" s="8" t="n">
        <v>0</v>
      </c>
      <c r="P40" s="8" t="n">
        <v>0</v>
      </c>
      <c r="Q40" s="8" t="n">
        <v>6</v>
      </c>
      <c r="R40" s="7"/>
      <c r="S40" s="7" t="s">
        <v>9810</v>
      </c>
    </row>
    <row r="41" customFormat="false" ht="15.75" hidden="false" customHeight="true" outlineLevel="0" collapsed="false">
      <c r="A41" s="7" t="s">
        <v>9811</v>
      </c>
      <c r="B41" s="8" t="n">
        <v>2022</v>
      </c>
      <c r="C41" s="8"/>
      <c r="D41" s="8" t="s">
        <v>378</v>
      </c>
      <c r="E41" s="8" t="s">
        <v>9685</v>
      </c>
      <c r="F41" s="7" t="s">
        <v>9812</v>
      </c>
      <c r="G41" s="8" t="n">
        <v>8</v>
      </c>
      <c r="H41" s="8"/>
      <c r="I41" s="9" t="n">
        <v>505938</v>
      </c>
      <c r="J41" s="7"/>
      <c r="K41" s="7" t="s">
        <v>38</v>
      </c>
      <c r="L41" s="7" t="s">
        <v>54</v>
      </c>
      <c r="M41" s="10" t="s">
        <v>238</v>
      </c>
      <c r="N41" s="7"/>
      <c r="O41" s="8" t="n">
        <v>0</v>
      </c>
      <c r="P41" s="8" t="n">
        <v>0</v>
      </c>
      <c r="Q41" s="8" t="n">
        <v>0</v>
      </c>
      <c r="R41" s="7"/>
      <c r="S41" s="7" t="s">
        <v>9813</v>
      </c>
    </row>
    <row r="42" customFormat="false" ht="15.75" hidden="false" customHeight="true" outlineLevel="0" collapsed="false">
      <c r="A42" s="7" t="s">
        <v>9814</v>
      </c>
      <c r="B42" s="8" t="n">
        <v>2006</v>
      </c>
      <c r="C42" s="8" t="n">
        <v>2007</v>
      </c>
      <c r="D42" s="8" t="s">
        <v>35</v>
      </c>
      <c r="E42" s="8" t="s">
        <v>9685</v>
      </c>
      <c r="F42" s="7" t="s">
        <v>9815</v>
      </c>
      <c r="G42" s="8" t="n">
        <v>8.9</v>
      </c>
      <c r="H42" s="8"/>
      <c r="I42" s="9" t="n">
        <v>494047</v>
      </c>
      <c r="J42" s="7"/>
      <c r="K42" s="7" t="s">
        <v>579</v>
      </c>
      <c r="L42" s="7" t="s">
        <v>54</v>
      </c>
      <c r="M42" s="10" t="s">
        <v>3522</v>
      </c>
      <c r="N42" s="7"/>
      <c r="O42" s="8" t="n">
        <v>0</v>
      </c>
      <c r="P42" s="8" t="n">
        <v>0</v>
      </c>
      <c r="Q42" s="8" t="n">
        <v>0</v>
      </c>
      <c r="R42" s="7"/>
      <c r="S42" s="7" t="s">
        <v>9816</v>
      </c>
    </row>
    <row r="43" customFormat="false" ht="15.75" hidden="false" customHeight="true" outlineLevel="0" collapsed="false">
      <c r="A43" s="7" t="s">
        <v>9817</v>
      </c>
      <c r="B43" s="8" t="n">
        <v>2021</v>
      </c>
      <c r="C43" s="8" t="n">
        <v>2023</v>
      </c>
      <c r="D43" s="8" t="s">
        <v>378</v>
      </c>
      <c r="E43" s="8" t="s">
        <v>9685</v>
      </c>
      <c r="F43" s="7" t="s">
        <v>9818</v>
      </c>
      <c r="G43" s="8" t="n">
        <v>8.2</v>
      </c>
      <c r="H43" s="8"/>
      <c r="I43" s="9" t="n">
        <v>480820</v>
      </c>
      <c r="J43" s="7"/>
      <c r="K43" s="7" t="s">
        <v>38</v>
      </c>
      <c r="L43" s="7" t="s">
        <v>112</v>
      </c>
      <c r="M43" s="10" t="s">
        <v>177</v>
      </c>
      <c r="N43" s="7"/>
      <c r="O43" s="8" t="n">
        <v>0</v>
      </c>
      <c r="P43" s="8" t="n">
        <v>0</v>
      </c>
      <c r="Q43" s="8" t="n">
        <v>0</v>
      </c>
      <c r="R43" s="7"/>
      <c r="S43" s="7" t="s">
        <v>9819</v>
      </c>
    </row>
    <row r="44" customFormat="false" ht="15.75" hidden="false" customHeight="true" outlineLevel="0" collapsed="false">
      <c r="A44" s="7" t="s">
        <v>1816</v>
      </c>
      <c r="B44" s="8" t="n">
        <v>2014</v>
      </c>
      <c r="C44" s="8" t="n">
        <v>2024</v>
      </c>
      <c r="D44" s="8" t="s">
        <v>176</v>
      </c>
      <c r="E44" s="8" t="s">
        <v>9685</v>
      </c>
      <c r="F44" s="7" t="s">
        <v>9820</v>
      </c>
      <c r="G44" s="8" t="n">
        <v>8.8</v>
      </c>
      <c r="H44" s="8"/>
      <c r="I44" s="9" t="n">
        <v>473120</v>
      </c>
      <c r="J44" s="7"/>
      <c r="K44" s="7" t="s">
        <v>131</v>
      </c>
      <c r="L44" s="7" t="s">
        <v>54</v>
      </c>
      <c r="M44" s="10" t="s">
        <v>9821</v>
      </c>
      <c r="N44" s="7"/>
      <c r="O44" s="8" t="n">
        <v>8</v>
      </c>
      <c r="P44" s="8" t="n">
        <v>0</v>
      </c>
      <c r="Q44" s="8" t="n">
        <v>107</v>
      </c>
      <c r="R44" s="7"/>
      <c r="S44" s="7" t="s">
        <v>9822</v>
      </c>
    </row>
    <row r="45" customFormat="false" ht="15.75" hidden="false" customHeight="true" outlineLevel="0" collapsed="false">
      <c r="A45" s="7" t="s">
        <v>9823</v>
      </c>
      <c r="B45" s="8" t="n">
        <v>2015</v>
      </c>
      <c r="C45" s="8" t="n">
        <v>2019</v>
      </c>
      <c r="D45" s="8" t="s">
        <v>176</v>
      </c>
      <c r="E45" s="8" t="s">
        <v>9685</v>
      </c>
      <c r="F45" s="7" t="s">
        <v>9824</v>
      </c>
      <c r="G45" s="8" t="n">
        <v>8.5</v>
      </c>
      <c r="H45" s="8" t="n">
        <v>8</v>
      </c>
      <c r="I45" s="9" t="n">
        <v>472706</v>
      </c>
      <c r="J45" s="7"/>
      <c r="K45" s="7" t="s">
        <v>131</v>
      </c>
      <c r="L45" s="7" t="s">
        <v>54</v>
      </c>
      <c r="M45" s="10" t="s">
        <v>192</v>
      </c>
      <c r="N45" s="7"/>
      <c r="O45" s="8" t="n">
        <v>7</v>
      </c>
      <c r="P45" s="8" t="n">
        <v>0</v>
      </c>
      <c r="Q45" s="8" t="n">
        <v>45</v>
      </c>
      <c r="R45" s="7"/>
      <c r="S45" s="7" t="s">
        <v>9825</v>
      </c>
    </row>
    <row r="46" customFormat="false" ht="15.75" hidden="false" customHeight="true" outlineLevel="0" collapsed="false">
      <c r="A46" s="7" t="s">
        <v>9826</v>
      </c>
      <c r="B46" s="8" t="n">
        <v>1989</v>
      </c>
      <c r="C46" s="8"/>
      <c r="D46" s="8" t="s">
        <v>109</v>
      </c>
      <c r="E46" s="8" t="s">
        <v>9685</v>
      </c>
      <c r="F46" s="7" t="s">
        <v>9827</v>
      </c>
      <c r="G46" s="8" t="n">
        <v>8.6</v>
      </c>
      <c r="H46" s="8" t="n">
        <v>8</v>
      </c>
      <c r="I46" s="9" t="n">
        <v>471493</v>
      </c>
      <c r="J46" s="7"/>
      <c r="K46" s="7" t="s">
        <v>579</v>
      </c>
      <c r="L46" s="7" t="s">
        <v>30</v>
      </c>
      <c r="M46" s="10" t="s">
        <v>552</v>
      </c>
      <c r="N46" s="7"/>
      <c r="O46" s="8" t="n">
        <v>48</v>
      </c>
      <c r="P46" s="8" t="n">
        <v>0</v>
      </c>
      <c r="Q46" s="8" t="n">
        <v>192</v>
      </c>
      <c r="R46" s="7"/>
      <c r="S46" s="7" t="s">
        <v>9828</v>
      </c>
    </row>
    <row r="47" customFormat="false" ht="15.75" hidden="false" customHeight="true" outlineLevel="0" collapsed="false">
      <c r="A47" s="7" t="s">
        <v>9829</v>
      </c>
      <c r="B47" s="8" t="n">
        <v>2012</v>
      </c>
      <c r="C47" s="8" t="n">
        <v>2020</v>
      </c>
      <c r="D47" s="8" t="s">
        <v>176</v>
      </c>
      <c r="E47" s="8" t="s">
        <v>9685</v>
      </c>
      <c r="F47" s="7" t="s">
        <v>9830</v>
      </c>
      <c r="G47" s="8" t="n">
        <v>7.5</v>
      </c>
      <c r="H47" s="8"/>
      <c r="I47" s="9" t="n">
        <v>462465</v>
      </c>
      <c r="J47" s="7"/>
      <c r="K47" s="7" t="s">
        <v>112</v>
      </c>
      <c r="L47" s="7" t="s">
        <v>54</v>
      </c>
      <c r="M47" s="10" t="s">
        <v>113</v>
      </c>
      <c r="N47" s="7"/>
      <c r="O47" s="8" t="n">
        <v>0</v>
      </c>
      <c r="P47" s="8" t="n">
        <v>0</v>
      </c>
      <c r="Q47" s="8" t="n">
        <v>0</v>
      </c>
      <c r="R47" s="7"/>
      <c r="S47" s="7" t="s">
        <v>9831</v>
      </c>
    </row>
    <row r="48" customFormat="false" ht="15.75" hidden="false" customHeight="true" outlineLevel="0" collapsed="false">
      <c r="A48" s="7" t="s">
        <v>9832</v>
      </c>
      <c r="B48" s="8" t="n">
        <v>2020</v>
      </c>
      <c r="C48" s="8"/>
      <c r="D48" s="8" t="s">
        <v>378</v>
      </c>
      <c r="E48" s="8" t="s">
        <v>9685</v>
      </c>
      <c r="F48" s="7" t="s">
        <v>9833</v>
      </c>
      <c r="G48" s="8" t="n">
        <v>8.7</v>
      </c>
      <c r="H48" s="8"/>
      <c r="I48" s="9" t="n">
        <v>456780</v>
      </c>
      <c r="J48" s="7"/>
      <c r="K48" s="7" t="s">
        <v>30</v>
      </c>
      <c r="L48" s="7" t="s">
        <v>75</v>
      </c>
      <c r="M48" s="10" t="s">
        <v>1293</v>
      </c>
      <c r="N48" s="7"/>
      <c r="O48" s="8" t="n">
        <v>19</v>
      </c>
      <c r="P48" s="8" t="n">
        <v>1</v>
      </c>
      <c r="Q48" s="8" t="n">
        <v>46</v>
      </c>
      <c r="R48" s="7"/>
      <c r="S48" s="7" t="s">
        <v>9834</v>
      </c>
    </row>
    <row r="49" customFormat="false" ht="15.75" hidden="false" customHeight="true" outlineLevel="0" collapsed="false">
      <c r="A49" s="7" t="s">
        <v>9835</v>
      </c>
      <c r="B49" s="8" t="n">
        <v>2021</v>
      </c>
      <c r="C49" s="8" t="n">
        <v>2024</v>
      </c>
      <c r="D49" s="8" t="s">
        <v>378</v>
      </c>
      <c r="E49" s="8" t="s">
        <v>9685</v>
      </c>
      <c r="F49" s="7" t="s">
        <v>9836</v>
      </c>
      <c r="G49" s="8" t="n">
        <v>9</v>
      </c>
      <c r="H49" s="8"/>
      <c r="I49" s="9" t="n">
        <v>453178</v>
      </c>
      <c r="J49" s="7"/>
      <c r="K49" s="7" t="s">
        <v>579</v>
      </c>
      <c r="L49" s="7" t="s">
        <v>112</v>
      </c>
      <c r="M49" s="10" t="s">
        <v>238</v>
      </c>
      <c r="N49" s="7"/>
      <c r="O49" s="8" t="n">
        <v>0</v>
      </c>
      <c r="P49" s="8" t="n">
        <v>0</v>
      </c>
      <c r="Q49" s="8" t="n">
        <v>0</v>
      </c>
      <c r="R49" s="7"/>
      <c r="S49" s="7" t="s">
        <v>9837</v>
      </c>
    </row>
    <row r="50" customFormat="false" ht="15.75" hidden="false" customHeight="true" outlineLevel="0" collapsed="false">
      <c r="A50" s="7" t="s">
        <v>9838</v>
      </c>
      <c r="B50" s="8" t="n">
        <v>2005</v>
      </c>
      <c r="C50" s="8" t="n">
        <v>2008</v>
      </c>
      <c r="D50" s="8" t="s">
        <v>35</v>
      </c>
      <c r="E50" s="8" t="s">
        <v>9685</v>
      </c>
      <c r="F50" s="7" t="s">
        <v>9839</v>
      </c>
      <c r="G50" s="8" t="n">
        <v>9.3</v>
      </c>
      <c r="H50" s="8"/>
      <c r="I50" s="9" t="n">
        <v>452391</v>
      </c>
      <c r="J50" s="7"/>
      <c r="K50" s="7" t="s">
        <v>579</v>
      </c>
      <c r="L50" s="7" t="s">
        <v>112</v>
      </c>
      <c r="M50" s="10" t="s">
        <v>5389</v>
      </c>
      <c r="N50" s="7"/>
      <c r="O50" s="8" t="n">
        <v>0</v>
      </c>
      <c r="P50" s="8" t="n">
        <v>0</v>
      </c>
      <c r="Q50" s="8" t="n">
        <v>0</v>
      </c>
      <c r="R50" s="7"/>
      <c r="S50" s="7" t="s">
        <v>9840</v>
      </c>
    </row>
    <row r="51" customFormat="false" ht="15.75" hidden="false" customHeight="true" outlineLevel="0" collapsed="false">
      <c r="A51" s="7" t="s">
        <v>9841</v>
      </c>
      <c r="B51" s="8" t="n">
        <v>1997</v>
      </c>
      <c r="C51" s="8"/>
      <c r="D51" s="8" t="s">
        <v>26</v>
      </c>
      <c r="E51" s="8" t="s">
        <v>9685</v>
      </c>
      <c r="F51" s="7" t="s">
        <v>9842</v>
      </c>
      <c r="G51" s="8" t="n">
        <v>8.7</v>
      </c>
      <c r="H51" s="8"/>
      <c r="I51" s="9" t="n">
        <v>446958</v>
      </c>
      <c r="J51" s="7"/>
      <c r="K51" s="7" t="s">
        <v>579</v>
      </c>
      <c r="L51" s="7" t="s">
        <v>30</v>
      </c>
      <c r="M51" s="10" t="s">
        <v>9843</v>
      </c>
      <c r="N51" s="7"/>
      <c r="O51" s="8" t="n">
        <v>10</v>
      </c>
      <c r="P51" s="8" t="n">
        <v>0</v>
      </c>
      <c r="Q51" s="8" t="n">
        <v>54</v>
      </c>
      <c r="R51" s="7"/>
      <c r="S51" s="7" t="s">
        <v>9844</v>
      </c>
    </row>
    <row r="52" customFormat="false" ht="15.75" hidden="false" customHeight="true" outlineLevel="0" collapsed="false">
      <c r="A52" s="7" t="s">
        <v>9845</v>
      </c>
      <c r="B52" s="8" t="n">
        <v>2022</v>
      </c>
      <c r="C52" s="8"/>
      <c r="D52" s="8" t="s">
        <v>378</v>
      </c>
      <c r="E52" s="8" t="s">
        <v>9685</v>
      </c>
      <c r="F52" s="7" t="s">
        <v>9846</v>
      </c>
      <c r="G52" s="8" t="n">
        <v>6.8</v>
      </c>
      <c r="H52" s="8" t="n">
        <v>7</v>
      </c>
      <c r="I52" s="9" t="n">
        <v>442905</v>
      </c>
      <c r="J52" s="7"/>
      <c r="K52" s="7" t="s">
        <v>112</v>
      </c>
      <c r="L52" s="7" t="s">
        <v>39</v>
      </c>
      <c r="M52" s="10" t="s">
        <v>113</v>
      </c>
      <c r="N52" s="7"/>
      <c r="O52" s="8" t="n">
        <v>0</v>
      </c>
      <c r="P52" s="8" t="n">
        <v>0</v>
      </c>
      <c r="Q52" s="8" t="n">
        <v>0</v>
      </c>
      <c r="R52" s="7"/>
      <c r="S52" s="7" t="s">
        <v>9847</v>
      </c>
    </row>
    <row r="53" customFormat="false" ht="15.75" hidden="false" customHeight="true" outlineLevel="0" collapsed="false">
      <c r="A53" s="7" t="s">
        <v>9848</v>
      </c>
      <c r="B53" s="8" t="n">
        <v>2002</v>
      </c>
      <c r="C53" s="8" t="n">
        <v>2008</v>
      </c>
      <c r="D53" s="8" t="s">
        <v>35</v>
      </c>
      <c r="E53" s="8" t="s">
        <v>9685</v>
      </c>
      <c r="F53" s="7" t="s">
        <v>9849</v>
      </c>
      <c r="G53" s="8" t="n">
        <v>9.3</v>
      </c>
      <c r="H53" s="8"/>
      <c r="I53" s="9" t="n">
        <v>436597</v>
      </c>
      <c r="J53" s="7"/>
      <c r="K53" s="7" t="s">
        <v>131</v>
      </c>
      <c r="L53" s="7" t="s">
        <v>54</v>
      </c>
      <c r="M53" s="10" t="s">
        <v>55</v>
      </c>
      <c r="N53" s="7"/>
      <c r="O53" s="8" t="n">
        <v>0</v>
      </c>
      <c r="P53" s="8" t="n">
        <v>0</v>
      </c>
      <c r="Q53" s="8" t="n">
        <v>2</v>
      </c>
      <c r="R53" s="7"/>
      <c r="S53" s="7" t="s">
        <v>9850</v>
      </c>
    </row>
    <row r="54" customFormat="false" ht="15.75" hidden="false" customHeight="true" outlineLevel="0" collapsed="false">
      <c r="A54" s="7" t="s">
        <v>9851</v>
      </c>
      <c r="B54" s="8" t="n">
        <v>2013</v>
      </c>
      <c r="C54" s="8" t="n">
        <v>2021</v>
      </c>
      <c r="D54" s="8" t="s">
        <v>176</v>
      </c>
      <c r="E54" s="8" t="s">
        <v>9685</v>
      </c>
      <c r="F54" s="7" t="s">
        <v>9852</v>
      </c>
      <c r="G54" s="8" t="n">
        <v>8.4</v>
      </c>
      <c r="H54" s="8"/>
      <c r="I54" s="9" t="n">
        <v>421812</v>
      </c>
      <c r="J54" s="7"/>
      <c r="K54" s="7" t="s">
        <v>30</v>
      </c>
      <c r="L54" s="7" t="s">
        <v>54</v>
      </c>
      <c r="M54" s="10" t="s">
        <v>5389</v>
      </c>
      <c r="N54" s="7"/>
      <c r="O54" s="8" t="n">
        <v>1</v>
      </c>
      <c r="P54" s="8" t="n">
        <v>0</v>
      </c>
      <c r="Q54" s="8" t="n">
        <v>10</v>
      </c>
      <c r="R54" s="7"/>
      <c r="S54" s="7" t="s">
        <v>9853</v>
      </c>
    </row>
    <row r="55" customFormat="false" ht="15.75" hidden="false" customHeight="true" outlineLevel="0" collapsed="false">
      <c r="A55" s="7" t="s">
        <v>9854</v>
      </c>
      <c r="B55" s="8" t="n">
        <v>2021</v>
      </c>
      <c r="C55" s="8" t="n">
        <v>2021</v>
      </c>
      <c r="D55" s="8" t="s">
        <v>378</v>
      </c>
      <c r="E55" s="8" t="s">
        <v>9715</v>
      </c>
      <c r="F55" s="7" t="s">
        <v>9855</v>
      </c>
      <c r="G55" s="8" t="n">
        <v>7.9</v>
      </c>
      <c r="H55" s="8"/>
      <c r="I55" s="9" t="n">
        <v>421712</v>
      </c>
      <c r="J55" s="7"/>
      <c r="K55" s="7" t="s">
        <v>112</v>
      </c>
      <c r="L55" s="7" t="s">
        <v>30</v>
      </c>
      <c r="M55" s="10" t="s">
        <v>177</v>
      </c>
      <c r="N55" s="7"/>
      <c r="O55" s="8" t="n">
        <v>9</v>
      </c>
      <c r="P55" s="8" t="n">
        <v>0</v>
      </c>
      <c r="Q55" s="8" t="n">
        <v>81</v>
      </c>
      <c r="R55" s="7"/>
      <c r="S55" s="7" t="s">
        <v>9856</v>
      </c>
    </row>
    <row r="56" customFormat="false" ht="15.75" hidden="false" customHeight="true" outlineLevel="0" collapsed="false">
      <c r="A56" s="7" t="s">
        <v>9857</v>
      </c>
      <c r="B56" s="8" t="n">
        <v>2017</v>
      </c>
      <c r="C56" s="8" t="n">
        <v>2019</v>
      </c>
      <c r="D56" s="8" t="s">
        <v>176</v>
      </c>
      <c r="E56" s="8" t="s">
        <v>9685</v>
      </c>
      <c r="F56" s="7" t="s">
        <v>9858</v>
      </c>
      <c r="G56" s="8" t="n">
        <v>8.6</v>
      </c>
      <c r="H56" s="8"/>
      <c r="I56" s="9" t="n">
        <v>403239</v>
      </c>
      <c r="J56" s="7"/>
      <c r="K56" s="7" t="s">
        <v>47</v>
      </c>
      <c r="L56" s="7" t="s">
        <v>54</v>
      </c>
      <c r="M56" s="10" t="s">
        <v>238</v>
      </c>
      <c r="N56" s="7"/>
      <c r="O56" s="8" t="n">
        <v>0</v>
      </c>
      <c r="P56" s="8" t="n">
        <v>0</v>
      </c>
      <c r="Q56" s="8" t="n">
        <v>2</v>
      </c>
      <c r="R56" s="7"/>
      <c r="S56" s="7" t="s">
        <v>9859</v>
      </c>
    </row>
    <row r="57" customFormat="false" ht="15.75" hidden="false" customHeight="true" outlineLevel="0" collapsed="false">
      <c r="A57" s="7" t="s">
        <v>9860</v>
      </c>
      <c r="B57" s="8" t="n">
        <v>2019</v>
      </c>
      <c r="C57" s="8" t="n">
        <v>2023</v>
      </c>
      <c r="D57" s="8" t="s">
        <v>176</v>
      </c>
      <c r="E57" s="8" t="s">
        <v>9685</v>
      </c>
      <c r="F57" s="7" t="s">
        <v>9861</v>
      </c>
      <c r="G57" s="8" t="n">
        <v>8.2</v>
      </c>
      <c r="H57" s="8"/>
      <c r="I57" s="9" t="n">
        <v>402198</v>
      </c>
      <c r="J57" s="7"/>
      <c r="K57" s="7" t="s">
        <v>29</v>
      </c>
      <c r="L57" s="7" t="s">
        <v>30</v>
      </c>
      <c r="M57" s="10" t="s">
        <v>238</v>
      </c>
      <c r="N57" s="7"/>
      <c r="O57" s="8" t="n">
        <v>0</v>
      </c>
      <c r="P57" s="8" t="n">
        <v>0</v>
      </c>
      <c r="Q57" s="8" t="n">
        <v>0</v>
      </c>
      <c r="R57" s="7"/>
      <c r="S57" s="7" t="s">
        <v>9862</v>
      </c>
    </row>
    <row r="58" customFormat="false" ht="15.75" hidden="false" customHeight="true" outlineLevel="0" collapsed="false">
      <c r="A58" s="7" t="s">
        <v>9863</v>
      </c>
      <c r="B58" s="8" t="n">
        <v>2022</v>
      </c>
      <c r="C58" s="8"/>
      <c r="D58" s="8" t="s">
        <v>378</v>
      </c>
      <c r="E58" s="8" t="s">
        <v>9685</v>
      </c>
      <c r="F58" s="7" t="s">
        <v>9864</v>
      </c>
      <c r="G58" s="8" t="n">
        <v>8.6</v>
      </c>
      <c r="H58" s="8"/>
      <c r="I58" s="9" t="n">
        <v>401269</v>
      </c>
      <c r="J58" s="7"/>
      <c r="K58" s="7" t="s">
        <v>111</v>
      </c>
      <c r="L58" s="7" t="s">
        <v>125</v>
      </c>
      <c r="M58" s="10" t="s">
        <v>1293</v>
      </c>
      <c r="N58" s="7"/>
      <c r="O58" s="8" t="n">
        <v>0</v>
      </c>
      <c r="P58" s="8" t="n">
        <v>0</v>
      </c>
      <c r="Q58" s="8" t="n">
        <v>0</v>
      </c>
      <c r="R58" s="7"/>
      <c r="S58" s="7" t="s">
        <v>9865</v>
      </c>
    </row>
    <row r="59" customFormat="false" ht="15.75" hidden="false" customHeight="true" outlineLevel="0" collapsed="false">
      <c r="A59" s="7" t="s">
        <v>9866</v>
      </c>
      <c r="B59" s="8" t="n">
        <v>2024</v>
      </c>
      <c r="C59" s="8"/>
      <c r="D59" s="8" t="s">
        <v>378</v>
      </c>
      <c r="E59" s="8" t="s">
        <v>9685</v>
      </c>
      <c r="F59" s="7" t="s">
        <v>9867</v>
      </c>
      <c r="G59" s="8" t="n">
        <v>8.3</v>
      </c>
      <c r="H59" s="8"/>
      <c r="I59" s="9" t="n">
        <v>400469</v>
      </c>
      <c r="J59" s="7"/>
      <c r="K59" s="7" t="s">
        <v>112</v>
      </c>
      <c r="L59" s="7" t="s">
        <v>39</v>
      </c>
      <c r="M59" s="10" t="s">
        <v>113</v>
      </c>
      <c r="N59" s="7"/>
      <c r="O59" s="8" t="n">
        <v>0</v>
      </c>
      <c r="P59" s="8" t="n">
        <v>0</v>
      </c>
      <c r="Q59" s="8" t="n">
        <v>0</v>
      </c>
      <c r="R59" s="7"/>
      <c r="S59" s="7" t="s">
        <v>9868</v>
      </c>
    </row>
    <row r="60" customFormat="false" ht="15.75" hidden="false" customHeight="true" outlineLevel="0" collapsed="false">
      <c r="A60" s="7" t="s">
        <v>9869</v>
      </c>
      <c r="B60" s="8" t="n">
        <v>2017</v>
      </c>
      <c r="C60" s="8" t="n">
        <v>2022</v>
      </c>
      <c r="D60" s="8" t="s">
        <v>176</v>
      </c>
      <c r="E60" s="8" t="s">
        <v>9685</v>
      </c>
      <c r="F60" s="7" t="s">
        <v>9870</v>
      </c>
      <c r="G60" s="8" t="n">
        <v>8.4</v>
      </c>
      <c r="H60" s="8"/>
      <c r="I60" s="9" t="n">
        <v>396842</v>
      </c>
      <c r="J60" s="7"/>
      <c r="K60" s="7" t="s">
        <v>131</v>
      </c>
      <c r="L60" s="7" t="s">
        <v>54</v>
      </c>
      <c r="M60" s="10" t="s">
        <v>238</v>
      </c>
      <c r="N60" s="7"/>
      <c r="O60" s="8" t="n">
        <v>3</v>
      </c>
      <c r="P60" s="8" t="n">
        <v>0</v>
      </c>
      <c r="Q60" s="8" t="n">
        <v>72</v>
      </c>
      <c r="R60" s="7"/>
      <c r="S60" s="7" t="s">
        <v>9871</v>
      </c>
    </row>
    <row r="61" customFormat="false" ht="15.75" hidden="false" customHeight="true" outlineLevel="0" collapsed="false">
      <c r="A61" s="7" t="s">
        <v>9872</v>
      </c>
      <c r="B61" s="8" t="n">
        <v>2016</v>
      </c>
      <c r="C61" s="8" t="n">
        <v>2021</v>
      </c>
      <c r="D61" s="8" t="s">
        <v>176</v>
      </c>
      <c r="E61" s="8" t="s">
        <v>9685</v>
      </c>
      <c r="F61" s="7" t="s">
        <v>9873</v>
      </c>
      <c r="G61" s="8" t="n">
        <v>8</v>
      </c>
      <c r="H61" s="8"/>
      <c r="I61" s="9" t="n">
        <v>396218</v>
      </c>
      <c r="J61" s="7"/>
      <c r="K61" s="7" t="s">
        <v>38</v>
      </c>
      <c r="L61" s="7" t="s">
        <v>54</v>
      </c>
      <c r="M61" s="10" t="s">
        <v>587</v>
      </c>
      <c r="N61" s="7"/>
      <c r="O61" s="8" t="n">
        <v>0</v>
      </c>
      <c r="P61" s="8" t="n">
        <v>0</v>
      </c>
      <c r="Q61" s="8" t="n">
        <v>1</v>
      </c>
      <c r="R61" s="7"/>
      <c r="S61" s="7" t="s">
        <v>9874</v>
      </c>
    </row>
    <row r="62" customFormat="false" ht="15.75" hidden="false" customHeight="true" outlineLevel="0" collapsed="false">
      <c r="A62" s="7" t="s">
        <v>9875</v>
      </c>
      <c r="B62" s="8" t="n">
        <v>1999</v>
      </c>
      <c r="C62" s="8"/>
      <c r="D62" s="8" t="s">
        <v>26</v>
      </c>
      <c r="E62" s="8" t="s">
        <v>9685</v>
      </c>
      <c r="F62" s="7" t="s">
        <v>9876</v>
      </c>
      <c r="G62" s="8" t="n">
        <v>8.1</v>
      </c>
      <c r="H62" s="8" t="n">
        <v>8</v>
      </c>
      <c r="I62" s="9" t="n">
        <v>391095</v>
      </c>
      <c r="J62" s="7"/>
      <c r="K62" s="7" t="s">
        <v>579</v>
      </c>
      <c r="L62" s="7" t="s">
        <v>30</v>
      </c>
      <c r="M62" s="10" t="s">
        <v>177</v>
      </c>
      <c r="N62" s="7"/>
      <c r="O62" s="8" t="n">
        <v>6</v>
      </c>
      <c r="P62" s="8" t="n">
        <v>0</v>
      </c>
      <c r="Q62" s="8" t="n">
        <v>38</v>
      </c>
      <c r="R62" s="7"/>
      <c r="S62" s="7" t="s">
        <v>9877</v>
      </c>
    </row>
    <row r="63" customFormat="false" ht="15.75" hidden="false" customHeight="true" outlineLevel="0" collapsed="false">
      <c r="A63" s="7" t="s">
        <v>9878</v>
      </c>
      <c r="B63" s="8" t="n">
        <v>2014</v>
      </c>
      <c r="C63" s="8" t="n">
        <v>2023</v>
      </c>
      <c r="D63" s="8" t="s">
        <v>176</v>
      </c>
      <c r="E63" s="8" t="s">
        <v>9685</v>
      </c>
      <c r="F63" s="7" t="s">
        <v>9879</v>
      </c>
      <c r="G63" s="8" t="n">
        <v>7.5</v>
      </c>
      <c r="H63" s="8"/>
      <c r="I63" s="9" t="n">
        <v>387751</v>
      </c>
      <c r="J63" s="7"/>
      <c r="K63" s="7" t="s">
        <v>112</v>
      </c>
      <c r="L63" s="7" t="s">
        <v>39</v>
      </c>
      <c r="M63" s="10" t="s">
        <v>113</v>
      </c>
      <c r="N63" s="7"/>
      <c r="O63" s="8" t="n">
        <v>0</v>
      </c>
      <c r="P63" s="8" t="n">
        <v>0</v>
      </c>
      <c r="Q63" s="8" t="n">
        <v>9</v>
      </c>
      <c r="R63" s="7"/>
      <c r="S63" s="7" t="s">
        <v>9880</v>
      </c>
    </row>
    <row r="64" customFormat="false" ht="15.75" hidden="false" customHeight="true" outlineLevel="0" collapsed="false">
      <c r="A64" s="7" t="s">
        <v>9881</v>
      </c>
      <c r="B64" s="8" t="n">
        <v>1989</v>
      </c>
      <c r="C64" s="8" t="n">
        <v>1998</v>
      </c>
      <c r="D64" s="8" t="s">
        <v>109</v>
      </c>
      <c r="E64" s="8" t="s">
        <v>9685</v>
      </c>
      <c r="F64" s="7" t="s">
        <v>9882</v>
      </c>
      <c r="G64" s="8" t="n">
        <v>8.8</v>
      </c>
      <c r="H64" s="8"/>
      <c r="I64" s="9" t="n">
        <v>387445</v>
      </c>
      <c r="J64" s="7"/>
      <c r="K64" s="7" t="s">
        <v>30</v>
      </c>
      <c r="L64" s="7"/>
      <c r="M64" s="10" t="s">
        <v>238</v>
      </c>
      <c r="N64" s="7"/>
      <c r="O64" s="8" t="n">
        <v>4</v>
      </c>
      <c r="P64" s="8" t="n">
        <v>0</v>
      </c>
      <c r="Q64" s="8" t="n">
        <v>22</v>
      </c>
      <c r="R64" s="7"/>
      <c r="S64" s="7" t="s">
        <v>9883</v>
      </c>
    </row>
    <row r="65" customFormat="false" ht="15.75" hidden="false" customHeight="true" outlineLevel="0" collapsed="false">
      <c r="A65" s="7" t="s">
        <v>9884</v>
      </c>
      <c r="B65" s="8" t="n">
        <v>2009</v>
      </c>
      <c r="C65" s="8" t="n">
        <v>2017</v>
      </c>
      <c r="D65" s="8" t="s">
        <v>35</v>
      </c>
      <c r="E65" s="8" t="s">
        <v>9685</v>
      </c>
      <c r="F65" s="7" t="s">
        <v>9885</v>
      </c>
      <c r="G65" s="8" t="n">
        <v>7.7</v>
      </c>
      <c r="H65" s="8"/>
      <c r="I65" s="9" t="n">
        <v>387349</v>
      </c>
      <c r="J65" s="7"/>
      <c r="K65" s="7" t="s">
        <v>147</v>
      </c>
      <c r="L65" s="7" t="s">
        <v>38</v>
      </c>
      <c r="M65" s="10" t="s">
        <v>2195</v>
      </c>
      <c r="N65" s="7"/>
      <c r="O65" s="8" t="n">
        <v>0</v>
      </c>
      <c r="P65" s="8" t="n">
        <v>0</v>
      </c>
      <c r="Q65" s="8" t="n">
        <v>0</v>
      </c>
      <c r="R65" s="7"/>
      <c r="S65" s="7" t="s">
        <v>9886</v>
      </c>
    </row>
    <row r="66" customFormat="false" ht="15.75" hidden="false" customHeight="true" outlineLevel="0" collapsed="false">
      <c r="A66" s="7" t="s">
        <v>9887</v>
      </c>
      <c r="B66" s="8" t="n">
        <v>2011</v>
      </c>
      <c r="C66" s="8" t="n">
        <v>2020</v>
      </c>
      <c r="D66" s="8" t="s">
        <v>176</v>
      </c>
      <c r="E66" s="8" t="s">
        <v>9685</v>
      </c>
      <c r="F66" s="7" t="s">
        <v>9888</v>
      </c>
      <c r="G66" s="8" t="n">
        <v>8.3</v>
      </c>
      <c r="H66" s="8"/>
      <c r="I66" s="9" t="n">
        <v>387142</v>
      </c>
      <c r="J66" s="7"/>
      <c r="K66" s="7" t="s">
        <v>47</v>
      </c>
      <c r="L66" s="7" t="s">
        <v>54</v>
      </c>
      <c r="M66" s="10" t="s">
        <v>5725</v>
      </c>
      <c r="N66" s="7"/>
      <c r="O66" s="8" t="n">
        <v>24</v>
      </c>
      <c r="P66" s="8" t="n">
        <v>1</v>
      </c>
      <c r="Q66" s="8" t="n">
        <v>104</v>
      </c>
      <c r="R66" s="7"/>
      <c r="S66" s="7" t="s">
        <v>9889</v>
      </c>
    </row>
    <row r="67" customFormat="false" ht="15.75" hidden="false" customHeight="true" outlineLevel="0" collapsed="false">
      <c r="A67" s="7" t="s">
        <v>9890</v>
      </c>
      <c r="B67" s="8" t="n">
        <v>2005</v>
      </c>
      <c r="C67" s="8"/>
      <c r="D67" s="8" t="s">
        <v>35</v>
      </c>
      <c r="E67" s="8" t="s">
        <v>9685</v>
      </c>
      <c r="F67" s="7" t="s">
        <v>9891</v>
      </c>
      <c r="G67" s="8" t="n">
        <v>7.6</v>
      </c>
      <c r="H67" s="8"/>
      <c r="I67" s="9" t="n">
        <v>376669</v>
      </c>
      <c r="J67" s="7"/>
      <c r="K67" s="7" t="s">
        <v>29</v>
      </c>
      <c r="L67" s="7" t="s">
        <v>47</v>
      </c>
      <c r="M67" s="10" t="s">
        <v>177</v>
      </c>
      <c r="N67" s="7"/>
      <c r="O67" s="8" t="n">
        <v>11</v>
      </c>
      <c r="P67" s="8" t="n">
        <v>0</v>
      </c>
      <c r="Q67" s="8" t="n">
        <v>91</v>
      </c>
      <c r="R67" s="7"/>
      <c r="S67" s="7" t="s">
        <v>9892</v>
      </c>
    </row>
    <row r="68" customFormat="false" ht="15.75" hidden="false" customHeight="true" outlineLevel="0" collapsed="false">
      <c r="A68" s="7" t="s">
        <v>9893</v>
      </c>
      <c r="B68" s="8" t="n">
        <v>2018</v>
      </c>
      <c r="C68" s="8" t="n">
        <v>2025</v>
      </c>
      <c r="D68" s="8" t="s">
        <v>176</v>
      </c>
      <c r="E68" s="8" t="s">
        <v>9685</v>
      </c>
      <c r="F68" s="7" t="s">
        <v>9894</v>
      </c>
      <c r="G68" s="8" t="n">
        <v>7.6</v>
      </c>
      <c r="H68" s="8"/>
      <c r="I68" s="9" t="n">
        <v>373447</v>
      </c>
      <c r="J68" s="7"/>
      <c r="K68" s="7" t="s">
        <v>29</v>
      </c>
      <c r="L68" s="7" t="s">
        <v>54</v>
      </c>
      <c r="M68" s="10" t="s">
        <v>238</v>
      </c>
      <c r="N68" s="7"/>
      <c r="O68" s="8" t="n">
        <v>0</v>
      </c>
      <c r="P68" s="8" t="n">
        <v>0</v>
      </c>
      <c r="Q68" s="8" t="n">
        <v>0</v>
      </c>
      <c r="R68" s="7"/>
      <c r="S68" s="7" t="s">
        <v>9895</v>
      </c>
    </row>
    <row r="69" customFormat="false" ht="15.75" hidden="false" customHeight="true" outlineLevel="0" collapsed="false">
      <c r="A69" s="7" t="s">
        <v>9896</v>
      </c>
      <c r="B69" s="8" t="n">
        <v>2018</v>
      </c>
      <c r="C69" s="8" t="n">
        <v>2023</v>
      </c>
      <c r="D69" s="8" t="s">
        <v>176</v>
      </c>
      <c r="E69" s="8" t="s">
        <v>9685</v>
      </c>
      <c r="F69" s="7" t="s">
        <v>9897</v>
      </c>
      <c r="G69" s="8" t="n">
        <v>8.8</v>
      </c>
      <c r="H69" s="8" t="n">
        <v>10</v>
      </c>
      <c r="I69" s="9" t="n">
        <v>364140</v>
      </c>
      <c r="J69" s="7"/>
      <c r="K69" s="7" t="s">
        <v>30</v>
      </c>
      <c r="L69" s="7" t="s">
        <v>47</v>
      </c>
      <c r="M69" s="10" t="s">
        <v>55</v>
      </c>
      <c r="N69" s="7"/>
      <c r="O69" s="8" t="n">
        <v>25</v>
      </c>
      <c r="P69" s="8" t="n">
        <v>1</v>
      </c>
      <c r="Q69" s="8" t="n">
        <v>57</v>
      </c>
      <c r="R69" s="7"/>
      <c r="S69" s="7" t="s">
        <v>9898</v>
      </c>
    </row>
    <row r="70" customFormat="false" ht="15.75" hidden="false" customHeight="true" outlineLevel="0" collapsed="false">
      <c r="A70" s="7" t="s">
        <v>9899</v>
      </c>
      <c r="B70" s="8" t="n">
        <v>2011</v>
      </c>
      <c r="C70" s="8"/>
      <c r="D70" s="8" t="s">
        <v>176</v>
      </c>
      <c r="E70" s="8" t="s">
        <v>9685</v>
      </c>
      <c r="F70" s="7" t="s">
        <v>9900</v>
      </c>
      <c r="G70" s="8" t="n">
        <v>7.9</v>
      </c>
      <c r="H70" s="8" t="n">
        <v>8</v>
      </c>
      <c r="I70" s="9" t="n">
        <v>365171</v>
      </c>
      <c r="J70" s="7"/>
      <c r="K70" s="7" t="s">
        <v>147</v>
      </c>
      <c r="L70" s="7" t="s">
        <v>111</v>
      </c>
      <c r="M70" s="10" t="s">
        <v>177</v>
      </c>
      <c r="N70" s="7"/>
      <c r="O70" s="8" t="n">
        <v>6</v>
      </c>
      <c r="P70" s="8" t="n">
        <v>0</v>
      </c>
      <c r="Q70" s="8" t="n">
        <v>54</v>
      </c>
      <c r="R70" s="7"/>
      <c r="S70" s="7" t="s">
        <v>9901</v>
      </c>
    </row>
    <row r="71" customFormat="false" ht="15.75" hidden="false" customHeight="true" outlineLevel="0" collapsed="false">
      <c r="A71" s="7" t="s">
        <v>9902</v>
      </c>
      <c r="B71" s="8" t="n">
        <v>1999</v>
      </c>
      <c r="C71" s="8"/>
      <c r="D71" s="8" t="s">
        <v>26</v>
      </c>
      <c r="E71" s="8" t="s">
        <v>9685</v>
      </c>
      <c r="F71" s="7" t="s">
        <v>9903</v>
      </c>
      <c r="G71" s="8" t="n">
        <v>9</v>
      </c>
      <c r="H71" s="8"/>
      <c r="I71" s="9" t="n">
        <v>362121</v>
      </c>
      <c r="J71" s="7"/>
      <c r="K71" s="7" t="s">
        <v>579</v>
      </c>
      <c r="L71" s="7" t="s">
        <v>112</v>
      </c>
      <c r="M71" s="10" t="s">
        <v>9904</v>
      </c>
      <c r="N71" s="7"/>
      <c r="O71" s="8" t="n">
        <v>0</v>
      </c>
      <c r="P71" s="8" t="n">
        <v>0</v>
      </c>
      <c r="Q71" s="8" t="n">
        <v>0</v>
      </c>
      <c r="R71" s="7"/>
      <c r="S71" s="7" t="s">
        <v>9905</v>
      </c>
    </row>
    <row r="72" customFormat="false" ht="15.75" hidden="false" customHeight="true" outlineLevel="0" collapsed="false">
      <c r="A72" s="7" t="s">
        <v>9906</v>
      </c>
      <c r="B72" s="8" t="n">
        <v>2008</v>
      </c>
      <c r="C72" s="8" t="n">
        <v>2014</v>
      </c>
      <c r="D72" s="8" t="s">
        <v>35</v>
      </c>
      <c r="E72" s="8" t="s">
        <v>9685</v>
      </c>
      <c r="F72" s="7" t="s">
        <v>9907</v>
      </c>
      <c r="G72" s="8" t="n">
        <v>8.5</v>
      </c>
      <c r="H72" s="8" t="n">
        <v>8</v>
      </c>
      <c r="I72" s="9" t="n">
        <v>358619</v>
      </c>
      <c r="J72" s="7"/>
      <c r="K72" s="7" t="s">
        <v>131</v>
      </c>
      <c r="L72" s="7" t="s">
        <v>54</v>
      </c>
      <c r="M72" s="10" t="s">
        <v>177</v>
      </c>
      <c r="N72" s="7"/>
      <c r="O72" s="8" t="n">
        <v>0</v>
      </c>
      <c r="P72" s="8" t="n">
        <v>0</v>
      </c>
      <c r="Q72" s="8" t="n">
        <v>12</v>
      </c>
      <c r="R72" s="7"/>
      <c r="S72" s="7" t="s">
        <v>9908</v>
      </c>
    </row>
    <row r="73" customFormat="false" ht="15.75" hidden="false" customHeight="true" outlineLevel="0" collapsed="false">
      <c r="A73" s="7" t="s">
        <v>9909</v>
      </c>
      <c r="B73" s="8" t="n">
        <v>2021</v>
      </c>
      <c r="C73" s="8"/>
      <c r="D73" s="8" t="s">
        <v>378</v>
      </c>
      <c r="E73" s="8" t="s">
        <v>9685</v>
      </c>
      <c r="F73" s="7" t="s">
        <v>9910</v>
      </c>
      <c r="G73" s="8" t="n">
        <v>8.7</v>
      </c>
      <c r="H73" s="8"/>
      <c r="I73" s="9" t="n">
        <v>349986</v>
      </c>
      <c r="J73" s="7"/>
      <c r="K73" s="7" t="s">
        <v>579</v>
      </c>
      <c r="L73" s="7" t="s">
        <v>112</v>
      </c>
      <c r="M73" s="10" t="s">
        <v>113</v>
      </c>
      <c r="N73" s="7"/>
      <c r="O73" s="8" t="n">
        <v>0</v>
      </c>
      <c r="P73" s="8" t="n">
        <v>0</v>
      </c>
      <c r="Q73" s="8" t="n">
        <v>0</v>
      </c>
      <c r="R73" s="7"/>
      <c r="S73" s="7" t="s">
        <v>9911</v>
      </c>
    </row>
    <row r="74" customFormat="false" ht="15.75" hidden="false" customHeight="true" outlineLevel="0" collapsed="false">
      <c r="A74" s="7" t="s">
        <v>9912</v>
      </c>
      <c r="B74" s="8" t="n">
        <v>2003</v>
      </c>
      <c r="C74" s="8" t="n">
        <v>2019</v>
      </c>
      <c r="D74" s="8" t="s">
        <v>35</v>
      </c>
      <c r="E74" s="8" t="s">
        <v>9685</v>
      </c>
      <c r="F74" s="7" t="s">
        <v>9913</v>
      </c>
      <c r="G74" s="8" t="n">
        <v>8.6</v>
      </c>
      <c r="H74" s="8"/>
      <c r="I74" s="9" t="n">
        <v>345772</v>
      </c>
      <c r="J74" s="7"/>
      <c r="K74" s="7" t="s">
        <v>30</v>
      </c>
      <c r="L74" s="7"/>
      <c r="M74" s="10" t="s">
        <v>1895</v>
      </c>
      <c r="N74" s="7"/>
      <c r="O74" s="8" t="n">
        <v>0</v>
      </c>
      <c r="P74" s="8" t="n">
        <v>0</v>
      </c>
      <c r="Q74" s="8" t="n">
        <v>15</v>
      </c>
      <c r="R74" s="7"/>
      <c r="S74" s="7" t="s">
        <v>9914</v>
      </c>
    </row>
    <row r="75" customFormat="false" ht="15.75" hidden="false" customHeight="true" outlineLevel="0" collapsed="false">
      <c r="A75" s="7" t="s">
        <v>9915</v>
      </c>
      <c r="B75" s="8" t="n">
        <v>2017</v>
      </c>
      <c r="C75" s="8" t="n">
        <v>2020</v>
      </c>
      <c r="D75" s="8" t="s">
        <v>176</v>
      </c>
      <c r="E75" s="8" t="s">
        <v>9685</v>
      </c>
      <c r="F75" s="7" t="s">
        <v>9916</v>
      </c>
      <c r="G75" s="8" t="n">
        <v>7.4</v>
      </c>
      <c r="H75" s="8"/>
      <c r="I75" s="9" t="n">
        <v>342187</v>
      </c>
      <c r="J75" s="7"/>
      <c r="K75" s="7" t="s">
        <v>131</v>
      </c>
      <c r="L75" s="7" t="s">
        <v>125</v>
      </c>
      <c r="M75" s="10" t="s">
        <v>238</v>
      </c>
      <c r="N75" s="7"/>
      <c r="O75" s="8" t="n">
        <v>0</v>
      </c>
      <c r="P75" s="8" t="n">
        <v>0</v>
      </c>
      <c r="Q75" s="8" t="n">
        <v>5</v>
      </c>
      <c r="R75" s="7"/>
      <c r="S75" s="7" t="s">
        <v>9917</v>
      </c>
    </row>
    <row r="76" customFormat="false" ht="15.75" hidden="false" customHeight="true" outlineLevel="0" collapsed="false">
      <c r="A76" s="7" t="s">
        <v>9918</v>
      </c>
      <c r="B76" s="8" t="n">
        <v>2013</v>
      </c>
      <c r="C76" s="8" t="n">
        <v>2019</v>
      </c>
      <c r="D76" s="8" t="s">
        <v>176</v>
      </c>
      <c r="E76" s="8" t="s">
        <v>9685</v>
      </c>
      <c r="F76" s="7" t="s">
        <v>9919</v>
      </c>
      <c r="G76" s="8" t="n">
        <v>8</v>
      </c>
      <c r="H76" s="8"/>
      <c r="I76" s="9" t="n">
        <v>337850</v>
      </c>
      <c r="J76" s="7"/>
      <c r="K76" s="7" t="s">
        <v>30</v>
      </c>
      <c r="L76" s="7" t="s">
        <v>54</v>
      </c>
      <c r="M76" s="10" t="s">
        <v>238</v>
      </c>
      <c r="N76" s="7"/>
      <c r="O76" s="8" t="n">
        <v>2</v>
      </c>
      <c r="P76" s="8" t="n">
        <v>0</v>
      </c>
      <c r="Q76" s="8" t="n">
        <v>20</v>
      </c>
      <c r="R76" s="7"/>
      <c r="S76" s="7" t="s">
        <v>9920</v>
      </c>
    </row>
    <row r="77" customFormat="false" ht="15.75" hidden="false" customHeight="true" outlineLevel="0" collapsed="false">
      <c r="A77" s="7" t="s">
        <v>9921</v>
      </c>
      <c r="B77" s="8" t="n">
        <v>2011</v>
      </c>
      <c r="C77" s="8" t="n">
        <v>2021</v>
      </c>
      <c r="D77" s="8" t="s">
        <v>176</v>
      </c>
      <c r="E77" s="8" t="s">
        <v>9685</v>
      </c>
      <c r="F77" s="7" t="s">
        <v>9922</v>
      </c>
      <c r="G77" s="8" t="n">
        <v>8.5</v>
      </c>
      <c r="H77" s="8"/>
      <c r="I77" s="9" t="n">
        <v>336853</v>
      </c>
      <c r="J77" s="7"/>
      <c r="K77" s="7" t="s">
        <v>30</v>
      </c>
      <c r="L77" s="7" t="s">
        <v>47</v>
      </c>
      <c r="M77" s="10" t="s">
        <v>2195</v>
      </c>
      <c r="N77" s="7"/>
      <c r="O77" s="8" t="n">
        <v>4</v>
      </c>
      <c r="P77" s="8" t="n">
        <v>0</v>
      </c>
      <c r="Q77" s="8" t="n">
        <v>15</v>
      </c>
      <c r="R77" s="7"/>
      <c r="S77" s="7" t="s">
        <v>9923</v>
      </c>
    </row>
    <row r="78" customFormat="false" ht="15.75" hidden="false" customHeight="true" outlineLevel="0" collapsed="false">
      <c r="A78" s="7" t="s">
        <v>9924</v>
      </c>
      <c r="B78" s="8" t="n">
        <v>2018</v>
      </c>
      <c r="C78" s="8" t="n">
        <v>2018</v>
      </c>
      <c r="D78" s="8" t="s">
        <v>176</v>
      </c>
      <c r="E78" s="8" t="s">
        <v>9715</v>
      </c>
      <c r="F78" s="7" t="s">
        <v>8478</v>
      </c>
      <c r="G78" s="8" t="n">
        <v>8.5</v>
      </c>
      <c r="H78" s="8" t="n">
        <v>8</v>
      </c>
      <c r="I78" s="9" t="n">
        <v>334098</v>
      </c>
      <c r="J78" s="7"/>
      <c r="K78" s="7" t="s">
        <v>147</v>
      </c>
      <c r="L78" s="7" t="s">
        <v>125</v>
      </c>
      <c r="M78" s="10" t="s">
        <v>238</v>
      </c>
      <c r="N78" s="7"/>
      <c r="O78" s="8" t="n">
        <v>0</v>
      </c>
      <c r="P78" s="8" t="n">
        <v>0</v>
      </c>
      <c r="Q78" s="8" t="n">
        <v>0</v>
      </c>
      <c r="R78" s="7"/>
      <c r="S78" s="7" t="s">
        <v>9925</v>
      </c>
    </row>
    <row r="79" customFormat="false" ht="15.75" hidden="false" customHeight="true" outlineLevel="0" collapsed="false">
      <c r="A79" s="7" t="s">
        <v>9926</v>
      </c>
      <c r="B79" s="8" t="n">
        <v>2021</v>
      </c>
      <c r="C79" s="8"/>
      <c r="D79" s="8" t="s">
        <v>378</v>
      </c>
      <c r="E79" s="8" t="s">
        <v>9685</v>
      </c>
      <c r="F79" s="7" t="s">
        <v>9927</v>
      </c>
      <c r="G79" s="8" t="n">
        <v>8</v>
      </c>
      <c r="H79" s="8"/>
      <c r="I79" s="9" t="n">
        <v>331453</v>
      </c>
      <c r="J79" s="7"/>
      <c r="K79" s="7" t="s">
        <v>30</v>
      </c>
      <c r="L79" s="7" t="s">
        <v>125</v>
      </c>
      <c r="M79" s="10" t="s">
        <v>55</v>
      </c>
      <c r="N79" s="7"/>
      <c r="O79" s="8" t="n">
        <v>0</v>
      </c>
      <c r="P79" s="8" t="n">
        <v>0</v>
      </c>
      <c r="Q79" s="8" t="n">
        <v>0</v>
      </c>
      <c r="R79" s="7"/>
      <c r="S79" s="7" t="s">
        <v>9928</v>
      </c>
    </row>
    <row r="80" customFormat="false" ht="15.75" hidden="false" customHeight="true" outlineLevel="0" collapsed="false">
      <c r="A80" s="7" t="s">
        <v>9929</v>
      </c>
      <c r="B80" s="8" t="n">
        <v>2019</v>
      </c>
      <c r="C80" s="8" t="n">
        <v>2026</v>
      </c>
      <c r="D80" s="8" t="s">
        <v>176</v>
      </c>
      <c r="E80" s="8" t="s">
        <v>9685</v>
      </c>
      <c r="F80" s="7" t="s">
        <v>9930</v>
      </c>
      <c r="G80" s="8" t="n">
        <v>8.1</v>
      </c>
      <c r="H80" s="8"/>
      <c r="I80" s="9" t="n">
        <v>321906</v>
      </c>
      <c r="J80" s="7"/>
      <c r="K80" s="7" t="s">
        <v>47</v>
      </c>
      <c r="L80" s="7"/>
      <c r="M80" s="10" t="s">
        <v>55</v>
      </c>
      <c r="N80" s="7"/>
      <c r="O80" s="8" t="n">
        <v>5</v>
      </c>
      <c r="P80" s="8" t="n">
        <v>0</v>
      </c>
      <c r="Q80" s="8" t="n">
        <v>17</v>
      </c>
      <c r="R80" s="7"/>
      <c r="S80" s="7" t="s">
        <v>9931</v>
      </c>
    </row>
    <row r="81" customFormat="false" ht="15.75" hidden="false" customHeight="true" outlineLevel="0" collapsed="false">
      <c r="A81" s="7" t="s">
        <v>9932</v>
      </c>
      <c r="B81" s="8" t="n">
        <v>2022</v>
      </c>
      <c r="C81" s="8" t="n">
        <v>2026</v>
      </c>
      <c r="D81" s="8" t="s">
        <v>378</v>
      </c>
      <c r="E81" s="8" t="s">
        <v>9685</v>
      </c>
      <c r="F81" s="7" t="s">
        <v>9933</v>
      </c>
      <c r="G81" s="8" t="n">
        <v>8.5</v>
      </c>
      <c r="H81" s="8"/>
      <c r="I81" s="9" t="n">
        <v>321626</v>
      </c>
      <c r="J81" s="7"/>
      <c r="K81" s="7" t="s">
        <v>30</v>
      </c>
      <c r="L81" s="7" t="s">
        <v>47</v>
      </c>
      <c r="M81" s="10" t="s">
        <v>177</v>
      </c>
      <c r="N81" s="7"/>
      <c r="O81" s="8" t="n">
        <v>0</v>
      </c>
      <c r="P81" s="8" t="n">
        <v>0</v>
      </c>
      <c r="Q81" s="8" t="n">
        <v>0</v>
      </c>
      <c r="R81" s="7"/>
      <c r="S81" s="7" t="s">
        <v>9934</v>
      </c>
    </row>
    <row r="82" customFormat="false" ht="15.75" hidden="false" customHeight="true" outlineLevel="0" collapsed="false">
      <c r="A82" s="7" t="s">
        <v>9935</v>
      </c>
      <c r="B82" s="8" t="n">
        <v>2021</v>
      </c>
      <c r="C82" s="8"/>
      <c r="D82" s="8" t="s">
        <v>378</v>
      </c>
      <c r="E82" s="8" t="s">
        <v>9685</v>
      </c>
      <c r="F82" s="7" t="s">
        <v>9936</v>
      </c>
      <c r="G82" s="8" t="n">
        <v>9.1</v>
      </c>
      <c r="H82" s="8"/>
      <c r="I82" s="9" t="n">
        <v>319587</v>
      </c>
      <c r="J82" s="7"/>
      <c r="K82" s="7" t="s">
        <v>47</v>
      </c>
      <c r="L82" s="7"/>
      <c r="M82" s="7"/>
      <c r="N82" s="7"/>
      <c r="O82" s="8" t="n">
        <v>0</v>
      </c>
      <c r="P82" s="8" t="n">
        <v>0</v>
      </c>
      <c r="Q82" s="8" t="n">
        <v>0</v>
      </c>
      <c r="R82" s="7"/>
      <c r="S82" s="7"/>
    </row>
    <row r="83" customFormat="false" ht="15.75" hidden="false" customHeight="true" outlineLevel="0" collapsed="false">
      <c r="A83" s="7" t="s">
        <v>9937</v>
      </c>
      <c r="B83" s="8" t="n">
        <v>2018</v>
      </c>
      <c r="C83" s="8" t="n">
        <v>2024</v>
      </c>
      <c r="D83" s="8" t="s">
        <v>176</v>
      </c>
      <c r="E83" s="8" t="s">
        <v>9685</v>
      </c>
      <c r="F83" s="7" t="s">
        <v>9938</v>
      </c>
      <c r="G83" s="8" t="n">
        <v>8.6</v>
      </c>
      <c r="H83" s="8"/>
      <c r="I83" s="9" t="n">
        <v>318928</v>
      </c>
      <c r="J83" s="7"/>
      <c r="K83" s="7" t="s">
        <v>268</v>
      </c>
      <c r="L83" s="7" t="s">
        <v>47</v>
      </c>
      <c r="M83" s="10" t="s">
        <v>5302</v>
      </c>
      <c r="N83" s="7"/>
      <c r="O83" s="8" t="n">
        <v>0</v>
      </c>
      <c r="P83" s="8" t="n">
        <v>0</v>
      </c>
      <c r="Q83" s="8" t="n">
        <v>3</v>
      </c>
      <c r="R83" s="7"/>
      <c r="S83" s="7" t="s">
        <v>9939</v>
      </c>
    </row>
    <row r="84" customFormat="false" ht="15.75" hidden="false" customHeight="true" outlineLevel="0" collapsed="false">
      <c r="A84" s="7" t="s">
        <v>9940</v>
      </c>
      <c r="B84" s="8" t="n">
        <v>2009</v>
      </c>
      <c r="C84" s="8" t="n">
        <v>2015</v>
      </c>
      <c r="D84" s="8" t="s">
        <v>35</v>
      </c>
      <c r="E84" s="8" t="s">
        <v>9685</v>
      </c>
      <c r="F84" s="7" t="s">
        <v>9941</v>
      </c>
      <c r="G84" s="8" t="n">
        <v>8.6</v>
      </c>
      <c r="H84" s="8"/>
      <c r="I84" s="9" t="n">
        <v>318065</v>
      </c>
      <c r="J84" s="7"/>
      <c r="K84" s="7" t="s">
        <v>30</v>
      </c>
      <c r="L84" s="7"/>
      <c r="M84" s="10"/>
      <c r="N84" s="7"/>
      <c r="O84" s="8" t="n">
        <v>0</v>
      </c>
      <c r="P84" s="8" t="n">
        <v>0</v>
      </c>
      <c r="Q84" s="8" t="n">
        <v>36</v>
      </c>
      <c r="R84" s="7"/>
      <c r="S84" s="7" t="s">
        <v>9942</v>
      </c>
    </row>
    <row r="85" customFormat="false" ht="15.75" hidden="false" customHeight="true" outlineLevel="0" collapsed="false">
      <c r="A85" s="7" t="s">
        <v>9943</v>
      </c>
      <c r="B85" s="8" t="n">
        <v>2022</v>
      </c>
      <c r="C85" s="8" t="n">
        <v>2022</v>
      </c>
      <c r="D85" s="8" t="s">
        <v>378</v>
      </c>
      <c r="E85" s="8" t="s">
        <v>9715</v>
      </c>
      <c r="F85" s="7" t="s">
        <v>9944</v>
      </c>
      <c r="G85" s="8" t="n">
        <v>7.3</v>
      </c>
      <c r="H85" s="8"/>
      <c r="I85" s="9" t="n">
        <v>317059</v>
      </c>
      <c r="J85" s="7"/>
      <c r="K85" s="7" t="s">
        <v>38</v>
      </c>
      <c r="L85" s="7" t="s">
        <v>112</v>
      </c>
      <c r="M85" s="10" t="s">
        <v>177</v>
      </c>
      <c r="N85" s="7"/>
      <c r="O85" s="8" t="n">
        <v>0</v>
      </c>
      <c r="P85" s="8" t="n">
        <v>0</v>
      </c>
      <c r="Q85" s="8" t="n">
        <v>0</v>
      </c>
      <c r="R85" s="7"/>
      <c r="S85" s="7" t="s">
        <v>9945</v>
      </c>
    </row>
    <row r="86" customFormat="false" ht="15.75" hidden="false" customHeight="true" outlineLevel="0" collapsed="false">
      <c r="A86" s="7" t="s">
        <v>9946</v>
      </c>
      <c r="B86" s="8" t="n">
        <v>2019</v>
      </c>
      <c r="C86" s="8" t="n">
        <v>2024</v>
      </c>
      <c r="D86" s="8" t="s">
        <v>176</v>
      </c>
      <c r="E86" s="8" t="s">
        <v>9685</v>
      </c>
      <c r="F86" s="7" t="s">
        <v>9947</v>
      </c>
      <c r="G86" s="8" t="n">
        <v>7.8</v>
      </c>
      <c r="H86" s="8"/>
      <c r="I86" s="9" t="n">
        <v>317050</v>
      </c>
      <c r="J86" s="7"/>
      <c r="K86" s="7" t="s">
        <v>112</v>
      </c>
      <c r="L86" s="7" t="s">
        <v>39</v>
      </c>
      <c r="M86" s="10" t="s">
        <v>238</v>
      </c>
      <c r="N86" s="7"/>
      <c r="O86" s="8" t="n">
        <v>0</v>
      </c>
      <c r="P86" s="8" t="n">
        <v>0</v>
      </c>
      <c r="Q86" s="8" t="n">
        <v>34</v>
      </c>
      <c r="R86" s="7"/>
      <c r="S86" s="7" t="s">
        <v>9948</v>
      </c>
    </row>
    <row r="87" customFormat="false" ht="15.75" hidden="false" customHeight="true" outlineLevel="0" collapsed="false">
      <c r="A87" s="7" t="s">
        <v>9949</v>
      </c>
      <c r="B87" s="8" t="n">
        <v>2009</v>
      </c>
      <c r="C87" s="8" t="n">
        <v>2015</v>
      </c>
      <c r="D87" s="8" t="s">
        <v>35</v>
      </c>
      <c r="E87" s="8" t="s">
        <v>9685</v>
      </c>
      <c r="F87" s="7" t="s">
        <v>9950</v>
      </c>
      <c r="G87" s="8" t="n">
        <v>8.5</v>
      </c>
      <c r="H87" s="8"/>
      <c r="I87" s="9" t="n">
        <v>313433</v>
      </c>
      <c r="J87" s="7"/>
      <c r="K87" s="7" t="s">
        <v>30</v>
      </c>
      <c r="L87" s="7"/>
      <c r="M87" s="10" t="s">
        <v>238</v>
      </c>
      <c r="N87" s="7"/>
      <c r="O87" s="8" t="n">
        <v>1</v>
      </c>
      <c r="P87" s="8" t="n">
        <v>0</v>
      </c>
      <c r="Q87" s="8" t="n">
        <v>3</v>
      </c>
      <c r="R87" s="7"/>
      <c r="S87" s="7" t="s">
        <v>9951</v>
      </c>
    </row>
    <row r="88" customFormat="false" ht="15.75" hidden="false" customHeight="true" outlineLevel="0" collapsed="false">
      <c r="A88" s="7" t="s">
        <v>9952</v>
      </c>
      <c r="B88" s="8" t="n">
        <v>2025</v>
      </c>
      <c r="C88" s="8" t="n">
        <v>2025</v>
      </c>
      <c r="D88" s="8" t="s">
        <v>378</v>
      </c>
      <c r="E88" s="8" t="s">
        <v>9715</v>
      </c>
      <c r="F88" s="7" t="s">
        <v>9953</v>
      </c>
      <c r="G88" s="8" t="n">
        <v>8.1</v>
      </c>
      <c r="H88" s="8"/>
      <c r="I88" s="9" t="n">
        <v>312992</v>
      </c>
      <c r="J88" s="7"/>
      <c r="K88" s="7" t="s">
        <v>131</v>
      </c>
      <c r="L88" s="7" t="s">
        <v>54</v>
      </c>
      <c r="M88" s="10" t="s">
        <v>238</v>
      </c>
      <c r="N88" s="7"/>
      <c r="O88" s="8" t="n">
        <v>0</v>
      </c>
      <c r="P88" s="8" t="n">
        <v>0</v>
      </c>
      <c r="Q88" s="8" t="n">
        <v>0</v>
      </c>
      <c r="R88" s="7"/>
      <c r="S88" s="7" t="s">
        <v>9954</v>
      </c>
    </row>
    <row r="89" customFormat="false" ht="15.75" hidden="false" customHeight="true" outlineLevel="0" collapsed="false">
      <c r="A89" s="7" t="s">
        <v>8395</v>
      </c>
      <c r="B89" s="8" t="n">
        <v>2013</v>
      </c>
      <c r="C89" s="8" t="n">
        <v>2015</v>
      </c>
      <c r="D89" s="8" t="s">
        <v>176</v>
      </c>
      <c r="E89" s="8" t="s">
        <v>9685</v>
      </c>
      <c r="F89" s="7" t="s">
        <v>9955</v>
      </c>
      <c r="G89" s="8" t="n">
        <v>8.5</v>
      </c>
      <c r="H89" s="8"/>
      <c r="I89" s="9" t="n">
        <v>312504</v>
      </c>
      <c r="J89" s="7"/>
      <c r="K89" s="7" t="s">
        <v>147</v>
      </c>
      <c r="L89" s="7" t="s">
        <v>54</v>
      </c>
      <c r="M89" s="10" t="s">
        <v>205</v>
      </c>
      <c r="N89" s="7"/>
      <c r="O89" s="8" t="n">
        <v>0</v>
      </c>
      <c r="P89" s="8" t="n">
        <v>0</v>
      </c>
      <c r="Q89" s="8" t="n">
        <v>7</v>
      </c>
      <c r="R89" s="7"/>
      <c r="S89" s="7" t="s">
        <v>9956</v>
      </c>
    </row>
    <row r="90" customFormat="false" ht="15.75" hidden="false" customHeight="true" outlineLevel="0" collapsed="false">
      <c r="A90" s="7" t="s">
        <v>9957</v>
      </c>
      <c r="B90" s="8" t="n">
        <v>2017</v>
      </c>
      <c r="C90" s="8" t="n">
        <v>2019</v>
      </c>
      <c r="D90" s="8" t="s">
        <v>176</v>
      </c>
      <c r="E90" s="8" t="s">
        <v>9685</v>
      </c>
      <c r="F90" s="7" t="s">
        <v>9958</v>
      </c>
      <c r="G90" s="8" t="n">
        <v>8.4</v>
      </c>
      <c r="H90" s="8"/>
      <c r="I90" s="9" t="n">
        <v>310980</v>
      </c>
      <c r="J90" s="7"/>
      <c r="K90" s="7" t="s">
        <v>112</v>
      </c>
      <c r="L90" s="7" t="s">
        <v>54</v>
      </c>
      <c r="M90" s="10" t="s">
        <v>177</v>
      </c>
      <c r="N90" s="7"/>
      <c r="O90" s="8" t="n">
        <v>0</v>
      </c>
      <c r="P90" s="8" t="n">
        <v>0</v>
      </c>
      <c r="Q90" s="8" t="n">
        <v>0</v>
      </c>
      <c r="R90" s="7"/>
      <c r="S90" s="7" t="s">
        <v>9959</v>
      </c>
    </row>
    <row r="91" customFormat="false" ht="15.75" hidden="false" customHeight="true" outlineLevel="0" collapsed="false">
      <c r="A91" s="7" t="s">
        <v>9960</v>
      </c>
      <c r="B91" s="8" t="n">
        <v>2014</v>
      </c>
      <c r="C91" s="8" t="n">
        <v>2020</v>
      </c>
      <c r="D91" s="8" t="s">
        <v>176</v>
      </c>
      <c r="E91" s="8" t="s">
        <v>9685</v>
      </c>
      <c r="F91" s="7" t="s">
        <v>9961</v>
      </c>
      <c r="G91" s="8" t="n">
        <v>7.5</v>
      </c>
      <c r="H91" s="8"/>
      <c r="I91" s="9" t="n">
        <v>306800</v>
      </c>
      <c r="J91" s="7"/>
      <c r="K91" s="7" t="s">
        <v>112</v>
      </c>
      <c r="L91" s="7" t="s">
        <v>125</v>
      </c>
      <c r="M91" s="10" t="s">
        <v>113</v>
      </c>
      <c r="N91" s="7"/>
      <c r="O91" s="8" t="n">
        <v>0</v>
      </c>
      <c r="P91" s="8" t="n">
        <v>0</v>
      </c>
      <c r="Q91" s="8" t="n">
        <v>0</v>
      </c>
      <c r="R91" s="7"/>
      <c r="S91" s="7" t="s">
        <v>9962</v>
      </c>
    </row>
    <row r="92" customFormat="false" ht="15.75" hidden="false" customHeight="true" outlineLevel="0" collapsed="false">
      <c r="A92" s="7" t="s">
        <v>9963</v>
      </c>
      <c r="B92" s="8" t="n">
        <v>2002</v>
      </c>
      <c r="C92" s="8" t="n">
        <v>2003</v>
      </c>
      <c r="D92" s="8" t="s">
        <v>35</v>
      </c>
      <c r="E92" s="8" t="s">
        <v>9685</v>
      </c>
      <c r="F92" s="7" t="s">
        <v>9964</v>
      </c>
      <c r="G92" s="8" t="n">
        <v>8.9</v>
      </c>
      <c r="H92" s="8"/>
      <c r="I92" s="9" t="n">
        <v>303480</v>
      </c>
      <c r="J92" s="7"/>
      <c r="K92" s="7" t="s">
        <v>111</v>
      </c>
      <c r="L92" s="7" t="s">
        <v>39</v>
      </c>
      <c r="M92" s="10"/>
      <c r="N92" s="7"/>
      <c r="O92" s="8" t="n">
        <v>0</v>
      </c>
      <c r="P92" s="8" t="n">
        <v>0</v>
      </c>
      <c r="Q92" s="8" t="n">
        <v>0</v>
      </c>
      <c r="R92" s="7"/>
      <c r="S92" s="7" t="s">
        <v>9965</v>
      </c>
    </row>
    <row r="93" customFormat="false" ht="15.75" hidden="false" customHeight="true" outlineLevel="0" collapsed="false">
      <c r="A93" s="7" t="s">
        <v>9966</v>
      </c>
      <c r="B93" s="8" t="n">
        <v>2017</v>
      </c>
      <c r="C93" s="8" t="n">
        <v>2025</v>
      </c>
      <c r="D93" s="8" t="s">
        <v>176</v>
      </c>
      <c r="E93" s="8" t="s">
        <v>9685</v>
      </c>
      <c r="F93" s="7" t="s">
        <v>9967</v>
      </c>
      <c r="G93" s="8" t="n">
        <v>8.3</v>
      </c>
      <c r="H93" s="8"/>
      <c r="I93" s="9" t="n">
        <v>303209</v>
      </c>
      <c r="J93" s="7"/>
      <c r="K93" s="7" t="s">
        <v>111</v>
      </c>
      <c r="L93" s="7" t="s">
        <v>131</v>
      </c>
      <c r="M93" s="10" t="s">
        <v>9968</v>
      </c>
      <c r="N93" s="7"/>
      <c r="O93" s="8" t="n">
        <v>36</v>
      </c>
      <c r="P93" s="8" t="n">
        <v>1</v>
      </c>
      <c r="Q93" s="8" t="n">
        <v>205</v>
      </c>
      <c r="R93" s="7"/>
      <c r="S93" s="7" t="s">
        <v>9969</v>
      </c>
    </row>
    <row r="94" customFormat="false" ht="15.75" hidden="false" customHeight="true" outlineLevel="0" collapsed="false">
      <c r="A94" s="7" t="s">
        <v>9970</v>
      </c>
      <c r="B94" s="8" t="n">
        <v>2013</v>
      </c>
      <c r="C94" s="8" t="n">
        <v>2023</v>
      </c>
      <c r="D94" s="8" t="s">
        <v>176</v>
      </c>
      <c r="E94" s="8" t="s">
        <v>9685</v>
      </c>
      <c r="F94" s="7" t="s">
        <v>9971</v>
      </c>
      <c r="G94" s="8" t="n">
        <v>7.9</v>
      </c>
      <c r="H94" s="8"/>
      <c r="I94" s="9" t="n">
        <v>302987</v>
      </c>
      <c r="J94" s="7"/>
      <c r="K94" s="7" t="s">
        <v>47</v>
      </c>
      <c r="L94" s="7" t="s">
        <v>54</v>
      </c>
      <c r="M94" s="10" t="s">
        <v>6276</v>
      </c>
      <c r="N94" s="7"/>
      <c r="O94" s="8" t="n">
        <v>0</v>
      </c>
      <c r="P94" s="8" t="n">
        <v>0</v>
      </c>
      <c r="Q94" s="8" t="n">
        <v>7</v>
      </c>
      <c r="R94" s="7"/>
      <c r="S94" s="7" t="s">
        <v>9972</v>
      </c>
    </row>
    <row r="95" customFormat="false" ht="15.75" hidden="false" customHeight="true" outlineLevel="0" collapsed="false">
      <c r="A95" s="7" t="s">
        <v>9973</v>
      </c>
      <c r="B95" s="8" t="n">
        <v>2022</v>
      </c>
      <c r="C95" s="8"/>
      <c r="D95" s="8" t="s">
        <v>378</v>
      </c>
      <c r="E95" s="8" t="s">
        <v>9685</v>
      </c>
      <c r="F95" s="7" t="s">
        <v>9974</v>
      </c>
      <c r="G95" s="8" t="n">
        <v>8</v>
      </c>
      <c r="H95" s="8"/>
      <c r="I95" s="9" t="n">
        <v>302356</v>
      </c>
      <c r="J95" s="7"/>
      <c r="K95" s="7" t="s">
        <v>112</v>
      </c>
      <c r="L95" s="7" t="s">
        <v>54</v>
      </c>
      <c r="M95" s="10" t="s">
        <v>113</v>
      </c>
      <c r="N95" s="7"/>
      <c r="O95" s="8" t="n">
        <v>0</v>
      </c>
      <c r="P95" s="8" t="n">
        <v>0</v>
      </c>
      <c r="Q95" s="8" t="n">
        <v>0</v>
      </c>
      <c r="R95" s="7"/>
      <c r="S95" s="7" t="s">
        <v>9975</v>
      </c>
    </row>
    <row r="96" customFormat="false" ht="15.75" hidden="false" customHeight="true" outlineLevel="0" collapsed="false">
      <c r="A96" s="7" t="s">
        <v>9976</v>
      </c>
      <c r="B96" s="8" t="n">
        <v>2003</v>
      </c>
      <c r="C96" s="8" t="n">
        <v>2015</v>
      </c>
      <c r="D96" s="8" t="s">
        <v>35</v>
      </c>
      <c r="E96" s="8" t="s">
        <v>9685</v>
      </c>
      <c r="F96" s="7" t="s">
        <v>9977</v>
      </c>
      <c r="G96" s="8" t="n">
        <v>7.1</v>
      </c>
      <c r="H96" s="8"/>
      <c r="I96" s="9" t="n">
        <v>300084</v>
      </c>
      <c r="J96" s="7"/>
      <c r="K96" s="7" t="s">
        <v>29</v>
      </c>
      <c r="L96" s="7" t="s">
        <v>30</v>
      </c>
      <c r="M96" s="10" t="s">
        <v>113</v>
      </c>
      <c r="N96" s="7"/>
      <c r="O96" s="8" t="n">
        <v>7</v>
      </c>
      <c r="P96" s="8" t="n">
        <v>0</v>
      </c>
      <c r="Q96" s="8" t="n">
        <v>77</v>
      </c>
      <c r="R96" s="7"/>
      <c r="S96" s="7" t="s">
        <v>9978</v>
      </c>
    </row>
    <row r="97" customFormat="false" ht="15.75" hidden="false" customHeight="true" outlineLevel="0" collapsed="false">
      <c r="A97" s="7" t="s">
        <v>9979</v>
      </c>
      <c r="B97" s="8" t="n">
        <v>2010</v>
      </c>
      <c r="C97" s="8" t="n">
        <v>2013</v>
      </c>
      <c r="D97" s="8" t="s">
        <v>176</v>
      </c>
      <c r="E97" s="8" t="s">
        <v>9685</v>
      </c>
      <c r="F97" s="7" t="s">
        <v>9980</v>
      </c>
      <c r="G97" s="8" t="n">
        <v>8.4</v>
      </c>
      <c r="H97" s="8" t="n">
        <v>8</v>
      </c>
      <c r="I97" s="9" t="n">
        <v>298168</v>
      </c>
      <c r="J97" s="7"/>
      <c r="K97" s="7" t="s">
        <v>112</v>
      </c>
      <c r="L97" s="7" t="s">
        <v>48</v>
      </c>
      <c r="M97" s="10" t="s">
        <v>9981</v>
      </c>
      <c r="N97" s="7"/>
      <c r="O97" s="8" t="n">
        <v>0</v>
      </c>
      <c r="P97" s="8" t="n">
        <v>0</v>
      </c>
      <c r="Q97" s="8" t="n">
        <v>0</v>
      </c>
      <c r="R97" s="7"/>
      <c r="S97" s="7" t="s">
        <v>9982</v>
      </c>
    </row>
    <row r="98" customFormat="false" ht="15.75" hidden="false" customHeight="true" outlineLevel="0" collapsed="false">
      <c r="A98" s="7" t="s">
        <v>9983</v>
      </c>
      <c r="B98" s="8" t="n">
        <v>2007</v>
      </c>
      <c r="C98" s="8" t="n">
        <v>2015</v>
      </c>
      <c r="D98" s="8" t="s">
        <v>35</v>
      </c>
      <c r="E98" s="8" t="s">
        <v>9685</v>
      </c>
      <c r="F98" s="7" t="s">
        <v>9984</v>
      </c>
      <c r="G98" s="8" t="n">
        <v>8.7</v>
      </c>
      <c r="H98" s="8"/>
      <c r="I98" s="9" t="n">
        <v>293149</v>
      </c>
      <c r="J98" s="7"/>
      <c r="K98" s="7" t="s">
        <v>47</v>
      </c>
      <c r="L98" s="7"/>
      <c r="M98" s="10" t="s">
        <v>5530</v>
      </c>
      <c r="N98" s="7"/>
      <c r="O98" s="8" t="n">
        <v>48</v>
      </c>
      <c r="P98" s="8" t="n">
        <v>1</v>
      </c>
      <c r="Q98" s="8" t="n">
        <v>225</v>
      </c>
      <c r="R98" s="7"/>
      <c r="S98" s="7" t="s">
        <v>9985</v>
      </c>
    </row>
    <row r="99" customFormat="false" ht="15.75" hidden="false" customHeight="true" outlineLevel="0" collapsed="false">
      <c r="A99" s="7" t="s">
        <v>9986</v>
      </c>
      <c r="B99" s="8" t="n">
        <v>2001</v>
      </c>
      <c r="C99" s="8" t="n">
        <v>2010</v>
      </c>
      <c r="D99" s="8" t="s">
        <v>35</v>
      </c>
      <c r="E99" s="8" t="s">
        <v>9685</v>
      </c>
      <c r="F99" s="7" t="s">
        <v>9987</v>
      </c>
      <c r="G99" s="8" t="n">
        <v>8.4</v>
      </c>
      <c r="H99" s="8"/>
      <c r="I99" s="9" t="n">
        <v>287148</v>
      </c>
      <c r="J99" s="7"/>
      <c r="K99" s="7" t="s">
        <v>30</v>
      </c>
      <c r="L99" s="7" t="s">
        <v>47</v>
      </c>
      <c r="M99" s="10" t="s">
        <v>177</v>
      </c>
      <c r="N99" s="7"/>
      <c r="O99" s="8" t="n">
        <v>3</v>
      </c>
      <c r="P99" s="8" t="n">
        <v>0</v>
      </c>
      <c r="Q99" s="8" t="n">
        <v>15</v>
      </c>
      <c r="R99" s="7"/>
      <c r="S99" s="7" t="s">
        <v>9988</v>
      </c>
    </row>
    <row r="100" customFormat="false" ht="15.75" hidden="false" customHeight="true" outlineLevel="0" collapsed="false">
      <c r="A100" s="7" t="s">
        <v>9989</v>
      </c>
      <c r="B100" s="8" t="n">
        <v>2021</v>
      </c>
      <c r="C100" s="8" t="n">
        <v>2021</v>
      </c>
      <c r="D100" s="8" t="s">
        <v>378</v>
      </c>
      <c r="E100" s="8" t="s">
        <v>9715</v>
      </c>
      <c r="F100" s="7" t="s">
        <v>9990</v>
      </c>
      <c r="G100" s="8" t="n">
        <v>7.1</v>
      </c>
      <c r="H100" s="8"/>
      <c r="I100" s="9" t="n">
        <v>284447</v>
      </c>
      <c r="J100" s="7"/>
      <c r="K100" s="7" t="s">
        <v>112</v>
      </c>
      <c r="L100" s="7" t="s">
        <v>39</v>
      </c>
      <c r="M100" s="10" t="s">
        <v>177</v>
      </c>
      <c r="N100" s="7"/>
      <c r="O100" s="8" t="n">
        <v>0</v>
      </c>
      <c r="P100" s="8" t="n">
        <v>0</v>
      </c>
      <c r="Q100" s="8" t="n">
        <v>29</v>
      </c>
      <c r="R100" s="7"/>
      <c r="S100" s="7" t="s">
        <v>9991</v>
      </c>
    </row>
    <row r="101" customFormat="false" ht="15.75" hidden="false" customHeight="true" outlineLevel="0" collapsed="false">
      <c r="A101" s="7" t="s">
        <v>9992</v>
      </c>
      <c r="B101" s="8" t="n">
        <v>2022</v>
      </c>
      <c r="C101" s="8" t="n">
        <v>2025</v>
      </c>
      <c r="D101" s="8" t="s">
        <v>378</v>
      </c>
      <c r="E101" s="8" t="s">
        <v>9685</v>
      </c>
      <c r="F101" s="7" t="s">
        <v>9993</v>
      </c>
      <c r="G101" s="8" t="n">
        <v>8.6</v>
      </c>
      <c r="H101" s="8" t="n">
        <v>8</v>
      </c>
      <c r="I101" s="9" t="n">
        <v>283732</v>
      </c>
      <c r="J101" s="7"/>
      <c r="K101" s="7" t="s">
        <v>38</v>
      </c>
      <c r="L101" s="7" t="s">
        <v>39</v>
      </c>
      <c r="M101" s="10" t="s">
        <v>177</v>
      </c>
      <c r="N101" s="7"/>
      <c r="O101" s="8" t="n">
        <v>0</v>
      </c>
      <c r="P101" s="8" t="n">
        <v>0</v>
      </c>
      <c r="Q101" s="8" t="n">
        <v>0</v>
      </c>
      <c r="R101" s="7"/>
      <c r="S101" s="7" t="s">
        <v>9994</v>
      </c>
    </row>
    <row r="102" customFormat="false" ht="15.75" hidden="false" customHeight="true" outlineLevel="0" collapsed="false">
      <c r="A102" s="7" t="s">
        <v>9995</v>
      </c>
      <c r="B102" s="8" t="n">
        <v>2016</v>
      </c>
      <c r="C102" s="8" t="n">
        <v>2023</v>
      </c>
      <c r="D102" s="8" t="s">
        <v>176</v>
      </c>
      <c r="E102" s="8" t="s">
        <v>9685</v>
      </c>
      <c r="F102" s="7" t="s">
        <v>9996</v>
      </c>
      <c r="G102" s="8" t="n">
        <v>8.6</v>
      </c>
      <c r="H102" s="8"/>
      <c r="I102" s="9" t="n">
        <v>283622</v>
      </c>
      <c r="J102" s="7"/>
      <c r="K102" s="7" t="s">
        <v>47</v>
      </c>
      <c r="L102" s="7" t="s">
        <v>48</v>
      </c>
      <c r="M102" s="10" t="s">
        <v>238</v>
      </c>
      <c r="N102" s="7"/>
      <c r="O102" s="8" t="n">
        <v>33</v>
      </c>
      <c r="P102" s="8" t="n">
        <v>1</v>
      </c>
      <c r="Q102" s="8" t="n">
        <v>155</v>
      </c>
      <c r="R102" s="7"/>
      <c r="S102" s="7" t="s">
        <v>9997</v>
      </c>
    </row>
    <row r="103" customFormat="false" ht="15.75" hidden="false" customHeight="true" outlineLevel="0" collapsed="false">
      <c r="A103" s="7" t="s">
        <v>9998</v>
      </c>
      <c r="B103" s="8" t="n">
        <v>2005</v>
      </c>
      <c r="C103" s="8"/>
      <c r="D103" s="8" t="s">
        <v>35</v>
      </c>
      <c r="E103" s="8" t="s">
        <v>9685</v>
      </c>
      <c r="F103" s="7" t="s">
        <v>9999</v>
      </c>
      <c r="G103" s="8" t="n">
        <v>8.8</v>
      </c>
      <c r="H103" s="8"/>
      <c r="I103" s="9" t="n">
        <v>283524</v>
      </c>
      <c r="J103" s="7"/>
      <c r="K103" s="7" t="s">
        <v>30</v>
      </c>
      <c r="L103" s="7"/>
      <c r="M103" s="10" t="s">
        <v>177</v>
      </c>
      <c r="N103" s="7"/>
      <c r="O103" s="8" t="n">
        <v>0</v>
      </c>
      <c r="P103" s="8" t="n">
        <v>0</v>
      </c>
      <c r="Q103" s="8" t="n">
        <v>2</v>
      </c>
      <c r="R103" s="7"/>
      <c r="S103" s="7" t="s">
        <v>10000</v>
      </c>
    </row>
    <row r="104" customFormat="false" ht="15.75" hidden="false" customHeight="true" outlineLevel="0" collapsed="false">
      <c r="A104" s="7" t="s">
        <v>10001</v>
      </c>
      <c r="B104" s="8" t="n">
        <v>1999</v>
      </c>
      <c r="C104" s="8"/>
      <c r="D104" s="8" t="s">
        <v>26</v>
      </c>
      <c r="E104" s="8" t="s">
        <v>9685</v>
      </c>
      <c r="F104" s="7" t="s">
        <v>10002</v>
      </c>
      <c r="G104" s="8" t="n">
        <v>8.5</v>
      </c>
      <c r="H104" s="8"/>
      <c r="I104" s="9" t="n">
        <v>279801</v>
      </c>
      <c r="J104" s="7"/>
      <c r="K104" s="7" t="s">
        <v>579</v>
      </c>
      <c r="L104" s="7" t="s">
        <v>39</v>
      </c>
      <c r="M104" s="10" t="s">
        <v>177</v>
      </c>
      <c r="N104" s="7"/>
      <c r="O104" s="8" t="n">
        <v>17</v>
      </c>
      <c r="P104" s="8" t="n">
        <v>0</v>
      </c>
      <c r="Q104" s="8" t="n">
        <v>17</v>
      </c>
      <c r="R104" s="7"/>
      <c r="S104" s="7" t="s">
        <v>10003</v>
      </c>
    </row>
    <row r="105" customFormat="false" ht="15.75" hidden="false" customHeight="true" outlineLevel="0" collapsed="false">
      <c r="A105" s="7" t="s">
        <v>10004</v>
      </c>
      <c r="B105" s="8" t="n">
        <v>2026</v>
      </c>
      <c r="C105" s="8"/>
      <c r="D105" s="8" t="s">
        <v>378</v>
      </c>
      <c r="E105" s="8" t="s">
        <v>9685</v>
      </c>
      <c r="F105" s="7" t="s">
        <v>10005</v>
      </c>
      <c r="G105" s="8" t="n">
        <v>8.6</v>
      </c>
      <c r="H105" s="8"/>
      <c r="I105" s="9" t="n">
        <v>276394</v>
      </c>
      <c r="J105" s="7"/>
      <c r="K105" s="7" t="s">
        <v>38</v>
      </c>
      <c r="L105" s="7" t="s">
        <v>39</v>
      </c>
      <c r="M105" s="10" t="s">
        <v>55</v>
      </c>
      <c r="N105" s="7"/>
      <c r="O105" s="8" t="n">
        <v>0</v>
      </c>
      <c r="P105" s="8" t="n">
        <v>0</v>
      </c>
      <c r="Q105" s="8" t="n">
        <v>0</v>
      </c>
      <c r="R105" s="7"/>
      <c r="S105" s="7" t="s">
        <v>10006</v>
      </c>
    </row>
    <row r="106" customFormat="false" ht="15.75" hidden="false" customHeight="true" outlineLevel="0" collapsed="false">
      <c r="A106" s="7" t="s">
        <v>10007</v>
      </c>
      <c r="B106" s="8" t="n">
        <v>1993</v>
      </c>
      <c r="C106" s="8" t="n">
        <v>2018</v>
      </c>
      <c r="D106" s="8" t="s">
        <v>26</v>
      </c>
      <c r="E106" s="8" t="s">
        <v>9685</v>
      </c>
      <c r="F106" s="7" t="s">
        <v>10008</v>
      </c>
      <c r="G106" s="8" t="n">
        <v>8.6</v>
      </c>
      <c r="H106" s="8"/>
      <c r="I106" s="9" t="n">
        <v>275365</v>
      </c>
      <c r="J106" s="7"/>
      <c r="K106" s="7" t="s">
        <v>39</v>
      </c>
      <c r="L106" s="7" t="s">
        <v>54</v>
      </c>
      <c r="M106" s="10" t="s">
        <v>10009</v>
      </c>
      <c r="N106" s="7"/>
      <c r="O106" s="8" t="n">
        <v>2</v>
      </c>
      <c r="P106" s="8" t="n">
        <v>0</v>
      </c>
      <c r="Q106" s="8" t="n">
        <v>3</v>
      </c>
      <c r="R106" s="7"/>
      <c r="S106" s="7" t="s">
        <v>10010</v>
      </c>
    </row>
    <row r="107" customFormat="false" ht="15.75" hidden="false" customHeight="true" outlineLevel="0" collapsed="false">
      <c r="A107" s="7" t="s">
        <v>10011</v>
      </c>
      <c r="B107" s="8" t="n">
        <v>2008</v>
      </c>
      <c r="C107" s="8" t="n">
        <v>2014</v>
      </c>
      <c r="D107" s="8" t="s">
        <v>35</v>
      </c>
      <c r="E107" s="8" t="s">
        <v>9685</v>
      </c>
      <c r="F107" s="7" t="s">
        <v>10012</v>
      </c>
      <c r="G107" s="8" t="n">
        <v>7.9</v>
      </c>
      <c r="H107" s="8" t="n">
        <v>8</v>
      </c>
      <c r="I107" s="9" t="n">
        <v>272377</v>
      </c>
      <c r="J107" s="7"/>
      <c r="K107" s="7" t="s">
        <v>38</v>
      </c>
      <c r="L107" s="7" t="s">
        <v>125</v>
      </c>
      <c r="M107" s="10" t="s">
        <v>69</v>
      </c>
      <c r="N107" s="7"/>
      <c r="O107" s="8" t="n">
        <v>2</v>
      </c>
      <c r="P107" s="8" t="n">
        <v>0</v>
      </c>
      <c r="Q107" s="8" t="n">
        <v>55</v>
      </c>
      <c r="R107" s="7"/>
      <c r="S107" s="7" t="s">
        <v>10013</v>
      </c>
    </row>
    <row r="108" customFormat="false" ht="15.75" hidden="false" customHeight="true" outlineLevel="0" collapsed="false">
      <c r="A108" s="7" t="s">
        <v>10014</v>
      </c>
      <c r="B108" s="8" t="n">
        <v>2008</v>
      </c>
      <c r="C108" s="8" t="n">
        <v>2013</v>
      </c>
      <c r="D108" s="8" t="s">
        <v>35</v>
      </c>
      <c r="E108" s="8" t="s">
        <v>9685</v>
      </c>
      <c r="F108" s="7" t="s">
        <v>10015</v>
      </c>
      <c r="G108" s="8" t="n">
        <v>8.4</v>
      </c>
      <c r="H108" s="8"/>
      <c r="I108" s="9" t="n">
        <v>271907</v>
      </c>
      <c r="J108" s="7"/>
      <c r="K108" s="7" t="s">
        <v>111</v>
      </c>
      <c r="L108" s="7" t="s">
        <v>125</v>
      </c>
      <c r="M108" s="10" t="s">
        <v>69</v>
      </c>
      <c r="N108" s="7"/>
      <c r="O108" s="8" t="n">
        <v>0</v>
      </c>
      <c r="P108" s="8" t="n">
        <v>0</v>
      </c>
      <c r="Q108" s="8" t="n">
        <v>15</v>
      </c>
      <c r="R108" s="7"/>
      <c r="S108" s="7" t="s">
        <v>10016</v>
      </c>
    </row>
    <row r="109" customFormat="false" ht="15.75" hidden="false" customHeight="true" outlineLevel="0" collapsed="false">
      <c r="A109" s="7" t="s">
        <v>10017</v>
      </c>
      <c r="B109" s="8" t="n">
        <v>2022</v>
      </c>
      <c r="C109" s="8" t="n">
        <v>2022</v>
      </c>
      <c r="D109" s="8" t="s">
        <v>378</v>
      </c>
      <c r="E109" s="8" t="s">
        <v>9715</v>
      </c>
      <c r="F109" s="7" t="s">
        <v>10018</v>
      </c>
      <c r="G109" s="8" t="n">
        <v>7</v>
      </c>
      <c r="H109" s="8" t="n">
        <v>8</v>
      </c>
      <c r="I109" s="9" t="n">
        <v>265834</v>
      </c>
      <c r="J109" s="7"/>
      <c r="K109" s="7" t="s">
        <v>111</v>
      </c>
      <c r="L109" s="7" t="s">
        <v>112</v>
      </c>
      <c r="M109" s="10" t="s">
        <v>177</v>
      </c>
      <c r="N109" s="7"/>
      <c r="O109" s="8" t="n">
        <v>0</v>
      </c>
      <c r="P109" s="8" t="n">
        <v>0</v>
      </c>
      <c r="Q109" s="8" t="n">
        <v>0</v>
      </c>
      <c r="R109" s="7"/>
      <c r="S109" s="7" t="s">
        <v>10019</v>
      </c>
    </row>
    <row r="110" customFormat="false" ht="15.75" hidden="false" customHeight="true" outlineLevel="0" collapsed="false">
      <c r="A110" s="7" t="s">
        <v>10020</v>
      </c>
      <c r="B110" s="8" t="n">
        <v>2011</v>
      </c>
      <c r="C110" s="8" t="n">
        <v>2018</v>
      </c>
      <c r="D110" s="8" t="s">
        <v>176</v>
      </c>
      <c r="E110" s="8" t="s">
        <v>9685</v>
      </c>
      <c r="F110" s="7" t="s">
        <v>10021</v>
      </c>
      <c r="G110" s="8" t="n">
        <v>7.8</v>
      </c>
      <c r="H110" s="8"/>
      <c r="I110" s="9" t="n">
        <v>265191</v>
      </c>
      <c r="J110" s="7"/>
      <c r="K110" s="7" t="s">
        <v>29</v>
      </c>
      <c r="L110" s="7" t="s">
        <v>30</v>
      </c>
      <c r="M110" s="10" t="s">
        <v>177</v>
      </c>
      <c r="N110" s="7"/>
      <c r="O110" s="8" t="n">
        <v>0</v>
      </c>
      <c r="P110" s="8" t="n">
        <v>0</v>
      </c>
      <c r="Q110" s="8" t="n">
        <v>10</v>
      </c>
      <c r="R110" s="7"/>
      <c r="S110" s="7" t="s">
        <v>10022</v>
      </c>
    </row>
    <row r="111" customFormat="false" ht="15.75" hidden="false" customHeight="true" outlineLevel="0" collapsed="false">
      <c r="A111" s="7" t="s">
        <v>10023</v>
      </c>
      <c r="B111" s="8" t="n">
        <v>2005</v>
      </c>
      <c r="C111" s="8" t="n">
        <v>2022</v>
      </c>
      <c r="D111" s="8" t="s">
        <v>35</v>
      </c>
      <c r="E111" s="8" t="s">
        <v>9685</v>
      </c>
      <c r="F111" s="7" t="s">
        <v>10024</v>
      </c>
      <c r="G111" s="8" t="n">
        <v>8.5</v>
      </c>
      <c r="H111" s="8"/>
      <c r="I111" s="9" t="n">
        <v>263631</v>
      </c>
      <c r="J111" s="7"/>
      <c r="K111" s="7" t="s">
        <v>111</v>
      </c>
      <c r="L111" s="7" t="s">
        <v>39</v>
      </c>
      <c r="M111" s="10"/>
      <c r="N111" s="7"/>
      <c r="O111" s="8" t="n">
        <v>0</v>
      </c>
      <c r="P111" s="8" t="n">
        <v>0</v>
      </c>
      <c r="Q111" s="8" t="n">
        <v>0</v>
      </c>
      <c r="R111" s="7"/>
      <c r="S111" s="7" t="s">
        <v>10025</v>
      </c>
    </row>
    <row r="112" customFormat="false" ht="15.75" hidden="false" customHeight="true" outlineLevel="0" collapsed="false">
      <c r="A112" s="7" t="s">
        <v>10026</v>
      </c>
      <c r="B112" s="8" t="n">
        <v>2006</v>
      </c>
      <c r="C112" s="8" t="n">
        <v>2010</v>
      </c>
      <c r="D112" s="8" t="s">
        <v>35</v>
      </c>
      <c r="E112" s="8" t="s">
        <v>9685</v>
      </c>
      <c r="F112" s="7" t="s">
        <v>10027</v>
      </c>
      <c r="G112" s="8" t="n">
        <v>7.5</v>
      </c>
      <c r="H112" s="8"/>
      <c r="I112" s="9" t="n">
        <v>263464</v>
      </c>
      <c r="J112" s="7"/>
      <c r="K112" s="7" t="s">
        <v>38</v>
      </c>
      <c r="L112" s="7" t="s">
        <v>54</v>
      </c>
      <c r="M112" s="10" t="s">
        <v>5389</v>
      </c>
      <c r="N112" s="7"/>
      <c r="O112" s="8" t="n">
        <v>9</v>
      </c>
      <c r="P112" s="8" t="n">
        <v>0</v>
      </c>
      <c r="Q112" s="8" t="n">
        <v>62</v>
      </c>
      <c r="R112" s="7"/>
      <c r="S112" s="7" t="s">
        <v>10028</v>
      </c>
    </row>
    <row r="113" customFormat="false" ht="15.75" hidden="false" customHeight="true" outlineLevel="0" collapsed="false">
      <c r="A113" s="7" t="s">
        <v>10029</v>
      </c>
      <c r="B113" s="8" t="n">
        <v>2009</v>
      </c>
      <c r="C113" s="8" t="n">
        <v>2010</v>
      </c>
      <c r="D113" s="8" t="s">
        <v>35</v>
      </c>
      <c r="E113" s="8" t="s">
        <v>9685</v>
      </c>
      <c r="F113" s="7" t="s">
        <v>10030</v>
      </c>
      <c r="G113" s="8" t="n">
        <v>9.1</v>
      </c>
      <c r="H113" s="8"/>
      <c r="I113" s="9" t="n">
        <v>254943</v>
      </c>
      <c r="J113" s="7"/>
      <c r="K113" s="7" t="s">
        <v>579</v>
      </c>
      <c r="L113" s="7" t="s">
        <v>112</v>
      </c>
      <c r="M113" s="10" t="s">
        <v>10031</v>
      </c>
      <c r="N113" s="7"/>
      <c r="O113" s="8" t="n">
        <v>0</v>
      </c>
      <c r="P113" s="8" t="n">
        <v>0</v>
      </c>
      <c r="Q113" s="8" t="n">
        <v>0</v>
      </c>
      <c r="R113" s="7"/>
      <c r="S113" s="7" t="s">
        <v>10032</v>
      </c>
    </row>
    <row r="114" customFormat="false" ht="15.75" hidden="false" customHeight="true" outlineLevel="0" collapsed="false">
      <c r="A114" s="7" t="s">
        <v>10033</v>
      </c>
      <c r="B114" s="8" t="n">
        <v>2014</v>
      </c>
      <c r="C114" s="8" t="n">
        <v>2019</v>
      </c>
      <c r="D114" s="8" t="s">
        <v>176</v>
      </c>
      <c r="E114" s="8" t="s">
        <v>9685</v>
      </c>
      <c r="F114" s="7" t="s">
        <v>10034</v>
      </c>
      <c r="G114" s="8" t="n">
        <v>7.8</v>
      </c>
      <c r="H114" s="8"/>
      <c r="I114" s="9" t="n">
        <v>252811</v>
      </c>
      <c r="J114" s="7"/>
      <c r="K114" s="7" t="s">
        <v>112</v>
      </c>
      <c r="L114" s="7" t="s">
        <v>54</v>
      </c>
      <c r="M114" s="10"/>
      <c r="N114" s="7"/>
      <c r="O114" s="8" t="n">
        <v>9</v>
      </c>
      <c r="P114" s="8" t="n">
        <v>0</v>
      </c>
      <c r="Q114" s="8" t="n">
        <v>60</v>
      </c>
      <c r="R114" s="7"/>
      <c r="S114" s="7" t="s">
        <v>10035</v>
      </c>
    </row>
    <row r="115" customFormat="false" ht="15.75" hidden="false" customHeight="true" outlineLevel="0" collapsed="false">
      <c r="A115" s="7" t="s">
        <v>10036</v>
      </c>
      <c r="B115" s="8" t="n">
        <v>2016</v>
      </c>
      <c r="C115" s="8" t="n">
        <v>2019</v>
      </c>
      <c r="D115" s="8" t="s">
        <v>176</v>
      </c>
      <c r="E115" s="8" t="s">
        <v>9685</v>
      </c>
      <c r="F115" s="7" t="s">
        <v>10037</v>
      </c>
      <c r="G115" s="8" t="n">
        <v>8.7</v>
      </c>
      <c r="H115" s="8"/>
      <c r="I115" s="9" t="n">
        <v>251030</v>
      </c>
      <c r="J115" s="7"/>
      <c r="K115" s="7" t="s">
        <v>30</v>
      </c>
      <c r="L115" s="7" t="s">
        <v>47</v>
      </c>
      <c r="M115" s="10" t="s">
        <v>113</v>
      </c>
      <c r="N115" s="7"/>
      <c r="O115" s="8" t="n">
        <v>12</v>
      </c>
      <c r="P115" s="8" t="n">
        <v>1</v>
      </c>
      <c r="Q115" s="8" t="n">
        <v>17</v>
      </c>
      <c r="R115" s="7"/>
      <c r="S115" s="7" t="s">
        <v>10038</v>
      </c>
    </row>
    <row r="116" customFormat="false" ht="15.75" hidden="false" customHeight="true" outlineLevel="0" collapsed="false">
      <c r="A116" s="7" t="s">
        <v>10039</v>
      </c>
      <c r="B116" s="8" t="n">
        <v>2024</v>
      </c>
      <c r="C116" s="8" t="n">
        <v>2026</v>
      </c>
      <c r="D116" s="8" t="s">
        <v>378</v>
      </c>
      <c r="E116" s="8" t="s">
        <v>9685</v>
      </c>
      <c r="F116" s="7" t="s">
        <v>10040</v>
      </c>
      <c r="G116" s="8" t="n">
        <v>8.6</v>
      </c>
      <c r="H116" s="8" t="n">
        <v>9</v>
      </c>
      <c r="I116" s="9" t="n">
        <v>250404</v>
      </c>
      <c r="J116" s="7"/>
      <c r="K116" s="7" t="s">
        <v>112</v>
      </c>
      <c r="L116" s="7" t="s">
        <v>39</v>
      </c>
      <c r="M116" s="10" t="s">
        <v>177</v>
      </c>
      <c r="N116" s="7"/>
      <c r="O116" s="8" t="n">
        <v>0</v>
      </c>
      <c r="P116" s="8" t="n">
        <v>0</v>
      </c>
      <c r="Q116" s="8" t="n">
        <v>2</v>
      </c>
      <c r="R116" s="7"/>
      <c r="S116" s="7" t="s">
        <v>10041</v>
      </c>
    </row>
    <row r="117" customFormat="false" ht="15.75" hidden="false" customHeight="true" outlineLevel="0" collapsed="false">
      <c r="A117" s="7" t="s">
        <v>10042</v>
      </c>
      <c r="B117" s="8" t="n">
        <v>1990</v>
      </c>
      <c r="C117" s="8" t="n">
        <v>1991</v>
      </c>
      <c r="D117" s="8" t="s">
        <v>26</v>
      </c>
      <c r="E117" s="8" t="s">
        <v>9685</v>
      </c>
      <c r="F117" s="7" t="s">
        <v>10043</v>
      </c>
      <c r="G117" s="8" t="n">
        <v>8.7</v>
      </c>
      <c r="H117" s="8"/>
      <c r="I117" s="9" t="n">
        <v>249544</v>
      </c>
      <c r="J117" s="7"/>
      <c r="K117" s="7" t="s">
        <v>47</v>
      </c>
      <c r="L117" s="7" t="s">
        <v>54</v>
      </c>
      <c r="M117" s="10" t="s">
        <v>10044</v>
      </c>
      <c r="N117" s="7"/>
      <c r="O117" s="8" t="n">
        <v>0</v>
      </c>
      <c r="P117" s="8" t="n">
        <v>0</v>
      </c>
      <c r="Q117" s="8" t="n">
        <v>27</v>
      </c>
      <c r="R117" s="7"/>
      <c r="S117" s="7" t="s">
        <v>10045</v>
      </c>
    </row>
    <row r="118" customFormat="false" ht="15.75" hidden="false" customHeight="true" outlineLevel="0" collapsed="false">
      <c r="A118" s="7" t="s">
        <v>10046</v>
      </c>
      <c r="B118" s="8" t="n">
        <v>2011</v>
      </c>
      <c r="C118" s="8" t="n">
        <v>2018</v>
      </c>
      <c r="D118" s="8" t="s">
        <v>176</v>
      </c>
      <c r="E118" s="8" t="s">
        <v>9685</v>
      </c>
      <c r="F118" s="7" t="s">
        <v>10047</v>
      </c>
      <c r="G118" s="8" t="n">
        <v>7.6</v>
      </c>
      <c r="H118" s="8"/>
      <c r="I118" s="9" t="n">
        <v>249003</v>
      </c>
      <c r="J118" s="7"/>
      <c r="K118" s="7" t="s">
        <v>38</v>
      </c>
      <c r="L118" s="7" t="s">
        <v>39</v>
      </c>
      <c r="M118" s="10" t="s">
        <v>2616</v>
      </c>
      <c r="N118" s="7"/>
      <c r="O118" s="8" t="n">
        <v>0</v>
      </c>
      <c r="P118" s="8" t="n">
        <v>0</v>
      </c>
      <c r="Q118" s="8" t="n">
        <v>21</v>
      </c>
      <c r="R118" s="7"/>
      <c r="S118" s="7" t="s">
        <v>10048</v>
      </c>
    </row>
    <row r="119" customFormat="false" ht="15.75" hidden="false" customHeight="true" outlineLevel="0" collapsed="false">
      <c r="A119" s="7" t="s">
        <v>10049</v>
      </c>
      <c r="B119" s="8" t="n">
        <v>2017</v>
      </c>
      <c r="C119" s="8" t="n">
        <v>2019</v>
      </c>
      <c r="D119" s="8" t="s">
        <v>176</v>
      </c>
      <c r="E119" s="8" t="s">
        <v>9685</v>
      </c>
      <c r="F119" s="7" t="s">
        <v>10050</v>
      </c>
      <c r="G119" s="8" t="n">
        <v>8</v>
      </c>
      <c r="H119" s="8"/>
      <c r="I119" s="9" t="n">
        <v>248663</v>
      </c>
      <c r="J119" s="7"/>
      <c r="K119" s="7" t="s">
        <v>39</v>
      </c>
      <c r="L119" s="7" t="s">
        <v>54</v>
      </c>
      <c r="M119" s="10" t="s">
        <v>238</v>
      </c>
      <c r="N119" s="7"/>
      <c r="O119" s="8" t="n">
        <v>0</v>
      </c>
      <c r="P119" s="8" t="n">
        <v>0</v>
      </c>
      <c r="Q119" s="8" t="n">
        <v>2</v>
      </c>
      <c r="R119" s="7"/>
      <c r="S119" s="7" t="s">
        <v>10051</v>
      </c>
    </row>
    <row r="120" customFormat="false" ht="15.75" hidden="false" customHeight="true" outlineLevel="0" collapsed="false">
      <c r="A120" s="7" t="s">
        <v>10052</v>
      </c>
      <c r="B120" s="8" t="n">
        <v>2010</v>
      </c>
      <c r="C120" s="8" t="n">
        <v>2015</v>
      </c>
      <c r="D120" s="8" t="s">
        <v>176</v>
      </c>
      <c r="E120" s="8" t="s">
        <v>9685</v>
      </c>
      <c r="F120" s="7" t="s">
        <v>10053</v>
      </c>
      <c r="G120" s="8" t="n">
        <v>8.7</v>
      </c>
      <c r="H120" s="8"/>
      <c r="I120" s="9" t="n">
        <v>248126</v>
      </c>
      <c r="J120" s="7"/>
      <c r="K120" s="7" t="s">
        <v>29</v>
      </c>
      <c r="L120" s="7" t="s">
        <v>47</v>
      </c>
      <c r="M120" s="10" t="s">
        <v>10054</v>
      </c>
      <c r="N120" s="7"/>
      <c r="O120" s="8" t="n">
        <v>19</v>
      </c>
      <c r="P120" s="8" t="n">
        <v>1</v>
      </c>
      <c r="Q120" s="8" t="n">
        <v>99</v>
      </c>
      <c r="R120" s="7"/>
      <c r="S120" s="7" t="s">
        <v>10055</v>
      </c>
    </row>
    <row r="121" customFormat="false" ht="15.75" hidden="false" customHeight="true" outlineLevel="0" collapsed="false">
      <c r="A121" s="7" t="s">
        <v>10056</v>
      </c>
      <c r="B121" s="8" t="n">
        <v>2017</v>
      </c>
      <c r="C121" s="8" t="n">
        <v>2026</v>
      </c>
      <c r="D121" s="8" t="s">
        <v>176</v>
      </c>
      <c r="E121" s="8" t="s">
        <v>9685</v>
      </c>
      <c r="F121" s="7" t="s">
        <v>10057</v>
      </c>
      <c r="G121" s="8" t="n">
        <v>8.4</v>
      </c>
      <c r="H121" s="8"/>
      <c r="I121" s="9" t="n">
        <v>247127</v>
      </c>
      <c r="J121" s="7"/>
      <c r="K121" s="7" t="s">
        <v>47</v>
      </c>
      <c r="L121" s="7" t="s">
        <v>54</v>
      </c>
      <c r="M121" s="10" t="s">
        <v>55</v>
      </c>
      <c r="N121" s="7"/>
      <c r="O121" s="8" t="n">
        <v>18</v>
      </c>
      <c r="P121" s="8" t="n">
        <v>1</v>
      </c>
      <c r="Q121" s="8" t="n">
        <v>55</v>
      </c>
      <c r="R121" s="7"/>
      <c r="S121" s="7" t="s">
        <v>10058</v>
      </c>
    </row>
    <row r="122" customFormat="false" ht="15.75" hidden="false" customHeight="true" outlineLevel="0" collapsed="false">
      <c r="A122" s="7" t="s">
        <v>10059</v>
      </c>
      <c r="B122" s="8" t="n">
        <v>2021</v>
      </c>
      <c r="C122" s="8" t="n">
        <v>2021</v>
      </c>
      <c r="D122" s="8" t="s">
        <v>378</v>
      </c>
      <c r="E122" s="8" t="s">
        <v>9715</v>
      </c>
      <c r="F122" s="7" t="s">
        <v>10060</v>
      </c>
      <c r="G122" s="8" t="n">
        <v>7.4</v>
      </c>
      <c r="H122" s="8"/>
      <c r="I122" s="9" t="n">
        <v>246991</v>
      </c>
      <c r="J122" s="7"/>
      <c r="K122" s="7" t="s">
        <v>112</v>
      </c>
      <c r="L122" s="7" t="s">
        <v>54</v>
      </c>
      <c r="M122" s="10" t="s">
        <v>177</v>
      </c>
      <c r="N122" s="7"/>
      <c r="O122" s="8" t="n">
        <v>0</v>
      </c>
      <c r="P122" s="8" t="n">
        <v>0</v>
      </c>
      <c r="Q122" s="8" t="n">
        <v>0</v>
      </c>
      <c r="R122" s="7"/>
      <c r="S122" s="7" t="s">
        <v>10061</v>
      </c>
    </row>
    <row r="123" customFormat="false" ht="15.75" hidden="false" customHeight="true" outlineLevel="0" collapsed="false">
      <c r="A123" s="7" t="s">
        <v>10062</v>
      </c>
      <c r="B123" s="8" t="n">
        <v>2024</v>
      </c>
      <c r="C123" s="8" t="n">
        <v>2024</v>
      </c>
      <c r="D123" s="8" t="s">
        <v>378</v>
      </c>
      <c r="E123" s="8" t="s">
        <v>9715</v>
      </c>
      <c r="F123" s="7" t="s">
        <v>10063</v>
      </c>
      <c r="G123" s="8" t="n">
        <v>8.6</v>
      </c>
      <c r="H123" s="8"/>
      <c r="I123" s="9" t="n">
        <v>245758</v>
      </c>
      <c r="J123" s="7"/>
      <c r="K123" s="7" t="s">
        <v>47</v>
      </c>
      <c r="L123" s="7" t="s">
        <v>54</v>
      </c>
      <c r="M123" s="10" t="s">
        <v>4902</v>
      </c>
      <c r="N123" s="7"/>
      <c r="O123" s="8" t="n">
        <v>0</v>
      </c>
      <c r="P123" s="8" t="n">
        <v>0</v>
      </c>
      <c r="Q123" s="8" t="n">
        <v>0</v>
      </c>
      <c r="R123" s="7"/>
      <c r="S123" s="7" t="s">
        <v>10064</v>
      </c>
    </row>
    <row r="124" customFormat="false" ht="15.75" hidden="false" customHeight="true" outlineLevel="0" collapsed="false">
      <c r="A124" s="7" t="s">
        <v>10065</v>
      </c>
      <c r="B124" s="8" t="n">
        <v>2018</v>
      </c>
      <c r="C124" s="8" t="n">
        <v>2025</v>
      </c>
      <c r="D124" s="8" t="s">
        <v>176</v>
      </c>
      <c r="E124" s="8" t="s">
        <v>9685</v>
      </c>
      <c r="F124" s="7" t="s">
        <v>10066</v>
      </c>
      <c r="G124" s="8" t="n">
        <v>8.4</v>
      </c>
      <c r="H124" s="8"/>
      <c r="I124" s="9" t="n">
        <v>245630</v>
      </c>
      <c r="J124" s="7"/>
      <c r="K124" s="7" t="s">
        <v>112</v>
      </c>
      <c r="L124" s="7" t="s">
        <v>30</v>
      </c>
      <c r="M124" s="10" t="s">
        <v>238</v>
      </c>
      <c r="N124" s="7"/>
      <c r="O124" s="8" t="n">
        <v>0</v>
      </c>
      <c r="P124" s="8" t="n">
        <v>0</v>
      </c>
      <c r="Q124" s="8" t="n">
        <v>34</v>
      </c>
      <c r="R124" s="7"/>
      <c r="S124" s="7" t="s">
        <v>10067</v>
      </c>
    </row>
    <row r="125" customFormat="false" ht="15.75" hidden="false" customHeight="true" outlineLevel="0" collapsed="false">
      <c r="A125" s="7" t="s">
        <v>10068</v>
      </c>
      <c r="B125" s="8" t="n">
        <v>2005</v>
      </c>
      <c r="C125" s="8"/>
      <c r="D125" s="8" t="s">
        <v>35</v>
      </c>
      <c r="E125" s="8" t="s">
        <v>9685</v>
      </c>
      <c r="F125" s="7" t="s">
        <v>10069</v>
      </c>
      <c r="G125" s="8" t="n">
        <v>8.1</v>
      </c>
      <c r="H125" s="8"/>
      <c r="I125" s="9" t="n">
        <v>241908</v>
      </c>
      <c r="J125" s="7"/>
      <c r="K125" s="7" t="s">
        <v>47</v>
      </c>
      <c r="L125" s="7" t="s">
        <v>54</v>
      </c>
      <c r="M125" s="10" t="s">
        <v>5512</v>
      </c>
      <c r="N125" s="7"/>
      <c r="O125" s="8" t="n">
        <v>0</v>
      </c>
      <c r="P125" s="8" t="n">
        <v>0</v>
      </c>
      <c r="Q125" s="8" t="n">
        <v>3</v>
      </c>
      <c r="R125" s="7"/>
      <c r="S125" s="7" t="s">
        <v>10070</v>
      </c>
    </row>
    <row r="126" customFormat="false" ht="15.75" hidden="false" customHeight="true" outlineLevel="0" collapsed="false">
      <c r="A126" s="7" t="s">
        <v>10071</v>
      </c>
      <c r="B126" s="8" t="n">
        <v>2008</v>
      </c>
      <c r="C126" s="8" t="n">
        <v>2015</v>
      </c>
      <c r="D126" s="8" t="s">
        <v>35</v>
      </c>
      <c r="E126" s="8" t="s">
        <v>9685</v>
      </c>
      <c r="F126" s="7" t="s">
        <v>10072</v>
      </c>
      <c r="G126" s="8" t="n">
        <v>8.2</v>
      </c>
      <c r="H126" s="8"/>
      <c r="I126" s="9" t="n">
        <v>241485</v>
      </c>
      <c r="J126" s="7"/>
      <c r="K126" s="7" t="s">
        <v>47</v>
      </c>
      <c r="L126" s="7" t="s">
        <v>54</v>
      </c>
      <c r="M126" s="10" t="s">
        <v>2195</v>
      </c>
      <c r="N126" s="7"/>
      <c r="O126" s="8" t="n">
        <v>0</v>
      </c>
      <c r="P126" s="8" t="n">
        <v>0</v>
      </c>
      <c r="Q126" s="8" t="n">
        <v>1</v>
      </c>
      <c r="R126" s="7"/>
      <c r="S126" s="7" t="s">
        <v>10073</v>
      </c>
    </row>
    <row r="127" customFormat="false" ht="15.75" hidden="false" customHeight="true" outlineLevel="0" collapsed="false">
      <c r="A127" s="7" t="s">
        <v>10074</v>
      </c>
      <c r="B127" s="8" t="n">
        <v>2015</v>
      </c>
      <c r="C127" s="8" t="n">
        <v>2019</v>
      </c>
      <c r="D127" s="8" t="s">
        <v>176</v>
      </c>
      <c r="E127" s="8" t="s">
        <v>9685</v>
      </c>
      <c r="F127" s="7" t="s">
        <v>10075</v>
      </c>
      <c r="G127" s="8" t="n">
        <v>7.8</v>
      </c>
      <c r="H127" s="8"/>
      <c r="I127" s="9" t="n">
        <v>241349</v>
      </c>
      <c r="J127" s="7"/>
      <c r="K127" s="7" t="s">
        <v>112</v>
      </c>
      <c r="L127" s="7" t="s">
        <v>54</v>
      </c>
      <c r="M127" s="10" t="s">
        <v>177</v>
      </c>
      <c r="N127" s="7"/>
      <c r="O127" s="8" t="n">
        <v>0</v>
      </c>
      <c r="P127" s="8" t="n">
        <v>0</v>
      </c>
      <c r="Q127" s="8" t="n">
        <v>0</v>
      </c>
      <c r="R127" s="7"/>
      <c r="S127" s="7" t="s">
        <v>10076</v>
      </c>
    </row>
    <row r="128" customFormat="false" ht="15.75" hidden="false" customHeight="true" outlineLevel="0" collapsed="false">
      <c r="A128" s="7" t="s">
        <v>10077</v>
      </c>
      <c r="B128" s="8" t="n">
        <v>2014</v>
      </c>
      <c r="C128" s="8" t="n">
        <v>2020</v>
      </c>
      <c r="D128" s="8" t="s">
        <v>176</v>
      </c>
      <c r="E128" s="8" t="s">
        <v>9685</v>
      </c>
      <c r="F128" s="7" t="s">
        <v>10078</v>
      </c>
      <c r="G128" s="8" t="n">
        <v>8.8</v>
      </c>
      <c r="H128" s="8"/>
      <c r="I128" s="9" t="n">
        <v>237393</v>
      </c>
      <c r="J128" s="7"/>
      <c r="K128" s="7" t="s">
        <v>579</v>
      </c>
      <c r="L128" s="7" t="s">
        <v>30</v>
      </c>
      <c r="M128" s="10" t="s">
        <v>238</v>
      </c>
      <c r="N128" s="7"/>
      <c r="O128" s="8" t="n">
        <v>0</v>
      </c>
      <c r="P128" s="8" t="n">
        <v>0</v>
      </c>
      <c r="Q128" s="8" t="n">
        <v>40</v>
      </c>
      <c r="R128" s="7"/>
      <c r="S128" s="7" t="s">
        <v>10079</v>
      </c>
    </row>
    <row r="129" customFormat="false" ht="15.75" hidden="false" customHeight="true" outlineLevel="0" collapsed="false">
      <c r="A129" s="7" t="s">
        <v>10080</v>
      </c>
      <c r="B129" s="8" t="n">
        <v>2013</v>
      </c>
      <c r="C129" s="8" t="n">
        <v>2020</v>
      </c>
      <c r="D129" s="8" t="s">
        <v>176</v>
      </c>
      <c r="E129" s="8" t="s">
        <v>9685</v>
      </c>
      <c r="F129" s="7" t="s">
        <v>10081</v>
      </c>
      <c r="G129" s="8" t="n">
        <v>7.5</v>
      </c>
      <c r="H129" s="8"/>
      <c r="I129" s="9" t="n">
        <v>236527</v>
      </c>
      <c r="J129" s="7"/>
      <c r="K129" s="7" t="s">
        <v>111</v>
      </c>
      <c r="L129" s="7" t="s">
        <v>112</v>
      </c>
      <c r="M129" s="10" t="s">
        <v>177</v>
      </c>
      <c r="N129" s="7"/>
      <c r="O129" s="8" t="n">
        <v>0</v>
      </c>
      <c r="P129" s="8" t="n">
        <v>0</v>
      </c>
      <c r="Q129" s="8" t="n">
        <v>0</v>
      </c>
      <c r="R129" s="7"/>
      <c r="S129" s="7" t="s">
        <v>10082</v>
      </c>
    </row>
    <row r="130" customFormat="false" ht="15.75" hidden="false" customHeight="true" outlineLevel="0" collapsed="false">
      <c r="A130" s="7" t="s">
        <v>10083</v>
      </c>
      <c r="B130" s="8" t="n">
        <v>2006</v>
      </c>
      <c r="C130" s="8" t="n">
        <v>2006</v>
      </c>
      <c r="D130" s="8" t="s">
        <v>35</v>
      </c>
      <c r="E130" s="8" t="s">
        <v>9715</v>
      </c>
      <c r="F130" s="7" t="s">
        <v>10084</v>
      </c>
      <c r="G130" s="8" t="n">
        <v>9.4</v>
      </c>
      <c r="H130" s="8"/>
      <c r="I130" s="9" t="n">
        <v>236279</v>
      </c>
      <c r="J130" s="7"/>
      <c r="K130" s="7" t="s">
        <v>2730</v>
      </c>
      <c r="L130" s="7" t="s">
        <v>259</v>
      </c>
      <c r="M130" s="10"/>
      <c r="N130" s="7"/>
      <c r="O130" s="8" t="n">
        <v>11</v>
      </c>
      <c r="P130" s="8" t="n">
        <v>0</v>
      </c>
      <c r="Q130" s="8" t="n">
        <v>15</v>
      </c>
      <c r="R130" s="7"/>
      <c r="S130" s="7" t="s">
        <v>10085</v>
      </c>
    </row>
    <row r="131" customFormat="false" ht="15.75" hidden="false" customHeight="true" outlineLevel="0" collapsed="false">
      <c r="A131" s="7" t="s">
        <v>10086</v>
      </c>
      <c r="B131" s="8" t="n">
        <v>2019</v>
      </c>
      <c r="C131" s="8" t="n">
        <v>2024</v>
      </c>
      <c r="D131" s="8" t="s">
        <v>176</v>
      </c>
      <c r="E131" s="8" t="s">
        <v>9685</v>
      </c>
      <c r="F131" s="7" t="s">
        <v>10087</v>
      </c>
      <c r="G131" s="8" t="n">
        <v>8.5</v>
      </c>
      <c r="H131" s="8"/>
      <c r="I131" s="9" t="n">
        <v>233796</v>
      </c>
      <c r="J131" s="7"/>
      <c r="K131" s="7" t="s">
        <v>579</v>
      </c>
      <c r="L131" s="7" t="s">
        <v>112</v>
      </c>
      <c r="M131" s="10" t="s">
        <v>10088</v>
      </c>
      <c r="N131" s="7"/>
      <c r="O131" s="8" t="n">
        <v>0</v>
      </c>
      <c r="P131" s="8" t="n">
        <v>0</v>
      </c>
      <c r="Q131" s="8" t="n">
        <v>0</v>
      </c>
      <c r="R131" s="7"/>
      <c r="S131" s="7" t="s">
        <v>10089</v>
      </c>
    </row>
    <row r="132" customFormat="false" ht="15.75" hidden="false" customHeight="true" outlineLevel="0" collapsed="false">
      <c r="A132" s="7" t="s">
        <v>10090</v>
      </c>
      <c r="B132" s="8" t="n">
        <v>2020</v>
      </c>
      <c r="C132" s="8"/>
      <c r="D132" s="8" t="s">
        <v>378</v>
      </c>
      <c r="E132" s="8" t="s">
        <v>9685</v>
      </c>
      <c r="F132" s="7" t="s">
        <v>10091</v>
      </c>
      <c r="G132" s="8" t="n">
        <v>7.5</v>
      </c>
      <c r="H132" s="8"/>
      <c r="I132" s="9" t="n">
        <v>231917</v>
      </c>
      <c r="J132" s="7"/>
      <c r="K132" s="7" t="s">
        <v>29</v>
      </c>
      <c r="L132" s="7" t="s">
        <v>47</v>
      </c>
      <c r="M132" s="10" t="s">
        <v>238</v>
      </c>
      <c r="N132" s="7"/>
      <c r="O132" s="8" t="n">
        <v>6</v>
      </c>
      <c r="P132" s="8" t="n">
        <v>0</v>
      </c>
      <c r="Q132" s="8" t="n">
        <v>31</v>
      </c>
      <c r="R132" s="7"/>
      <c r="S132" s="7" t="s">
        <v>10092</v>
      </c>
    </row>
    <row r="133" customFormat="false" ht="15.75" hidden="false" customHeight="true" outlineLevel="0" collapsed="false">
      <c r="A133" s="7" t="s">
        <v>10093</v>
      </c>
      <c r="B133" s="8" t="n">
        <v>2019</v>
      </c>
      <c r="C133" s="8"/>
      <c r="D133" s="8" t="s">
        <v>176</v>
      </c>
      <c r="E133" s="8" t="s">
        <v>9685</v>
      </c>
      <c r="F133" s="7" t="s">
        <v>10094</v>
      </c>
      <c r="G133" s="8" t="n">
        <v>8.4</v>
      </c>
      <c r="H133" s="8"/>
      <c r="I133" s="9" t="n">
        <v>231706</v>
      </c>
      <c r="J133" s="7"/>
      <c r="K133" s="7" t="s">
        <v>579</v>
      </c>
      <c r="L133" s="7" t="s">
        <v>112</v>
      </c>
      <c r="M133" s="10" t="s">
        <v>238</v>
      </c>
      <c r="N133" s="7"/>
      <c r="O133" s="8" t="n">
        <v>31</v>
      </c>
      <c r="P133" s="8" t="n">
        <v>0</v>
      </c>
      <c r="Q133" s="8" t="n">
        <v>38</v>
      </c>
      <c r="R133" s="7"/>
      <c r="S133" s="7" t="s">
        <v>10095</v>
      </c>
    </row>
    <row r="134" customFormat="false" ht="15.75" hidden="false" customHeight="true" outlineLevel="0" collapsed="false">
      <c r="A134" s="7" t="s">
        <v>10096</v>
      </c>
      <c r="B134" s="8" t="n">
        <v>2015</v>
      </c>
      <c r="C134" s="8"/>
      <c r="D134" s="8" t="s">
        <v>176</v>
      </c>
      <c r="E134" s="8" t="s">
        <v>9685</v>
      </c>
      <c r="F134" s="7" t="s">
        <v>10097</v>
      </c>
      <c r="G134" s="8" t="n">
        <v>8.6</v>
      </c>
      <c r="H134" s="8"/>
      <c r="I134" s="9" t="n">
        <v>228737</v>
      </c>
      <c r="J134" s="7"/>
      <c r="K134" s="7" t="s">
        <v>579</v>
      </c>
      <c r="L134" s="7" t="s">
        <v>112</v>
      </c>
      <c r="M134" s="10" t="s">
        <v>3455</v>
      </c>
      <c r="N134" s="7"/>
      <c r="O134" s="8" t="n">
        <v>0</v>
      </c>
      <c r="P134" s="8" t="n">
        <v>0</v>
      </c>
      <c r="Q134" s="8" t="n">
        <v>0</v>
      </c>
      <c r="R134" s="7"/>
      <c r="S134" s="7" t="s">
        <v>10098</v>
      </c>
    </row>
    <row r="135" customFormat="false" ht="15.75" hidden="false" customHeight="true" outlineLevel="0" collapsed="false">
      <c r="A135" s="7" t="s">
        <v>10099</v>
      </c>
      <c r="B135" s="8" t="n">
        <v>2007</v>
      </c>
      <c r="C135" s="8" t="n">
        <v>2017</v>
      </c>
      <c r="D135" s="8" t="s">
        <v>35</v>
      </c>
      <c r="E135" s="8" t="s">
        <v>9685</v>
      </c>
      <c r="F135" s="7" t="s">
        <v>10100</v>
      </c>
      <c r="G135" s="8" t="n">
        <v>8.7</v>
      </c>
      <c r="H135" s="8"/>
      <c r="I135" s="9" t="n">
        <v>228088</v>
      </c>
      <c r="J135" s="7"/>
      <c r="K135" s="7" t="s">
        <v>579</v>
      </c>
      <c r="L135" s="7" t="s">
        <v>112</v>
      </c>
      <c r="M135" s="10" t="s">
        <v>10101</v>
      </c>
      <c r="N135" s="7"/>
      <c r="O135" s="8" t="n">
        <v>0</v>
      </c>
      <c r="P135" s="8" t="n">
        <v>0</v>
      </c>
      <c r="Q135" s="8" t="n">
        <v>0</v>
      </c>
      <c r="R135" s="7"/>
      <c r="S135" s="7" t="s">
        <v>10102</v>
      </c>
    </row>
    <row r="136" customFormat="false" ht="15.75" hidden="false" customHeight="true" outlineLevel="0" collapsed="false">
      <c r="A136" s="7" t="s">
        <v>10103</v>
      </c>
      <c r="B136" s="8" t="n">
        <v>2023</v>
      </c>
      <c r="C136" s="8"/>
      <c r="D136" s="8" t="s">
        <v>378</v>
      </c>
      <c r="E136" s="8" t="s">
        <v>9685</v>
      </c>
      <c r="F136" s="7" t="s">
        <v>10104</v>
      </c>
      <c r="G136" s="8" t="n">
        <v>8.1</v>
      </c>
      <c r="H136" s="8"/>
      <c r="I136" s="9" t="n">
        <v>227288</v>
      </c>
      <c r="J136" s="7"/>
      <c r="K136" s="7" t="s">
        <v>111</v>
      </c>
      <c r="L136" s="7" t="s">
        <v>125</v>
      </c>
      <c r="M136" s="10" t="s">
        <v>1293</v>
      </c>
      <c r="N136" s="7"/>
      <c r="O136" s="8" t="n">
        <v>0</v>
      </c>
      <c r="P136" s="8" t="n">
        <v>0</v>
      </c>
      <c r="Q136" s="8" t="n">
        <v>0</v>
      </c>
      <c r="R136" s="7"/>
      <c r="S136" s="7" t="s">
        <v>10105</v>
      </c>
    </row>
    <row r="137" customFormat="false" ht="15.75" hidden="false" customHeight="true" outlineLevel="0" collapsed="false">
      <c r="A137" s="7" t="s">
        <v>10106</v>
      </c>
      <c r="B137" s="8" t="n">
        <v>2021</v>
      </c>
      <c r="C137" s="8" t="n">
        <v>2021</v>
      </c>
      <c r="D137" s="8" t="s">
        <v>378</v>
      </c>
      <c r="E137" s="8" t="s">
        <v>9715</v>
      </c>
      <c r="F137" s="7" t="s">
        <v>10107</v>
      </c>
      <c r="G137" s="8" t="n">
        <v>8.4</v>
      </c>
      <c r="H137" s="8"/>
      <c r="I137" s="9" t="n">
        <v>225641</v>
      </c>
      <c r="J137" s="7"/>
      <c r="K137" s="7" t="s">
        <v>47</v>
      </c>
      <c r="L137" s="7" t="s">
        <v>54</v>
      </c>
      <c r="M137" s="10" t="s">
        <v>55</v>
      </c>
      <c r="N137" s="7"/>
      <c r="O137" s="8" t="n">
        <v>8</v>
      </c>
      <c r="P137" s="8" t="n">
        <v>0</v>
      </c>
      <c r="Q137" s="8" t="n">
        <v>43</v>
      </c>
      <c r="R137" s="7"/>
      <c r="S137" s="7" t="s">
        <v>10108</v>
      </c>
    </row>
    <row r="138" customFormat="false" ht="15.75" hidden="false" customHeight="true" outlineLevel="0" collapsed="false">
      <c r="A138" s="7" t="s">
        <v>10109</v>
      </c>
      <c r="B138" s="8" t="n">
        <v>2022</v>
      </c>
      <c r="C138" s="8"/>
      <c r="D138" s="8" t="s">
        <v>378</v>
      </c>
      <c r="E138" s="8" t="s">
        <v>9685</v>
      </c>
      <c r="F138" s="7" t="s">
        <v>10110</v>
      </c>
      <c r="G138" s="8" t="n">
        <v>7.7</v>
      </c>
      <c r="H138" s="8"/>
      <c r="I138" s="9" t="n">
        <v>225327</v>
      </c>
      <c r="J138" s="7"/>
      <c r="K138" s="7" t="s">
        <v>47</v>
      </c>
      <c r="L138" s="7" t="s">
        <v>54</v>
      </c>
      <c r="M138" s="7"/>
      <c r="N138" s="7"/>
      <c r="O138" s="8" t="n">
        <v>0</v>
      </c>
      <c r="P138" s="8" t="n">
        <v>0</v>
      </c>
      <c r="Q138" s="8" t="n">
        <v>0</v>
      </c>
      <c r="R138" s="7"/>
      <c r="S138" s="7"/>
    </row>
    <row r="139" customFormat="false" ht="15.75" hidden="false" customHeight="true" outlineLevel="0" collapsed="false">
      <c r="A139" s="7" t="s">
        <v>10111</v>
      </c>
      <c r="B139" s="8" t="n">
        <v>2016</v>
      </c>
      <c r="C139" s="8" t="n">
        <v>2020</v>
      </c>
      <c r="D139" s="8" t="s">
        <v>176</v>
      </c>
      <c r="E139" s="8" t="s">
        <v>9685</v>
      </c>
      <c r="F139" s="7" t="s">
        <v>10112</v>
      </c>
      <c r="G139" s="8" t="n">
        <v>8.2</v>
      </c>
      <c r="H139" s="8"/>
      <c r="I139" s="9" t="n">
        <v>223789</v>
      </c>
      <c r="J139" s="7"/>
      <c r="K139" s="7" t="s">
        <v>38</v>
      </c>
      <c r="L139" s="7" t="s">
        <v>30</v>
      </c>
      <c r="M139" s="10" t="s">
        <v>192</v>
      </c>
      <c r="N139" s="7"/>
      <c r="O139" s="8" t="n">
        <v>0</v>
      </c>
      <c r="P139" s="8" t="n">
        <v>0</v>
      </c>
      <c r="Q139" s="8" t="n">
        <v>36</v>
      </c>
      <c r="R139" s="7"/>
      <c r="S139" s="7" t="s">
        <v>10113</v>
      </c>
    </row>
    <row r="140" customFormat="false" ht="15.75" hidden="false" customHeight="true" outlineLevel="0" collapsed="false">
      <c r="A140" s="7" t="s">
        <v>10114</v>
      </c>
      <c r="B140" s="8" t="n">
        <v>2010</v>
      </c>
      <c r="C140" s="8" t="n">
        <v>2014</v>
      </c>
      <c r="D140" s="8" t="s">
        <v>176</v>
      </c>
      <c r="E140" s="8" t="s">
        <v>9685</v>
      </c>
      <c r="F140" s="7" t="s">
        <v>10115</v>
      </c>
      <c r="G140" s="8" t="n">
        <v>8.5</v>
      </c>
      <c r="H140" s="8" t="n">
        <v>8</v>
      </c>
      <c r="I140" s="9" t="n">
        <v>219429</v>
      </c>
      <c r="J140" s="7"/>
      <c r="K140" s="7" t="s">
        <v>47</v>
      </c>
      <c r="L140" s="7" t="s">
        <v>54</v>
      </c>
      <c r="M140" s="10" t="s">
        <v>55</v>
      </c>
      <c r="N140" s="7"/>
      <c r="O140" s="8" t="n">
        <v>63</v>
      </c>
      <c r="P140" s="8" t="n">
        <v>0</v>
      </c>
      <c r="Q140" s="8" t="n">
        <v>165</v>
      </c>
      <c r="R140" s="7"/>
      <c r="S140" s="7" t="s">
        <v>10116</v>
      </c>
    </row>
    <row r="141" customFormat="false" ht="15.75" hidden="false" customHeight="true" outlineLevel="0" collapsed="false">
      <c r="A141" s="7" t="s">
        <v>10117</v>
      </c>
      <c r="B141" s="8" t="n">
        <v>2020</v>
      </c>
      <c r="C141" s="8"/>
      <c r="D141" s="8" t="s">
        <v>378</v>
      </c>
      <c r="E141" s="8" t="s">
        <v>9685</v>
      </c>
      <c r="F141" s="7" t="s">
        <v>10118</v>
      </c>
      <c r="G141" s="8" t="n">
        <v>8.5</v>
      </c>
      <c r="H141" s="8"/>
      <c r="I141" s="9" t="n">
        <v>217418</v>
      </c>
      <c r="J141" s="7"/>
      <c r="K141" s="7" t="s">
        <v>579</v>
      </c>
      <c r="L141" s="7" t="s">
        <v>112</v>
      </c>
      <c r="M141" s="10" t="s">
        <v>3947</v>
      </c>
      <c r="N141" s="7"/>
      <c r="O141" s="8" t="n">
        <v>0</v>
      </c>
      <c r="P141" s="8" t="n">
        <v>0</v>
      </c>
      <c r="Q141" s="8" t="n">
        <v>0</v>
      </c>
      <c r="R141" s="7"/>
      <c r="S141" s="7" t="s">
        <v>10119</v>
      </c>
    </row>
    <row r="142" customFormat="false" ht="15.75" hidden="false" customHeight="true" outlineLevel="0" collapsed="false">
      <c r="A142" s="7" t="s">
        <v>10120</v>
      </c>
      <c r="B142" s="8" t="n">
        <v>2007</v>
      </c>
      <c r="C142" s="8" t="n">
        <v>2012</v>
      </c>
      <c r="D142" s="8" t="s">
        <v>35</v>
      </c>
      <c r="E142" s="8" t="s">
        <v>9685</v>
      </c>
      <c r="F142" s="7" t="s">
        <v>10121</v>
      </c>
      <c r="G142" s="8" t="n">
        <v>7.5</v>
      </c>
      <c r="H142" s="8"/>
      <c r="I142" s="9" t="n">
        <v>216679</v>
      </c>
      <c r="J142" s="7"/>
      <c r="K142" s="7" t="s">
        <v>29</v>
      </c>
      <c r="L142" s="7" t="s">
        <v>47</v>
      </c>
      <c r="M142" s="10" t="s">
        <v>636</v>
      </c>
      <c r="N142" s="7"/>
      <c r="O142" s="8" t="n">
        <v>0</v>
      </c>
      <c r="P142" s="8" t="n">
        <v>0</v>
      </c>
      <c r="Q142" s="8" t="n">
        <v>0</v>
      </c>
      <c r="R142" s="7"/>
      <c r="S142" s="7" t="s">
        <v>10122</v>
      </c>
    </row>
    <row r="143" customFormat="false" ht="15.75" hidden="false" customHeight="true" outlineLevel="0" collapsed="false">
      <c r="A143" s="7" t="s">
        <v>10123</v>
      </c>
      <c r="B143" s="8" t="n">
        <v>2011</v>
      </c>
      <c r="C143" s="8" t="n">
        <v>2016</v>
      </c>
      <c r="D143" s="8" t="s">
        <v>176</v>
      </c>
      <c r="E143" s="8" t="s">
        <v>9685</v>
      </c>
      <c r="F143" s="7" t="s">
        <v>10124</v>
      </c>
      <c r="G143" s="8" t="n">
        <v>8.5</v>
      </c>
      <c r="H143" s="8"/>
      <c r="I143" s="9" t="n">
        <v>213862</v>
      </c>
      <c r="J143" s="7"/>
      <c r="K143" s="7" t="s">
        <v>112</v>
      </c>
      <c r="L143" s="7" t="s">
        <v>54</v>
      </c>
      <c r="M143" s="10" t="s">
        <v>636</v>
      </c>
      <c r="N143" s="7"/>
      <c r="O143" s="8" t="n">
        <v>0</v>
      </c>
      <c r="P143" s="8" t="n">
        <v>0</v>
      </c>
      <c r="Q143" s="8" t="n">
        <v>4</v>
      </c>
      <c r="R143" s="7"/>
      <c r="S143" s="7" t="s">
        <v>10125</v>
      </c>
    </row>
    <row r="144" customFormat="false" ht="15.75" hidden="false" customHeight="true" outlineLevel="0" collapsed="false">
      <c r="A144" s="7" t="s">
        <v>10126</v>
      </c>
      <c r="B144" s="8" t="n">
        <v>2021</v>
      </c>
      <c r="C144" s="8" t="n">
        <v>2022</v>
      </c>
      <c r="D144" s="8" t="s">
        <v>378</v>
      </c>
      <c r="E144" s="8" t="s">
        <v>9715</v>
      </c>
      <c r="F144" s="7" t="s">
        <v>10127</v>
      </c>
      <c r="G144" s="8" t="n">
        <v>7.1</v>
      </c>
      <c r="H144" s="8"/>
      <c r="I144" s="9" t="n">
        <v>212288</v>
      </c>
      <c r="J144" s="7"/>
      <c r="K144" s="7" t="s">
        <v>111</v>
      </c>
      <c r="L144" s="7" t="s">
        <v>112</v>
      </c>
      <c r="M144" s="10" t="s">
        <v>177</v>
      </c>
      <c r="N144" s="7"/>
      <c r="O144" s="8" t="n">
        <v>0</v>
      </c>
      <c r="P144" s="8" t="n">
        <v>0</v>
      </c>
      <c r="Q144" s="8" t="n">
        <v>0</v>
      </c>
      <c r="R144" s="7"/>
      <c r="S144" s="7" t="s">
        <v>10128</v>
      </c>
    </row>
    <row r="145" customFormat="false" ht="15.75" hidden="false" customHeight="true" outlineLevel="0" collapsed="false">
      <c r="A145" s="7" t="s">
        <v>10129</v>
      </c>
      <c r="B145" s="8" t="n">
        <v>2022</v>
      </c>
      <c r="C145" s="8" t="n">
        <v>2022</v>
      </c>
      <c r="D145" s="8" t="s">
        <v>378</v>
      </c>
      <c r="E145" s="8" t="s">
        <v>9715</v>
      </c>
      <c r="F145" s="7" t="s">
        <v>10130</v>
      </c>
      <c r="G145" s="8" t="n">
        <v>5.2</v>
      </c>
      <c r="H145" s="8"/>
      <c r="I145" s="9" t="n">
        <v>211758</v>
      </c>
      <c r="J145" s="7"/>
      <c r="K145" s="7" t="s">
        <v>112</v>
      </c>
      <c r="L145" s="7" t="s">
        <v>39</v>
      </c>
      <c r="M145" s="10" t="s">
        <v>177</v>
      </c>
      <c r="N145" s="7"/>
      <c r="O145" s="8" t="n">
        <v>0</v>
      </c>
      <c r="P145" s="8" t="n">
        <v>0</v>
      </c>
      <c r="Q145" s="8" t="n">
        <v>0</v>
      </c>
      <c r="R145" s="7"/>
      <c r="S145" s="7" t="s">
        <v>10131</v>
      </c>
    </row>
    <row r="146" customFormat="false" ht="15.75" hidden="false" customHeight="true" outlineLevel="0" collapsed="false">
      <c r="A146" s="7" t="s">
        <v>10132</v>
      </c>
      <c r="B146" s="8" t="n">
        <v>2022</v>
      </c>
      <c r="C146" s="8" t="n">
        <v>2025</v>
      </c>
      <c r="D146" s="8" t="s">
        <v>378</v>
      </c>
      <c r="E146" s="8" t="s">
        <v>9685</v>
      </c>
      <c r="F146" s="7" t="s">
        <v>10133</v>
      </c>
      <c r="G146" s="8" t="n">
        <v>7.6</v>
      </c>
      <c r="H146" s="8"/>
      <c r="I146" s="9" t="n">
        <v>211420</v>
      </c>
      <c r="J146" s="7"/>
      <c r="K146" s="7" t="s">
        <v>147</v>
      </c>
      <c r="L146" s="7" t="s">
        <v>38</v>
      </c>
      <c r="M146" s="10" t="s">
        <v>238</v>
      </c>
      <c r="N146" s="7"/>
      <c r="O146" s="8" t="n">
        <v>0</v>
      </c>
      <c r="P146" s="8" t="n">
        <v>0</v>
      </c>
      <c r="Q146" s="8" t="n">
        <v>0</v>
      </c>
      <c r="R146" s="7"/>
      <c r="S146" s="7" t="s">
        <v>10134</v>
      </c>
    </row>
    <row r="147" customFormat="false" ht="15.75" hidden="false" customHeight="true" outlineLevel="0" collapsed="false">
      <c r="A147" s="7" t="s">
        <v>9902</v>
      </c>
      <c r="B147" s="8" t="n">
        <v>2023</v>
      </c>
      <c r="C147" s="8"/>
      <c r="D147" s="8" t="s">
        <v>378</v>
      </c>
      <c r="E147" s="8" t="s">
        <v>9685</v>
      </c>
      <c r="F147" s="7" t="s">
        <v>10135</v>
      </c>
      <c r="G147" s="8" t="n">
        <v>8.3</v>
      </c>
      <c r="H147" s="8"/>
      <c r="I147" s="9" t="n">
        <v>210020</v>
      </c>
      <c r="J147" s="7"/>
      <c r="K147" s="7" t="s">
        <v>112</v>
      </c>
      <c r="L147" s="7" t="s">
        <v>39</v>
      </c>
      <c r="M147" s="10" t="s">
        <v>238</v>
      </c>
      <c r="N147" s="7"/>
      <c r="O147" s="8" t="n">
        <v>0</v>
      </c>
      <c r="P147" s="8" t="n">
        <v>0</v>
      </c>
      <c r="Q147" s="8" t="n">
        <v>0</v>
      </c>
      <c r="R147" s="7"/>
      <c r="S147" s="7" t="s">
        <v>10136</v>
      </c>
    </row>
    <row r="148" customFormat="false" ht="15.75" hidden="false" customHeight="true" outlineLevel="0" collapsed="false">
      <c r="A148" s="7" t="s">
        <v>10137</v>
      </c>
      <c r="B148" s="8" t="n">
        <v>2001</v>
      </c>
      <c r="C148" s="8" t="n">
        <v>2010</v>
      </c>
      <c r="D148" s="8" t="s">
        <v>35</v>
      </c>
      <c r="E148" s="8" t="s">
        <v>9685</v>
      </c>
      <c r="F148" s="7" t="s">
        <v>10138</v>
      </c>
      <c r="G148" s="8" t="n">
        <v>8.4</v>
      </c>
      <c r="H148" s="8"/>
      <c r="I148" s="9" t="n">
        <v>207743</v>
      </c>
      <c r="J148" s="7"/>
      <c r="K148" s="7" t="s">
        <v>112</v>
      </c>
      <c r="L148" s="7" t="s">
        <v>54</v>
      </c>
      <c r="M148" s="10" t="s">
        <v>177</v>
      </c>
      <c r="N148" s="7"/>
      <c r="O148" s="8" t="n">
        <v>37</v>
      </c>
      <c r="P148" s="8" t="n">
        <v>1</v>
      </c>
      <c r="Q148" s="8" t="n">
        <v>72</v>
      </c>
      <c r="R148" s="7"/>
      <c r="S148" s="7" t="s">
        <v>10139</v>
      </c>
    </row>
    <row r="149" customFormat="false" ht="15.75" hidden="false" customHeight="true" outlineLevel="0" collapsed="false">
      <c r="A149" s="7" t="s">
        <v>2693</v>
      </c>
      <c r="B149" s="8" t="n">
        <v>2005</v>
      </c>
      <c r="C149" s="8" t="n">
        <v>2007</v>
      </c>
      <c r="D149" s="8" t="s">
        <v>35</v>
      </c>
      <c r="E149" s="8" t="s">
        <v>9685</v>
      </c>
      <c r="F149" s="7" t="s">
        <v>10140</v>
      </c>
      <c r="G149" s="8" t="n">
        <v>8.7</v>
      </c>
      <c r="H149" s="8"/>
      <c r="I149" s="9" t="n">
        <v>206219</v>
      </c>
      <c r="J149" s="7"/>
      <c r="K149" s="7" t="s">
        <v>112</v>
      </c>
      <c r="L149" s="7" t="s">
        <v>29</v>
      </c>
      <c r="M149" s="10" t="s">
        <v>69</v>
      </c>
      <c r="N149" s="7"/>
      <c r="O149" s="8" t="n">
        <v>9</v>
      </c>
      <c r="P149" s="8" t="n">
        <v>0</v>
      </c>
      <c r="Q149" s="8" t="n">
        <v>26</v>
      </c>
      <c r="R149" s="7"/>
      <c r="S149" s="7" t="s">
        <v>10141</v>
      </c>
    </row>
    <row r="150" customFormat="false" ht="15.75" hidden="false" customHeight="true" outlineLevel="0" collapsed="false">
      <c r="A150" s="7" t="s">
        <v>10142</v>
      </c>
      <c r="B150" s="8" t="n">
        <v>2021</v>
      </c>
      <c r="C150" s="8"/>
      <c r="D150" s="8" t="s">
        <v>378</v>
      </c>
      <c r="E150" s="8" t="s">
        <v>9685</v>
      </c>
      <c r="F150" s="7" t="s">
        <v>10143</v>
      </c>
      <c r="G150" s="8" t="n">
        <v>8</v>
      </c>
      <c r="H150" s="8"/>
      <c r="I150" s="9" t="n">
        <v>205998</v>
      </c>
      <c r="J150" s="7"/>
      <c r="K150" s="7" t="s">
        <v>30</v>
      </c>
      <c r="L150" s="7" t="s">
        <v>54</v>
      </c>
      <c r="M150" s="10" t="s">
        <v>177</v>
      </c>
      <c r="N150" s="7"/>
      <c r="O150" s="8" t="n">
        <v>0</v>
      </c>
      <c r="P150" s="8" t="n">
        <v>0</v>
      </c>
      <c r="Q150" s="8" t="n">
        <v>0</v>
      </c>
      <c r="R150" s="7"/>
      <c r="S150" s="7" t="s">
        <v>10144</v>
      </c>
    </row>
    <row r="151" customFormat="false" ht="15.75" hidden="false" customHeight="true" outlineLevel="0" collapsed="false">
      <c r="A151" s="7" t="s">
        <v>10145</v>
      </c>
      <c r="B151" s="8" t="n">
        <v>2014</v>
      </c>
      <c r="C151" s="8" t="n">
        <v>2026</v>
      </c>
      <c r="D151" s="8" t="s">
        <v>176</v>
      </c>
      <c r="E151" s="8" t="s">
        <v>9685</v>
      </c>
      <c r="F151" s="7" t="s">
        <v>10146</v>
      </c>
      <c r="G151" s="8" t="n">
        <v>8.3</v>
      </c>
      <c r="H151" s="8"/>
      <c r="I151" s="9" t="n">
        <v>203706</v>
      </c>
      <c r="J151" s="7"/>
      <c r="K151" s="7" t="s">
        <v>38</v>
      </c>
      <c r="L151" s="7" t="s">
        <v>39</v>
      </c>
      <c r="M151" s="10" t="s">
        <v>587</v>
      </c>
      <c r="N151" s="7"/>
      <c r="O151" s="8" t="n">
        <v>0</v>
      </c>
      <c r="P151" s="8" t="n">
        <v>0</v>
      </c>
      <c r="Q151" s="8" t="n">
        <v>8</v>
      </c>
      <c r="R151" s="7"/>
      <c r="S151" s="7" t="s">
        <v>10147</v>
      </c>
    </row>
    <row r="152" customFormat="false" ht="15.75" hidden="false" customHeight="true" outlineLevel="0" collapsed="false">
      <c r="A152" s="7" t="s">
        <v>10148</v>
      </c>
      <c r="B152" s="8" t="n">
        <v>2018</v>
      </c>
      <c r="C152" s="8" t="n">
        <v>2020</v>
      </c>
      <c r="D152" s="8" t="s">
        <v>176</v>
      </c>
      <c r="E152" s="8" t="s">
        <v>9685</v>
      </c>
      <c r="F152" s="7" t="s">
        <v>10149</v>
      </c>
      <c r="G152" s="8" t="n">
        <v>7.9</v>
      </c>
      <c r="H152" s="8"/>
      <c r="I152" s="9" t="n">
        <v>203659</v>
      </c>
      <c r="J152" s="7"/>
      <c r="K152" s="7" t="s">
        <v>112</v>
      </c>
      <c r="L152" s="7" t="s">
        <v>39</v>
      </c>
      <c r="M152" s="10" t="s">
        <v>238</v>
      </c>
      <c r="N152" s="7"/>
      <c r="O152" s="8" t="n">
        <v>0</v>
      </c>
      <c r="P152" s="8" t="n">
        <v>0</v>
      </c>
      <c r="Q152" s="8" t="n">
        <v>15</v>
      </c>
      <c r="R152" s="7"/>
      <c r="S152" s="7" t="s">
        <v>10150</v>
      </c>
    </row>
    <row r="153" customFormat="false" ht="15.75" hidden="false" customHeight="true" outlineLevel="0" collapsed="false">
      <c r="A153" s="7" t="s">
        <v>2007</v>
      </c>
      <c r="B153" s="8" t="n">
        <v>2022</v>
      </c>
      <c r="C153" s="8"/>
      <c r="D153" s="8" t="s">
        <v>378</v>
      </c>
      <c r="E153" s="8" t="s">
        <v>9685</v>
      </c>
      <c r="F153" s="7" t="s">
        <v>10151</v>
      </c>
      <c r="G153" s="8" t="n">
        <v>7.8</v>
      </c>
      <c r="H153" s="8" t="n">
        <v>6</v>
      </c>
      <c r="I153" s="9" t="n">
        <v>203619</v>
      </c>
      <c r="J153" s="7"/>
      <c r="K153" s="7" t="s">
        <v>147</v>
      </c>
      <c r="L153" s="7" t="s">
        <v>125</v>
      </c>
      <c r="M153" s="10" t="s">
        <v>238</v>
      </c>
      <c r="N153" s="7"/>
      <c r="O153" s="8" t="n">
        <v>0</v>
      </c>
      <c r="P153" s="8" t="n">
        <v>0</v>
      </c>
      <c r="Q153" s="8" t="n">
        <v>0</v>
      </c>
      <c r="R153" s="7"/>
      <c r="S153" s="7" t="s">
        <v>10152</v>
      </c>
    </row>
    <row r="154" customFormat="false" ht="15.75" hidden="false" customHeight="true" outlineLevel="0" collapsed="false">
      <c r="A154" s="7" t="s">
        <v>10153</v>
      </c>
      <c r="B154" s="8" t="n">
        <v>2011</v>
      </c>
      <c r="C154" s="8" t="n">
        <v>2014</v>
      </c>
      <c r="D154" s="8" t="s">
        <v>176</v>
      </c>
      <c r="E154" s="8" t="s">
        <v>9685</v>
      </c>
      <c r="F154" s="7" t="s">
        <v>10154</v>
      </c>
      <c r="G154" s="8" t="n">
        <v>9</v>
      </c>
      <c r="H154" s="8"/>
      <c r="I154" s="9" t="n">
        <v>201761</v>
      </c>
      <c r="J154" s="7"/>
      <c r="K154" s="7" t="s">
        <v>579</v>
      </c>
      <c r="L154" s="7" t="s">
        <v>112</v>
      </c>
      <c r="M154" s="10" t="s">
        <v>10155</v>
      </c>
      <c r="N154" s="7"/>
      <c r="O154" s="8" t="n">
        <v>0</v>
      </c>
      <c r="P154" s="8" t="n">
        <v>0</v>
      </c>
      <c r="Q154" s="8" t="n">
        <v>0</v>
      </c>
      <c r="R154" s="7"/>
      <c r="S154" s="7" t="s">
        <v>10156</v>
      </c>
    </row>
    <row r="155" customFormat="false" ht="15.75" hidden="false" customHeight="true" outlineLevel="0" collapsed="false">
      <c r="A155" s="7" t="s">
        <v>10157</v>
      </c>
      <c r="B155" s="8" t="n">
        <v>1998</v>
      </c>
      <c r="C155" s="8" t="n">
        <v>2006</v>
      </c>
      <c r="D155" s="8" t="s">
        <v>26</v>
      </c>
      <c r="E155" s="8" t="s">
        <v>9685</v>
      </c>
      <c r="F155" s="7" t="s">
        <v>10158</v>
      </c>
      <c r="G155" s="8" t="n">
        <v>8.1</v>
      </c>
      <c r="H155" s="8"/>
      <c r="I155" s="9" t="n">
        <v>199628</v>
      </c>
      <c r="J155" s="7"/>
      <c r="K155" s="7" t="s">
        <v>29</v>
      </c>
      <c r="L155" s="7" t="s">
        <v>30</v>
      </c>
      <c r="M155" s="10"/>
      <c r="N155" s="7"/>
      <c r="O155" s="8" t="n">
        <v>0</v>
      </c>
      <c r="P155" s="8" t="n">
        <v>0</v>
      </c>
      <c r="Q155" s="8" t="n">
        <v>0</v>
      </c>
      <c r="R155" s="7"/>
      <c r="S155" s="7" t="s">
        <v>10159</v>
      </c>
    </row>
    <row r="156" customFormat="false" ht="15.75" hidden="false" customHeight="true" outlineLevel="0" collapsed="false">
      <c r="A156" s="7" t="s">
        <v>10160</v>
      </c>
      <c r="B156" s="8" t="n">
        <v>2016</v>
      </c>
      <c r="C156" s="8" t="n">
        <v>2016</v>
      </c>
      <c r="D156" s="8" t="s">
        <v>176</v>
      </c>
      <c r="E156" s="8" t="s">
        <v>9715</v>
      </c>
      <c r="F156" s="7" t="s">
        <v>10161</v>
      </c>
      <c r="G156" s="8" t="n">
        <v>8.4</v>
      </c>
      <c r="H156" s="8"/>
      <c r="I156" s="9" t="n">
        <v>198200</v>
      </c>
      <c r="J156" s="7"/>
      <c r="K156" s="7" t="s">
        <v>47</v>
      </c>
      <c r="L156" s="7" t="s">
        <v>54</v>
      </c>
      <c r="M156" s="10" t="s">
        <v>69</v>
      </c>
      <c r="N156" s="7"/>
      <c r="O156" s="8" t="n">
        <v>23</v>
      </c>
      <c r="P156" s="8" t="n">
        <v>0</v>
      </c>
      <c r="Q156" s="8" t="n">
        <v>37</v>
      </c>
      <c r="R156" s="7"/>
      <c r="S156" s="7" t="s">
        <v>10162</v>
      </c>
    </row>
    <row r="157" customFormat="false" ht="15.75" hidden="false" customHeight="true" outlineLevel="0" collapsed="false">
      <c r="A157" s="7" t="s">
        <v>10163</v>
      </c>
      <c r="B157" s="8" t="n">
        <v>2022</v>
      </c>
      <c r="C157" s="8" t="n">
        <v>2025</v>
      </c>
      <c r="D157" s="8" t="s">
        <v>378</v>
      </c>
      <c r="E157" s="8" t="s">
        <v>9685</v>
      </c>
      <c r="F157" s="7" t="s">
        <v>10164</v>
      </c>
      <c r="G157" s="8" t="n">
        <v>8.2</v>
      </c>
      <c r="H157" s="8"/>
      <c r="I157" s="9" t="n">
        <v>197394</v>
      </c>
      <c r="J157" s="7"/>
      <c r="K157" s="7" t="s">
        <v>112</v>
      </c>
      <c r="L157" s="7" t="s">
        <v>39</v>
      </c>
      <c r="M157" s="10" t="s">
        <v>55</v>
      </c>
      <c r="N157" s="7"/>
      <c r="O157" s="8" t="n">
        <v>0</v>
      </c>
      <c r="P157" s="8" t="n">
        <v>0</v>
      </c>
      <c r="Q157" s="8" t="n">
        <v>0</v>
      </c>
      <c r="R157" s="7"/>
      <c r="S157" s="7" t="s">
        <v>10165</v>
      </c>
    </row>
    <row r="158" customFormat="false" ht="15.75" hidden="false" customHeight="true" outlineLevel="0" collapsed="false">
      <c r="A158" s="7" t="s">
        <v>10166</v>
      </c>
      <c r="B158" s="8" t="n">
        <v>2018</v>
      </c>
      <c r="C158" s="8" t="n">
        <v>2023</v>
      </c>
      <c r="D158" s="8" t="s">
        <v>176</v>
      </c>
      <c r="E158" s="8" t="s">
        <v>9685</v>
      </c>
      <c r="F158" s="7" t="s">
        <v>10167</v>
      </c>
      <c r="G158" s="8" t="n">
        <v>8</v>
      </c>
      <c r="H158" s="8"/>
      <c r="I158" s="9" t="n">
        <v>195994</v>
      </c>
      <c r="J158" s="7"/>
      <c r="K158" s="7" t="s">
        <v>112</v>
      </c>
      <c r="L158" s="7" t="s">
        <v>54</v>
      </c>
      <c r="M158" s="10" t="s">
        <v>113</v>
      </c>
      <c r="N158" s="7"/>
      <c r="O158" s="8" t="n">
        <v>0</v>
      </c>
      <c r="P158" s="8" t="n">
        <v>0</v>
      </c>
      <c r="Q158" s="8" t="n">
        <v>0</v>
      </c>
      <c r="R158" s="7"/>
      <c r="S158" s="7" t="s">
        <v>10168</v>
      </c>
    </row>
    <row r="159" customFormat="false" ht="15.75" hidden="false" customHeight="true" outlineLevel="0" collapsed="false">
      <c r="A159" s="7" t="s">
        <v>10169</v>
      </c>
      <c r="B159" s="8" t="n">
        <v>2007</v>
      </c>
      <c r="C159" s="8" t="n">
        <v>2014</v>
      </c>
      <c r="D159" s="8" t="s">
        <v>35</v>
      </c>
      <c r="E159" s="8" t="s">
        <v>9685</v>
      </c>
      <c r="F159" s="7" t="s">
        <v>10170</v>
      </c>
      <c r="G159" s="8" t="n">
        <v>8.3</v>
      </c>
      <c r="H159" s="8"/>
      <c r="I159" s="9" t="n">
        <v>195849</v>
      </c>
      <c r="J159" s="7"/>
      <c r="K159" s="7" t="s">
        <v>30</v>
      </c>
      <c r="L159" s="7" t="s">
        <v>47</v>
      </c>
      <c r="M159" s="10" t="s">
        <v>192</v>
      </c>
      <c r="N159" s="7"/>
      <c r="O159" s="8" t="n">
        <v>2</v>
      </c>
      <c r="P159" s="8" t="n">
        <v>0</v>
      </c>
      <c r="Q159" s="8" t="n">
        <v>8</v>
      </c>
      <c r="R159" s="7"/>
      <c r="S159" s="7" t="s">
        <v>10171</v>
      </c>
    </row>
    <row r="160" customFormat="false" ht="15.75" hidden="false" customHeight="true" outlineLevel="0" collapsed="false">
      <c r="A160" s="7" t="s">
        <v>10172</v>
      </c>
      <c r="B160" s="8" t="n">
        <v>2024</v>
      </c>
      <c r="C160" s="8" t="n">
        <v>2024</v>
      </c>
      <c r="D160" s="8" t="s">
        <v>378</v>
      </c>
      <c r="E160" s="8" t="s">
        <v>9715</v>
      </c>
      <c r="F160" s="7" t="s">
        <v>10173</v>
      </c>
      <c r="G160" s="8" t="n">
        <v>7.7</v>
      </c>
      <c r="H160" s="8" t="n">
        <v>7</v>
      </c>
      <c r="I160" s="9" t="n">
        <v>195171</v>
      </c>
      <c r="J160" s="7"/>
      <c r="K160" s="7" t="s">
        <v>30</v>
      </c>
      <c r="L160" s="7" t="s">
        <v>48</v>
      </c>
      <c r="M160" s="10" t="s">
        <v>238</v>
      </c>
      <c r="N160" s="7"/>
      <c r="O160" s="8" t="n">
        <v>0</v>
      </c>
      <c r="P160" s="8" t="n">
        <v>0</v>
      </c>
      <c r="Q160" s="8" t="n">
        <v>0</v>
      </c>
      <c r="R160" s="7"/>
      <c r="S160" s="7" t="s">
        <v>10174</v>
      </c>
    </row>
    <row r="161" customFormat="false" ht="15.75" hidden="false" customHeight="true" outlineLevel="0" collapsed="false">
      <c r="A161" s="7" t="s">
        <v>10175</v>
      </c>
      <c r="B161" s="8" t="n">
        <v>2015</v>
      </c>
      <c r="C161" s="8" t="n">
        <v>2022</v>
      </c>
      <c r="D161" s="8" t="s">
        <v>176</v>
      </c>
      <c r="E161" s="8" t="s">
        <v>9685</v>
      </c>
      <c r="F161" s="7" t="s">
        <v>10176</v>
      </c>
      <c r="G161" s="8" t="n">
        <v>8.5</v>
      </c>
      <c r="H161" s="8"/>
      <c r="I161" s="9" t="n">
        <v>194017</v>
      </c>
      <c r="J161" s="7"/>
      <c r="K161" s="7" t="s">
        <v>111</v>
      </c>
      <c r="L161" s="7" t="s">
        <v>125</v>
      </c>
      <c r="M161" s="10" t="s">
        <v>113</v>
      </c>
      <c r="N161" s="7"/>
      <c r="O161" s="8" t="n">
        <v>0</v>
      </c>
      <c r="P161" s="8" t="n">
        <v>0</v>
      </c>
      <c r="Q161" s="8" t="n">
        <v>0</v>
      </c>
      <c r="R161" s="7"/>
      <c r="S161" s="7" t="s">
        <v>10177</v>
      </c>
    </row>
    <row r="162" customFormat="false" ht="15.75" hidden="false" customHeight="true" outlineLevel="0" collapsed="false">
      <c r="A162" s="7" t="s">
        <v>10178</v>
      </c>
      <c r="B162" s="8" t="n">
        <v>2005</v>
      </c>
      <c r="C162" s="8" t="n">
        <v>2017</v>
      </c>
      <c r="D162" s="8" t="s">
        <v>35</v>
      </c>
      <c r="E162" s="8" t="s">
        <v>9685</v>
      </c>
      <c r="F162" s="7" t="s">
        <v>10179</v>
      </c>
      <c r="G162" s="8" t="n">
        <v>7.8</v>
      </c>
      <c r="H162" s="8"/>
      <c r="I162" s="9" t="n">
        <v>192162</v>
      </c>
      <c r="J162" s="7"/>
      <c r="K162" s="7" t="s">
        <v>47</v>
      </c>
      <c r="L162" s="7" t="s">
        <v>54</v>
      </c>
      <c r="M162" s="10" t="s">
        <v>1895</v>
      </c>
      <c r="N162" s="7"/>
      <c r="O162" s="8" t="n">
        <v>0</v>
      </c>
      <c r="P162" s="8" t="n">
        <v>0</v>
      </c>
      <c r="Q162" s="8" t="n">
        <v>9</v>
      </c>
      <c r="R162" s="7"/>
      <c r="S162" s="7" t="s">
        <v>10180</v>
      </c>
    </row>
    <row r="163" customFormat="false" ht="15.75" hidden="false" customHeight="true" outlineLevel="0" collapsed="false">
      <c r="A163" s="7" t="s">
        <v>10181</v>
      </c>
      <c r="B163" s="8" t="n">
        <v>2015</v>
      </c>
      <c r="C163" s="8" t="n">
        <v>2022</v>
      </c>
      <c r="D163" s="8" t="s">
        <v>176</v>
      </c>
      <c r="E163" s="8" t="s">
        <v>9685</v>
      </c>
      <c r="F163" s="7" t="s">
        <v>10182</v>
      </c>
      <c r="G163" s="8" t="n">
        <v>8.5</v>
      </c>
      <c r="H163" s="8"/>
      <c r="I163" s="9" t="n">
        <v>191761</v>
      </c>
      <c r="J163" s="7"/>
      <c r="K163" s="7" t="s">
        <v>112</v>
      </c>
      <c r="L163" s="7" t="s">
        <v>453</v>
      </c>
      <c r="M163" s="10" t="s">
        <v>238</v>
      </c>
      <c r="N163" s="7"/>
      <c r="O163" s="8" t="n">
        <v>0</v>
      </c>
      <c r="P163" s="8" t="n">
        <v>0</v>
      </c>
      <c r="Q163" s="8" t="n">
        <v>0</v>
      </c>
      <c r="R163" s="7"/>
      <c r="S163" s="7" t="s">
        <v>10183</v>
      </c>
    </row>
    <row r="164" customFormat="false" ht="15.75" hidden="false" customHeight="true" outlineLevel="0" collapsed="false">
      <c r="A164" s="7" t="s">
        <v>10184</v>
      </c>
      <c r="B164" s="8" t="n">
        <v>2010</v>
      </c>
      <c r="C164" s="8" t="n">
        <v>2017</v>
      </c>
      <c r="D164" s="8" t="s">
        <v>176</v>
      </c>
      <c r="E164" s="8" t="s">
        <v>9685</v>
      </c>
      <c r="F164" s="7" t="s">
        <v>10185</v>
      </c>
      <c r="G164" s="8" t="n">
        <v>7.3</v>
      </c>
      <c r="H164" s="8"/>
      <c r="I164" s="9" t="n">
        <v>189735</v>
      </c>
      <c r="J164" s="7"/>
      <c r="K164" s="7" t="s">
        <v>29</v>
      </c>
      <c r="L164" s="7" t="s">
        <v>125</v>
      </c>
      <c r="M164" s="10" t="s">
        <v>69</v>
      </c>
      <c r="N164" s="7"/>
      <c r="O164" s="8" t="n">
        <v>0</v>
      </c>
      <c r="P164" s="8" t="n">
        <v>0</v>
      </c>
      <c r="Q164" s="8" t="n">
        <v>0</v>
      </c>
      <c r="R164" s="7"/>
      <c r="S164" s="7" t="s">
        <v>10186</v>
      </c>
    </row>
    <row r="165" customFormat="false" ht="15.75" hidden="false" customHeight="true" outlineLevel="0" collapsed="false">
      <c r="A165" s="7" t="s">
        <v>10187</v>
      </c>
      <c r="B165" s="8" t="n">
        <v>2009</v>
      </c>
      <c r="C165" s="8" t="n">
        <v>2016</v>
      </c>
      <c r="D165" s="8" t="s">
        <v>35</v>
      </c>
      <c r="E165" s="8" t="s">
        <v>9685</v>
      </c>
      <c r="F165" s="7" t="s">
        <v>10188</v>
      </c>
      <c r="G165" s="8" t="n">
        <v>8.1</v>
      </c>
      <c r="H165" s="8"/>
      <c r="I165" s="9" t="n">
        <v>188002</v>
      </c>
      <c r="J165" s="7"/>
      <c r="K165" s="7" t="s">
        <v>30</v>
      </c>
      <c r="L165" s="7" t="s">
        <v>54</v>
      </c>
      <c r="M165" s="10" t="s">
        <v>552</v>
      </c>
      <c r="N165" s="7"/>
      <c r="O165" s="8" t="n">
        <v>0</v>
      </c>
      <c r="P165" s="8" t="n">
        <v>0</v>
      </c>
      <c r="Q165" s="8" t="n">
        <v>13</v>
      </c>
      <c r="R165" s="7"/>
      <c r="S165" s="7" t="s">
        <v>10189</v>
      </c>
    </row>
    <row r="166" customFormat="false" ht="15.75" hidden="false" customHeight="true" outlineLevel="0" collapsed="false">
      <c r="A166" s="7" t="s">
        <v>10190</v>
      </c>
      <c r="B166" s="8" t="n">
        <v>2004</v>
      </c>
      <c r="C166" s="8" t="n">
        <v>2009</v>
      </c>
      <c r="D166" s="8" t="s">
        <v>35</v>
      </c>
      <c r="E166" s="8" t="s">
        <v>9685</v>
      </c>
      <c r="F166" s="7" t="s">
        <v>10191</v>
      </c>
      <c r="G166" s="8" t="n">
        <v>8.7</v>
      </c>
      <c r="H166" s="8"/>
      <c r="I166" s="9" t="n">
        <v>187987</v>
      </c>
      <c r="J166" s="7"/>
      <c r="K166" s="7" t="s">
        <v>112</v>
      </c>
      <c r="L166" s="7" t="s">
        <v>39</v>
      </c>
      <c r="M166" s="10"/>
      <c r="N166" s="7"/>
      <c r="O166" s="8" t="n">
        <v>26</v>
      </c>
      <c r="P166" s="8" t="n">
        <v>0</v>
      </c>
      <c r="Q166" s="8" t="n">
        <v>60</v>
      </c>
      <c r="R166" s="7"/>
      <c r="S166" s="7" t="s">
        <v>10192</v>
      </c>
    </row>
    <row r="167" customFormat="false" ht="15.75" hidden="false" customHeight="true" outlineLevel="0" collapsed="false">
      <c r="A167" s="7" t="s">
        <v>10193</v>
      </c>
      <c r="B167" s="8" t="n">
        <v>2004</v>
      </c>
      <c r="C167" s="8" t="n">
        <v>2011</v>
      </c>
      <c r="D167" s="8" t="s">
        <v>35</v>
      </c>
      <c r="E167" s="8" t="s">
        <v>9685</v>
      </c>
      <c r="F167" s="7" t="s">
        <v>10194</v>
      </c>
      <c r="G167" s="8" t="n">
        <v>8.4</v>
      </c>
      <c r="H167" s="8"/>
      <c r="I167" s="9" t="n">
        <v>184947</v>
      </c>
      <c r="J167" s="7"/>
      <c r="K167" s="7" t="s">
        <v>30</v>
      </c>
      <c r="L167" s="7" t="s">
        <v>47</v>
      </c>
      <c r="M167" s="10" t="s">
        <v>55</v>
      </c>
      <c r="N167" s="7"/>
      <c r="O167" s="8" t="n">
        <v>13</v>
      </c>
      <c r="P167" s="8" t="n">
        <v>0</v>
      </c>
      <c r="Q167" s="8" t="n">
        <v>60</v>
      </c>
      <c r="R167" s="7"/>
      <c r="S167" s="7" t="s">
        <v>10195</v>
      </c>
    </row>
    <row r="168" customFormat="false" ht="15.75" hidden="false" customHeight="true" outlineLevel="0" collapsed="false">
      <c r="A168" s="7" t="s">
        <v>10196</v>
      </c>
      <c r="B168" s="8" t="n">
        <v>2024</v>
      </c>
      <c r="C168" s="8"/>
      <c r="D168" s="8" t="s">
        <v>378</v>
      </c>
      <c r="E168" s="8" t="s">
        <v>9685</v>
      </c>
      <c r="F168" s="7" t="s">
        <v>10197</v>
      </c>
      <c r="G168" s="8" t="n">
        <v>7.5</v>
      </c>
      <c r="H168" s="8"/>
      <c r="I168" s="9" t="n">
        <v>183812</v>
      </c>
      <c r="J168" s="7"/>
      <c r="K168" s="7" t="s">
        <v>38</v>
      </c>
      <c r="L168" s="7" t="s">
        <v>39</v>
      </c>
      <c r="M168" s="10" t="s">
        <v>238</v>
      </c>
      <c r="N168" s="7"/>
      <c r="O168" s="8" t="n">
        <v>0</v>
      </c>
      <c r="P168" s="8" t="n">
        <v>0</v>
      </c>
      <c r="Q168" s="8" t="n">
        <v>0</v>
      </c>
      <c r="R168" s="7"/>
      <c r="S168" s="7" t="s">
        <v>10198</v>
      </c>
    </row>
    <row r="169" customFormat="false" ht="15.75" hidden="false" customHeight="true" outlineLevel="0" collapsed="false">
      <c r="A169" s="7" t="s">
        <v>10199</v>
      </c>
      <c r="B169" s="8" t="n">
        <v>2014</v>
      </c>
      <c r="C169" s="8" t="n">
        <v>2019</v>
      </c>
      <c r="D169" s="8" t="s">
        <v>176</v>
      </c>
      <c r="E169" s="8" t="s">
        <v>9685</v>
      </c>
      <c r="F169" s="7" t="s">
        <v>10200</v>
      </c>
      <c r="G169" s="8" t="n">
        <v>8.5</v>
      </c>
      <c r="H169" s="8"/>
      <c r="I169" s="9" t="n">
        <v>183768</v>
      </c>
      <c r="J169" s="7"/>
      <c r="K169" s="7" t="s">
        <v>30</v>
      </c>
      <c r="L169" s="7"/>
      <c r="M169" s="10" t="s">
        <v>4902</v>
      </c>
      <c r="N169" s="7"/>
      <c r="O169" s="8" t="n">
        <v>4</v>
      </c>
      <c r="P169" s="8" t="n">
        <v>0</v>
      </c>
      <c r="Q169" s="8" t="n">
        <v>80</v>
      </c>
      <c r="R169" s="7"/>
      <c r="S169" s="7" t="s">
        <v>10201</v>
      </c>
    </row>
    <row r="170" customFormat="false" ht="15.75" hidden="false" customHeight="true" outlineLevel="0" collapsed="false">
      <c r="A170" s="7" t="s">
        <v>10202</v>
      </c>
      <c r="B170" s="8" t="n">
        <v>2012</v>
      </c>
      <c r="C170" s="8" t="n">
        <v>2016</v>
      </c>
      <c r="D170" s="8" t="s">
        <v>176</v>
      </c>
      <c r="E170" s="8" t="s">
        <v>9685</v>
      </c>
      <c r="F170" s="7" t="s">
        <v>10203</v>
      </c>
      <c r="G170" s="8" t="n">
        <v>8.9</v>
      </c>
      <c r="H170" s="8"/>
      <c r="I170" s="9" t="n">
        <v>183191</v>
      </c>
      <c r="J170" s="7"/>
      <c r="K170" s="7" t="s">
        <v>579</v>
      </c>
      <c r="L170" s="7" t="s">
        <v>39</v>
      </c>
      <c r="M170" s="10" t="s">
        <v>177</v>
      </c>
      <c r="N170" s="7"/>
      <c r="O170" s="8" t="n">
        <v>0</v>
      </c>
      <c r="P170" s="8" t="n">
        <v>0</v>
      </c>
      <c r="Q170" s="8" t="n">
        <v>0</v>
      </c>
      <c r="R170" s="7"/>
      <c r="S170" s="7" t="s">
        <v>10204</v>
      </c>
    </row>
    <row r="171" customFormat="false" ht="15.75" hidden="false" customHeight="true" outlineLevel="0" collapsed="false">
      <c r="A171" s="7" t="s">
        <v>10205</v>
      </c>
      <c r="B171" s="8" t="n">
        <v>2020</v>
      </c>
      <c r="C171" s="8" t="n">
        <v>2020</v>
      </c>
      <c r="D171" s="8" t="s">
        <v>378</v>
      </c>
      <c r="E171" s="8" t="s">
        <v>9715</v>
      </c>
      <c r="F171" s="7" t="s">
        <v>10206</v>
      </c>
      <c r="G171" s="8" t="n">
        <v>9</v>
      </c>
      <c r="H171" s="8" t="n">
        <v>8</v>
      </c>
      <c r="I171" s="9" t="n">
        <v>183074</v>
      </c>
      <c r="J171" s="7"/>
      <c r="K171" s="7" t="s">
        <v>2730</v>
      </c>
      <c r="L171" s="7" t="s">
        <v>48</v>
      </c>
      <c r="M171" s="10" t="s">
        <v>238</v>
      </c>
      <c r="N171" s="7"/>
      <c r="O171" s="8" t="n">
        <v>7</v>
      </c>
      <c r="P171" s="8" t="n">
        <v>0</v>
      </c>
      <c r="Q171" s="8" t="n">
        <v>12</v>
      </c>
      <c r="R171" s="7"/>
      <c r="S171" s="7" t="s">
        <v>10207</v>
      </c>
    </row>
    <row r="172" customFormat="false" ht="15.75" hidden="false" customHeight="true" outlineLevel="0" collapsed="false">
      <c r="A172" s="7" t="s">
        <v>10208</v>
      </c>
      <c r="B172" s="8" t="n">
        <v>2024</v>
      </c>
      <c r="C172" s="8"/>
      <c r="D172" s="8" t="s">
        <v>378</v>
      </c>
      <c r="E172" s="8" t="s">
        <v>9685</v>
      </c>
      <c r="F172" s="7" t="s">
        <v>10209</v>
      </c>
      <c r="G172" s="8" t="n">
        <v>8</v>
      </c>
      <c r="H172" s="8"/>
      <c r="I172" s="9" t="n">
        <v>181057</v>
      </c>
      <c r="J172" s="7"/>
      <c r="K172" s="7" t="s">
        <v>112</v>
      </c>
      <c r="L172" s="7" t="s">
        <v>54</v>
      </c>
      <c r="M172" s="10" t="s">
        <v>238</v>
      </c>
      <c r="N172" s="7"/>
      <c r="O172" s="8" t="n">
        <v>0</v>
      </c>
      <c r="P172" s="8" t="n">
        <v>0</v>
      </c>
      <c r="Q172" s="8" t="n">
        <v>0</v>
      </c>
      <c r="R172" s="7"/>
      <c r="S172" s="7" t="s">
        <v>10210</v>
      </c>
    </row>
    <row r="173" customFormat="false" ht="15.75" hidden="false" customHeight="true" outlineLevel="0" collapsed="false">
      <c r="A173" s="7" t="s">
        <v>10211</v>
      </c>
      <c r="B173" s="8" t="n">
        <v>2011</v>
      </c>
      <c r="C173" s="8" t="n">
        <v>2017</v>
      </c>
      <c r="D173" s="8" t="s">
        <v>176</v>
      </c>
      <c r="E173" s="8" t="s">
        <v>9685</v>
      </c>
      <c r="F173" s="7" t="s">
        <v>10212</v>
      </c>
      <c r="G173" s="8" t="n">
        <v>7.7</v>
      </c>
      <c r="H173" s="8"/>
      <c r="I173" s="9" t="n">
        <v>180991</v>
      </c>
      <c r="J173" s="7"/>
      <c r="K173" s="7" t="s">
        <v>38</v>
      </c>
      <c r="L173" s="7" t="s">
        <v>112</v>
      </c>
      <c r="M173" s="10" t="s">
        <v>187</v>
      </c>
      <c r="N173" s="7"/>
      <c r="O173" s="8" t="n">
        <v>0</v>
      </c>
      <c r="P173" s="8" t="n">
        <v>0</v>
      </c>
      <c r="Q173" s="8" t="n">
        <v>0</v>
      </c>
      <c r="R173" s="7"/>
      <c r="S173" s="7" t="s">
        <v>10213</v>
      </c>
    </row>
    <row r="174" customFormat="false" ht="15.75" hidden="false" customHeight="true" outlineLevel="0" collapsed="false">
      <c r="A174" s="7" t="s">
        <v>10214</v>
      </c>
      <c r="B174" s="8" t="n">
        <v>2014</v>
      </c>
      <c r="C174" s="8" t="n">
        <v>2020</v>
      </c>
      <c r="D174" s="8" t="s">
        <v>176</v>
      </c>
      <c r="E174" s="8" t="s">
        <v>9685</v>
      </c>
      <c r="F174" s="7" t="s">
        <v>10215</v>
      </c>
      <c r="G174" s="8" t="n">
        <v>8.1</v>
      </c>
      <c r="H174" s="8"/>
      <c r="I174" s="9" t="n">
        <v>179747</v>
      </c>
      <c r="J174" s="7"/>
      <c r="K174" s="7" t="s">
        <v>47</v>
      </c>
      <c r="L174" s="7" t="s">
        <v>54</v>
      </c>
      <c r="M174" s="10" t="s">
        <v>177</v>
      </c>
      <c r="N174" s="7"/>
      <c r="O174" s="8" t="n">
        <v>1</v>
      </c>
      <c r="P174" s="8" t="n">
        <v>0</v>
      </c>
      <c r="Q174" s="8" t="n">
        <v>10</v>
      </c>
      <c r="R174" s="7"/>
      <c r="S174" s="7" t="s">
        <v>10216</v>
      </c>
    </row>
    <row r="175" customFormat="false" ht="15.75" hidden="false" customHeight="true" outlineLevel="0" collapsed="false">
      <c r="A175" s="7" t="s">
        <v>10217</v>
      </c>
      <c r="B175" s="8" t="n">
        <v>1996</v>
      </c>
      <c r="C175" s="8" t="n">
        <v>2003</v>
      </c>
      <c r="D175" s="8" t="s">
        <v>26</v>
      </c>
      <c r="E175" s="8" t="s">
        <v>9685</v>
      </c>
      <c r="F175" s="7" t="s">
        <v>10218</v>
      </c>
      <c r="G175" s="8" t="n">
        <v>8.8</v>
      </c>
      <c r="H175" s="8"/>
      <c r="I175" s="9" t="n">
        <v>179519</v>
      </c>
      <c r="J175" s="7"/>
      <c r="K175" s="7" t="s">
        <v>579</v>
      </c>
      <c r="L175" s="7" t="s">
        <v>112</v>
      </c>
      <c r="M175" s="7"/>
      <c r="N175" s="7"/>
      <c r="O175" s="8" t="n">
        <v>0</v>
      </c>
      <c r="P175" s="8" t="n">
        <v>0</v>
      </c>
      <c r="Q175" s="8" t="n">
        <v>0</v>
      </c>
      <c r="R175" s="7"/>
      <c r="S175" s="7" t="s">
        <v>10219</v>
      </c>
    </row>
    <row r="176" customFormat="false" ht="15.75" hidden="false" customHeight="true" outlineLevel="0" collapsed="false">
      <c r="A176" s="7" t="s">
        <v>10220</v>
      </c>
      <c r="B176" s="8" t="n">
        <v>2023</v>
      </c>
      <c r="C176" s="8"/>
      <c r="D176" s="8" t="s">
        <v>378</v>
      </c>
      <c r="E176" s="8" t="s">
        <v>9685</v>
      </c>
      <c r="F176" s="7" t="s">
        <v>10221</v>
      </c>
      <c r="G176" s="8" t="n">
        <v>8</v>
      </c>
      <c r="H176" s="8"/>
      <c r="I176" s="9" t="n">
        <v>178447</v>
      </c>
      <c r="J176" s="7"/>
      <c r="K176" s="7" t="s">
        <v>30</v>
      </c>
      <c r="L176" s="7" t="s">
        <v>47</v>
      </c>
      <c r="M176" s="10" t="s">
        <v>238</v>
      </c>
      <c r="N176" s="7"/>
      <c r="O176" s="8" t="n">
        <v>0</v>
      </c>
      <c r="P176" s="8" t="n">
        <v>0</v>
      </c>
      <c r="Q176" s="8" t="n">
        <v>0</v>
      </c>
      <c r="R176" s="7"/>
      <c r="S176" s="7" t="s">
        <v>10222</v>
      </c>
    </row>
    <row r="177" customFormat="false" ht="15.75" hidden="false" customHeight="true" outlineLevel="0" collapsed="false">
      <c r="A177" s="7" t="s">
        <v>10223</v>
      </c>
      <c r="B177" s="8" t="n">
        <v>2003</v>
      </c>
      <c r="C177" s="8"/>
      <c r="D177" s="8" t="s">
        <v>35</v>
      </c>
      <c r="E177" s="8" t="s">
        <v>9685</v>
      </c>
      <c r="F177" s="7" t="s">
        <v>10224</v>
      </c>
      <c r="G177" s="8" t="n">
        <v>7.8</v>
      </c>
      <c r="H177" s="8"/>
      <c r="I177" s="9" t="n">
        <v>177642</v>
      </c>
      <c r="J177" s="7"/>
      <c r="K177" s="7" t="s">
        <v>112</v>
      </c>
      <c r="L177" s="7" t="s">
        <v>54</v>
      </c>
      <c r="M177" s="10" t="s">
        <v>10225</v>
      </c>
      <c r="N177" s="7"/>
      <c r="O177" s="8" t="n">
        <v>0</v>
      </c>
      <c r="P177" s="8" t="n">
        <v>0</v>
      </c>
      <c r="Q177" s="8" t="n">
        <v>3</v>
      </c>
      <c r="R177" s="7"/>
      <c r="S177" s="7" t="s">
        <v>10226</v>
      </c>
    </row>
    <row r="178" customFormat="false" ht="15.75" hidden="false" customHeight="true" outlineLevel="0" collapsed="false">
      <c r="A178" s="7" t="s">
        <v>10227</v>
      </c>
      <c r="B178" s="8" t="n">
        <v>2006</v>
      </c>
      <c r="C178" s="8" t="n">
        <v>2013</v>
      </c>
      <c r="D178" s="8" t="s">
        <v>35</v>
      </c>
      <c r="E178" s="8" t="s">
        <v>9685</v>
      </c>
      <c r="F178" s="7" t="s">
        <v>10228</v>
      </c>
      <c r="G178" s="8" t="n">
        <v>8.5</v>
      </c>
      <c r="H178" s="8"/>
      <c r="I178" s="9" t="n">
        <v>177301</v>
      </c>
      <c r="J178" s="7"/>
      <c r="K178" s="7" t="s">
        <v>30</v>
      </c>
      <c r="L178" s="7"/>
      <c r="M178" s="10"/>
      <c r="N178" s="7"/>
      <c r="O178" s="8" t="n">
        <v>0</v>
      </c>
      <c r="P178" s="8" t="n">
        <v>0</v>
      </c>
      <c r="Q178" s="8" t="n">
        <v>0</v>
      </c>
      <c r="R178" s="7"/>
      <c r="S178" s="7" t="s">
        <v>10229</v>
      </c>
    </row>
    <row r="179" customFormat="false" ht="15.75" hidden="false" customHeight="true" outlineLevel="0" collapsed="false">
      <c r="A179" s="7" t="s">
        <v>10230</v>
      </c>
      <c r="B179" s="8" t="n">
        <v>2009</v>
      </c>
      <c r="C179" s="8" t="n">
        <v>2023</v>
      </c>
      <c r="D179" s="8" t="s">
        <v>35</v>
      </c>
      <c r="E179" s="8" t="s">
        <v>9685</v>
      </c>
      <c r="F179" s="7" t="s">
        <v>10231</v>
      </c>
      <c r="G179" s="8" t="n">
        <v>8.6</v>
      </c>
      <c r="H179" s="8"/>
      <c r="I179" s="9" t="n">
        <v>176450</v>
      </c>
      <c r="J179" s="7"/>
      <c r="K179" s="7" t="s">
        <v>579</v>
      </c>
      <c r="L179" s="7" t="s">
        <v>112</v>
      </c>
      <c r="M179" s="10" t="s">
        <v>238</v>
      </c>
      <c r="N179" s="7"/>
      <c r="O179" s="8" t="n">
        <v>9</v>
      </c>
      <c r="P179" s="8" t="n">
        <v>0</v>
      </c>
      <c r="Q179" s="8" t="n">
        <v>26</v>
      </c>
      <c r="R179" s="7"/>
      <c r="S179" s="7" t="s">
        <v>10232</v>
      </c>
    </row>
    <row r="180" customFormat="false" ht="15.75" hidden="false" customHeight="true" outlineLevel="0" collapsed="false">
      <c r="A180" s="7" t="s">
        <v>10233</v>
      </c>
      <c r="B180" s="8" t="n">
        <v>2016</v>
      </c>
      <c r="C180" s="8" t="n">
        <v>2016</v>
      </c>
      <c r="D180" s="8" t="s">
        <v>176</v>
      </c>
      <c r="E180" s="8" t="s">
        <v>9715</v>
      </c>
      <c r="F180" s="7" t="s">
        <v>10234</v>
      </c>
      <c r="G180" s="8" t="n">
        <v>9.4</v>
      </c>
      <c r="H180" s="8" t="n">
        <v>9</v>
      </c>
      <c r="I180" s="9" t="n">
        <v>176338</v>
      </c>
      <c r="J180" s="7"/>
      <c r="K180" s="7" t="s">
        <v>2730</v>
      </c>
      <c r="L180" s="7" t="s">
        <v>259</v>
      </c>
      <c r="M180" s="10"/>
      <c r="N180" s="7"/>
      <c r="O180" s="8" t="n">
        <v>5</v>
      </c>
      <c r="P180" s="8" t="n">
        <v>0</v>
      </c>
      <c r="Q180" s="8" t="n">
        <v>16</v>
      </c>
      <c r="R180" s="7"/>
      <c r="S180" s="7" t="s">
        <v>10235</v>
      </c>
    </row>
    <row r="181" customFormat="false" ht="15.75" hidden="false" customHeight="true" outlineLevel="0" collapsed="false">
      <c r="A181" s="7" t="s">
        <v>10236</v>
      </c>
      <c r="B181" s="8" t="n">
        <v>2015</v>
      </c>
      <c r="C181" s="8" t="n">
        <v>2020</v>
      </c>
      <c r="D181" s="8" t="s">
        <v>176</v>
      </c>
      <c r="E181" s="8" t="s">
        <v>9685</v>
      </c>
      <c r="F181" s="7" t="s">
        <v>10237</v>
      </c>
      <c r="G181" s="8" t="n">
        <v>8.5</v>
      </c>
      <c r="H181" s="8"/>
      <c r="I181" s="9" t="n">
        <v>176011</v>
      </c>
      <c r="J181" s="7"/>
      <c r="K181" s="7" t="s">
        <v>30</v>
      </c>
      <c r="L181" s="7"/>
      <c r="M181" s="10" t="s">
        <v>177</v>
      </c>
      <c r="N181" s="7"/>
      <c r="O181" s="8" t="n">
        <v>20</v>
      </c>
      <c r="P181" s="8" t="n">
        <v>1</v>
      </c>
      <c r="Q181" s="8" t="n">
        <v>42</v>
      </c>
      <c r="R181" s="7"/>
      <c r="S181" s="7" t="s">
        <v>10238</v>
      </c>
    </row>
    <row r="182" customFormat="false" ht="15.75" hidden="false" customHeight="true" outlineLevel="0" collapsed="false">
      <c r="A182" s="7" t="s">
        <v>10239</v>
      </c>
      <c r="B182" s="8" t="n">
        <v>2000</v>
      </c>
      <c r="C182" s="8" t="n">
        <v>2007</v>
      </c>
      <c r="D182" s="8" t="s">
        <v>35</v>
      </c>
      <c r="E182" s="8" t="s">
        <v>9685</v>
      </c>
      <c r="F182" s="7" t="s">
        <v>10240</v>
      </c>
      <c r="G182" s="8" t="n">
        <v>8.2</v>
      </c>
      <c r="H182" s="8"/>
      <c r="I182" s="9" t="n">
        <v>176011</v>
      </c>
      <c r="J182" s="7"/>
      <c r="K182" s="7" t="s">
        <v>30</v>
      </c>
      <c r="L182" s="7" t="s">
        <v>47</v>
      </c>
      <c r="M182" s="10" t="s">
        <v>5725</v>
      </c>
      <c r="N182" s="7"/>
      <c r="O182" s="8" t="n">
        <v>0</v>
      </c>
      <c r="P182" s="8" t="n">
        <v>0</v>
      </c>
      <c r="Q182" s="8" t="n">
        <v>0</v>
      </c>
      <c r="R182" s="7"/>
      <c r="S182" s="7" t="s">
        <v>10241</v>
      </c>
    </row>
    <row r="183" customFormat="false" ht="15.75" hidden="false" customHeight="true" outlineLevel="0" collapsed="false">
      <c r="A183" s="7" t="s">
        <v>10242</v>
      </c>
      <c r="B183" s="8" t="n">
        <v>1997</v>
      </c>
      <c r="C183" s="8" t="n">
        <v>2003</v>
      </c>
      <c r="D183" s="8" t="s">
        <v>26</v>
      </c>
      <c r="E183" s="8" t="s">
        <v>9685</v>
      </c>
      <c r="F183" s="7" t="s">
        <v>10243</v>
      </c>
      <c r="G183" s="8" t="n">
        <v>8.3</v>
      </c>
      <c r="H183" s="8"/>
      <c r="I183" s="9" t="n">
        <v>175990</v>
      </c>
      <c r="J183" s="7"/>
      <c r="K183" s="7" t="s">
        <v>112</v>
      </c>
      <c r="L183" s="7" t="s">
        <v>39</v>
      </c>
      <c r="M183" s="10" t="s">
        <v>10244</v>
      </c>
      <c r="N183" s="7"/>
      <c r="O183" s="8" t="n">
        <v>0</v>
      </c>
      <c r="P183" s="8" t="n">
        <v>0</v>
      </c>
      <c r="Q183" s="8" t="n">
        <v>0</v>
      </c>
      <c r="R183" s="7"/>
      <c r="S183" s="7" t="s">
        <v>10245</v>
      </c>
    </row>
    <row r="184" customFormat="false" ht="15.75" hidden="false" customHeight="true" outlineLevel="0" collapsed="false">
      <c r="A184" s="7" t="s">
        <v>10246</v>
      </c>
      <c r="B184" s="8" t="n">
        <v>2016</v>
      </c>
      <c r="C184" s="8" t="n">
        <v>2022</v>
      </c>
      <c r="D184" s="8" t="s">
        <v>176</v>
      </c>
      <c r="E184" s="8" t="s">
        <v>9685</v>
      </c>
      <c r="F184" s="7" t="s">
        <v>10247</v>
      </c>
      <c r="G184" s="8" t="n">
        <v>8.7</v>
      </c>
      <c r="H184" s="8"/>
      <c r="I184" s="9" t="n">
        <v>175883</v>
      </c>
      <c r="J184" s="7"/>
      <c r="K184" s="7" t="s">
        <v>29</v>
      </c>
      <c r="L184" s="7" t="s">
        <v>30</v>
      </c>
      <c r="M184" s="10" t="s">
        <v>2616</v>
      </c>
      <c r="N184" s="7"/>
      <c r="O184" s="8" t="n">
        <v>4</v>
      </c>
      <c r="P184" s="8" t="n">
        <v>0</v>
      </c>
      <c r="Q184" s="8" t="n">
        <v>116</v>
      </c>
      <c r="R184" s="7"/>
      <c r="S184" s="7" t="s">
        <v>10248</v>
      </c>
    </row>
    <row r="185" customFormat="false" ht="15.75" hidden="false" customHeight="true" outlineLevel="0" collapsed="false">
      <c r="A185" s="7" t="s">
        <v>10249</v>
      </c>
      <c r="B185" s="8" t="n">
        <v>2020</v>
      </c>
      <c r="C185" s="8" t="n">
        <v>2020</v>
      </c>
      <c r="D185" s="8" t="s">
        <v>378</v>
      </c>
      <c r="E185" s="8" t="s">
        <v>9715</v>
      </c>
      <c r="F185" s="7" t="s">
        <v>10250</v>
      </c>
      <c r="G185" s="8" t="n">
        <v>9.2</v>
      </c>
      <c r="H185" s="8"/>
      <c r="I185" s="9" t="n">
        <v>174413</v>
      </c>
      <c r="J185" s="7"/>
      <c r="K185" s="7" t="s">
        <v>47</v>
      </c>
      <c r="L185" s="7" t="s">
        <v>54</v>
      </c>
      <c r="M185" s="10"/>
      <c r="N185" s="7"/>
      <c r="O185" s="8" t="n">
        <v>0</v>
      </c>
      <c r="P185" s="8" t="n">
        <v>0</v>
      </c>
      <c r="Q185" s="8" t="n">
        <v>0</v>
      </c>
      <c r="R185" s="7"/>
      <c r="S185" s="7" t="s">
        <v>10251</v>
      </c>
    </row>
    <row r="186" customFormat="false" ht="15.75" hidden="false" customHeight="true" outlineLevel="0" collapsed="false">
      <c r="A186" s="7" t="s">
        <v>10252</v>
      </c>
      <c r="B186" s="8" t="n">
        <v>2021</v>
      </c>
      <c r="C186" s="8" t="n">
        <v>2021</v>
      </c>
      <c r="D186" s="8" t="s">
        <v>378</v>
      </c>
      <c r="E186" s="8" t="s">
        <v>9715</v>
      </c>
      <c r="F186" s="7" t="s">
        <v>8478</v>
      </c>
      <c r="G186" s="8" t="n">
        <v>7.7</v>
      </c>
      <c r="H186" s="8"/>
      <c r="I186" s="9" t="n">
        <v>172426</v>
      </c>
      <c r="J186" s="7"/>
      <c r="K186" s="7" t="s">
        <v>147</v>
      </c>
      <c r="L186" s="7" t="s">
        <v>38</v>
      </c>
      <c r="M186" s="10" t="s">
        <v>238</v>
      </c>
      <c r="N186" s="7"/>
      <c r="O186" s="8" t="n">
        <v>0</v>
      </c>
      <c r="P186" s="8" t="n">
        <v>0</v>
      </c>
      <c r="Q186" s="8" t="n">
        <v>0</v>
      </c>
      <c r="R186" s="7"/>
      <c r="S186" s="7" t="s">
        <v>10253</v>
      </c>
    </row>
    <row r="187" customFormat="false" ht="15.75" hidden="false" customHeight="true" outlineLevel="0" collapsed="false">
      <c r="A187" s="7" t="s">
        <v>10254</v>
      </c>
      <c r="B187" s="8" t="n">
        <v>2015</v>
      </c>
      <c r="C187" s="8" t="n">
        <v>2018</v>
      </c>
      <c r="D187" s="8" t="s">
        <v>176</v>
      </c>
      <c r="E187" s="8" t="s">
        <v>9685</v>
      </c>
      <c r="F187" s="7" t="s">
        <v>10255</v>
      </c>
      <c r="G187" s="8" t="n">
        <v>8.2</v>
      </c>
      <c r="H187" s="8"/>
      <c r="I187" s="9" t="n">
        <v>172414</v>
      </c>
      <c r="J187" s="7"/>
      <c r="K187" s="7" t="s">
        <v>111</v>
      </c>
      <c r="L187" s="7" t="s">
        <v>125</v>
      </c>
      <c r="M187" s="10" t="s">
        <v>238</v>
      </c>
      <c r="N187" s="7"/>
      <c r="O187" s="8" t="n">
        <v>0</v>
      </c>
      <c r="P187" s="8" t="n">
        <v>0</v>
      </c>
      <c r="Q187" s="8" t="n">
        <v>3</v>
      </c>
      <c r="R187" s="7"/>
      <c r="S187" s="7" t="s">
        <v>10256</v>
      </c>
    </row>
    <row r="188" customFormat="false" ht="15.75" hidden="false" customHeight="true" outlineLevel="0" collapsed="false">
      <c r="A188" s="7" t="s">
        <v>10257</v>
      </c>
      <c r="B188" s="8" t="n">
        <v>2018</v>
      </c>
      <c r="C188" s="8" t="n">
        <v>2018</v>
      </c>
      <c r="D188" s="8" t="s">
        <v>176</v>
      </c>
      <c r="E188" s="8" t="s">
        <v>9715</v>
      </c>
      <c r="F188" s="7" t="s">
        <v>10258</v>
      </c>
      <c r="G188" s="8" t="n">
        <v>8</v>
      </c>
      <c r="H188" s="8"/>
      <c r="I188" s="9" t="n">
        <v>172334</v>
      </c>
      <c r="J188" s="7"/>
      <c r="K188" s="7" t="s">
        <v>47</v>
      </c>
      <c r="L188" s="7" t="s">
        <v>54</v>
      </c>
      <c r="M188" s="10" t="s">
        <v>238</v>
      </c>
      <c r="N188" s="7"/>
      <c r="O188" s="8" t="n">
        <v>0</v>
      </c>
      <c r="P188" s="8" t="n">
        <v>0</v>
      </c>
      <c r="Q188" s="8" t="n">
        <v>7</v>
      </c>
      <c r="R188" s="7"/>
      <c r="S188" s="7" t="s">
        <v>10259</v>
      </c>
    </row>
    <row r="189" customFormat="false" ht="15.75" hidden="false" customHeight="true" outlineLevel="0" collapsed="false">
      <c r="A189" s="7" t="s">
        <v>10260</v>
      </c>
      <c r="B189" s="8" t="n">
        <v>1998</v>
      </c>
      <c r="C189" s="8" t="n">
        <v>1999</v>
      </c>
      <c r="D189" s="8" t="s">
        <v>26</v>
      </c>
      <c r="E189" s="8" t="s">
        <v>9685</v>
      </c>
      <c r="F189" s="7" t="s">
        <v>10261</v>
      </c>
      <c r="G189" s="8" t="n">
        <v>8.9</v>
      </c>
      <c r="H189" s="8"/>
      <c r="I189" s="9" t="n">
        <v>172234</v>
      </c>
      <c r="J189" s="7"/>
      <c r="K189" s="7" t="s">
        <v>579</v>
      </c>
      <c r="L189" s="7" t="s">
        <v>112</v>
      </c>
      <c r="M189" s="10" t="s">
        <v>238</v>
      </c>
      <c r="N189" s="7"/>
      <c r="O189" s="8" t="n">
        <v>0</v>
      </c>
      <c r="P189" s="8" t="n">
        <v>0</v>
      </c>
      <c r="Q189" s="8" t="n">
        <v>0</v>
      </c>
      <c r="R189" s="7"/>
      <c r="S189" s="7" t="s">
        <v>10262</v>
      </c>
    </row>
    <row r="190" customFormat="false" ht="15.75" hidden="false" customHeight="true" outlineLevel="0" collapsed="false">
      <c r="A190" s="7" t="s">
        <v>10263</v>
      </c>
      <c r="B190" s="8" t="n">
        <v>2002</v>
      </c>
      <c r="C190" s="8" t="n">
        <v>2007</v>
      </c>
      <c r="D190" s="8" t="s">
        <v>35</v>
      </c>
      <c r="E190" s="8" t="s">
        <v>9685</v>
      </c>
      <c r="F190" s="7" t="s">
        <v>10264</v>
      </c>
      <c r="G190" s="8" t="n">
        <v>8.4</v>
      </c>
      <c r="H190" s="8"/>
      <c r="I190" s="9" t="n">
        <v>171845</v>
      </c>
      <c r="J190" s="7"/>
      <c r="K190" s="7" t="s">
        <v>579</v>
      </c>
      <c r="L190" s="7" t="s">
        <v>112</v>
      </c>
      <c r="M190" s="10" t="s">
        <v>10265</v>
      </c>
      <c r="N190" s="7"/>
      <c r="O190" s="8" t="n">
        <v>0</v>
      </c>
      <c r="P190" s="8" t="n">
        <v>0</v>
      </c>
      <c r="Q190" s="8" t="n">
        <v>0</v>
      </c>
      <c r="R190" s="7"/>
      <c r="S190" s="7" t="s">
        <v>10266</v>
      </c>
    </row>
    <row r="191" customFormat="false" ht="15.75" hidden="false" customHeight="true" outlineLevel="0" collapsed="false">
      <c r="A191" s="7" t="s">
        <v>10267</v>
      </c>
      <c r="B191" s="8" t="n">
        <v>2008</v>
      </c>
      <c r="C191" s="8"/>
      <c r="D191" s="8" t="s">
        <v>35</v>
      </c>
      <c r="E191" s="8" t="s">
        <v>9685</v>
      </c>
      <c r="F191" s="7" t="s">
        <v>10268</v>
      </c>
      <c r="G191" s="8" t="n">
        <v>8.4</v>
      </c>
      <c r="H191" s="8"/>
      <c r="I191" s="9" t="n">
        <v>171408</v>
      </c>
      <c r="J191" s="7"/>
      <c r="K191" s="7" t="s">
        <v>579</v>
      </c>
      <c r="L191" s="7" t="s">
        <v>453</v>
      </c>
      <c r="M191" s="10"/>
      <c r="N191" s="7"/>
      <c r="O191" s="8" t="n">
        <v>0</v>
      </c>
      <c r="P191" s="8" t="n">
        <v>0</v>
      </c>
      <c r="Q191" s="8" t="n">
        <v>0</v>
      </c>
      <c r="R191" s="7"/>
      <c r="S191" s="7" t="s">
        <v>10269</v>
      </c>
    </row>
    <row r="192" customFormat="false" ht="15.75" hidden="false" customHeight="true" outlineLevel="0" collapsed="false">
      <c r="A192" s="7" t="s">
        <v>10270</v>
      </c>
      <c r="B192" s="8" t="n">
        <v>2019</v>
      </c>
      <c r="C192" s="8" t="n">
        <v>2022</v>
      </c>
      <c r="D192" s="8" t="s">
        <v>176</v>
      </c>
      <c r="E192" s="8" t="s">
        <v>9685</v>
      </c>
      <c r="F192" s="7" t="s">
        <v>10271</v>
      </c>
      <c r="G192" s="8" t="n">
        <v>8.4</v>
      </c>
      <c r="H192" s="8"/>
      <c r="I192" s="9" t="n">
        <v>170791</v>
      </c>
      <c r="J192" s="7"/>
      <c r="K192" s="7" t="s">
        <v>30</v>
      </c>
      <c r="L192" s="7" t="s">
        <v>47</v>
      </c>
      <c r="M192" s="10" t="s">
        <v>238</v>
      </c>
      <c r="N192" s="7"/>
      <c r="O192" s="8" t="n">
        <v>0</v>
      </c>
      <c r="P192" s="8" t="n">
        <v>0</v>
      </c>
      <c r="Q192" s="8" t="n">
        <v>0</v>
      </c>
      <c r="R192" s="7"/>
      <c r="S192" s="7" t="s">
        <v>10272</v>
      </c>
    </row>
    <row r="193" customFormat="false" ht="15.75" hidden="false" customHeight="true" outlineLevel="0" collapsed="false">
      <c r="A193" s="7" t="s">
        <v>10273</v>
      </c>
      <c r="B193" s="8" t="n">
        <v>2001</v>
      </c>
      <c r="C193" s="8" t="n">
        <v>2005</v>
      </c>
      <c r="D193" s="8" t="s">
        <v>35</v>
      </c>
      <c r="E193" s="8" t="s">
        <v>9685</v>
      </c>
      <c r="F193" s="7" t="s">
        <v>10274</v>
      </c>
      <c r="G193" s="8" t="n">
        <v>8.7</v>
      </c>
      <c r="H193" s="8"/>
      <c r="I193" s="9" t="n">
        <v>169904</v>
      </c>
      <c r="J193" s="7"/>
      <c r="K193" s="7" t="s">
        <v>30</v>
      </c>
      <c r="L193" s="7" t="s">
        <v>47</v>
      </c>
      <c r="M193" s="10" t="s">
        <v>55</v>
      </c>
      <c r="N193" s="7"/>
      <c r="O193" s="8" t="n">
        <v>1</v>
      </c>
      <c r="P193" s="8" t="n">
        <v>0</v>
      </c>
      <c r="Q193" s="8" t="n">
        <v>7</v>
      </c>
      <c r="R193" s="7"/>
      <c r="S193" s="7" t="s">
        <v>10275</v>
      </c>
    </row>
    <row r="194" customFormat="false" ht="15.75" hidden="false" customHeight="true" outlineLevel="0" collapsed="false">
      <c r="A194" s="7" t="s">
        <v>10276</v>
      </c>
      <c r="B194" s="8" t="n">
        <v>2021</v>
      </c>
      <c r="C194" s="8" t="n">
        <v>2022</v>
      </c>
      <c r="D194" s="8" t="s">
        <v>378</v>
      </c>
      <c r="E194" s="8" t="s">
        <v>9715</v>
      </c>
      <c r="F194" s="7" t="s">
        <v>10277</v>
      </c>
      <c r="G194" s="8" t="n">
        <v>8.6</v>
      </c>
      <c r="H194" s="8"/>
      <c r="I194" s="9" t="n">
        <v>169771</v>
      </c>
      <c r="J194" s="7"/>
      <c r="K194" s="7" t="s">
        <v>268</v>
      </c>
      <c r="L194" s="7" t="s">
        <v>47</v>
      </c>
      <c r="M194" s="10" t="s">
        <v>5526</v>
      </c>
      <c r="N194" s="7"/>
      <c r="O194" s="8" t="n">
        <v>0</v>
      </c>
      <c r="P194" s="8" t="n">
        <v>0</v>
      </c>
      <c r="Q194" s="8" t="n">
        <v>0</v>
      </c>
      <c r="R194" s="7"/>
      <c r="S194" s="7" t="s">
        <v>10278</v>
      </c>
    </row>
    <row r="195" customFormat="false" ht="15.75" hidden="false" customHeight="true" outlineLevel="0" collapsed="false">
      <c r="A195" s="7" t="s">
        <v>10279</v>
      </c>
      <c r="B195" s="8" t="n">
        <v>2025</v>
      </c>
      <c r="C195" s="8"/>
      <c r="D195" s="8" t="s">
        <v>378</v>
      </c>
      <c r="E195" s="8" t="s">
        <v>9685</v>
      </c>
      <c r="F195" s="7" t="s">
        <v>10280</v>
      </c>
      <c r="G195" s="8" t="n">
        <v>7.9</v>
      </c>
      <c r="H195" s="8"/>
      <c r="I195" s="9" t="n">
        <v>168883</v>
      </c>
      <c r="J195" s="7"/>
      <c r="K195" s="7" t="s">
        <v>111</v>
      </c>
      <c r="L195" s="7" t="s">
        <v>47</v>
      </c>
      <c r="M195" s="10" t="s">
        <v>1293</v>
      </c>
      <c r="N195" s="7"/>
      <c r="O195" s="8" t="n">
        <v>0</v>
      </c>
      <c r="P195" s="8" t="n">
        <v>0</v>
      </c>
      <c r="Q195" s="8" t="n">
        <v>0</v>
      </c>
      <c r="R195" s="7"/>
      <c r="S195" s="7" t="s">
        <v>10281</v>
      </c>
    </row>
    <row r="196" customFormat="false" ht="15.75" hidden="false" customHeight="true" outlineLevel="0" collapsed="false">
      <c r="A196" s="7" t="s">
        <v>10282</v>
      </c>
      <c r="B196" s="8" t="n">
        <v>2000</v>
      </c>
      <c r="C196" s="8" t="n">
        <v>2024</v>
      </c>
      <c r="D196" s="8" t="s">
        <v>35</v>
      </c>
      <c r="E196" s="8" t="s">
        <v>9685</v>
      </c>
      <c r="F196" s="7" t="s">
        <v>10283</v>
      </c>
      <c r="G196" s="8" t="n">
        <v>8.8</v>
      </c>
      <c r="H196" s="8"/>
      <c r="I196" s="9" t="n">
        <v>168132</v>
      </c>
      <c r="J196" s="7"/>
      <c r="K196" s="7" t="s">
        <v>30</v>
      </c>
      <c r="L196" s="7"/>
      <c r="M196" s="10" t="s">
        <v>55</v>
      </c>
      <c r="N196" s="7"/>
      <c r="O196" s="8" t="n">
        <v>1</v>
      </c>
      <c r="P196" s="8" t="n">
        <v>0</v>
      </c>
      <c r="Q196" s="8" t="n">
        <v>66</v>
      </c>
      <c r="R196" s="7"/>
      <c r="S196" s="7" t="s">
        <v>10284</v>
      </c>
    </row>
    <row r="197" customFormat="false" ht="15.75" hidden="false" customHeight="true" outlineLevel="0" collapsed="false">
      <c r="A197" s="7" t="s">
        <v>10285</v>
      </c>
      <c r="B197" s="8" t="n">
        <v>2017</v>
      </c>
      <c r="C197" s="8" t="n">
        <v>2023</v>
      </c>
      <c r="D197" s="8" t="s">
        <v>176</v>
      </c>
      <c r="E197" s="8" t="s">
        <v>9685</v>
      </c>
      <c r="F197" s="7" t="s">
        <v>10286</v>
      </c>
      <c r="G197" s="8" t="n">
        <v>6.4</v>
      </c>
      <c r="H197" s="8"/>
      <c r="I197" s="9" t="n">
        <v>166832</v>
      </c>
      <c r="J197" s="7"/>
      <c r="K197" s="7" t="s">
        <v>47</v>
      </c>
      <c r="L197" s="7" t="s">
        <v>54</v>
      </c>
      <c r="M197" s="10" t="s">
        <v>5649</v>
      </c>
      <c r="N197" s="7"/>
      <c r="O197" s="8" t="n">
        <v>0</v>
      </c>
      <c r="P197" s="8" t="n">
        <v>0</v>
      </c>
      <c r="Q197" s="8" t="n">
        <v>0</v>
      </c>
      <c r="R197" s="7"/>
      <c r="S197" s="7" t="s">
        <v>10287</v>
      </c>
    </row>
    <row r="198" customFormat="false" ht="15.75" hidden="false" customHeight="true" outlineLevel="0" collapsed="false">
      <c r="A198" s="7" t="s">
        <v>10288</v>
      </c>
      <c r="B198" s="8" t="n">
        <v>1999</v>
      </c>
      <c r="C198" s="8" t="n">
        <v>2000</v>
      </c>
      <c r="D198" s="8" t="s">
        <v>26</v>
      </c>
      <c r="E198" s="8" t="s">
        <v>9685</v>
      </c>
      <c r="F198" s="7" t="s">
        <v>10289</v>
      </c>
      <c r="G198" s="8" t="n">
        <v>8.7</v>
      </c>
      <c r="H198" s="8"/>
      <c r="I198" s="9" t="n">
        <v>165362</v>
      </c>
      <c r="J198" s="7"/>
      <c r="K198" s="7" t="s">
        <v>30</v>
      </c>
      <c r="L198" s="7" t="s">
        <v>47</v>
      </c>
      <c r="M198" s="10"/>
      <c r="N198" s="7"/>
      <c r="O198" s="8" t="n">
        <v>0</v>
      </c>
      <c r="P198" s="8" t="n">
        <v>0</v>
      </c>
      <c r="Q198" s="8" t="n">
        <v>0</v>
      </c>
      <c r="R198" s="7"/>
      <c r="S198" s="7" t="s">
        <v>10290</v>
      </c>
    </row>
    <row r="199" customFormat="false" ht="15.75" hidden="false" customHeight="true" outlineLevel="0" collapsed="false">
      <c r="A199" s="7" t="s">
        <v>10291</v>
      </c>
      <c r="B199" s="8" t="n">
        <v>2021</v>
      </c>
      <c r="C199" s="8" t="n">
        <v>2025</v>
      </c>
      <c r="D199" s="8" t="s">
        <v>378</v>
      </c>
      <c r="E199" s="8" t="s">
        <v>9685</v>
      </c>
      <c r="F199" s="7" t="s">
        <v>10292</v>
      </c>
      <c r="G199" s="8" t="n">
        <v>7.2</v>
      </c>
      <c r="H199" s="8"/>
      <c r="I199" s="9" t="n">
        <v>165236</v>
      </c>
      <c r="J199" s="7"/>
      <c r="K199" s="7" t="s">
        <v>112</v>
      </c>
      <c r="L199" s="7" t="s">
        <v>39</v>
      </c>
      <c r="M199" s="10" t="s">
        <v>113</v>
      </c>
      <c r="N199" s="7"/>
      <c r="O199" s="8" t="n">
        <v>0</v>
      </c>
      <c r="P199" s="8" t="n">
        <v>0</v>
      </c>
      <c r="Q199" s="8" t="n">
        <v>0</v>
      </c>
      <c r="R199" s="7"/>
      <c r="S199" s="7" t="s">
        <v>10293</v>
      </c>
    </row>
    <row r="200" customFormat="false" ht="15.75" hidden="false" customHeight="true" outlineLevel="0" collapsed="false">
      <c r="A200" s="7" t="s">
        <v>10294</v>
      </c>
      <c r="B200" s="8" t="n">
        <v>2010</v>
      </c>
      <c r="C200" s="8" t="n">
        <v>2019</v>
      </c>
      <c r="D200" s="8" t="s">
        <v>176</v>
      </c>
      <c r="E200" s="8" t="s">
        <v>9685</v>
      </c>
      <c r="F200" s="7" t="s">
        <v>10295</v>
      </c>
      <c r="G200" s="8" t="n">
        <v>8.4</v>
      </c>
      <c r="H200" s="8"/>
      <c r="I200" s="9" t="n">
        <v>164589</v>
      </c>
      <c r="J200" s="7"/>
      <c r="K200" s="7" t="s">
        <v>47</v>
      </c>
      <c r="L200" s="7" t="s">
        <v>54</v>
      </c>
      <c r="M200" s="10" t="s">
        <v>2236</v>
      </c>
      <c r="N200" s="7"/>
      <c r="O200" s="8" t="n">
        <v>0</v>
      </c>
      <c r="P200" s="8" t="n">
        <v>0</v>
      </c>
      <c r="Q200" s="8" t="n">
        <v>11</v>
      </c>
      <c r="R200" s="7"/>
      <c r="S200" s="7" t="s">
        <v>10296</v>
      </c>
    </row>
    <row r="201" customFormat="false" ht="15.75" hidden="false" customHeight="true" outlineLevel="0" collapsed="false">
      <c r="A201" s="7" t="s">
        <v>10297</v>
      </c>
      <c r="B201" s="8" t="n">
        <v>2025</v>
      </c>
      <c r="C201" s="8"/>
      <c r="D201" s="8" t="s">
        <v>378</v>
      </c>
      <c r="E201" s="8" t="s">
        <v>9685</v>
      </c>
      <c r="F201" s="7" t="s">
        <v>10298</v>
      </c>
      <c r="G201" s="8" t="n">
        <v>8.9</v>
      </c>
      <c r="H201" s="8"/>
      <c r="I201" s="9" t="n">
        <v>164373</v>
      </c>
      <c r="J201" s="7"/>
      <c r="K201" s="7" t="s">
        <v>47</v>
      </c>
      <c r="L201" s="7"/>
      <c r="M201" s="10" t="s">
        <v>55</v>
      </c>
      <c r="N201" s="7"/>
      <c r="O201" s="8" t="n">
        <v>0</v>
      </c>
      <c r="P201" s="8" t="n">
        <v>0</v>
      </c>
      <c r="Q201" s="8" t="n">
        <v>0</v>
      </c>
      <c r="R201" s="7"/>
      <c r="S201" s="7" t="s">
        <v>10299</v>
      </c>
    </row>
    <row r="202" customFormat="false" ht="15.75" hidden="false" customHeight="true" outlineLevel="0" collapsed="false">
      <c r="A202" s="7" t="s">
        <v>10300</v>
      </c>
      <c r="B202" s="8" t="n">
        <v>2017</v>
      </c>
      <c r="C202" s="8" t="n">
        <v>2017</v>
      </c>
      <c r="D202" s="8" t="s">
        <v>176</v>
      </c>
      <c r="E202" s="8" t="s">
        <v>9685</v>
      </c>
      <c r="F202" s="7" t="s">
        <v>10301</v>
      </c>
      <c r="G202" s="8" t="n">
        <v>8.3</v>
      </c>
      <c r="H202" s="8"/>
      <c r="I202" s="9" t="n">
        <v>164371</v>
      </c>
      <c r="J202" s="7"/>
      <c r="K202" s="7" t="s">
        <v>131</v>
      </c>
      <c r="L202" s="7" t="s">
        <v>125</v>
      </c>
      <c r="M202" s="10" t="s">
        <v>10302</v>
      </c>
      <c r="N202" s="7"/>
      <c r="O202" s="8" t="n">
        <v>0</v>
      </c>
      <c r="P202" s="8" t="n">
        <v>0</v>
      </c>
      <c r="Q202" s="8" t="n">
        <v>10</v>
      </c>
      <c r="R202" s="7"/>
      <c r="S202" s="7" t="s">
        <v>10303</v>
      </c>
    </row>
    <row r="203" customFormat="false" ht="15.75" hidden="false" customHeight="true" outlineLevel="0" collapsed="false">
      <c r="A203" s="7" t="s">
        <v>10304</v>
      </c>
      <c r="B203" s="8" t="n">
        <v>2023</v>
      </c>
      <c r="C203" s="8" t="n">
        <v>2026</v>
      </c>
      <c r="D203" s="8" t="s">
        <v>378</v>
      </c>
      <c r="E203" s="8" t="s">
        <v>9685</v>
      </c>
      <c r="F203" s="7" t="s">
        <v>10305</v>
      </c>
      <c r="G203" s="8" t="n">
        <v>7.4</v>
      </c>
      <c r="H203" s="8"/>
      <c r="I203" s="9" t="n">
        <v>163862</v>
      </c>
      <c r="J203" s="7"/>
      <c r="K203" s="7" t="s">
        <v>131</v>
      </c>
      <c r="L203" s="7" t="s">
        <v>112</v>
      </c>
      <c r="M203" s="10" t="s">
        <v>238</v>
      </c>
      <c r="N203" s="7"/>
      <c r="O203" s="8" t="n">
        <v>0</v>
      </c>
      <c r="P203" s="8" t="n">
        <v>0</v>
      </c>
      <c r="Q203" s="8" t="n">
        <v>0</v>
      </c>
      <c r="R203" s="7"/>
      <c r="S203" s="7" t="s">
        <v>10306</v>
      </c>
    </row>
    <row r="204" customFormat="false" ht="15.75" hidden="false" customHeight="true" outlineLevel="0" collapsed="false">
      <c r="A204" s="7" t="s">
        <v>10307</v>
      </c>
      <c r="B204" s="8" t="n">
        <v>2021</v>
      </c>
      <c r="C204" s="8" t="n">
        <v>2024</v>
      </c>
      <c r="D204" s="8" t="s">
        <v>378</v>
      </c>
      <c r="E204" s="8" t="s">
        <v>9685</v>
      </c>
      <c r="F204" s="7" t="s">
        <v>10308</v>
      </c>
      <c r="G204" s="8" t="n">
        <v>7.3</v>
      </c>
      <c r="H204" s="8"/>
      <c r="I204" s="9" t="n">
        <v>162264</v>
      </c>
      <c r="J204" s="7"/>
      <c r="K204" s="7" t="s">
        <v>579</v>
      </c>
      <c r="L204" s="7" t="s">
        <v>112</v>
      </c>
      <c r="M204" s="10" t="s">
        <v>177</v>
      </c>
      <c r="N204" s="7"/>
      <c r="O204" s="8" t="n">
        <v>0</v>
      </c>
      <c r="P204" s="8" t="n">
        <v>0</v>
      </c>
      <c r="Q204" s="8" t="n">
        <v>0</v>
      </c>
      <c r="R204" s="7"/>
      <c r="S204" s="7" t="s">
        <v>10309</v>
      </c>
    </row>
    <row r="205" customFormat="false" ht="15.75" hidden="false" customHeight="true" outlineLevel="0" collapsed="false">
      <c r="A205" s="7" t="s">
        <v>10310</v>
      </c>
      <c r="B205" s="8" t="n">
        <v>2009</v>
      </c>
      <c r="C205" s="8" t="n">
        <v>2015</v>
      </c>
      <c r="D205" s="8" t="s">
        <v>35</v>
      </c>
      <c r="E205" s="8" t="s">
        <v>9685</v>
      </c>
      <c r="F205" s="7" t="s">
        <v>10311</v>
      </c>
      <c r="G205" s="8" t="n">
        <v>6.8</v>
      </c>
      <c r="H205" s="8"/>
      <c r="I205" s="9" t="n">
        <v>162209</v>
      </c>
      <c r="J205" s="7"/>
      <c r="K205" s="7" t="s">
        <v>90</v>
      </c>
      <c r="L205" s="7" t="s">
        <v>30</v>
      </c>
      <c r="M205" s="10" t="s">
        <v>177</v>
      </c>
      <c r="N205" s="7"/>
      <c r="O205" s="8" t="n">
        <v>9</v>
      </c>
      <c r="P205" s="8" t="n">
        <v>0</v>
      </c>
      <c r="Q205" s="8" t="n">
        <v>98</v>
      </c>
      <c r="R205" s="7"/>
      <c r="S205" s="7" t="s">
        <v>10312</v>
      </c>
    </row>
    <row r="206" customFormat="false" ht="15.75" hidden="false" customHeight="true" outlineLevel="0" collapsed="false">
      <c r="A206" s="7" t="s">
        <v>10313</v>
      </c>
      <c r="B206" s="8" t="n">
        <v>2013</v>
      </c>
      <c r="C206" s="8" t="n">
        <v>2018</v>
      </c>
      <c r="D206" s="8" t="s">
        <v>176</v>
      </c>
      <c r="E206" s="8" t="s">
        <v>9685</v>
      </c>
      <c r="F206" s="7" t="s">
        <v>10314</v>
      </c>
      <c r="G206" s="8" t="n">
        <v>8.2</v>
      </c>
      <c r="H206" s="8"/>
      <c r="I206" s="9" t="n">
        <v>162171</v>
      </c>
      <c r="J206" s="7"/>
      <c r="K206" s="7" t="s">
        <v>147</v>
      </c>
      <c r="L206" s="7" t="s">
        <v>38</v>
      </c>
      <c r="M206" s="10" t="s">
        <v>69</v>
      </c>
      <c r="N206" s="7"/>
      <c r="O206" s="8" t="n">
        <v>0</v>
      </c>
      <c r="P206" s="8" t="n">
        <v>0</v>
      </c>
      <c r="Q206" s="8" t="n">
        <v>0</v>
      </c>
      <c r="R206" s="7"/>
      <c r="S206" s="7" t="s">
        <v>10315</v>
      </c>
    </row>
    <row r="207" customFormat="false" ht="15.75" hidden="false" customHeight="true" outlineLevel="0" collapsed="false">
      <c r="A207" s="7" t="s">
        <v>10316</v>
      </c>
      <c r="B207" s="8" t="n">
        <v>2000</v>
      </c>
      <c r="C207" s="8" t="n">
        <v>2006</v>
      </c>
      <c r="D207" s="8" t="s">
        <v>35</v>
      </c>
      <c r="E207" s="8" t="s">
        <v>9685</v>
      </c>
      <c r="F207" s="7" t="s">
        <v>10317</v>
      </c>
      <c r="G207" s="8" t="n">
        <v>8.2</v>
      </c>
      <c r="H207" s="8"/>
      <c r="I207" s="9" t="n">
        <v>162130</v>
      </c>
      <c r="J207" s="7"/>
      <c r="K207" s="7" t="s">
        <v>30</v>
      </c>
      <c r="L207" s="7" t="s">
        <v>259</v>
      </c>
      <c r="M207" s="10" t="s">
        <v>177</v>
      </c>
      <c r="N207" s="7"/>
      <c r="O207" s="8" t="n">
        <v>2</v>
      </c>
      <c r="P207" s="8" t="n">
        <v>0</v>
      </c>
      <c r="Q207" s="8" t="n">
        <v>15</v>
      </c>
      <c r="R207" s="7"/>
      <c r="S207" s="7" t="s">
        <v>10318</v>
      </c>
    </row>
    <row r="208" customFormat="false" ht="15.75" hidden="false" customHeight="true" outlineLevel="0" collapsed="false">
      <c r="A208" s="7" t="s">
        <v>10319</v>
      </c>
      <c r="B208" s="8" t="n">
        <v>1998</v>
      </c>
      <c r="C208" s="8" t="n">
        <v>2004</v>
      </c>
      <c r="D208" s="8" t="s">
        <v>26</v>
      </c>
      <c r="E208" s="8" t="s">
        <v>9685</v>
      </c>
      <c r="F208" s="7" t="s">
        <v>10320</v>
      </c>
      <c r="G208" s="8" t="n">
        <v>7.4</v>
      </c>
      <c r="H208" s="8"/>
      <c r="I208" s="9" t="n">
        <v>161771</v>
      </c>
      <c r="J208" s="7"/>
      <c r="K208" s="7" t="s">
        <v>29</v>
      </c>
      <c r="L208" s="7" t="s">
        <v>30</v>
      </c>
      <c r="M208" s="10" t="s">
        <v>69</v>
      </c>
      <c r="N208" s="7"/>
      <c r="O208" s="8" t="n">
        <v>2</v>
      </c>
      <c r="P208" s="8" t="n">
        <v>0</v>
      </c>
      <c r="Q208" s="8" t="n">
        <v>11</v>
      </c>
      <c r="R208" s="7"/>
      <c r="S208" s="7" t="s">
        <v>10321</v>
      </c>
    </row>
    <row r="209" customFormat="false" ht="15.75" hidden="false" customHeight="true" outlineLevel="0" collapsed="false">
      <c r="A209" s="7" t="s">
        <v>10322</v>
      </c>
      <c r="B209" s="8" t="n">
        <v>2019</v>
      </c>
      <c r="C209" s="8" t="n">
        <v>2019</v>
      </c>
      <c r="D209" s="8" t="s">
        <v>176</v>
      </c>
      <c r="E209" s="8" t="s">
        <v>9715</v>
      </c>
      <c r="F209" s="7" t="s">
        <v>10323</v>
      </c>
      <c r="G209" s="8" t="n">
        <v>8.8</v>
      </c>
      <c r="H209" s="8"/>
      <c r="I209" s="9" t="n">
        <v>160771</v>
      </c>
      <c r="J209" s="7"/>
      <c r="K209" s="7" t="s">
        <v>47</v>
      </c>
      <c r="L209" s="7" t="s">
        <v>54</v>
      </c>
      <c r="M209" s="10" t="s">
        <v>238</v>
      </c>
      <c r="N209" s="7"/>
      <c r="O209" s="8" t="n">
        <v>4</v>
      </c>
      <c r="P209" s="8" t="n">
        <v>0</v>
      </c>
      <c r="Q209" s="8" t="n">
        <v>39</v>
      </c>
      <c r="R209" s="7"/>
      <c r="S209" s="7" t="s">
        <v>10324</v>
      </c>
    </row>
    <row r="210" customFormat="false" ht="15.75" hidden="false" customHeight="true" outlineLevel="0" collapsed="false">
      <c r="A210" s="7" t="s">
        <v>10325</v>
      </c>
      <c r="B210" s="8" t="n">
        <v>2021</v>
      </c>
      <c r="C210" s="8"/>
      <c r="D210" s="8" t="s">
        <v>378</v>
      </c>
      <c r="E210" s="8" t="s">
        <v>9685</v>
      </c>
      <c r="F210" s="7" t="s">
        <v>10326</v>
      </c>
      <c r="G210" s="8" t="n">
        <v>7.5</v>
      </c>
      <c r="H210" s="8" t="n">
        <v>6</v>
      </c>
      <c r="I210" s="9" t="n">
        <v>160763</v>
      </c>
      <c r="J210" s="7"/>
      <c r="K210" s="7" t="s">
        <v>112</v>
      </c>
      <c r="L210" s="7" t="s">
        <v>54</v>
      </c>
      <c r="M210" s="10" t="s">
        <v>238</v>
      </c>
      <c r="N210" s="7"/>
      <c r="O210" s="8" t="n">
        <v>0</v>
      </c>
      <c r="P210" s="8" t="n">
        <v>0</v>
      </c>
      <c r="Q210" s="8" t="n">
        <v>0</v>
      </c>
      <c r="R210" s="7"/>
      <c r="S210" s="7" t="s">
        <v>10327</v>
      </c>
    </row>
    <row r="211" customFormat="false" ht="15.75" hidden="false" customHeight="true" outlineLevel="0" collapsed="false">
      <c r="A211" s="7" t="s">
        <v>10328</v>
      </c>
      <c r="B211" s="8" t="n">
        <v>2021</v>
      </c>
      <c r="C211" s="8" t="n">
        <v>2022</v>
      </c>
      <c r="D211" s="8" t="s">
        <v>378</v>
      </c>
      <c r="E211" s="8" t="s">
        <v>9715</v>
      </c>
      <c r="F211" s="7" t="s">
        <v>10329</v>
      </c>
      <c r="G211" s="8" t="n">
        <v>8</v>
      </c>
      <c r="H211" s="8"/>
      <c r="I211" s="9" t="n">
        <v>160135</v>
      </c>
      <c r="J211" s="7"/>
      <c r="K211" s="7" t="s">
        <v>47</v>
      </c>
      <c r="L211" s="7" t="s">
        <v>54</v>
      </c>
      <c r="M211" s="10" t="s">
        <v>5526</v>
      </c>
      <c r="N211" s="7"/>
      <c r="O211" s="8" t="n">
        <v>0</v>
      </c>
      <c r="P211" s="8" t="n">
        <v>0</v>
      </c>
      <c r="Q211" s="8" t="n">
        <v>0</v>
      </c>
      <c r="R211" s="7"/>
      <c r="S211" s="7" t="s">
        <v>10330</v>
      </c>
    </row>
    <row r="212" customFormat="false" ht="15.75" hidden="false" customHeight="true" outlineLevel="0" collapsed="false">
      <c r="A212" s="7" t="s">
        <v>10331</v>
      </c>
      <c r="B212" s="8" t="n">
        <v>2017</v>
      </c>
      <c r="C212" s="8" t="n">
        <v>2023</v>
      </c>
      <c r="D212" s="8" t="s">
        <v>176</v>
      </c>
      <c r="E212" s="8" t="s">
        <v>9685</v>
      </c>
      <c r="F212" s="7" t="s">
        <v>10332</v>
      </c>
      <c r="G212" s="8" t="n">
        <v>8.6</v>
      </c>
      <c r="H212" s="8"/>
      <c r="I212" s="9" t="n">
        <v>159746</v>
      </c>
      <c r="J212" s="7"/>
      <c r="K212" s="7" t="s">
        <v>30</v>
      </c>
      <c r="L212" s="7" t="s">
        <v>47</v>
      </c>
      <c r="M212" s="10" t="s">
        <v>113</v>
      </c>
      <c r="N212" s="7"/>
      <c r="O212" s="8" t="n">
        <v>44</v>
      </c>
      <c r="P212" s="8" t="n">
        <v>1</v>
      </c>
      <c r="Q212" s="8" t="n">
        <v>103</v>
      </c>
      <c r="R212" s="7"/>
      <c r="S212" s="7" t="s">
        <v>10333</v>
      </c>
    </row>
    <row r="213" customFormat="false" ht="15.75" hidden="false" customHeight="true" outlineLevel="0" collapsed="false">
      <c r="A213" s="7" t="s">
        <v>10334</v>
      </c>
      <c r="B213" s="8" t="n">
        <v>2001</v>
      </c>
      <c r="C213" s="8" t="n">
        <v>2011</v>
      </c>
      <c r="D213" s="8" t="s">
        <v>35</v>
      </c>
      <c r="E213" s="8" t="s">
        <v>9685</v>
      </c>
      <c r="F213" s="7" t="s">
        <v>10335</v>
      </c>
      <c r="G213" s="8" t="n">
        <v>7.5</v>
      </c>
      <c r="H213" s="8"/>
      <c r="I213" s="9" t="n">
        <v>155962</v>
      </c>
      <c r="J213" s="7"/>
      <c r="K213" s="7" t="s">
        <v>112</v>
      </c>
      <c r="L213" s="7" t="s">
        <v>39</v>
      </c>
      <c r="M213" s="10" t="s">
        <v>636</v>
      </c>
      <c r="N213" s="7"/>
      <c r="O213" s="8" t="n">
        <v>10</v>
      </c>
      <c r="P213" s="8" t="n">
        <v>0</v>
      </c>
      <c r="Q213" s="8" t="n">
        <v>30</v>
      </c>
      <c r="R213" s="7"/>
      <c r="S213" s="7" t="s">
        <v>10336</v>
      </c>
    </row>
    <row r="214" customFormat="false" ht="15.75" hidden="false" customHeight="true" outlineLevel="0" collapsed="false">
      <c r="A214" s="7" t="s">
        <v>10337</v>
      </c>
      <c r="B214" s="8" t="n">
        <v>2023</v>
      </c>
      <c r="C214" s="8" t="n">
        <v>2025</v>
      </c>
      <c r="D214" s="8" t="s">
        <v>378</v>
      </c>
      <c r="E214" s="8" t="s">
        <v>9685</v>
      </c>
      <c r="F214" s="7" t="s">
        <v>10338</v>
      </c>
      <c r="G214" s="8" t="n">
        <v>7.6</v>
      </c>
      <c r="H214" s="8"/>
      <c r="I214" s="9" t="n">
        <v>155701</v>
      </c>
      <c r="J214" s="7"/>
      <c r="K214" s="7" t="s">
        <v>112</v>
      </c>
      <c r="L214" s="7" t="s">
        <v>39</v>
      </c>
      <c r="M214" s="10" t="s">
        <v>113</v>
      </c>
      <c r="N214" s="7"/>
      <c r="O214" s="8" t="n">
        <v>0</v>
      </c>
      <c r="P214" s="8" t="n">
        <v>0</v>
      </c>
      <c r="Q214" s="8" t="n">
        <v>0</v>
      </c>
      <c r="R214" s="7"/>
      <c r="S214" s="7" t="s">
        <v>10339</v>
      </c>
    </row>
    <row r="215" customFormat="false" ht="15.75" hidden="false" customHeight="true" outlineLevel="0" collapsed="false">
      <c r="A215" s="7" t="s">
        <v>10340</v>
      </c>
      <c r="B215" s="8" t="n">
        <v>2004</v>
      </c>
      <c r="C215" s="8" t="n">
        <v>2012</v>
      </c>
      <c r="D215" s="8" t="s">
        <v>35</v>
      </c>
      <c r="E215" s="8" t="s">
        <v>9685</v>
      </c>
      <c r="F215" s="7" t="s">
        <v>10341</v>
      </c>
      <c r="G215" s="8" t="n">
        <v>7.7</v>
      </c>
      <c r="H215" s="8"/>
      <c r="I215" s="9" t="n">
        <v>155529</v>
      </c>
      <c r="J215" s="7"/>
      <c r="K215" s="7" t="s">
        <v>30</v>
      </c>
      <c r="L215" s="7" t="s">
        <v>125</v>
      </c>
      <c r="M215" s="10" t="s">
        <v>177</v>
      </c>
      <c r="N215" s="7"/>
      <c r="O215" s="8" t="n">
        <v>3</v>
      </c>
      <c r="P215" s="8" t="n">
        <v>0</v>
      </c>
      <c r="Q215" s="8" t="n">
        <v>26</v>
      </c>
      <c r="R215" s="7"/>
      <c r="S215" s="7" t="s">
        <v>10342</v>
      </c>
    </row>
    <row r="216" customFormat="false" ht="15.75" hidden="false" customHeight="true" outlineLevel="0" collapsed="false">
      <c r="A216" s="7" t="s">
        <v>10343</v>
      </c>
      <c r="B216" s="8" t="n">
        <v>2018</v>
      </c>
      <c r="C216" s="8" t="n">
        <v>2022</v>
      </c>
      <c r="D216" s="8" t="s">
        <v>176</v>
      </c>
      <c r="E216" s="8" t="s">
        <v>9685</v>
      </c>
      <c r="F216" s="7" t="s">
        <v>10344</v>
      </c>
      <c r="G216" s="8" t="n">
        <v>8</v>
      </c>
      <c r="H216" s="8"/>
      <c r="I216" s="9" t="n">
        <v>155153</v>
      </c>
      <c r="J216" s="7"/>
      <c r="K216" s="7" t="s">
        <v>112</v>
      </c>
      <c r="L216" s="7" t="s">
        <v>39</v>
      </c>
      <c r="M216" s="10" t="s">
        <v>238</v>
      </c>
      <c r="N216" s="7"/>
      <c r="O216" s="8" t="n">
        <v>1</v>
      </c>
      <c r="P216" s="8" t="n">
        <v>0</v>
      </c>
      <c r="Q216" s="8" t="n">
        <v>47</v>
      </c>
      <c r="R216" s="7"/>
      <c r="S216" s="7" t="s">
        <v>10345</v>
      </c>
    </row>
    <row r="217" customFormat="false" ht="15.75" hidden="false" customHeight="true" outlineLevel="0" collapsed="false">
      <c r="A217" s="7" t="s">
        <v>10346</v>
      </c>
      <c r="B217" s="8" t="n">
        <v>2015</v>
      </c>
      <c r="C217" s="8" t="n">
        <v>2023</v>
      </c>
      <c r="D217" s="8" t="s">
        <v>176</v>
      </c>
      <c r="E217" s="8" t="s">
        <v>9685</v>
      </c>
      <c r="F217" s="7" t="s">
        <v>10347</v>
      </c>
      <c r="G217" s="8" t="n">
        <v>6.7</v>
      </c>
      <c r="H217" s="8"/>
      <c r="I217" s="9" t="n">
        <v>154833</v>
      </c>
      <c r="J217" s="7"/>
      <c r="K217" s="7" t="s">
        <v>147</v>
      </c>
      <c r="L217" s="7" t="s">
        <v>111</v>
      </c>
      <c r="M217" s="10"/>
      <c r="N217" s="7"/>
      <c r="O217" s="8" t="n">
        <v>0</v>
      </c>
      <c r="P217" s="8" t="n">
        <v>0</v>
      </c>
      <c r="Q217" s="8" t="n">
        <v>0</v>
      </c>
      <c r="R217" s="7"/>
      <c r="S217" s="7" t="s">
        <v>10348</v>
      </c>
    </row>
    <row r="218" customFormat="false" ht="15.75" hidden="false" customHeight="true" outlineLevel="0" collapsed="false">
      <c r="A218" s="7" t="s">
        <v>10349</v>
      </c>
      <c r="B218" s="8" t="n">
        <v>2009</v>
      </c>
      <c r="C218" s="8" t="n">
        <v>2014</v>
      </c>
      <c r="D218" s="8" t="s">
        <v>35</v>
      </c>
      <c r="E218" s="8" t="s">
        <v>9685</v>
      </c>
      <c r="F218" s="7" t="s">
        <v>10350</v>
      </c>
      <c r="G218" s="8" t="n">
        <v>8.2</v>
      </c>
      <c r="H218" s="8"/>
      <c r="I218" s="9" t="n">
        <v>154501</v>
      </c>
      <c r="J218" s="7"/>
      <c r="K218" s="7" t="s">
        <v>30</v>
      </c>
      <c r="L218" s="7" t="s">
        <v>54</v>
      </c>
      <c r="M218" s="10" t="s">
        <v>177</v>
      </c>
      <c r="N218" s="7"/>
      <c r="O218" s="8" t="n">
        <v>0</v>
      </c>
      <c r="P218" s="8" t="n">
        <v>0</v>
      </c>
      <c r="Q218" s="8" t="n">
        <v>0</v>
      </c>
      <c r="R218" s="7"/>
      <c r="S218" s="7" t="s">
        <v>10351</v>
      </c>
    </row>
    <row r="219" customFormat="false" ht="15.75" hidden="false" customHeight="true" outlineLevel="0" collapsed="false">
      <c r="A219" s="7" t="s">
        <v>10352</v>
      </c>
      <c r="B219" s="8" t="n">
        <v>2007</v>
      </c>
      <c r="C219" s="8" t="n">
        <v>2012</v>
      </c>
      <c r="D219" s="8" t="s">
        <v>35</v>
      </c>
      <c r="E219" s="8" t="s">
        <v>9685</v>
      </c>
      <c r="F219" s="7" t="s">
        <v>10353</v>
      </c>
      <c r="G219" s="8" t="n">
        <v>8.2</v>
      </c>
      <c r="H219" s="8"/>
      <c r="I219" s="9" t="n">
        <v>154433</v>
      </c>
      <c r="J219" s="7"/>
      <c r="K219" s="7" t="s">
        <v>112</v>
      </c>
      <c r="L219" s="7" t="s">
        <v>30</v>
      </c>
      <c r="M219" s="10" t="s">
        <v>113</v>
      </c>
      <c r="N219" s="7"/>
      <c r="O219" s="8" t="n">
        <v>2</v>
      </c>
      <c r="P219" s="8" t="n">
        <v>0</v>
      </c>
      <c r="Q219" s="8" t="n">
        <v>6</v>
      </c>
      <c r="R219" s="7"/>
      <c r="S219" s="7" t="s">
        <v>10354</v>
      </c>
    </row>
    <row r="220" customFormat="false" ht="15.75" hidden="false" customHeight="true" outlineLevel="0" collapsed="false">
      <c r="A220" s="7" t="s">
        <v>10355</v>
      </c>
      <c r="B220" s="8" t="n">
        <v>1990</v>
      </c>
      <c r="C220" s="8" t="n">
        <v>1990</v>
      </c>
      <c r="D220" s="8" t="s">
        <v>26</v>
      </c>
      <c r="E220" s="8" t="s">
        <v>9715</v>
      </c>
      <c r="F220" s="7" t="s">
        <v>10356</v>
      </c>
      <c r="G220" s="8" t="n">
        <v>6.8</v>
      </c>
      <c r="H220" s="8"/>
      <c r="I220" s="9" t="n">
        <v>154101</v>
      </c>
      <c r="J220" s="7"/>
      <c r="K220" s="7" t="s">
        <v>147</v>
      </c>
      <c r="L220" s="7" t="s">
        <v>125</v>
      </c>
      <c r="M220" s="10"/>
      <c r="N220" s="7"/>
      <c r="O220" s="8" t="n">
        <v>0</v>
      </c>
      <c r="P220" s="8" t="n">
        <v>0</v>
      </c>
      <c r="Q220" s="8" t="n">
        <v>0</v>
      </c>
      <c r="R220" s="7"/>
      <c r="S220" s="7" t="s">
        <v>10357</v>
      </c>
    </row>
    <row r="221" customFormat="false" ht="15.75" hidden="false" customHeight="true" outlineLevel="0" collapsed="false">
      <c r="A221" s="7" t="s">
        <v>10358</v>
      </c>
      <c r="B221" s="8" t="n">
        <v>1990</v>
      </c>
      <c r="C221" s="8" t="n">
        <v>1996</v>
      </c>
      <c r="D221" s="8" t="s">
        <v>26</v>
      </c>
      <c r="E221" s="8" t="s">
        <v>9685</v>
      </c>
      <c r="F221" s="7" t="s">
        <v>10359</v>
      </c>
      <c r="G221" s="8" t="n">
        <v>7.9</v>
      </c>
      <c r="H221" s="8" t="n">
        <v>7</v>
      </c>
      <c r="I221" s="9" t="n">
        <v>154415</v>
      </c>
      <c r="J221" s="7"/>
      <c r="K221" s="7" t="s">
        <v>30</v>
      </c>
      <c r="L221" s="7"/>
      <c r="M221" s="10"/>
      <c r="N221" s="7"/>
      <c r="O221" s="8" t="n">
        <v>0</v>
      </c>
      <c r="P221" s="8" t="n">
        <v>0</v>
      </c>
      <c r="Q221" s="8" t="n">
        <v>0</v>
      </c>
      <c r="R221" s="7"/>
      <c r="S221" s="7" t="s">
        <v>10360</v>
      </c>
    </row>
    <row r="222" customFormat="false" ht="15.75" hidden="false" customHeight="true" outlineLevel="0" collapsed="false">
      <c r="A222" s="7" t="s">
        <v>10361</v>
      </c>
      <c r="B222" s="8" t="n">
        <v>2012</v>
      </c>
      <c r="C222" s="8" t="n">
        <v>2014</v>
      </c>
      <c r="D222" s="8" t="s">
        <v>176</v>
      </c>
      <c r="E222" s="8" t="s">
        <v>9685</v>
      </c>
      <c r="F222" s="7" t="s">
        <v>10362</v>
      </c>
      <c r="G222" s="8" t="n">
        <v>8.3</v>
      </c>
      <c r="H222" s="8"/>
      <c r="I222" s="9" t="n">
        <v>153705</v>
      </c>
      <c r="J222" s="7"/>
      <c r="K222" s="7" t="s">
        <v>579</v>
      </c>
      <c r="L222" s="7" t="s">
        <v>112</v>
      </c>
      <c r="M222" s="10" t="s">
        <v>192</v>
      </c>
      <c r="N222" s="7"/>
      <c r="O222" s="8" t="n">
        <v>0</v>
      </c>
      <c r="P222" s="8" t="n">
        <v>0</v>
      </c>
      <c r="Q222" s="8" t="n">
        <v>0</v>
      </c>
      <c r="R222" s="7"/>
      <c r="S222" s="7" t="s">
        <v>10363</v>
      </c>
    </row>
    <row r="223" customFormat="false" ht="15.75" hidden="false" customHeight="true" outlineLevel="0" collapsed="false">
      <c r="A223" s="7" t="s">
        <v>10364</v>
      </c>
      <c r="B223" s="8" t="n">
        <v>2017</v>
      </c>
      <c r="C223" s="8" t="n">
        <v>2021</v>
      </c>
      <c r="D223" s="8" t="s">
        <v>176</v>
      </c>
      <c r="E223" s="8" t="s">
        <v>9685</v>
      </c>
      <c r="F223" s="7" t="s">
        <v>10365</v>
      </c>
      <c r="G223" s="8" t="n">
        <v>7.8</v>
      </c>
      <c r="H223" s="8"/>
      <c r="I223" s="9" t="n">
        <v>153548</v>
      </c>
      <c r="J223" s="7"/>
      <c r="K223" s="7" t="s">
        <v>47</v>
      </c>
      <c r="L223" s="7" t="s">
        <v>54</v>
      </c>
      <c r="M223" s="10" t="s">
        <v>238</v>
      </c>
      <c r="N223" s="7"/>
      <c r="O223" s="8" t="n">
        <v>0</v>
      </c>
      <c r="P223" s="8" t="n">
        <v>0</v>
      </c>
      <c r="Q223" s="8" t="n">
        <v>1</v>
      </c>
      <c r="R223" s="7"/>
      <c r="S223" s="7" t="s">
        <v>10366</v>
      </c>
    </row>
    <row r="224" customFormat="false" ht="15.75" hidden="false" customHeight="true" outlineLevel="0" collapsed="false">
      <c r="A224" s="7" t="s">
        <v>10367</v>
      </c>
      <c r="B224" s="8" t="n">
        <v>1990</v>
      </c>
      <c r="C224" s="8" t="n">
        <v>1995</v>
      </c>
      <c r="D224" s="8" t="s">
        <v>26</v>
      </c>
      <c r="E224" s="8" t="s">
        <v>9685</v>
      </c>
      <c r="F224" s="7" t="s">
        <v>10368</v>
      </c>
      <c r="G224" s="8" t="n">
        <v>8.6</v>
      </c>
      <c r="H224" s="8"/>
      <c r="I224" s="9" t="n">
        <v>153235</v>
      </c>
      <c r="J224" s="7"/>
      <c r="K224" s="7" t="s">
        <v>30</v>
      </c>
      <c r="L224" s="7" t="s">
        <v>259</v>
      </c>
      <c r="M224" s="10" t="s">
        <v>10369</v>
      </c>
      <c r="N224" s="7"/>
      <c r="O224" s="8" t="n">
        <v>0</v>
      </c>
      <c r="P224" s="8" t="n">
        <v>0</v>
      </c>
      <c r="Q224" s="8" t="n">
        <v>0</v>
      </c>
      <c r="R224" s="7"/>
      <c r="S224" s="7" t="s">
        <v>10370</v>
      </c>
    </row>
    <row r="225" customFormat="false" ht="15.75" hidden="false" customHeight="true" outlineLevel="0" collapsed="false">
      <c r="A225" s="7" t="s">
        <v>10371</v>
      </c>
      <c r="B225" s="8" t="n">
        <v>2025</v>
      </c>
      <c r="C225" s="8"/>
      <c r="D225" s="8" t="s">
        <v>378</v>
      </c>
      <c r="E225" s="8" t="s">
        <v>9685</v>
      </c>
      <c r="F225" s="7" t="s">
        <v>10372</v>
      </c>
      <c r="G225" s="8" t="n">
        <v>9</v>
      </c>
      <c r="H225" s="8"/>
      <c r="I225" s="9" t="n">
        <v>152593</v>
      </c>
      <c r="J225" s="7"/>
      <c r="K225" s="7" t="s">
        <v>47</v>
      </c>
      <c r="L225" s="7" t="s">
        <v>54</v>
      </c>
      <c r="M225" s="10" t="s">
        <v>192</v>
      </c>
      <c r="N225" s="7"/>
      <c r="O225" s="8" t="n">
        <v>0</v>
      </c>
      <c r="P225" s="8" t="n">
        <v>0</v>
      </c>
      <c r="Q225" s="8" t="n">
        <v>0</v>
      </c>
      <c r="R225" s="7"/>
      <c r="S225" s="7" t="s">
        <v>10373</v>
      </c>
    </row>
    <row r="226" customFormat="false" ht="15.75" hidden="false" customHeight="true" outlineLevel="0" collapsed="false">
      <c r="A226" s="7" t="s">
        <v>10374</v>
      </c>
      <c r="B226" s="8" t="n">
        <v>2022</v>
      </c>
      <c r="C226" s="8"/>
      <c r="D226" s="8" t="s">
        <v>378</v>
      </c>
      <c r="E226" s="8" t="s">
        <v>9685</v>
      </c>
      <c r="F226" s="7" t="s">
        <v>10375</v>
      </c>
      <c r="G226" s="8" t="n">
        <v>8.3</v>
      </c>
      <c r="H226" s="8"/>
      <c r="I226" s="9" t="n">
        <v>152205</v>
      </c>
      <c r="J226" s="7"/>
      <c r="K226" s="7" t="s">
        <v>131</v>
      </c>
      <c r="L226" s="7" t="s">
        <v>47</v>
      </c>
      <c r="M226" s="10" t="s">
        <v>1293</v>
      </c>
      <c r="N226" s="7"/>
      <c r="O226" s="8" t="n">
        <v>0</v>
      </c>
      <c r="P226" s="8" t="n">
        <v>0</v>
      </c>
      <c r="Q226" s="8" t="n">
        <v>0</v>
      </c>
      <c r="R226" s="7"/>
      <c r="S226" s="7" t="s">
        <v>10376</v>
      </c>
    </row>
    <row r="227" customFormat="false" ht="15.75" hidden="false" customHeight="true" outlineLevel="0" collapsed="false">
      <c r="A227" s="7" t="s">
        <v>10377</v>
      </c>
      <c r="B227" s="8" t="n">
        <v>2019</v>
      </c>
      <c r="C227" s="8" t="n">
        <v>2027</v>
      </c>
      <c r="D227" s="8" t="s">
        <v>176</v>
      </c>
      <c r="E227" s="8" t="s">
        <v>9685</v>
      </c>
      <c r="F227" s="7" t="s">
        <v>10378</v>
      </c>
      <c r="G227" s="8" t="n">
        <v>8.1</v>
      </c>
      <c r="H227" s="8"/>
      <c r="I227" s="9" t="n">
        <v>151615</v>
      </c>
      <c r="J227" s="7"/>
      <c r="K227" s="7" t="s">
        <v>47</v>
      </c>
      <c r="L227" s="7"/>
      <c r="M227" s="10" t="s">
        <v>1293</v>
      </c>
      <c r="N227" s="7"/>
      <c r="O227" s="8" t="n">
        <v>1</v>
      </c>
      <c r="P227" s="8" t="n">
        <v>0</v>
      </c>
      <c r="Q227" s="8" t="n">
        <v>15</v>
      </c>
      <c r="R227" s="7"/>
      <c r="S227" s="7" t="s">
        <v>10379</v>
      </c>
    </row>
    <row r="228" customFormat="false" ht="15.75" hidden="false" customHeight="true" outlineLevel="0" collapsed="false">
      <c r="A228" s="7" t="s">
        <v>10380</v>
      </c>
      <c r="B228" s="8" t="n">
        <v>2017</v>
      </c>
      <c r="C228" s="8" t="n">
        <v>2024</v>
      </c>
      <c r="D228" s="8" t="s">
        <v>176</v>
      </c>
      <c r="E228" s="8" t="s">
        <v>9685</v>
      </c>
      <c r="F228" s="7" t="s">
        <v>10381</v>
      </c>
      <c r="G228" s="8" t="n">
        <v>7.8</v>
      </c>
      <c r="H228" s="8"/>
      <c r="I228" s="9" t="n">
        <v>151435</v>
      </c>
      <c r="J228" s="7"/>
      <c r="K228" s="7" t="s">
        <v>30</v>
      </c>
      <c r="L228" s="7"/>
      <c r="M228" s="10" t="s">
        <v>281</v>
      </c>
      <c r="N228" s="7"/>
      <c r="O228" s="8" t="n">
        <v>0</v>
      </c>
      <c r="P228" s="8" t="n">
        <v>0</v>
      </c>
      <c r="Q228" s="8" t="n">
        <v>0</v>
      </c>
      <c r="R228" s="7"/>
      <c r="S228" s="7" t="s">
        <v>10382</v>
      </c>
    </row>
    <row r="229" customFormat="false" ht="15.75" hidden="false" customHeight="true" outlineLevel="0" collapsed="false">
      <c r="A229" s="7" t="s">
        <v>10383</v>
      </c>
      <c r="B229" s="8" t="n">
        <v>2020</v>
      </c>
      <c r="C229" s="8" t="n">
        <v>2025</v>
      </c>
      <c r="D229" s="8" t="s">
        <v>378</v>
      </c>
      <c r="E229" s="8" t="s">
        <v>9685</v>
      </c>
      <c r="F229" s="7" t="s">
        <v>10384</v>
      </c>
      <c r="G229" s="8" t="n">
        <v>7.8</v>
      </c>
      <c r="H229" s="8"/>
      <c r="I229" s="9" t="n">
        <v>151005</v>
      </c>
      <c r="J229" s="7"/>
      <c r="K229" s="7" t="s">
        <v>147</v>
      </c>
      <c r="L229" s="7" t="s">
        <v>112</v>
      </c>
      <c r="M229" s="10" t="s">
        <v>238</v>
      </c>
      <c r="N229" s="7"/>
      <c r="O229" s="8" t="n">
        <v>0</v>
      </c>
      <c r="P229" s="8" t="n">
        <v>0</v>
      </c>
      <c r="Q229" s="8" t="n">
        <v>0</v>
      </c>
      <c r="R229" s="7"/>
      <c r="S229" s="7" t="s">
        <v>10385</v>
      </c>
    </row>
    <row r="230" customFormat="false" ht="15.75" hidden="false" customHeight="true" outlineLevel="0" collapsed="false">
      <c r="A230" s="7" t="s">
        <v>10386</v>
      </c>
      <c r="B230" s="8" t="n">
        <v>1987</v>
      </c>
      <c r="C230" s="8" t="n">
        <v>1994</v>
      </c>
      <c r="D230" s="8" t="s">
        <v>109</v>
      </c>
      <c r="E230" s="8" t="s">
        <v>9685</v>
      </c>
      <c r="F230" s="7" t="s">
        <v>10387</v>
      </c>
      <c r="G230" s="8" t="n">
        <v>8.7</v>
      </c>
      <c r="H230" s="8"/>
      <c r="I230" s="9" t="n">
        <v>150966</v>
      </c>
      <c r="J230" s="7"/>
      <c r="K230" s="7" t="s">
        <v>112</v>
      </c>
      <c r="L230" s="7" t="s">
        <v>39</v>
      </c>
      <c r="M230" s="10"/>
      <c r="N230" s="7"/>
      <c r="O230" s="8" t="n">
        <v>0</v>
      </c>
      <c r="P230" s="8" t="n">
        <v>0</v>
      </c>
      <c r="Q230" s="8" t="n">
        <v>0</v>
      </c>
      <c r="R230" s="7"/>
      <c r="S230" s="7" t="s">
        <v>10388</v>
      </c>
    </row>
    <row r="231" customFormat="false" ht="15.75" hidden="false" customHeight="true" outlineLevel="0" collapsed="false">
      <c r="A231" s="7" t="s">
        <v>10389</v>
      </c>
      <c r="B231" s="8" t="n">
        <v>2017</v>
      </c>
      <c r="C231" s="8" t="n">
        <v>2018</v>
      </c>
      <c r="D231" s="8" t="s">
        <v>176</v>
      </c>
      <c r="E231" s="8" t="s">
        <v>9685</v>
      </c>
      <c r="F231" s="7" t="s">
        <v>10390</v>
      </c>
      <c r="G231" s="8" t="n">
        <v>6.4</v>
      </c>
      <c r="H231" s="8"/>
      <c r="I231" s="9" t="n">
        <v>150561</v>
      </c>
      <c r="J231" s="7"/>
      <c r="K231" s="7" t="s">
        <v>112</v>
      </c>
      <c r="L231" s="7" t="s">
        <v>54</v>
      </c>
      <c r="M231" s="10" t="s">
        <v>177</v>
      </c>
      <c r="N231" s="7"/>
      <c r="O231" s="8" t="n">
        <v>0</v>
      </c>
      <c r="P231" s="8" t="n">
        <v>0</v>
      </c>
      <c r="Q231" s="8" t="n">
        <v>0</v>
      </c>
      <c r="R231" s="7"/>
      <c r="S231" s="7" t="s">
        <v>10391</v>
      </c>
    </row>
    <row r="232" customFormat="false" ht="15.75" hidden="false" customHeight="true" outlineLevel="0" collapsed="false">
      <c r="A232" s="7" t="s">
        <v>10392</v>
      </c>
      <c r="B232" s="8" t="n">
        <v>2013</v>
      </c>
      <c r="C232" s="8" t="n">
        <v>2016</v>
      </c>
      <c r="D232" s="8" t="s">
        <v>176</v>
      </c>
      <c r="E232" s="8" t="s">
        <v>9685</v>
      </c>
      <c r="F232" s="7" t="s">
        <v>10393</v>
      </c>
      <c r="G232" s="8" t="n">
        <v>8.4</v>
      </c>
      <c r="H232" s="8"/>
      <c r="I232" s="9" t="n">
        <v>150068</v>
      </c>
      <c r="J232" s="7"/>
      <c r="K232" s="7" t="s">
        <v>112</v>
      </c>
      <c r="L232" s="7" t="s">
        <v>54</v>
      </c>
      <c r="M232" s="10" t="s">
        <v>10394</v>
      </c>
      <c r="N232" s="7"/>
      <c r="O232" s="8" t="n">
        <v>9</v>
      </c>
      <c r="P232" s="8" t="n">
        <v>0</v>
      </c>
      <c r="Q232" s="8" t="n">
        <v>9</v>
      </c>
      <c r="R232" s="7"/>
      <c r="S232" s="7" t="s">
        <v>10395</v>
      </c>
    </row>
    <row r="233" customFormat="false" ht="15.75" hidden="false" customHeight="true" outlineLevel="0" collapsed="false">
      <c r="A233" s="7" t="s">
        <v>10396</v>
      </c>
      <c r="B233" s="8" t="n">
        <v>2016</v>
      </c>
      <c r="C233" s="8" t="n">
        <v>2018</v>
      </c>
      <c r="D233" s="8" t="s">
        <v>176</v>
      </c>
      <c r="E233" s="8" t="s">
        <v>9685</v>
      </c>
      <c r="F233" s="7" t="s">
        <v>10397</v>
      </c>
      <c r="G233" s="8" t="n">
        <v>7.2</v>
      </c>
      <c r="H233" s="8"/>
      <c r="I233" s="9" t="n">
        <v>149744</v>
      </c>
      <c r="J233" s="7"/>
      <c r="K233" s="7" t="s">
        <v>112</v>
      </c>
      <c r="L233" s="7" t="s">
        <v>54</v>
      </c>
      <c r="M233" s="10" t="s">
        <v>177</v>
      </c>
      <c r="N233" s="7"/>
      <c r="O233" s="8" t="n">
        <v>0</v>
      </c>
      <c r="P233" s="8" t="n">
        <v>0</v>
      </c>
      <c r="Q233" s="8" t="n">
        <v>0</v>
      </c>
      <c r="R233" s="7"/>
      <c r="S233" s="7" t="s">
        <v>10398</v>
      </c>
    </row>
    <row r="234" customFormat="false" ht="15.75" hidden="false" customHeight="true" outlineLevel="0" collapsed="false">
      <c r="A234" s="7" t="s">
        <v>10399</v>
      </c>
      <c r="B234" s="8" t="n">
        <v>2008</v>
      </c>
      <c r="C234" s="8" t="n">
        <v>2020</v>
      </c>
      <c r="D234" s="8" t="s">
        <v>35</v>
      </c>
      <c r="E234" s="8" t="s">
        <v>9685</v>
      </c>
      <c r="F234" s="7" t="s">
        <v>10400</v>
      </c>
      <c r="G234" s="8" t="n">
        <v>8.5</v>
      </c>
      <c r="H234" s="8"/>
      <c r="I234" s="9" t="n">
        <v>147465</v>
      </c>
      <c r="J234" s="7"/>
      <c r="K234" s="7" t="s">
        <v>579</v>
      </c>
      <c r="L234" s="7" t="s">
        <v>112</v>
      </c>
      <c r="M234" s="10" t="s">
        <v>177</v>
      </c>
      <c r="N234" s="7"/>
      <c r="O234" s="8" t="n">
        <v>0</v>
      </c>
      <c r="P234" s="8" t="n">
        <v>0</v>
      </c>
      <c r="Q234" s="8" t="n">
        <v>0</v>
      </c>
      <c r="R234" s="7"/>
      <c r="S234" s="7" t="s">
        <v>10401</v>
      </c>
    </row>
    <row r="235" customFormat="false" ht="15.75" hidden="false" customHeight="true" outlineLevel="0" collapsed="false">
      <c r="A235" s="7" t="s">
        <v>5230</v>
      </c>
      <c r="B235" s="8" t="n">
        <v>2019</v>
      </c>
      <c r="C235" s="8" t="n">
        <v>2019</v>
      </c>
      <c r="D235" s="8" t="s">
        <v>176</v>
      </c>
      <c r="E235" s="8" t="s">
        <v>9715</v>
      </c>
      <c r="F235" s="7" t="s">
        <v>10402</v>
      </c>
      <c r="G235" s="8" t="n">
        <v>8.2</v>
      </c>
      <c r="H235" s="8"/>
      <c r="I235" s="9" t="n">
        <v>147369</v>
      </c>
      <c r="J235" s="7"/>
      <c r="K235" s="7" t="s">
        <v>47</v>
      </c>
      <c r="L235" s="7" t="s">
        <v>54</v>
      </c>
      <c r="M235" s="10" t="s">
        <v>55</v>
      </c>
      <c r="N235" s="7"/>
      <c r="O235" s="8" t="n">
        <v>36</v>
      </c>
      <c r="P235" s="8" t="n">
        <v>1</v>
      </c>
      <c r="Q235" s="8" t="n">
        <v>66</v>
      </c>
      <c r="R235" s="7"/>
      <c r="S235" s="7" t="s">
        <v>10403</v>
      </c>
    </row>
    <row r="236" customFormat="false" ht="15.75" hidden="false" customHeight="true" outlineLevel="0" collapsed="false">
      <c r="A236" s="7" t="s">
        <v>10404</v>
      </c>
      <c r="B236" s="8" t="n">
        <v>2019</v>
      </c>
      <c r="C236" s="8" t="n">
        <v>2023</v>
      </c>
      <c r="D236" s="8" t="s">
        <v>176</v>
      </c>
      <c r="E236" s="8" t="s">
        <v>9685</v>
      </c>
      <c r="F236" s="7" t="s">
        <v>10405</v>
      </c>
      <c r="G236" s="8" t="n">
        <v>8.9</v>
      </c>
      <c r="H236" s="8"/>
      <c r="I236" s="9" t="n">
        <v>147305</v>
      </c>
      <c r="J236" s="7"/>
      <c r="K236" s="7" t="s">
        <v>579</v>
      </c>
      <c r="L236" s="7" t="s">
        <v>112</v>
      </c>
      <c r="M236" s="10" t="s">
        <v>4029</v>
      </c>
      <c r="N236" s="7"/>
      <c r="O236" s="8" t="n">
        <v>0</v>
      </c>
      <c r="P236" s="8" t="n">
        <v>0</v>
      </c>
      <c r="Q236" s="8" t="n">
        <v>0</v>
      </c>
      <c r="R236" s="7"/>
      <c r="S236" s="7" t="s">
        <v>10406</v>
      </c>
    </row>
    <row r="237" customFormat="false" ht="15.75" hidden="false" customHeight="true" outlineLevel="0" collapsed="false">
      <c r="A237" s="7" t="s">
        <v>10407</v>
      </c>
      <c r="B237" s="8" t="n">
        <v>2017</v>
      </c>
      <c r="C237" s="8" t="n">
        <v>2024</v>
      </c>
      <c r="D237" s="8" t="s">
        <v>176</v>
      </c>
      <c r="E237" s="8" t="s">
        <v>9685</v>
      </c>
      <c r="F237" s="7" t="s">
        <v>10408</v>
      </c>
      <c r="G237" s="8" t="n">
        <v>6.9</v>
      </c>
      <c r="H237" s="8"/>
      <c r="I237" s="9" t="n">
        <v>146726</v>
      </c>
      <c r="J237" s="7"/>
      <c r="K237" s="7" t="s">
        <v>112</v>
      </c>
      <c r="L237" s="7" t="s">
        <v>39</v>
      </c>
      <c r="M237" s="10" t="s">
        <v>192</v>
      </c>
      <c r="N237" s="7"/>
      <c r="O237" s="8" t="n">
        <v>17</v>
      </c>
      <c r="P237" s="8" t="n">
        <v>0</v>
      </c>
      <c r="Q237" s="8" t="n">
        <v>82</v>
      </c>
      <c r="R237" s="7"/>
      <c r="S237" s="7" t="s">
        <v>10409</v>
      </c>
    </row>
    <row r="238" customFormat="false" ht="15.75" hidden="false" customHeight="true" outlineLevel="0" collapsed="false">
      <c r="A238" s="7" t="s">
        <v>10410</v>
      </c>
      <c r="B238" s="8" t="n">
        <v>2022</v>
      </c>
      <c r="C238" s="8" t="n">
        <v>2022</v>
      </c>
      <c r="D238" s="8" t="s">
        <v>378</v>
      </c>
      <c r="E238" s="8" t="s">
        <v>9715</v>
      </c>
      <c r="F238" s="7" t="s">
        <v>10411</v>
      </c>
      <c r="G238" s="8" t="n">
        <v>8.1</v>
      </c>
      <c r="H238" s="8"/>
      <c r="I238" s="9" t="n">
        <v>146630</v>
      </c>
      <c r="J238" s="7"/>
      <c r="K238" s="7" t="s">
        <v>47</v>
      </c>
      <c r="L238" s="7" t="s">
        <v>54</v>
      </c>
      <c r="M238" s="10" t="s">
        <v>1293</v>
      </c>
      <c r="N238" s="7"/>
      <c r="O238" s="8" t="n">
        <v>0</v>
      </c>
      <c r="P238" s="8" t="n">
        <v>0</v>
      </c>
      <c r="Q238" s="8" t="n">
        <v>0</v>
      </c>
      <c r="R238" s="7"/>
      <c r="S238" s="7" t="s">
        <v>10412</v>
      </c>
    </row>
    <row r="239" customFormat="false" ht="15.75" hidden="false" customHeight="true" outlineLevel="0" collapsed="false">
      <c r="A239" s="7" t="s">
        <v>10413</v>
      </c>
      <c r="B239" s="8" t="n">
        <v>1999</v>
      </c>
      <c r="C239" s="8"/>
      <c r="D239" s="8" t="s">
        <v>26</v>
      </c>
      <c r="E239" s="8" t="s">
        <v>9685</v>
      </c>
      <c r="F239" s="7" t="s">
        <v>10414</v>
      </c>
      <c r="G239" s="8" t="n">
        <v>8.1</v>
      </c>
      <c r="H239" s="8"/>
      <c r="I239" s="9" t="n">
        <v>146557</v>
      </c>
      <c r="J239" s="7"/>
      <c r="K239" s="7" t="s">
        <v>47</v>
      </c>
      <c r="L239" s="7" t="s">
        <v>54</v>
      </c>
      <c r="M239" s="10" t="s">
        <v>10415</v>
      </c>
      <c r="N239" s="7"/>
      <c r="O239" s="8" t="n">
        <v>6</v>
      </c>
      <c r="P239" s="8" t="n">
        <v>0</v>
      </c>
      <c r="Q239" s="8" t="n">
        <v>17</v>
      </c>
      <c r="R239" s="7"/>
      <c r="S239" s="7" t="s">
        <v>10416</v>
      </c>
    </row>
    <row r="240" customFormat="false" ht="15.75" hidden="false" customHeight="true" outlineLevel="0" collapsed="false">
      <c r="A240" s="7" t="s">
        <v>10417</v>
      </c>
      <c r="B240" s="8" t="n">
        <v>2020</v>
      </c>
      <c r="C240" s="8" t="n">
        <v>2020</v>
      </c>
      <c r="D240" s="8" t="s">
        <v>378</v>
      </c>
      <c r="E240" s="8" t="s">
        <v>9715</v>
      </c>
      <c r="F240" s="7" t="s">
        <v>10418</v>
      </c>
      <c r="G240" s="8" t="n">
        <v>7.4</v>
      </c>
      <c r="H240" s="8"/>
      <c r="I240" s="9" t="n">
        <v>146411</v>
      </c>
      <c r="J240" s="7"/>
      <c r="K240" s="7" t="s">
        <v>147</v>
      </c>
      <c r="L240" s="7" t="s">
        <v>125</v>
      </c>
      <c r="M240" s="10" t="s">
        <v>238</v>
      </c>
      <c r="N240" s="7"/>
      <c r="O240" s="8" t="n">
        <v>0</v>
      </c>
      <c r="P240" s="8" t="n">
        <v>0</v>
      </c>
      <c r="Q240" s="8" t="n">
        <v>14</v>
      </c>
      <c r="R240" s="7"/>
      <c r="S240" s="7" t="s">
        <v>10419</v>
      </c>
    </row>
    <row r="241" customFormat="false" ht="15.75" hidden="false" customHeight="true" outlineLevel="0" collapsed="false">
      <c r="A241" s="7" t="s">
        <v>10420</v>
      </c>
      <c r="B241" s="8" t="n">
        <v>2024</v>
      </c>
      <c r="C241" s="8" t="n">
        <v>2024</v>
      </c>
      <c r="D241" s="8" t="s">
        <v>378</v>
      </c>
      <c r="E241" s="8" t="s">
        <v>9685</v>
      </c>
      <c r="F241" s="7" t="s">
        <v>10421</v>
      </c>
      <c r="G241" s="8" t="n">
        <v>4.3</v>
      </c>
      <c r="H241" s="8" t="n">
        <v>6</v>
      </c>
      <c r="I241" s="9" t="n">
        <v>145331</v>
      </c>
      <c r="J241" s="7"/>
      <c r="K241" s="7" t="s">
        <v>38</v>
      </c>
      <c r="L241" s="7" t="s">
        <v>112</v>
      </c>
      <c r="M241" s="10" t="s">
        <v>177</v>
      </c>
      <c r="N241" s="7"/>
      <c r="O241" s="8" t="n">
        <v>0</v>
      </c>
      <c r="P241" s="8" t="n">
        <v>0</v>
      </c>
      <c r="Q241" s="8" t="n">
        <v>0</v>
      </c>
      <c r="R241" s="7"/>
      <c r="S241" s="7" t="s">
        <v>10422</v>
      </c>
    </row>
    <row r="242" customFormat="false" ht="15.75" hidden="false" customHeight="true" outlineLevel="0" collapsed="false">
      <c r="A242" s="7" t="s">
        <v>10423</v>
      </c>
      <c r="B242" s="8" t="n">
        <v>2005</v>
      </c>
      <c r="C242" s="8"/>
      <c r="D242" s="8" t="s">
        <v>35</v>
      </c>
      <c r="E242" s="8" t="s">
        <v>9685</v>
      </c>
      <c r="F242" s="7" t="s">
        <v>10424</v>
      </c>
      <c r="G242" s="8" t="n">
        <v>7.4</v>
      </c>
      <c r="H242" s="8"/>
      <c r="I242" s="9" t="n">
        <v>145303</v>
      </c>
      <c r="J242" s="7"/>
      <c r="K242" s="7" t="s">
        <v>579</v>
      </c>
      <c r="L242" s="7" t="s">
        <v>30</v>
      </c>
      <c r="M242" s="10" t="s">
        <v>177</v>
      </c>
      <c r="N242" s="7"/>
      <c r="O242" s="8" t="n">
        <v>0</v>
      </c>
      <c r="P242" s="8" t="n">
        <v>0</v>
      </c>
      <c r="Q242" s="8" t="n">
        <v>1</v>
      </c>
      <c r="R242" s="7"/>
      <c r="S242" s="7" t="s">
        <v>10425</v>
      </c>
    </row>
    <row r="243" customFormat="false" ht="15.75" hidden="false" customHeight="true" outlineLevel="0" collapsed="false">
      <c r="A243" s="7" t="s">
        <v>10426</v>
      </c>
      <c r="B243" s="8" t="n">
        <v>2010</v>
      </c>
      <c r="C243" s="8" t="n">
        <v>2010</v>
      </c>
      <c r="D243" s="8" t="s">
        <v>176</v>
      </c>
      <c r="E243" s="8" t="s">
        <v>9715</v>
      </c>
      <c r="F243" s="7" t="s">
        <v>10427</v>
      </c>
      <c r="G243" s="8" t="n">
        <v>8.3</v>
      </c>
      <c r="H243" s="8"/>
      <c r="I243" s="9" t="n">
        <v>145090</v>
      </c>
      <c r="J243" s="7"/>
      <c r="K243" s="7" t="s">
        <v>112</v>
      </c>
      <c r="L243" s="7" t="s">
        <v>39</v>
      </c>
      <c r="M243" s="10" t="s">
        <v>69</v>
      </c>
      <c r="N243" s="7"/>
      <c r="O243" s="8" t="n">
        <v>51</v>
      </c>
      <c r="P243" s="8" t="n">
        <v>1</v>
      </c>
      <c r="Q243" s="8" t="n">
        <v>90</v>
      </c>
      <c r="R243" s="7"/>
      <c r="S243" s="7" t="s">
        <v>10428</v>
      </c>
    </row>
    <row r="244" customFormat="false" ht="15.75" hidden="false" customHeight="true" outlineLevel="0" collapsed="false">
      <c r="A244" s="7" t="s">
        <v>10429</v>
      </c>
      <c r="B244" s="8" t="n">
        <v>2018</v>
      </c>
      <c r="C244" s="8" t="n">
        <v>2023</v>
      </c>
      <c r="D244" s="8" t="s">
        <v>176</v>
      </c>
      <c r="E244" s="8" t="s">
        <v>9685</v>
      </c>
      <c r="F244" s="7" t="s">
        <v>10430</v>
      </c>
      <c r="G244" s="8" t="n">
        <v>8.3</v>
      </c>
      <c r="H244" s="8"/>
      <c r="I244" s="9" t="n">
        <v>144968</v>
      </c>
      <c r="J244" s="7"/>
      <c r="K244" s="7" t="s">
        <v>112</v>
      </c>
      <c r="L244" s="7" t="s">
        <v>54</v>
      </c>
      <c r="M244" s="10" t="s">
        <v>55</v>
      </c>
      <c r="N244" s="7"/>
      <c r="O244" s="8" t="n">
        <v>20</v>
      </c>
      <c r="P244" s="8" t="n">
        <v>0</v>
      </c>
      <c r="Q244" s="8" t="n">
        <v>68</v>
      </c>
      <c r="R244" s="7"/>
      <c r="S244" s="7" t="s">
        <v>10431</v>
      </c>
    </row>
    <row r="245" customFormat="false" ht="15.75" hidden="false" customHeight="true" outlineLevel="0" collapsed="false">
      <c r="A245" s="7" t="s">
        <v>10432</v>
      </c>
      <c r="B245" s="8" t="n">
        <v>2020</v>
      </c>
      <c r="C245" s="8" t="n">
        <v>2026</v>
      </c>
      <c r="D245" s="8" t="s">
        <v>378</v>
      </c>
      <c r="E245" s="8" t="s">
        <v>9685</v>
      </c>
      <c r="F245" s="7" t="s">
        <v>10433</v>
      </c>
      <c r="G245" s="8" t="n">
        <v>6.8</v>
      </c>
      <c r="H245" s="8"/>
      <c r="I245" s="9" t="n">
        <v>144084</v>
      </c>
      <c r="J245" s="7"/>
      <c r="K245" s="7" t="s">
        <v>29</v>
      </c>
      <c r="L245" s="7" t="s">
        <v>30</v>
      </c>
      <c r="M245" s="10" t="s">
        <v>238</v>
      </c>
      <c r="N245" s="7"/>
      <c r="O245" s="8" t="n">
        <v>0</v>
      </c>
      <c r="P245" s="8" t="n">
        <v>0</v>
      </c>
      <c r="Q245" s="8" t="n">
        <v>14</v>
      </c>
      <c r="R245" s="7"/>
      <c r="S245" s="7" t="s">
        <v>10434</v>
      </c>
    </row>
    <row r="246" customFormat="false" ht="15.75" hidden="false" customHeight="true" outlineLevel="0" collapsed="false">
      <c r="A246" s="7" t="s">
        <v>10435</v>
      </c>
      <c r="B246" s="8" t="n">
        <v>2023</v>
      </c>
      <c r="C246" s="8"/>
      <c r="D246" s="8" t="s">
        <v>378</v>
      </c>
      <c r="E246" s="8" t="s">
        <v>9685</v>
      </c>
      <c r="F246" s="7" t="s">
        <v>10436</v>
      </c>
      <c r="G246" s="8" t="n">
        <v>7.4</v>
      </c>
      <c r="H246" s="8"/>
      <c r="I246" s="9" t="n">
        <v>143804</v>
      </c>
      <c r="J246" s="7"/>
      <c r="K246" s="7" t="s">
        <v>38</v>
      </c>
      <c r="L246" s="7" t="s">
        <v>112</v>
      </c>
      <c r="M246" s="10" t="s">
        <v>177</v>
      </c>
      <c r="N246" s="7"/>
      <c r="O246" s="8" t="n">
        <v>0</v>
      </c>
      <c r="P246" s="8" t="n">
        <v>0</v>
      </c>
      <c r="Q246" s="8" t="n">
        <v>0</v>
      </c>
      <c r="R246" s="7"/>
      <c r="S246" s="7" t="s">
        <v>10437</v>
      </c>
    </row>
    <row r="247" customFormat="false" ht="15.75" hidden="false" customHeight="true" outlineLevel="0" collapsed="false">
      <c r="A247" s="7" t="s">
        <v>10438</v>
      </c>
      <c r="B247" s="8" t="n">
        <v>2013</v>
      </c>
      <c r="C247" s="8" t="n">
        <v>2017</v>
      </c>
      <c r="D247" s="8" t="s">
        <v>176</v>
      </c>
      <c r="E247" s="8" t="s">
        <v>9685</v>
      </c>
      <c r="F247" s="7" t="s">
        <v>10439</v>
      </c>
      <c r="G247" s="8" t="n">
        <v>8.3</v>
      </c>
      <c r="H247" s="8"/>
      <c r="I247" s="9" t="n">
        <v>143544</v>
      </c>
      <c r="J247" s="7"/>
      <c r="K247" s="7" t="s">
        <v>47</v>
      </c>
      <c r="L247" s="7" t="s">
        <v>54</v>
      </c>
      <c r="M247" s="10" t="s">
        <v>113</v>
      </c>
      <c r="N247" s="7"/>
      <c r="O247" s="8" t="n">
        <v>0</v>
      </c>
      <c r="P247" s="8" t="n">
        <v>0</v>
      </c>
      <c r="Q247" s="8" t="n">
        <v>0</v>
      </c>
      <c r="R247" s="7"/>
      <c r="S247" s="7" t="s">
        <v>10440</v>
      </c>
    </row>
    <row r="248" customFormat="false" ht="15.75" hidden="false" customHeight="true" outlineLevel="0" collapsed="false">
      <c r="A248" s="7" t="s">
        <v>10441</v>
      </c>
      <c r="B248" s="8" t="n">
        <v>2023</v>
      </c>
      <c r="C248" s="8" t="n">
        <v>2023</v>
      </c>
      <c r="D248" s="8" t="s">
        <v>378</v>
      </c>
      <c r="E248" s="8" t="s">
        <v>9715</v>
      </c>
      <c r="F248" s="7"/>
      <c r="G248" s="8" t="n">
        <v>5.9</v>
      </c>
      <c r="H248" s="8"/>
      <c r="I248" s="9" t="n">
        <v>143274</v>
      </c>
      <c r="J248" s="7"/>
      <c r="K248" s="7" t="s">
        <v>29</v>
      </c>
      <c r="L248" s="7" t="s">
        <v>30</v>
      </c>
      <c r="M248" s="10" t="s">
        <v>238</v>
      </c>
      <c r="N248" s="7"/>
      <c r="O248" s="8" t="n">
        <v>0</v>
      </c>
      <c r="P248" s="8" t="n">
        <v>0</v>
      </c>
      <c r="Q248" s="8" t="n">
        <v>0</v>
      </c>
      <c r="R248" s="7"/>
      <c r="S248" s="7" t="s">
        <v>10442</v>
      </c>
    </row>
    <row r="249" customFormat="false" ht="15.75" hidden="false" customHeight="true" outlineLevel="0" collapsed="false">
      <c r="A249" s="7" t="s">
        <v>10443</v>
      </c>
      <c r="B249" s="8" t="n">
        <v>2011</v>
      </c>
      <c r="C249" s="8" t="n">
        <v>2017</v>
      </c>
      <c r="D249" s="8" t="s">
        <v>176</v>
      </c>
      <c r="E249" s="8" t="s">
        <v>9685</v>
      </c>
      <c r="F249" s="7" t="s">
        <v>10444</v>
      </c>
      <c r="G249" s="8" t="n">
        <v>7.9</v>
      </c>
      <c r="H249" s="8"/>
      <c r="I249" s="9" t="n">
        <v>141851</v>
      </c>
      <c r="J249" s="7"/>
      <c r="K249" s="7" t="s">
        <v>112</v>
      </c>
      <c r="L249" s="7" t="s">
        <v>54</v>
      </c>
      <c r="M249" s="10" t="s">
        <v>2499</v>
      </c>
      <c r="N249" s="7"/>
      <c r="O249" s="8" t="n">
        <v>0</v>
      </c>
      <c r="P249" s="8" t="n">
        <v>0</v>
      </c>
      <c r="Q249" s="8" t="n">
        <v>1</v>
      </c>
      <c r="R249" s="7"/>
      <c r="S249" s="7" t="s">
        <v>10445</v>
      </c>
    </row>
    <row r="250" customFormat="false" ht="15.75" hidden="false" customHeight="true" outlineLevel="0" collapsed="false">
      <c r="A250" s="7" t="s">
        <v>10446</v>
      </c>
      <c r="B250" s="8" t="n">
        <v>2016</v>
      </c>
      <c r="C250" s="8"/>
      <c r="D250" s="8" t="s">
        <v>176</v>
      </c>
      <c r="E250" s="8" t="s">
        <v>9685</v>
      </c>
      <c r="F250" s="7" t="s">
        <v>10447</v>
      </c>
      <c r="G250" s="8" t="n">
        <v>8</v>
      </c>
      <c r="H250" s="8"/>
      <c r="I250" s="9" t="n">
        <v>141551</v>
      </c>
      <c r="J250" s="7"/>
      <c r="K250" s="7" t="s">
        <v>47</v>
      </c>
      <c r="L250" s="7" t="s">
        <v>54</v>
      </c>
      <c r="M250" s="10" t="s">
        <v>113</v>
      </c>
      <c r="N250" s="7"/>
      <c r="O250" s="8" t="n">
        <v>2</v>
      </c>
      <c r="P250" s="8" t="n">
        <v>0</v>
      </c>
      <c r="Q250" s="8" t="n">
        <v>30</v>
      </c>
      <c r="R250" s="7"/>
      <c r="S250" s="7" t="s">
        <v>10448</v>
      </c>
    </row>
    <row r="251" customFormat="false" ht="15.75" hidden="false" customHeight="true" outlineLevel="0" collapsed="false">
      <c r="A251" s="7" t="s">
        <v>10449</v>
      </c>
      <c r="B251" s="8" t="n">
        <v>2014</v>
      </c>
      <c r="C251" s="8" t="n">
        <v>2014</v>
      </c>
      <c r="D251" s="8" t="s">
        <v>176</v>
      </c>
      <c r="E251" s="8" t="s">
        <v>9715</v>
      </c>
      <c r="F251" s="7" t="s">
        <v>10450</v>
      </c>
      <c r="G251" s="8" t="n">
        <v>9.2</v>
      </c>
      <c r="H251" s="8" t="n">
        <v>10</v>
      </c>
      <c r="I251" s="9" t="n">
        <v>140783</v>
      </c>
      <c r="J251" s="7"/>
      <c r="K251" s="7" t="s">
        <v>2730</v>
      </c>
      <c r="L251" s="7" t="s">
        <v>259</v>
      </c>
      <c r="M251" s="10"/>
      <c r="N251" s="7"/>
      <c r="O251" s="8" t="n">
        <v>0</v>
      </c>
      <c r="P251" s="8" t="n">
        <v>0</v>
      </c>
      <c r="Q251" s="8" t="n">
        <v>0</v>
      </c>
      <c r="R251" s="7"/>
      <c r="S251" s="7" t="s">
        <v>10451</v>
      </c>
    </row>
    <row r="252" customFormat="false" ht="15.75" hidden="false" customHeight="true" outlineLevel="0" collapsed="false">
      <c r="A252" s="7" t="s">
        <v>10452</v>
      </c>
      <c r="B252" s="8" t="n">
        <v>2018</v>
      </c>
      <c r="C252" s="8" t="n">
        <v>2018</v>
      </c>
      <c r="D252" s="8" t="s">
        <v>176</v>
      </c>
      <c r="E252" s="8" t="s">
        <v>9715</v>
      </c>
      <c r="F252" s="7" t="s">
        <v>1534</v>
      </c>
      <c r="G252" s="8" t="n">
        <v>8</v>
      </c>
      <c r="H252" s="8"/>
      <c r="I252" s="9" t="n">
        <v>140591</v>
      </c>
      <c r="J252" s="7"/>
      <c r="K252" s="7" t="s">
        <v>47</v>
      </c>
      <c r="L252" s="7" t="s">
        <v>54</v>
      </c>
      <c r="M252" s="10" t="s">
        <v>55</v>
      </c>
      <c r="N252" s="7"/>
      <c r="O252" s="8" t="n">
        <v>0</v>
      </c>
      <c r="P252" s="8" t="n">
        <v>0</v>
      </c>
      <c r="Q252" s="8" t="n">
        <v>32</v>
      </c>
      <c r="R252" s="7"/>
      <c r="S252" s="7" t="s">
        <v>10453</v>
      </c>
    </row>
    <row r="253" customFormat="false" ht="15.75" hidden="false" customHeight="true" outlineLevel="0" collapsed="false">
      <c r="A253" s="7" t="s">
        <v>10454</v>
      </c>
      <c r="B253" s="8" t="n">
        <v>2014</v>
      </c>
      <c r="C253" s="8" t="n">
        <v>2016</v>
      </c>
      <c r="D253" s="8" t="s">
        <v>176</v>
      </c>
      <c r="E253" s="8" t="s">
        <v>9685</v>
      </c>
      <c r="F253" s="7" t="s">
        <v>10455</v>
      </c>
      <c r="G253" s="8" t="n">
        <v>8.2</v>
      </c>
      <c r="H253" s="8"/>
      <c r="I253" s="9" t="n">
        <v>140436</v>
      </c>
      <c r="J253" s="7"/>
      <c r="K253" s="7" t="s">
        <v>147</v>
      </c>
      <c r="L253" s="7" t="s">
        <v>38</v>
      </c>
      <c r="M253" s="10" t="s">
        <v>192</v>
      </c>
      <c r="N253" s="7"/>
      <c r="O253" s="8" t="n">
        <v>0</v>
      </c>
      <c r="P253" s="8" t="n">
        <v>0</v>
      </c>
      <c r="Q253" s="8" t="n">
        <v>49</v>
      </c>
      <c r="R253" s="7"/>
      <c r="S253" s="7" t="s">
        <v>10456</v>
      </c>
    </row>
    <row r="254" customFormat="false" ht="15.75" hidden="false" customHeight="true" outlineLevel="0" collapsed="false">
      <c r="A254" s="7" t="s">
        <v>10457</v>
      </c>
      <c r="B254" s="8" t="n">
        <v>2006</v>
      </c>
      <c r="C254" s="8" t="n">
        <v>2013</v>
      </c>
      <c r="D254" s="8" t="s">
        <v>35</v>
      </c>
      <c r="E254" s="8" t="s">
        <v>9685</v>
      </c>
      <c r="F254" s="7" t="s">
        <v>10458</v>
      </c>
      <c r="G254" s="8" t="n">
        <v>8.3</v>
      </c>
      <c r="H254" s="8"/>
      <c r="I254" s="9" t="n">
        <v>139501</v>
      </c>
      <c r="J254" s="7"/>
      <c r="K254" s="7" t="s">
        <v>30</v>
      </c>
      <c r="L254" s="7"/>
      <c r="M254" s="10" t="s">
        <v>238</v>
      </c>
      <c r="N254" s="7"/>
      <c r="O254" s="8" t="n">
        <v>50</v>
      </c>
      <c r="P254" s="8" t="n">
        <v>1</v>
      </c>
      <c r="Q254" s="8" t="n">
        <v>229</v>
      </c>
      <c r="R254" s="7"/>
      <c r="S254" s="7" t="s">
        <v>10459</v>
      </c>
    </row>
    <row r="255" customFormat="false" ht="15.75" hidden="false" customHeight="true" outlineLevel="0" collapsed="false">
      <c r="A255" s="7" t="s">
        <v>10460</v>
      </c>
      <c r="B255" s="8" t="n">
        <v>1992</v>
      </c>
      <c r="C255" s="8" t="n">
        <v>1995</v>
      </c>
      <c r="D255" s="8" t="s">
        <v>26</v>
      </c>
      <c r="E255" s="8" t="s">
        <v>9685</v>
      </c>
      <c r="F255" s="7" t="s">
        <v>10461</v>
      </c>
      <c r="G255" s="8" t="n">
        <v>9</v>
      </c>
      <c r="H255" s="8"/>
      <c r="I255" s="9" t="n">
        <v>139164</v>
      </c>
      <c r="J255" s="7"/>
      <c r="K255" s="7" t="s">
        <v>579</v>
      </c>
      <c r="L255" s="7" t="s">
        <v>112</v>
      </c>
      <c r="M255" s="10" t="s">
        <v>113</v>
      </c>
      <c r="N255" s="7"/>
      <c r="O255" s="8" t="n">
        <v>0</v>
      </c>
      <c r="P255" s="8" t="n">
        <v>0</v>
      </c>
      <c r="Q255" s="8" t="n">
        <v>0</v>
      </c>
      <c r="R255" s="7"/>
      <c r="S255" s="7" t="s">
        <v>10462</v>
      </c>
    </row>
    <row r="256" customFormat="false" ht="15.75" hidden="false" customHeight="true" outlineLevel="0" collapsed="false">
      <c r="A256" s="7" t="s">
        <v>10463</v>
      </c>
      <c r="B256" s="8" t="n">
        <v>2019</v>
      </c>
      <c r="C256" s="8" t="n">
        <v>2019</v>
      </c>
      <c r="D256" s="8" t="s">
        <v>176</v>
      </c>
      <c r="E256" s="8" t="s">
        <v>9715</v>
      </c>
      <c r="F256" s="7" t="s">
        <v>10464</v>
      </c>
      <c r="G256" s="8" t="n">
        <v>8.3</v>
      </c>
      <c r="H256" s="8"/>
      <c r="I256" s="9" t="n">
        <v>138608</v>
      </c>
      <c r="J256" s="7"/>
      <c r="K256" s="7" t="s">
        <v>47</v>
      </c>
      <c r="L256" s="7" t="s">
        <v>54</v>
      </c>
      <c r="M256" s="10" t="s">
        <v>238</v>
      </c>
      <c r="N256" s="7"/>
      <c r="O256" s="8" t="n">
        <v>0</v>
      </c>
      <c r="P256" s="8" t="n">
        <v>0</v>
      </c>
      <c r="Q256" s="8" t="n">
        <v>26</v>
      </c>
      <c r="R256" s="7"/>
      <c r="S256" s="7" t="s">
        <v>10465</v>
      </c>
    </row>
    <row r="257" customFormat="false" ht="15.75" hidden="false" customHeight="true" outlineLevel="0" collapsed="false">
      <c r="A257" s="7" t="s">
        <v>10466</v>
      </c>
      <c r="B257" s="8" t="n">
        <v>2002</v>
      </c>
      <c r="C257" s="8" t="n">
        <v>2022</v>
      </c>
      <c r="D257" s="8" t="s">
        <v>35</v>
      </c>
      <c r="E257" s="8" t="s">
        <v>9685</v>
      </c>
      <c r="F257" s="7" t="s">
        <v>10467</v>
      </c>
      <c r="G257" s="8" t="n">
        <v>8.7</v>
      </c>
      <c r="H257" s="8"/>
      <c r="I257" s="9" t="n">
        <v>137777</v>
      </c>
      <c r="J257" s="7"/>
      <c r="K257" s="7" t="s">
        <v>39</v>
      </c>
      <c r="L257" s="7" t="s">
        <v>75</v>
      </c>
      <c r="M257" s="10" t="s">
        <v>10468</v>
      </c>
      <c r="N257" s="7"/>
      <c r="O257" s="8" t="n">
        <v>0</v>
      </c>
      <c r="P257" s="8" t="n">
        <v>0</v>
      </c>
      <c r="Q257" s="8" t="n">
        <v>0</v>
      </c>
      <c r="R257" s="7"/>
      <c r="S257" s="7" t="s">
        <v>10469</v>
      </c>
    </row>
    <row r="258" customFormat="false" ht="15.75" hidden="false" customHeight="true" outlineLevel="0" collapsed="false">
      <c r="A258" s="7" t="s">
        <v>10470</v>
      </c>
      <c r="B258" s="8" t="n">
        <v>2023</v>
      </c>
      <c r="C258" s="8" t="n">
        <v>2023</v>
      </c>
      <c r="D258" s="8" t="s">
        <v>378</v>
      </c>
      <c r="E258" s="8" t="s">
        <v>9715</v>
      </c>
      <c r="F258" s="7" t="s">
        <v>10471</v>
      </c>
      <c r="G258" s="8" t="n">
        <v>7.9</v>
      </c>
      <c r="H258" s="8"/>
      <c r="I258" s="9" t="n">
        <v>136891</v>
      </c>
      <c r="J258" s="7"/>
      <c r="K258" s="7" t="s">
        <v>147</v>
      </c>
      <c r="L258" s="7" t="s">
        <v>125</v>
      </c>
      <c r="M258" s="10" t="s">
        <v>238</v>
      </c>
      <c r="N258" s="7"/>
      <c r="O258" s="8" t="n">
        <v>0</v>
      </c>
      <c r="P258" s="8" t="n">
        <v>0</v>
      </c>
      <c r="Q258" s="8" t="n">
        <v>0</v>
      </c>
      <c r="R258" s="7"/>
      <c r="S258" s="7" t="s">
        <v>10472</v>
      </c>
    </row>
    <row r="259" customFormat="false" ht="15.75" hidden="false" customHeight="true" outlineLevel="0" collapsed="false">
      <c r="A259" s="7" t="s">
        <v>10473</v>
      </c>
      <c r="B259" s="8" t="n">
        <v>2012</v>
      </c>
      <c r="C259" s="8" t="n">
        <v>2014</v>
      </c>
      <c r="D259" s="8" t="s">
        <v>176</v>
      </c>
      <c r="E259" s="8" t="s">
        <v>9685</v>
      </c>
      <c r="F259" s="7" t="s">
        <v>10474</v>
      </c>
      <c r="G259" s="8" t="n">
        <v>8.6</v>
      </c>
      <c r="H259" s="8"/>
      <c r="I259" s="9" t="n">
        <v>136090</v>
      </c>
      <c r="J259" s="7"/>
      <c r="K259" s="7" t="s">
        <v>47</v>
      </c>
      <c r="L259" s="7"/>
      <c r="M259" s="10" t="s">
        <v>4902</v>
      </c>
      <c r="N259" s="7"/>
      <c r="O259" s="8" t="n">
        <v>1</v>
      </c>
      <c r="P259" s="8" t="n">
        <v>0</v>
      </c>
      <c r="Q259" s="8" t="n">
        <v>5</v>
      </c>
      <c r="R259" s="7"/>
      <c r="S259" s="7" t="s">
        <v>10475</v>
      </c>
    </row>
    <row r="260" customFormat="false" ht="15.75" hidden="false" customHeight="true" outlineLevel="0" collapsed="false">
      <c r="A260" s="7" t="s">
        <v>10476</v>
      </c>
      <c r="B260" s="8" t="n">
        <v>2009</v>
      </c>
      <c r="C260" s="8" t="n">
        <v>2011</v>
      </c>
      <c r="D260" s="8" t="s">
        <v>35</v>
      </c>
      <c r="E260" s="8" t="s">
        <v>9685</v>
      </c>
      <c r="F260" s="7" t="s">
        <v>10477</v>
      </c>
      <c r="G260" s="8" t="n">
        <v>8</v>
      </c>
      <c r="H260" s="8"/>
      <c r="I260" s="9" t="n">
        <v>135915</v>
      </c>
      <c r="J260" s="7"/>
      <c r="K260" s="7" t="s">
        <v>47</v>
      </c>
      <c r="L260" s="7" t="s">
        <v>54</v>
      </c>
      <c r="M260" s="10" t="s">
        <v>177</v>
      </c>
      <c r="N260" s="7"/>
      <c r="O260" s="8" t="n">
        <v>0</v>
      </c>
      <c r="P260" s="8" t="n">
        <v>0</v>
      </c>
      <c r="Q260" s="8" t="n">
        <v>2</v>
      </c>
      <c r="R260" s="7"/>
      <c r="S260" s="7" t="s">
        <v>10478</v>
      </c>
    </row>
    <row r="261" customFormat="false" ht="15.75" hidden="false" customHeight="true" outlineLevel="0" collapsed="false">
      <c r="A261" s="7" t="s">
        <v>10479</v>
      </c>
      <c r="B261" s="8" t="n">
        <v>2015</v>
      </c>
      <c r="C261" s="8" t="n">
        <v>2021</v>
      </c>
      <c r="D261" s="8" t="s">
        <v>176</v>
      </c>
      <c r="E261" s="8" t="s">
        <v>9685</v>
      </c>
      <c r="F261" s="7" t="s">
        <v>10480</v>
      </c>
      <c r="G261" s="8" t="n">
        <v>6.2</v>
      </c>
      <c r="H261" s="8"/>
      <c r="I261" s="9" t="n">
        <v>135764</v>
      </c>
      <c r="J261" s="7"/>
      <c r="K261" s="7" t="s">
        <v>112</v>
      </c>
      <c r="L261" s="7" t="s">
        <v>39</v>
      </c>
      <c r="M261" s="10"/>
      <c r="N261" s="7"/>
      <c r="O261" s="8" t="n">
        <v>0</v>
      </c>
      <c r="P261" s="8" t="n">
        <v>0</v>
      </c>
      <c r="Q261" s="8" t="n">
        <v>0</v>
      </c>
      <c r="R261" s="7"/>
      <c r="S261" s="7" t="s">
        <v>10481</v>
      </c>
    </row>
    <row r="262" customFormat="false" ht="15.75" hidden="false" customHeight="true" outlineLevel="0" collapsed="false">
      <c r="A262" s="7" t="s">
        <v>10482</v>
      </c>
      <c r="B262" s="8" t="n">
        <v>2024</v>
      </c>
      <c r="C262" s="8"/>
      <c r="D262" s="8" t="s">
        <v>378</v>
      </c>
      <c r="E262" s="8" t="s">
        <v>9685</v>
      </c>
      <c r="F262" s="7" t="s">
        <v>10483</v>
      </c>
      <c r="G262" s="8" t="n">
        <v>8.1</v>
      </c>
      <c r="H262" s="8"/>
      <c r="I262" s="9" t="n">
        <v>135657</v>
      </c>
      <c r="J262" s="7"/>
      <c r="K262" s="7" t="s">
        <v>112</v>
      </c>
      <c r="L262" s="7" t="s">
        <v>54</v>
      </c>
      <c r="M262" s="10" t="s">
        <v>5526</v>
      </c>
      <c r="N262" s="7"/>
      <c r="O262" s="8" t="n">
        <v>0</v>
      </c>
      <c r="P262" s="8" t="n">
        <v>0</v>
      </c>
      <c r="Q262" s="8" t="n">
        <v>0</v>
      </c>
      <c r="R262" s="7"/>
      <c r="S262" s="7" t="s">
        <v>10484</v>
      </c>
    </row>
    <row r="263" customFormat="false" ht="15.75" hidden="false" customHeight="true" outlineLevel="0" collapsed="false">
      <c r="A263" s="7" t="s">
        <v>10485</v>
      </c>
      <c r="B263" s="8" t="n">
        <v>2010</v>
      </c>
      <c r="C263" s="8" t="n">
        <v>2018</v>
      </c>
      <c r="D263" s="8" t="s">
        <v>176</v>
      </c>
      <c r="E263" s="8" t="s">
        <v>9685</v>
      </c>
      <c r="F263" s="7" t="s">
        <v>10486</v>
      </c>
      <c r="G263" s="8" t="n">
        <v>8.7</v>
      </c>
      <c r="H263" s="8"/>
      <c r="I263" s="9" t="n">
        <v>135572</v>
      </c>
      <c r="J263" s="7"/>
      <c r="K263" s="7" t="s">
        <v>579</v>
      </c>
      <c r="L263" s="7" t="s">
        <v>112</v>
      </c>
      <c r="M263" s="10" t="s">
        <v>55</v>
      </c>
      <c r="N263" s="7"/>
      <c r="O263" s="8" t="n">
        <v>41</v>
      </c>
      <c r="P263" s="8" t="n">
        <v>0</v>
      </c>
      <c r="Q263" s="8" t="n">
        <v>128</v>
      </c>
      <c r="R263" s="7"/>
      <c r="S263" s="7" t="s">
        <v>10487</v>
      </c>
    </row>
    <row r="264" customFormat="false" ht="15.75" hidden="false" customHeight="true" outlineLevel="0" collapsed="false">
      <c r="A264" s="7" t="s">
        <v>10488</v>
      </c>
      <c r="B264" s="8" t="n">
        <v>2011</v>
      </c>
      <c r="C264" s="8" t="n">
        <v>2014</v>
      </c>
      <c r="D264" s="8" t="s">
        <v>176</v>
      </c>
      <c r="E264" s="8" t="s">
        <v>9685</v>
      </c>
      <c r="F264" s="7" t="s">
        <v>10489</v>
      </c>
      <c r="G264" s="8" t="n">
        <v>8.3</v>
      </c>
      <c r="H264" s="8"/>
      <c r="I264" s="9" t="n">
        <v>135125</v>
      </c>
      <c r="J264" s="7"/>
      <c r="K264" s="7" t="s">
        <v>47</v>
      </c>
      <c r="L264" s="7" t="s">
        <v>54</v>
      </c>
      <c r="M264" s="10" t="s">
        <v>177</v>
      </c>
      <c r="N264" s="7"/>
      <c r="O264" s="8" t="n">
        <v>0</v>
      </c>
      <c r="P264" s="8" t="n">
        <v>0</v>
      </c>
      <c r="Q264" s="8" t="n">
        <v>11</v>
      </c>
      <c r="R264" s="7"/>
      <c r="S264" s="7" t="s">
        <v>10490</v>
      </c>
    </row>
    <row r="265" customFormat="false" ht="15.75" hidden="false" customHeight="true" outlineLevel="0" collapsed="false">
      <c r="A265" s="7" t="s">
        <v>9730</v>
      </c>
      <c r="B265" s="8" t="n">
        <v>2001</v>
      </c>
      <c r="C265" s="8" t="n">
        <v>2003</v>
      </c>
      <c r="D265" s="8" t="s">
        <v>35</v>
      </c>
      <c r="E265" s="8" t="s">
        <v>9685</v>
      </c>
      <c r="F265" s="7" t="s">
        <v>10491</v>
      </c>
      <c r="G265" s="8" t="n">
        <v>9</v>
      </c>
      <c r="H265" s="8" t="n">
        <v>10</v>
      </c>
      <c r="I265" s="9" t="n">
        <v>851248</v>
      </c>
      <c r="J265" s="7"/>
      <c r="K265" s="7" t="s">
        <v>30</v>
      </c>
      <c r="L265" s="7" t="s">
        <v>47</v>
      </c>
      <c r="M265" s="10" t="s">
        <v>9732</v>
      </c>
      <c r="N265" s="7"/>
      <c r="O265" s="8" t="n">
        <v>6</v>
      </c>
      <c r="P265" s="8" t="n">
        <v>0</v>
      </c>
      <c r="Q265" s="8" t="n">
        <v>135</v>
      </c>
      <c r="R265" s="7"/>
      <c r="S265" s="7" t="s">
        <v>9733</v>
      </c>
    </row>
    <row r="266" customFormat="false" ht="15.75" hidden="false" customHeight="true" outlineLevel="0" collapsed="false">
      <c r="A266" s="7" t="s">
        <v>10492</v>
      </c>
      <c r="B266" s="8" t="n">
        <v>2014</v>
      </c>
      <c r="C266" s="8" t="n">
        <v>2017</v>
      </c>
      <c r="D266" s="8" t="s">
        <v>176</v>
      </c>
      <c r="E266" s="8" t="s">
        <v>9685</v>
      </c>
      <c r="F266" s="7" t="s">
        <v>10493</v>
      </c>
      <c r="G266" s="8" t="n">
        <v>8.3</v>
      </c>
      <c r="H266" s="8"/>
      <c r="I266" s="9" t="n">
        <v>133292</v>
      </c>
      <c r="J266" s="7"/>
      <c r="K266" s="7" t="s">
        <v>38</v>
      </c>
      <c r="L266" s="7" t="s">
        <v>125</v>
      </c>
      <c r="M266" s="10" t="s">
        <v>55</v>
      </c>
      <c r="N266" s="7"/>
      <c r="O266" s="8" t="n">
        <v>0</v>
      </c>
      <c r="P266" s="8" t="n">
        <v>0</v>
      </c>
      <c r="Q266" s="8" t="n">
        <v>1</v>
      </c>
      <c r="R266" s="7"/>
      <c r="S266" s="7" t="s">
        <v>10494</v>
      </c>
    </row>
    <row r="267" customFormat="false" ht="15.75" hidden="false" customHeight="true" outlineLevel="0" collapsed="false">
      <c r="A267" s="7" t="s">
        <v>10495</v>
      </c>
      <c r="B267" s="8" t="n">
        <v>2018</v>
      </c>
      <c r="C267" s="8"/>
      <c r="D267" s="8" t="s">
        <v>176</v>
      </c>
      <c r="E267" s="8" t="s">
        <v>9685</v>
      </c>
      <c r="F267" s="7" t="s">
        <v>10496</v>
      </c>
      <c r="G267" s="8" t="n">
        <v>8</v>
      </c>
      <c r="H267" s="8"/>
      <c r="I267" s="9" t="n">
        <v>133250</v>
      </c>
      <c r="J267" s="7"/>
      <c r="K267" s="7" t="s">
        <v>112</v>
      </c>
      <c r="L267" s="7" t="s">
        <v>54</v>
      </c>
      <c r="M267" s="10" t="s">
        <v>10497</v>
      </c>
      <c r="N267" s="7"/>
      <c r="O267" s="8" t="n">
        <v>0</v>
      </c>
      <c r="P267" s="8" t="n">
        <v>0</v>
      </c>
      <c r="Q267" s="8" t="n">
        <v>1</v>
      </c>
      <c r="R267" s="7"/>
      <c r="S267" s="7" t="s">
        <v>10498</v>
      </c>
    </row>
    <row r="268" customFormat="false" ht="15.75" hidden="false" customHeight="true" outlineLevel="0" collapsed="false">
      <c r="A268" s="7" t="s">
        <v>10499</v>
      </c>
      <c r="B268" s="8" t="n">
        <v>2022</v>
      </c>
      <c r="C268" s="8" t="n">
        <v>2022</v>
      </c>
      <c r="D268" s="8" t="s">
        <v>378</v>
      </c>
      <c r="E268" s="8" t="s">
        <v>9715</v>
      </c>
      <c r="F268" s="7" t="s">
        <v>10500</v>
      </c>
      <c r="G268" s="8" t="n">
        <v>6.2</v>
      </c>
      <c r="H268" s="8"/>
      <c r="I268" s="9" t="n">
        <v>133097</v>
      </c>
      <c r="J268" s="7"/>
      <c r="K268" s="7" t="s">
        <v>112</v>
      </c>
      <c r="L268" s="7" t="s">
        <v>39</v>
      </c>
      <c r="M268" s="10" t="s">
        <v>177</v>
      </c>
      <c r="N268" s="7"/>
      <c r="O268" s="8" t="n">
        <v>0</v>
      </c>
      <c r="P268" s="8" t="n">
        <v>0</v>
      </c>
      <c r="Q268" s="8" t="n">
        <v>0</v>
      </c>
      <c r="R268" s="7"/>
      <c r="S268" s="7" t="s">
        <v>10501</v>
      </c>
    </row>
    <row r="269" customFormat="false" ht="15.75" hidden="false" customHeight="true" outlineLevel="0" collapsed="false">
      <c r="A269" s="7" t="s">
        <v>2554</v>
      </c>
      <c r="B269" s="8" t="n">
        <v>2013</v>
      </c>
      <c r="C269" s="8" t="n">
        <v>2016</v>
      </c>
      <c r="D269" s="8" t="s">
        <v>176</v>
      </c>
      <c r="E269" s="8" t="s">
        <v>9685</v>
      </c>
      <c r="F269" s="7" t="s">
        <v>10502</v>
      </c>
      <c r="G269" s="8" t="n">
        <v>8.1</v>
      </c>
      <c r="H269" s="8"/>
      <c r="I269" s="9" t="n">
        <v>133090</v>
      </c>
      <c r="J269" s="7"/>
      <c r="K269" s="7" t="s">
        <v>131</v>
      </c>
      <c r="L269" s="7" t="s">
        <v>54</v>
      </c>
      <c r="M269" s="10"/>
      <c r="N269" s="7"/>
      <c r="O269" s="8" t="n">
        <v>0</v>
      </c>
      <c r="P269" s="8" t="n">
        <v>0</v>
      </c>
      <c r="Q269" s="8" t="n">
        <v>0</v>
      </c>
      <c r="R269" s="7"/>
      <c r="S269" s="7" t="s">
        <v>10503</v>
      </c>
    </row>
    <row r="270" customFormat="false" ht="15.75" hidden="false" customHeight="true" outlineLevel="0" collapsed="false">
      <c r="A270" s="7" t="s">
        <v>10504</v>
      </c>
      <c r="B270" s="8" t="n">
        <v>2022</v>
      </c>
      <c r="C270" s="8"/>
      <c r="D270" s="8" t="s">
        <v>378</v>
      </c>
      <c r="E270" s="8" t="s">
        <v>9685</v>
      </c>
      <c r="F270" s="7" t="s">
        <v>10505</v>
      </c>
      <c r="G270" s="8" t="n">
        <v>8.3</v>
      </c>
      <c r="H270" s="8"/>
      <c r="I270" s="9" t="n">
        <v>132874</v>
      </c>
      <c r="J270" s="7"/>
      <c r="K270" s="7" t="s">
        <v>579</v>
      </c>
      <c r="L270" s="7" t="s">
        <v>112</v>
      </c>
      <c r="M270" s="10" t="s">
        <v>238</v>
      </c>
      <c r="N270" s="7"/>
      <c r="O270" s="8" t="n">
        <v>0</v>
      </c>
      <c r="P270" s="8" t="n">
        <v>0</v>
      </c>
      <c r="Q270" s="8" t="n">
        <v>0</v>
      </c>
      <c r="R270" s="7"/>
      <c r="S270" s="7" t="s">
        <v>10506</v>
      </c>
    </row>
    <row r="271" customFormat="false" ht="15.75" hidden="false" customHeight="true" outlineLevel="0" collapsed="false">
      <c r="A271" s="7" t="s">
        <v>10507</v>
      </c>
      <c r="B271" s="8" t="n">
        <v>2010</v>
      </c>
      <c r="C271" s="8" t="n">
        <v>2015</v>
      </c>
      <c r="D271" s="8" t="s">
        <v>176</v>
      </c>
      <c r="E271" s="8" t="s">
        <v>9685</v>
      </c>
      <c r="F271" s="7" t="s">
        <v>10508</v>
      </c>
      <c r="G271" s="8" t="n">
        <v>8.6</v>
      </c>
      <c r="H271" s="8"/>
      <c r="I271" s="9" t="n">
        <v>132022</v>
      </c>
      <c r="J271" s="7"/>
      <c r="K271" s="7" t="s">
        <v>112</v>
      </c>
      <c r="L271" s="7" t="s">
        <v>54</v>
      </c>
      <c r="M271" s="10" t="s">
        <v>2616</v>
      </c>
      <c r="N271" s="7"/>
      <c r="O271" s="8" t="n">
        <v>2</v>
      </c>
      <c r="P271" s="8" t="n">
        <v>0</v>
      </c>
      <c r="Q271" s="8" t="n">
        <v>10</v>
      </c>
      <c r="R271" s="7"/>
      <c r="S271" s="7" t="s">
        <v>10509</v>
      </c>
    </row>
    <row r="272" customFormat="false" ht="15.75" hidden="false" customHeight="true" outlineLevel="0" collapsed="false">
      <c r="A272" s="7" t="s">
        <v>10510</v>
      </c>
      <c r="B272" s="8" t="n">
        <v>2017</v>
      </c>
      <c r="C272" s="8" t="n">
        <v>2024</v>
      </c>
      <c r="D272" s="8" t="s">
        <v>176</v>
      </c>
      <c r="E272" s="8" t="s">
        <v>9685</v>
      </c>
      <c r="F272" s="7" t="s">
        <v>10511</v>
      </c>
      <c r="G272" s="8" t="n">
        <v>8</v>
      </c>
      <c r="H272" s="8"/>
      <c r="I272" s="9" t="n">
        <v>131684</v>
      </c>
      <c r="J272" s="7"/>
      <c r="K272" s="7" t="s">
        <v>47</v>
      </c>
      <c r="L272" s="7"/>
      <c r="M272" s="10" t="s">
        <v>2385</v>
      </c>
      <c r="N272" s="7"/>
      <c r="O272" s="8" t="n">
        <v>0</v>
      </c>
      <c r="P272" s="8" t="n">
        <v>0</v>
      </c>
      <c r="Q272" s="8" t="n">
        <v>0</v>
      </c>
      <c r="R272" s="7"/>
      <c r="S272" s="7" t="s">
        <v>10512</v>
      </c>
    </row>
    <row r="273" customFormat="false" ht="15.75" hidden="false" customHeight="true" outlineLevel="0" collapsed="false">
      <c r="A273" s="7" t="s">
        <v>10513</v>
      </c>
      <c r="B273" s="8" t="n">
        <v>2011</v>
      </c>
      <c r="C273" s="8" t="n">
        <v>2015</v>
      </c>
      <c r="D273" s="8" t="s">
        <v>176</v>
      </c>
      <c r="E273" s="8" t="s">
        <v>9685</v>
      </c>
      <c r="F273" s="7" t="s">
        <v>10514</v>
      </c>
      <c r="G273" s="8" t="n">
        <v>7.8</v>
      </c>
      <c r="H273" s="8"/>
      <c r="I273" s="9" t="n">
        <v>130027</v>
      </c>
      <c r="J273" s="7"/>
      <c r="K273" s="7" t="s">
        <v>131</v>
      </c>
      <c r="L273" s="7" t="s">
        <v>125</v>
      </c>
      <c r="M273" s="10" t="s">
        <v>177</v>
      </c>
      <c r="N273" s="7"/>
      <c r="O273" s="8" t="n">
        <v>0</v>
      </c>
      <c r="P273" s="8" t="n">
        <v>0</v>
      </c>
      <c r="Q273" s="8" t="n">
        <v>0</v>
      </c>
      <c r="R273" s="7"/>
      <c r="S273" s="7" t="s">
        <v>10515</v>
      </c>
    </row>
    <row r="274" customFormat="false" ht="15.75" hidden="false" customHeight="true" outlineLevel="0" collapsed="false">
      <c r="A274" s="7" t="s">
        <v>10516</v>
      </c>
      <c r="B274" s="8" t="n">
        <v>2004</v>
      </c>
      <c r="C274" s="8" t="n">
        <v>2006</v>
      </c>
      <c r="D274" s="8" t="s">
        <v>35</v>
      </c>
      <c r="E274" s="8" t="s">
        <v>9685</v>
      </c>
      <c r="F274" s="7" t="s">
        <v>10517</v>
      </c>
      <c r="G274" s="8" t="n">
        <v>8.6</v>
      </c>
      <c r="H274" s="8"/>
      <c r="I274" s="9" t="n">
        <v>129704</v>
      </c>
      <c r="J274" s="7"/>
      <c r="K274" s="7" t="s">
        <v>47</v>
      </c>
      <c r="L274" s="7" t="s">
        <v>54</v>
      </c>
      <c r="M274" s="10" t="s">
        <v>192</v>
      </c>
      <c r="N274" s="7"/>
      <c r="O274" s="8" t="n">
        <v>0</v>
      </c>
      <c r="P274" s="8" t="n">
        <v>0</v>
      </c>
      <c r="Q274" s="8" t="n">
        <v>3</v>
      </c>
      <c r="R274" s="7"/>
      <c r="S274" s="7" t="s">
        <v>10518</v>
      </c>
    </row>
    <row r="275" customFormat="false" ht="15.75" hidden="false" customHeight="true" outlineLevel="0" collapsed="false">
      <c r="A275" s="7" t="s">
        <v>10519</v>
      </c>
      <c r="B275" s="8" t="n">
        <v>2022</v>
      </c>
      <c r="C275" s="8"/>
      <c r="D275" s="8" t="s">
        <v>378</v>
      </c>
      <c r="E275" s="8" t="s">
        <v>9685</v>
      </c>
      <c r="F275" s="7" t="s">
        <v>10520</v>
      </c>
      <c r="G275" s="8" t="n">
        <v>7.9</v>
      </c>
      <c r="H275" s="8"/>
      <c r="I275" s="9" t="n">
        <v>129131</v>
      </c>
      <c r="J275" s="7"/>
      <c r="K275" s="7" t="s">
        <v>131</v>
      </c>
      <c r="L275" s="7" t="s">
        <v>112</v>
      </c>
      <c r="M275" s="10" t="s">
        <v>113</v>
      </c>
      <c r="N275" s="7"/>
      <c r="O275" s="8" t="n">
        <v>0</v>
      </c>
      <c r="P275" s="8" t="n">
        <v>0</v>
      </c>
      <c r="Q275" s="8" t="n">
        <v>0</v>
      </c>
      <c r="R275" s="7"/>
      <c r="S275" s="7" t="s">
        <v>10521</v>
      </c>
    </row>
    <row r="276" customFormat="false" ht="15.75" hidden="false" customHeight="true" outlineLevel="0" collapsed="false">
      <c r="A276" s="7" t="s">
        <v>10522</v>
      </c>
      <c r="B276" s="8" t="n">
        <v>2023</v>
      </c>
      <c r="C276" s="8"/>
      <c r="D276" s="8" t="s">
        <v>378</v>
      </c>
      <c r="E276" s="8" t="s">
        <v>9685</v>
      </c>
      <c r="F276" s="7" t="s">
        <v>10523</v>
      </c>
      <c r="G276" s="8" t="n">
        <v>8.2</v>
      </c>
      <c r="H276" s="8"/>
      <c r="I276" s="9" t="n">
        <v>129062</v>
      </c>
      <c r="J276" s="7"/>
      <c r="K276" s="7" t="s">
        <v>30</v>
      </c>
      <c r="L276" s="7" t="s">
        <v>47</v>
      </c>
      <c r="M276" s="10" t="s">
        <v>1293</v>
      </c>
      <c r="N276" s="7"/>
      <c r="O276" s="8" t="n">
        <v>0</v>
      </c>
      <c r="P276" s="8" t="n">
        <v>0</v>
      </c>
      <c r="Q276" s="8" t="n">
        <v>0</v>
      </c>
      <c r="R276" s="7"/>
      <c r="S276" s="7" t="s">
        <v>10524</v>
      </c>
    </row>
    <row r="277" customFormat="false" ht="15.75" hidden="false" customHeight="true" outlineLevel="0" collapsed="false">
      <c r="A277" s="7" t="s">
        <v>10525</v>
      </c>
      <c r="B277" s="8" t="n">
        <v>2017</v>
      </c>
      <c r="C277" s="8" t="n">
        <v>2017</v>
      </c>
      <c r="D277" s="8" t="s">
        <v>176</v>
      </c>
      <c r="E277" s="8" t="s">
        <v>9715</v>
      </c>
      <c r="F277" s="7" t="s">
        <v>10526</v>
      </c>
      <c r="G277" s="8" t="n">
        <v>7.2</v>
      </c>
      <c r="H277" s="8"/>
      <c r="I277" s="9" t="n">
        <v>128798</v>
      </c>
      <c r="J277" s="7"/>
      <c r="K277" s="7" t="s">
        <v>112</v>
      </c>
      <c r="L277" s="7" t="s">
        <v>54</v>
      </c>
      <c r="M277" s="10" t="s">
        <v>177</v>
      </c>
      <c r="N277" s="7"/>
      <c r="O277" s="8" t="n">
        <v>0</v>
      </c>
      <c r="P277" s="8" t="n">
        <v>0</v>
      </c>
      <c r="Q277" s="8" t="n">
        <v>0</v>
      </c>
      <c r="R277" s="7"/>
      <c r="S277" s="7" t="s">
        <v>10527</v>
      </c>
    </row>
    <row r="278" customFormat="false" ht="15.75" hidden="false" customHeight="true" outlineLevel="0" collapsed="false">
      <c r="A278" s="7" t="s">
        <v>10528</v>
      </c>
      <c r="B278" s="8" t="n">
        <v>2019</v>
      </c>
      <c r="C278" s="8" t="n">
        <v>2024</v>
      </c>
      <c r="D278" s="8" t="s">
        <v>176</v>
      </c>
      <c r="E278" s="8" t="s">
        <v>9685</v>
      </c>
      <c r="F278" s="7" t="s">
        <v>10529</v>
      </c>
      <c r="G278" s="8" t="n">
        <v>8.5</v>
      </c>
      <c r="H278" s="8"/>
      <c r="I278" s="9" t="n">
        <v>128517</v>
      </c>
      <c r="J278" s="7"/>
      <c r="K278" s="7" t="s">
        <v>147</v>
      </c>
      <c r="L278" s="7" t="s">
        <v>38</v>
      </c>
      <c r="M278" s="10" t="s">
        <v>40</v>
      </c>
      <c r="N278" s="7"/>
      <c r="O278" s="8" t="n">
        <v>0</v>
      </c>
      <c r="P278" s="8" t="n">
        <v>0</v>
      </c>
      <c r="Q278" s="8" t="n">
        <v>37</v>
      </c>
      <c r="R278" s="7"/>
      <c r="S278" s="7" t="s">
        <v>10530</v>
      </c>
    </row>
    <row r="279" customFormat="false" ht="15.75" hidden="false" customHeight="true" outlineLevel="0" collapsed="false">
      <c r="A279" s="7" t="s">
        <v>10531</v>
      </c>
      <c r="B279" s="8" t="n">
        <v>2016</v>
      </c>
      <c r="C279" s="8" t="n">
        <v>2019</v>
      </c>
      <c r="D279" s="8" t="s">
        <v>176</v>
      </c>
      <c r="E279" s="8" t="s">
        <v>9685</v>
      </c>
      <c r="F279" s="7" t="s">
        <v>10532</v>
      </c>
      <c r="G279" s="8" t="n">
        <v>7.8</v>
      </c>
      <c r="H279" s="8"/>
      <c r="I279" s="9" t="n">
        <v>128458</v>
      </c>
      <c r="J279" s="7"/>
      <c r="K279" s="7" t="s">
        <v>38</v>
      </c>
      <c r="L279" s="7" t="s">
        <v>125</v>
      </c>
      <c r="M279" s="10" t="s">
        <v>238</v>
      </c>
      <c r="N279" s="7"/>
      <c r="O279" s="8" t="n">
        <v>0</v>
      </c>
      <c r="P279" s="8" t="n">
        <v>0</v>
      </c>
      <c r="Q279" s="8" t="n">
        <v>0</v>
      </c>
      <c r="R279" s="7"/>
      <c r="S279" s="7" t="s">
        <v>10533</v>
      </c>
    </row>
    <row r="280" customFormat="false" ht="15.75" hidden="false" customHeight="true" outlineLevel="0" collapsed="false">
      <c r="A280" s="7" t="s">
        <v>10534</v>
      </c>
      <c r="B280" s="8" t="n">
        <v>2021</v>
      </c>
      <c r="C280" s="8"/>
      <c r="D280" s="8" t="s">
        <v>378</v>
      </c>
      <c r="E280" s="8" t="s">
        <v>9685</v>
      </c>
      <c r="F280" s="7" t="s">
        <v>10535</v>
      </c>
      <c r="G280" s="8" t="n">
        <v>7.6</v>
      </c>
      <c r="H280" s="8"/>
      <c r="I280" s="9" t="n">
        <v>128157</v>
      </c>
      <c r="J280" s="7"/>
      <c r="K280" s="7" t="s">
        <v>111</v>
      </c>
      <c r="L280" s="7" t="s">
        <v>47</v>
      </c>
      <c r="M280" s="10" t="s">
        <v>1293</v>
      </c>
      <c r="N280" s="7"/>
      <c r="O280" s="8" t="n">
        <v>0</v>
      </c>
      <c r="P280" s="8" t="n">
        <v>0</v>
      </c>
      <c r="Q280" s="8" t="n">
        <v>0</v>
      </c>
      <c r="R280" s="7"/>
      <c r="S280" s="7" t="s">
        <v>10536</v>
      </c>
    </row>
    <row r="281" customFormat="false" ht="15.75" hidden="false" customHeight="true" outlineLevel="0" collapsed="false">
      <c r="A281" s="7" t="s">
        <v>10537</v>
      </c>
      <c r="B281" s="8" t="n">
        <v>2012</v>
      </c>
      <c r="C281" s="8" t="n">
        <v>2019</v>
      </c>
      <c r="D281" s="8" t="s">
        <v>176</v>
      </c>
      <c r="E281" s="8" t="s">
        <v>9685</v>
      </c>
      <c r="F281" s="7" t="s">
        <v>10538</v>
      </c>
      <c r="G281" s="8" t="n">
        <v>7.9</v>
      </c>
      <c r="H281" s="8"/>
      <c r="I281" s="9" t="n">
        <v>127548</v>
      </c>
      <c r="J281" s="7"/>
      <c r="K281" s="7" t="s">
        <v>112</v>
      </c>
      <c r="L281" s="7" t="s">
        <v>54</v>
      </c>
      <c r="M281" s="10" t="s">
        <v>2512</v>
      </c>
      <c r="N281" s="7"/>
      <c r="O281" s="8" t="n">
        <v>0</v>
      </c>
      <c r="P281" s="8" t="n">
        <v>0</v>
      </c>
      <c r="Q281" s="8" t="n">
        <v>1</v>
      </c>
      <c r="R281" s="7"/>
      <c r="S281" s="7" t="s">
        <v>10539</v>
      </c>
    </row>
    <row r="282" customFormat="false" ht="15.75" hidden="false" customHeight="true" outlineLevel="0" collapsed="false">
      <c r="A282" s="7" t="s">
        <v>10540</v>
      </c>
      <c r="B282" s="8" t="n">
        <v>1999</v>
      </c>
      <c r="C282" s="8"/>
      <c r="D282" s="8" t="s">
        <v>26</v>
      </c>
      <c r="E282" s="8" t="s">
        <v>9685</v>
      </c>
      <c r="F282" s="7" t="s">
        <v>10541</v>
      </c>
      <c r="G282" s="8" t="n">
        <v>8.2</v>
      </c>
      <c r="H282" s="8"/>
      <c r="I282" s="9" t="n">
        <v>127439</v>
      </c>
      <c r="J282" s="7"/>
      <c r="K282" s="7" t="s">
        <v>579</v>
      </c>
      <c r="L282" s="7" t="s">
        <v>259</v>
      </c>
      <c r="M282" s="10" t="s">
        <v>10542</v>
      </c>
      <c r="N282" s="7"/>
      <c r="O282" s="8" t="n">
        <v>0</v>
      </c>
      <c r="P282" s="8" t="n">
        <v>0</v>
      </c>
      <c r="Q282" s="8" t="n">
        <v>41</v>
      </c>
      <c r="R282" s="7"/>
      <c r="S282" s="7" t="s">
        <v>10543</v>
      </c>
    </row>
    <row r="283" customFormat="false" ht="15.75" hidden="false" customHeight="true" outlineLevel="0" collapsed="false">
      <c r="A283" s="7" t="s">
        <v>10544</v>
      </c>
      <c r="B283" s="8" t="n">
        <v>2019</v>
      </c>
      <c r="C283" s="8" t="n">
        <v>2026</v>
      </c>
      <c r="D283" s="8" t="s">
        <v>176</v>
      </c>
      <c r="E283" s="8" t="s">
        <v>9685</v>
      </c>
      <c r="F283" s="7" t="s">
        <v>10545</v>
      </c>
      <c r="G283" s="8" t="n">
        <v>8</v>
      </c>
      <c r="H283" s="8"/>
      <c r="I283" s="9" t="n">
        <v>127028</v>
      </c>
      <c r="J283" s="7"/>
      <c r="K283" s="7" t="s">
        <v>38</v>
      </c>
      <c r="L283" s="7" t="s">
        <v>30</v>
      </c>
      <c r="M283" s="10" t="s">
        <v>113</v>
      </c>
      <c r="N283" s="7"/>
      <c r="O283" s="8" t="n">
        <v>0</v>
      </c>
      <c r="P283" s="8" t="n">
        <v>0</v>
      </c>
      <c r="Q283" s="8" t="n">
        <v>5</v>
      </c>
      <c r="R283" s="7"/>
      <c r="S283" s="7" t="s">
        <v>10546</v>
      </c>
    </row>
    <row r="284" customFormat="false" ht="15.75" hidden="false" customHeight="true" outlineLevel="0" collapsed="false">
      <c r="A284" s="7" t="s">
        <v>10547</v>
      </c>
      <c r="B284" s="8" t="n">
        <v>2021</v>
      </c>
      <c r="C284" s="8"/>
      <c r="D284" s="8" t="s">
        <v>378</v>
      </c>
      <c r="E284" s="8" t="s">
        <v>9685</v>
      </c>
      <c r="F284" s="7" t="s">
        <v>10548</v>
      </c>
      <c r="G284" s="8" t="n">
        <v>8.8</v>
      </c>
      <c r="H284" s="8"/>
      <c r="I284" s="9" t="n">
        <v>126815</v>
      </c>
      <c r="J284" s="7"/>
      <c r="K284" s="7" t="s">
        <v>30</v>
      </c>
      <c r="L284" s="7" t="s">
        <v>47</v>
      </c>
      <c r="M284" s="10"/>
      <c r="N284" s="7"/>
      <c r="O284" s="8" t="n">
        <v>0</v>
      </c>
      <c r="P284" s="8" t="n">
        <v>0</v>
      </c>
      <c r="Q284" s="8" t="n">
        <v>0</v>
      </c>
      <c r="R284" s="7"/>
      <c r="S284" s="7" t="s">
        <v>10549</v>
      </c>
    </row>
    <row r="285" customFormat="false" ht="15.75" hidden="false" customHeight="true" outlineLevel="0" collapsed="false">
      <c r="A285" s="7" t="s">
        <v>10550</v>
      </c>
      <c r="B285" s="8" t="n">
        <v>2014</v>
      </c>
      <c r="C285" s="8" t="n">
        <v>2017</v>
      </c>
      <c r="D285" s="8" t="s">
        <v>176</v>
      </c>
      <c r="E285" s="8" t="s">
        <v>9685</v>
      </c>
      <c r="F285" s="7" t="s">
        <v>10551</v>
      </c>
      <c r="G285" s="8" t="n">
        <v>8.2</v>
      </c>
      <c r="H285" s="8"/>
      <c r="I285" s="9" t="n">
        <v>126758</v>
      </c>
      <c r="J285" s="7"/>
      <c r="K285" s="7" t="s">
        <v>112</v>
      </c>
      <c r="L285" s="7" t="s">
        <v>39</v>
      </c>
      <c r="M285" s="10" t="s">
        <v>10552</v>
      </c>
      <c r="N285" s="7"/>
      <c r="O285" s="8" t="n">
        <v>9</v>
      </c>
      <c r="P285" s="8" t="n">
        <v>0</v>
      </c>
      <c r="Q285" s="8" t="n">
        <v>53</v>
      </c>
      <c r="R285" s="7"/>
      <c r="S285" s="7" t="s">
        <v>10553</v>
      </c>
    </row>
    <row r="286" customFormat="false" ht="15.75" hidden="false" customHeight="true" outlineLevel="0" collapsed="false">
      <c r="A286" s="7" t="s">
        <v>10554</v>
      </c>
      <c r="B286" s="8" t="n">
        <v>2013</v>
      </c>
      <c r="C286" s="8" t="n">
        <v>2017</v>
      </c>
      <c r="D286" s="8" t="s">
        <v>176</v>
      </c>
      <c r="E286" s="8" t="s">
        <v>9685</v>
      </c>
      <c r="F286" s="7" t="s">
        <v>10555</v>
      </c>
      <c r="G286" s="8" t="n">
        <v>8.1</v>
      </c>
      <c r="H286" s="8"/>
      <c r="I286" s="9" t="n">
        <v>126684</v>
      </c>
      <c r="J286" s="7"/>
      <c r="K286" s="7" t="s">
        <v>147</v>
      </c>
      <c r="L286" s="7" t="s">
        <v>125</v>
      </c>
      <c r="M286" s="10" t="s">
        <v>5259</v>
      </c>
      <c r="N286" s="7"/>
      <c r="O286" s="8" t="n">
        <v>0</v>
      </c>
      <c r="P286" s="8" t="n">
        <v>0</v>
      </c>
      <c r="Q286" s="8" t="n">
        <v>3</v>
      </c>
      <c r="R286" s="7"/>
      <c r="S286" s="7" t="s">
        <v>10556</v>
      </c>
    </row>
    <row r="287" customFormat="false" ht="15.75" hidden="false" customHeight="true" outlineLevel="0" collapsed="false">
      <c r="A287" s="7" t="s">
        <v>10557</v>
      </c>
      <c r="B287" s="8" t="n">
        <v>2015</v>
      </c>
      <c r="C287" s="8" t="n">
        <v>2019</v>
      </c>
      <c r="D287" s="8" t="s">
        <v>176</v>
      </c>
      <c r="E287" s="8" t="s">
        <v>9685</v>
      </c>
      <c r="F287" s="7" t="s">
        <v>10558</v>
      </c>
      <c r="G287" s="8" t="n">
        <v>7.9</v>
      </c>
      <c r="H287" s="8"/>
      <c r="I287" s="9" t="n">
        <v>125756</v>
      </c>
      <c r="J287" s="7"/>
      <c r="K287" s="7" t="s">
        <v>111</v>
      </c>
      <c r="L287" s="7" t="s">
        <v>131</v>
      </c>
      <c r="M287" s="10" t="s">
        <v>636</v>
      </c>
      <c r="N287" s="7"/>
      <c r="O287" s="8" t="n">
        <v>5</v>
      </c>
      <c r="P287" s="8" t="n">
        <v>0</v>
      </c>
      <c r="Q287" s="8" t="n">
        <v>47</v>
      </c>
      <c r="R287" s="7"/>
      <c r="S287" s="7" t="s">
        <v>10559</v>
      </c>
    </row>
    <row r="288" customFormat="false" ht="15.75" hidden="false" customHeight="true" outlineLevel="0" collapsed="false">
      <c r="A288" s="7" t="s">
        <v>10560</v>
      </c>
      <c r="B288" s="8" t="n">
        <v>2021</v>
      </c>
      <c r="C288" s="8" t="n">
        <v>2023</v>
      </c>
      <c r="D288" s="8" t="s">
        <v>378</v>
      </c>
      <c r="E288" s="8" t="s">
        <v>9685</v>
      </c>
      <c r="F288" s="7" t="s">
        <v>10561</v>
      </c>
      <c r="G288" s="8" t="n">
        <v>7.5</v>
      </c>
      <c r="H288" s="8"/>
      <c r="I288" s="9" t="n">
        <v>125672</v>
      </c>
      <c r="J288" s="7"/>
      <c r="K288" s="7" t="s">
        <v>112</v>
      </c>
      <c r="L288" s="7" t="s">
        <v>39</v>
      </c>
      <c r="M288" s="10" t="s">
        <v>238</v>
      </c>
      <c r="N288" s="7"/>
      <c r="O288" s="8" t="n">
        <v>0</v>
      </c>
      <c r="P288" s="8" t="n">
        <v>0</v>
      </c>
      <c r="Q288" s="8" t="n">
        <v>0</v>
      </c>
      <c r="R288" s="7"/>
      <c r="S288" s="7" t="s">
        <v>10562</v>
      </c>
    </row>
    <row r="289" customFormat="false" ht="15.75" hidden="false" customHeight="true" outlineLevel="0" collapsed="false">
      <c r="A289" s="7" t="s">
        <v>10563</v>
      </c>
      <c r="B289" s="8" t="n">
        <v>2013</v>
      </c>
      <c r="C289" s="8" t="n">
        <v>2017</v>
      </c>
      <c r="D289" s="8" t="s">
        <v>176</v>
      </c>
      <c r="E289" s="8" t="s">
        <v>9685</v>
      </c>
      <c r="F289" s="7" t="s">
        <v>10564</v>
      </c>
      <c r="G289" s="8" t="n">
        <v>8.3</v>
      </c>
      <c r="H289" s="8"/>
      <c r="I289" s="9" t="n">
        <v>125660</v>
      </c>
      <c r="J289" s="7"/>
      <c r="K289" s="7" t="s">
        <v>111</v>
      </c>
      <c r="L289" s="7" t="s">
        <v>131</v>
      </c>
      <c r="M289" s="10"/>
      <c r="N289" s="7"/>
      <c r="O289" s="8" t="n">
        <v>1</v>
      </c>
      <c r="P289" s="8" t="n">
        <v>0</v>
      </c>
      <c r="Q289" s="8" t="n">
        <v>3</v>
      </c>
      <c r="R289" s="7"/>
      <c r="S289" s="7" t="s">
        <v>10565</v>
      </c>
    </row>
    <row r="290" customFormat="false" ht="15.75" hidden="false" customHeight="true" outlineLevel="0" collapsed="false">
      <c r="A290" s="7" t="s">
        <v>10566</v>
      </c>
      <c r="B290" s="8" t="n">
        <v>2013</v>
      </c>
      <c r="C290" s="8" t="n">
        <v>2018</v>
      </c>
      <c r="D290" s="8" t="s">
        <v>176</v>
      </c>
      <c r="E290" s="8" t="s">
        <v>9685</v>
      </c>
      <c r="F290" s="7" t="s">
        <v>10567</v>
      </c>
      <c r="G290" s="8" t="n">
        <v>8.4</v>
      </c>
      <c r="H290" s="8"/>
      <c r="I290" s="9" t="n">
        <v>125653</v>
      </c>
      <c r="J290" s="7"/>
      <c r="K290" s="7" t="s">
        <v>47</v>
      </c>
      <c r="L290" s="7" t="s">
        <v>54</v>
      </c>
      <c r="M290" s="10" t="s">
        <v>177</v>
      </c>
      <c r="N290" s="7"/>
      <c r="O290" s="8" t="n">
        <v>5</v>
      </c>
      <c r="P290" s="8" t="n">
        <v>0</v>
      </c>
      <c r="Q290" s="8" t="n">
        <v>39</v>
      </c>
      <c r="R290" s="7"/>
      <c r="S290" s="7" t="s">
        <v>10568</v>
      </c>
    </row>
    <row r="291" customFormat="false" ht="15.75" hidden="false" customHeight="true" outlineLevel="0" collapsed="false">
      <c r="A291" s="7" t="s">
        <v>10569</v>
      </c>
      <c r="B291" s="8" t="n">
        <v>2016</v>
      </c>
      <c r="C291" s="8" t="n">
        <v>2026</v>
      </c>
      <c r="D291" s="8" t="s">
        <v>176</v>
      </c>
      <c r="E291" s="8" t="s">
        <v>9685</v>
      </c>
      <c r="F291" s="7" t="s">
        <v>10570</v>
      </c>
      <c r="G291" s="8" t="n">
        <v>8.2</v>
      </c>
      <c r="H291" s="8"/>
      <c r="I291" s="9" t="n">
        <v>125510</v>
      </c>
      <c r="J291" s="7"/>
      <c r="K291" s="7" t="s">
        <v>579</v>
      </c>
      <c r="L291" s="7" t="s">
        <v>112</v>
      </c>
      <c r="M291" s="10" t="s">
        <v>10571</v>
      </c>
      <c r="N291" s="7"/>
      <c r="O291" s="8" t="n">
        <v>0</v>
      </c>
      <c r="P291" s="8" t="n">
        <v>0</v>
      </c>
      <c r="Q291" s="8" t="n">
        <v>0</v>
      </c>
      <c r="R291" s="7"/>
      <c r="S291" s="7" t="s">
        <v>10572</v>
      </c>
    </row>
    <row r="292" customFormat="false" ht="15.75" hidden="false" customHeight="true" outlineLevel="0" collapsed="false">
      <c r="A292" s="7" t="s">
        <v>10573</v>
      </c>
      <c r="B292" s="8" t="n">
        <v>2016</v>
      </c>
      <c r="C292" s="8" t="n">
        <v>2016</v>
      </c>
      <c r="D292" s="8" t="s">
        <v>176</v>
      </c>
      <c r="E292" s="8" t="s">
        <v>9715</v>
      </c>
      <c r="F292" s="7" t="s">
        <v>10574</v>
      </c>
      <c r="G292" s="8" t="n">
        <v>8</v>
      </c>
      <c r="H292" s="8"/>
      <c r="I292" s="9" t="n">
        <v>125249</v>
      </c>
      <c r="J292" s="7"/>
      <c r="K292" s="7" t="s">
        <v>29</v>
      </c>
      <c r="L292" s="7" t="s">
        <v>125</v>
      </c>
      <c r="M292" s="10"/>
      <c r="N292" s="7"/>
      <c r="O292" s="8" t="n">
        <v>0</v>
      </c>
      <c r="P292" s="8" t="n">
        <v>0</v>
      </c>
      <c r="Q292" s="8" t="n">
        <v>9</v>
      </c>
      <c r="R292" s="7"/>
      <c r="S292" s="7" t="s">
        <v>10575</v>
      </c>
    </row>
    <row r="293" customFormat="false" ht="15.75" hidden="false" customHeight="true" outlineLevel="0" collapsed="false">
      <c r="A293" s="7" t="s">
        <v>10576</v>
      </c>
      <c r="B293" s="8" t="n">
        <v>2022</v>
      </c>
      <c r="C293" s="8" t="n">
        <v>2022</v>
      </c>
      <c r="D293" s="8" t="s">
        <v>378</v>
      </c>
      <c r="E293" s="8" t="s">
        <v>9685</v>
      </c>
      <c r="F293" s="7" t="s">
        <v>9795</v>
      </c>
      <c r="G293" s="8" t="n">
        <v>7.3</v>
      </c>
      <c r="H293" s="8"/>
      <c r="I293" s="9" t="n">
        <v>124870</v>
      </c>
      <c r="J293" s="7"/>
      <c r="K293" s="7" t="s">
        <v>131</v>
      </c>
      <c r="L293" s="7" t="s">
        <v>39</v>
      </c>
      <c r="M293" s="10" t="s">
        <v>238</v>
      </c>
      <c r="N293" s="7"/>
      <c r="O293" s="8" t="n">
        <v>0</v>
      </c>
      <c r="P293" s="8" t="n">
        <v>0</v>
      </c>
      <c r="Q293" s="8" t="n">
        <v>0</v>
      </c>
      <c r="R293" s="7"/>
      <c r="S293" s="7" t="s">
        <v>10577</v>
      </c>
    </row>
    <row r="294" customFormat="false" ht="15.75" hidden="false" customHeight="true" outlineLevel="0" collapsed="false">
      <c r="A294" s="7" t="s">
        <v>10578</v>
      </c>
      <c r="B294" s="8" t="n">
        <v>2005</v>
      </c>
      <c r="C294" s="8" t="n">
        <v>2012</v>
      </c>
      <c r="D294" s="8" t="s">
        <v>35</v>
      </c>
      <c r="E294" s="8" t="s">
        <v>9685</v>
      </c>
      <c r="F294" s="7" t="s">
        <v>10579</v>
      </c>
      <c r="G294" s="8" t="n">
        <v>7.9</v>
      </c>
      <c r="H294" s="8"/>
      <c r="I294" s="9" t="n">
        <v>123427</v>
      </c>
      <c r="J294" s="7"/>
      <c r="K294" s="7" t="s">
        <v>30</v>
      </c>
      <c r="L294" s="7" t="s">
        <v>54</v>
      </c>
      <c r="M294" s="10" t="s">
        <v>847</v>
      </c>
      <c r="N294" s="7"/>
      <c r="O294" s="8" t="n">
        <v>4</v>
      </c>
      <c r="P294" s="8" t="n">
        <v>0</v>
      </c>
      <c r="Q294" s="8" t="n">
        <v>27</v>
      </c>
      <c r="R294" s="7"/>
      <c r="S294" s="7" t="s">
        <v>10580</v>
      </c>
    </row>
    <row r="295" customFormat="false" ht="15.75" hidden="false" customHeight="true" outlineLevel="0" collapsed="false">
      <c r="A295" s="7" t="s">
        <v>5234</v>
      </c>
      <c r="B295" s="8" t="n">
        <v>2021</v>
      </c>
      <c r="C295" s="8" t="n">
        <v>2021</v>
      </c>
      <c r="D295" s="8" t="s">
        <v>378</v>
      </c>
      <c r="E295" s="8" t="s">
        <v>9715</v>
      </c>
      <c r="F295" s="7" t="s">
        <v>10581</v>
      </c>
      <c r="G295" s="8" t="n">
        <v>8.3</v>
      </c>
      <c r="H295" s="8"/>
      <c r="I295" s="9" t="n">
        <v>122057</v>
      </c>
      <c r="J295" s="7"/>
      <c r="K295" s="7" t="s">
        <v>47</v>
      </c>
      <c r="L295" s="7"/>
      <c r="M295" s="10" t="s">
        <v>238</v>
      </c>
      <c r="N295" s="7"/>
      <c r="O295" s="8" t="n">
        <v>0</v>
      </c>
      <c r="P295" s="8" t="n">
        <v>0</v>
      </c>
      <c r="Q295" s="8" t="n">
        <v>0</v>
      </c>
      <c r="R295" s="7"/>
      <c r="S295" s="7" t="s">
        <v>10582</v>
      </c>
    </row>
    <row r="296" customFormat="false" ht="15.75" hidden="false" customHeight="true" outlineLevel="0" collapsed="false">
      <c r="A296" s="7" t="s">
        <v>10583</v>
      </c>
      <c r="B296" s="8" t="n">
        <v>2006</v>
      </c>
      <c r="C296" s="8" t="n">
        <v>2014</v>
      </c>
      <c r="D296" s="8" t="s">
        <v>35</v>
      </c>
      <c r="E296" s="8" t="s">
        <v>9685</v>
      </c>
      <c r="F296" s="7" t="s">
        <v>10584</v>
      </c>
      <c r="G296" s="8" t="n">
        <v>8.4</v>
      </c>
      <c r="H296" s="8"/>
      <c r="I296" s="9" t="n">
        <v>121427</v>
      </c>
      <c r="J296" s="7"/>
      <c r="K296" s="7" t="s">
        <v>30</v>
      </c>
      <c r="L296" s="7" t="s">
        <v>54</v>
      </c>
      <c r="M296" s="10"/>
      <c r="N296" s="7"/>
      <c r="O296" s="8" t="n">
        <v>0</v>
      </c>
      <c r="P296" s="8" t="n">
        <v>0</v>
      </c>
      <c r="Q296" s="8" t="n">
        <v>2</v>
      </c>
      <c r="R296" s="7"/>
      <c r="S296" s="7" t="s">
        <v>10585</v>
      </c>
    </row>
    <row r="297" customFormat="false" ht="15.75" hidden="false" customHeight="true" outlineLevel="0" collapsed="false">
      <c r="A297" s="7" t="s">
        <v>10586</v>
      </c>
      <c r="B297" s="8" t="n">
        <v>2025</v>
      </c>
      <c r="C297" s="8"/>
      <c r="D297" s="8" t="s">
        <v>378</v>
      </c>
      <c r="E297" s="8" t="s">
        <v>9685</v>
      </c>
      <c r="F297" s="7" t="s">
        <v>10587</v>
      </c>
      <c r="G297" s="8" t="n">
        <v>8.3</v>
      </c>
      <c r="H297" s="8"/>
      <c r="I297" s="9" t="n">
        <v>120724</v>
      </c>
      <c r="J297" s="7"/>
      <c r="K297" s="7" t="s">
        <v>47</v>
      </c>
      <c r="L297" s="7" t="s">
        <v>54</v>
      </c>
      <c r="M297" s="10" t="s">
        <v>192</v>
      </c>
      <c r="N297" s="7"/>
      <c r="O297" s="8" t="n">
        <v>0</v>
      </c>
      <c r="P297" s="8" t="n">
        <v>0</v>
      </c>
      <c r="Q297" s="8" t="n">
        <v>0</v>
      </c>
      <c r="R297" s="7"/>
      <c r="S297" s="7" t="s">
        <v>10588</v>
      </c>
    </row>
    <row r="298" customFormat="false" ht="15.75" hidden="false" customHeight="true" outlineLevel="0" collapsed="false">
      <c r="A298" s="7" t="s">
        <v>10589</v>
      </c>
      <c r="B298" s="8" t="n">
        <v>2018</v>
      </c>
      <c r="C298" s="8" t="n">
        <v>2023</v>
      </c>
      <c r="D298" s="8" t="s">
        <v>176</v>
      </c>
      <c r="E298" s="8" t="s">
        <v>9685</v>
      </c>
      <c r="F298" s="7" t="s">
        <v>10590</v>
      </c>
      <c r="G298" s="8" t="n">
        <v>7.4</v>
      </c>
      <c r="H298" s="8"/>
      <c r="I298" s="9" t="n">
        <v>120421</v>
      </c>
      <c r="J298" s="7"/>
      <c r="K298" s="7" t="s">
        <v>112</v>
      </c>
      <c r="L298" s="7" t="s">
        <v>54</v>
      </c>
      <c r="M298" s="10" t="s">
        <v>238</v>
      </c>
      <c r="N298" s="7"/>
      <c r="O298" s="8" t="n">
        <v>0</v>
      </c>
      <c r="P298" s="8" t="n">
        <v>0</v>
      </c>
      <c r="Q298" s="8" t="n">
        <v>0</v>
      </c>
      <c r="R298" s="7"/>
      <c r="S298" s="7" t="s">
        <v>10591</v>
      </c>
    </row>
    <row r="299" customFormat="false" ht="15.75" hidden="false" customHeight="true" outlineLevel="0" collapsed="false">
      <c r="A299" s="7" t="s">
        <v>10592</v>
      </c>
      <c r="B299" s="8" t="n">
        <v>2018</v>
      </c>
      <c r="C299" s="8" t="n">
        <v>2020</v>
      </c>
      <c r="D299" s="8" t="s">
        <v>176</v>
      </c>
      <c r="E299" s="8" t="s">
        <v>9685</v>
      </c>
      <c r="F299" s="7" t="s">
        <v>10593</v>
      </c>
      <c r="G299" s="8" t="n">
        <v>7.4</v>
      </c>
      <c r="H299" s="8"/>
      <c r="I299" s="9" t="n">
        <v>119944</v>
      </c>
      <c r="J299" s="7"/>
      <c r="K299" s="7" t="s">
        <v>147</v>
      </c>
      <c r="L299" s="7" t="s">
        <v>38</v>
      </c>
      <c r="M299" s="10" t="s">
        <v>238</v>
      </c>
      <c r="N299" s="7"/>
      <c r="O299" s="8" t="n">
        <v>0</v>
      </c>
      <c r="P299" s="8" t="n">
        <v>0</v>
      </c>
      <c r="Q299" s="8" t="n">
        <v>0</v>
      </c>
      <c r="R299" s="7"/>
      <c r="S299" s="7" t="s">
        <v>10594</v>
      </c>
    </row>
    <row r="300" customFormat="false" ht="15.75" hidden="false" customHeight="true" outlineLevel="0" collapsed="false">
      <c r="A300" s="7" t="s">
        <v>10595</v>
      </c>
      <c r="B300" s="8" t="n">
        <v>2022</v>
      </c>
      <c r="C300" s="8"/>
      <c r="D300" s="8" t="s">
        <v>378</v>
      </c>
      <c r="E300" s="8" t="s">
        <v>9685</v>
      </c>
      <c r="F300" s="7" t="s">
        <v>10596</v>
      </c>
      <c r="G300" s="8" t="n">
        <v>7.9</v>
      </c>
      <c r="H300" s="8"/>
      <c r="I300" s="9" t="n">
        <v>119861</v>
      </c>
      <c r="J300" s="7"/>
      <c r="K300" s="7" t="s">
        <v>112</v>
      </c>
      <c r="L300" s="7" t="s">
        <v>54</v>
      </c>
      <c r="M300" s="10" t="s">
        <v>192</v>
      </c>
      <c r="N300" s="7"/>
      <c r="O300" s="8" t="n">
        <v>0</v>
      </c>
      <c r="P300" s="8" t="n">
        <v>0</v>
      </c>
      <c r="Q300" s="8" t="n">
        <v>0</v>
      </c>
      <c r="R300" s="7"/>
      <c r="S300" s="7" t="s">
        <v>10597</v>
      </c>
    </row>
    <row r="301" customFormat="false" ht="15.75" hidden="false" customHeight="true" outlineLevel="0" collapsed="false">
      <c r="A301" s="7" t="s">
        <v>10598</v>
      </c>
      <c r="B301" s="8" t="n">
        <v>2013</v>
      </c>
      <c r="C301" s="8" t="n">
        <v>2015</v>
      </c>
      <c r="D301" s="8" t="s">
        <v>176</v>
      </c>
      <c r="E301" s="8" t="s">
        <v>9685</v>
      </c>
      <c r="F301" s="7" t="s">
        <v>10599</v>
      </c>
      <c r="G301" s="8" t="n">
        <v>6.5</v>
      </c>
      <c r="H301" s="8"/>
      <c r="I301" s="9" t="n">
        <v>119364</v>
      </c>
      <c r="J301" s="7"/>
      <c r="K301" s="7" t="s">
        <v>111</v>
      </c>
      <c r="L301" s="7" t="s">
        <v>125</v>
      </c>
      <c r="M301" s="10" t="s">
        <v>192</v>
      </c>
      <c r="N301" s="7"/>
      <c r="O301" s="8" t="n">
        <v>0</v>
      </c>
      <c r="P301" s="8" t="n">
        <v>0</v>
      </c>
      <c r="Q301" s="8" t="n">
        <v>0</v>
      </c>
      <c r="R301" s="7"/>
      <c r="S301" s="7" t="s">
        <v>10600</v>
      </c>
    </row>
    <row r="302" customFormat="false" ht="15.75" hidden="false" customHeight="true" outlineLevel="0" collapsed="false">
      <c r="A302" s="7" t="s">
        <v>10601</v>
      </c>
      <c r="B302" s="8" t="n">
        <v>2020</v>
      </c>
      <c r="C302" s="8"/>
      <c r="D302" s="8" t="s">
        <v>378</v>
      </c>
      <c r="E302" s="8" t="s">
        <v>9685</v>
      </c>
      <c r="F302" s="7" t="s">
        <v>10602</v>
      </c>
      <c r="G302" s="8" t="n">
        <v>9</v>
      </c>
      <c r="H302" s="8"/>
      <c r="I302" s="9" t="n">
        <v>119104</v>
      </c>
      <c r="J302" s="7"/>
      <c r="K302" s="7" t="s">
        <v>30</v>
      </c>
      <c r="L302" s="7" t="s">
        <v>47</v>
      </c>
      <c r="M302" s="10" t="s">
        <v>113</v>
      </c>
      <c r="N302" s="7"/>
      <c r="O302" s="8" t="n">
        <v>0</v>
      </c>
      <c r="P302" s="8" t="n">
        <v>0</v>
      </c>
      <c r="Q302" s="8" t="n">
        <v>0</v>
      </c>
      <c r="R302" s="7"/>
      <c r="S302" s="7" t="s">
        <v>10603</v>
      </c>
    </row>
    <row r="303" customFormat="false" ht="15.75" hidden="false" customHeight="true" outlineLevel="0" collapsed="false">
      <c r="A303" s="7" t="s">
        <v>10604</v>
      </c>
      <c r="B303" s="8" t="n">
        <v>2016</v>
      </c>
      <c r="C303" s="8" t="n">
        <v>2023</v>
      </c>
      <c r="D303" s="8" t="s">
        <v>176</v>
      </c>
      <c r="E303" s="8" t="s">
        <v>9685</v>
      </c>
      <c r="F303" s="7" t="s">
        <v>10605</v>
      </c>
      <c r="G303" s="8" t="n">
        <v>8.3</v>
      </c>
      <c r="H303" s="8"/>
      <c r="I303" s="9" t="n">
        <v>118766</v>
      </c>
      <c r="J303" s="7"/>
      <c r="K303" s="7" t="s">
        <v>47</v>
      </c>
      <c r="L303" s="7"/>
      <c r="M303" s="10" t="s">
        <v>192</v>
      </c>
      <c r="N303" s="7"/>
      <c r="O303" s="8" t="n">
        <v>0</v>
      </c>
      <c r="P303" s="8" t="n">
        <v>0</v>
      </c>
      <c r="Q303" s="8" t="n">
        <v>0</v>
      </c>
      <c r="R303" s="7"/>
      <c r="S303" s="7" t="s">
        <v>10606</v>
      </c>
    </row>
    <row r="304" customFormat="false" ht="15.75" hidden="false" customHeight="true" outlineLevel="0" collapsed="false">
      <c r="A304" s="7" t="s">
        <v>10607</v>
      </c>
      <c r="B304" s="8" t="n">
        <v>2024</v>
      </c>
      <c r="C304" s="8"/>
      <c r="D304" s="8" t="s">
        <v>378</v>
      </c>
      <c r="E304" s="8" t="s">
        <v>9685</v>
      </c>
      <c r="F304" s="7" t="s">
        <v>10608</v>
      </c>
      <c r="G304" s="8" t="n">
        <v>8.5</v>
      </c>
      <c r="H304" s="8"/>
      <c r="I304" s="9" t="n">
        <v>118760</v>
      </c>
      <c r="J304" s="7"/>
      <c r="K304" s="7" t="s">
        <v>579</v>
      </c>
      <c r="L304" s="7" t="s">
        <v>112</v>
      </c>
      <c r="M304" s="10" t="s">
        <v>3455</v>
      </c>
      <c r="N304" s="7"/>
      <c r="O304" s="8" t="n">
        <v>0</v>
      </c>
      <c r="P304" s="8" t="n">
        <v>0</v>
      </c>
      <c r="Q304" s="8" t="n">
        <v>0</v>
      </c>
      <c r="R304" s="7"/>
      <c r="S304" s="7" t="s">
        <v>10609</v>
      </c>
    </row>
    <row r="305" customFormat="false" ht="15.75" hidden="false" customHeight="true" outlineLevel="0" collapsed="false">
      <c r="A305" s="7" t="s">
        <v>10610</v>
      </c>
      <c r="B305" s="8" t="n">
        <v>1987</v>
      </c>
      <c r="C305" s="8" t="n">
        <v>1997</v>
      </c>
      <c r="D305" s="8" t="s">
        <v>109</v>
      </c>
      <c r="E305" s="8" t="s">
        <v>9685</v>
      </c>
      <c r="F305" s="7" t="s">
        <v>10611</v>
      </c>
      <c r="G305" s="8" t="n">
        <v>8.1</v>
      </c>
      <c r="H305" s="8"/>
      <c r="I305" s="9" t="n">
        <v>118699</v>
      </c>
      <c r="J305" s="7"/>
      <c r="K305" s="7" t="s">
        <v>30</v>
      </c>
      <c r="L305" s="7"/>
      <c r="M305" s="10"/>
      <c r="N305" s="7"/>
      <c r="O305" s="8" t="n">
        <v>0</v>
      </c>
      <c r="P305" s="8" t="n">
        <v>0</v>
      </c>
      <c r="Q305" s="8" t="n">
        <v>0</v>
      </c>
      <c r="R305" s="7"/>
      <c r="S305" s="7" t="s">
        <v>10612</v>
      </c>
    </row>
    <row r="306" customFormat="false" ht="15.75" hidden="false" customHeight="true" outlineLevel="0" collapsed="false">
      <c r="A306" s="7" t="s">
        <v>10613</v>
      </c>
      <c r="B306" s="8" t="n">
        <v>2020</v>
      </c>
      <c r="C306" s="8" t="n">
        <v>2020</v>
      </c>
      <c r="D306" s="8" t="s">
        <v>378</v>
      </c>
      <c r="E306" s="8" t="s">
        <v>9715</v>
      </c>
      <c r="F306" s="7" t="s">
        <v>2938</v>
      </c>
      <c r="G306" s="8" t="n">
        <v>7.4</v>
      </c>
      <c r="H306" s="8"/>
      <c r="I306" s="9" t="n">
        <v>118640</v>
      </c>
      <c r="J306" s="7"/>
      <c r="K306" s="7" t="s">
        <v>47</v>
      </c>
      <c r="L306" s="7" t="s">
        <v>54</v>
      </c>
      <c r="M306" s="10" t="s">
        <v>55</v>
      </c>
      <c r="N306" s="7"/>
      <c r="O306" s="8" t="n">
        <v>0</v>
      </c>
      <c r="P306" s="8" t="n">
        <v>0</v>
      </c>
      <c r="Q306" s="8" t="n">
        <v>4</v>
      </c>
      <c r="R306" s="7"/>
      <c r="S306" s="7" t="s">
        <v>10614</v>
      </c>
    </row>
    <row r="307" customFormat="false" ht="15.75" hidden="false" customHeight="true" outlineLevel="0" collapsed="false">
      <c r="A307" s="7" t="s">
        <v>10615</v>
      </c>
      <c r="B307" s="8" t="n">
        <v>2020</v>
      </c>
      <c r="C307" s="8" t="n">
        <v>2020</v>
      </c>
      <c r="D307" s="8" t="s">
        <v>378</v>
      </c>
      <c r="E307" s="8" t="s">
        <v>9715</v>
      </c>
      <c r="F307" s="7" t="s">
        <v>10616</v>
      </c>
      <c r="G307" s="8" t="n">
        <v>7.6</v>
      </c>
      <c r="H307" s="8"/>
      <c r="I307" s="9" t="n">
        <v>118389</v>
      </c>
      <c r="J307" s="7"/>
      <c r="K307" s="7" t="s">
        <v>147</v>
      </c>
      <c r="L307" s="7" t="s">
        <v>54</v>
      </c>
      <c r="M307" s="10" t="s">
        <v>55</v>
      </c>
      <c r="N307" s="7"/>
      <c r="O307" s="8" t="n">
        <v>0</v>
      </c>
      <c r="P307" s="8" t="n">
        <v>0</v>
      </c>
      <c r="Q307" s="8" t="n">
        <v>1</v>
      </c>
      <c r="R307" s="7"/>
      <c r="S307" s="7" t="s">
        <v>10617</v>
      </c>
    </row>
    <row r="308" customFormat="false" ht="15.75" hidden="false" customHeight="true" outlineLevel="0" collapsed="false">
      <c r="A308" s="7" t="s">
        <v>10618</v>
      </c>
      <c r="B308" s="8" t="n">
        <v>2020</v>
      </c>
      <c r="C308" s="8" t="n">
        <v>2020</v>
      </c>
      <c r="D308" s="8" t="s">
        <v>378</v>
      </c>
      <c r="E308" s="8" t="s">
        <v>9715</v>
      </c>
      <c r="F308" s="7" t="s">
        <v>10619</v>
      </c>
      <c r="G308" s="8" t="n">
        <v>8.4</v>
      </c>
      <c r="H308" s="8"/>
      <c r="I308" s="9" t="n">
        <v>118054</v>
      </c>
      <c r="J308" s="7"/>
      <c r="K308" s="7" t="s">
        <v>29</v>
      </c>
      <c r="L308" s="7" t="s">
        <v>47</v>
      </c>
      <c r="M308" s="10" t="s">
        <v>562</v>
      </c>
      <c r="N308" s="7"/>
      <c r="O308" s="8" t="n">
        <v>0</v>
      </c>
      <c r="P308" s="8" t="n">
        <v>0</v>
      </c>
      <c r="Q308" s="8" t="n">
        <v>5</v>
      </c>
      <c r="R308" s="7"/>
      <c r="S308" s="7" t="s">
        <v>10620</v>
      </c>
    </row>
    <row r="309" customFormat="false" ht="15.75" hidden="false" customHeight="true" outlineLevel="0" collapsed="false">
      <c r="A309" s="7" t="s">
        <v>10621</v>
      </c>
      <c r="B309" s="8" t="n">
        <v>2025</v>
      </c>
      <c r="C309" s="8"/>
      <c r="D309" s="8" t="s">
        <v>378</v>
      </c>
      <c r="E309" s="8" t="s">
        <v>9685</v>
      </c>
      <c r="F309" s="7" t="s">
        <v>10622</v>
      </c>
      <c r="G309" s="8" t="n">
        <v>8.1</v>
      </c>
      <c r="H309" s="8"/>
      <c r="I309" s="9" t="n">
        <v>117670</v>
      </c>
      <c r="J309" s="7"/>
      <c r="K309" s="7" t="s">
        <v>47</v>
      </c>
      <c r="L309" s="7" t="s">
        <v>54</v>
      </c>
      <c r="M309" s="10" t="s">
        <v>238</v>
      </c>
      <c r="N309" s="7"/>
      <c r="O309" s="8" t="n">
        <v>0</v>
      </c>
      <c r="P309" s="8" t="n">
        <v>0</v>
      </c>
      <c r="Q309" s="8" t="n">
        <v>0</v>
      </c>
      <c r="R309" s="7"/>
      <c r="S309" s="7" t="s">
        <v>10623</v>
      </c>
    </row>
    <row r="310" customFormat="false" ht="15.75" hidden="false" customHeight="true" outlineLevel="0" collapsed="false">
      <c r="A310" s="7" t="s">
        <v>10624</v>
      </c>
      <c r="B310" s="8" t="n">
        <v>1997</v>
      </c>
      <c r="C310" s="8" t="n">
        <v>2003</v>
      </c>
      <c r="D310" s="8" t="s">
        <v>26</v>
      </c>
      <c r="E310" s="8" t="s">
        <v>9685</v>
      </c>
      <c r="F310" s="7" t="s">
        <v>10625</v>
      </c>
      <c r="G310" s="8" t="n">
        <v>8.7</v>
      </c>
      <c r="H310" s="8"/>
      <c r="I310" s="9" t="n">
        <v>117466</v>
      </c>
      <c r="J310" s="7"/>
      <c r="K310" s="7" t="s">
        <v>131</v>
      </c>
      <c r="L310" s="7" t="s">
        <v>54</v>
      </c>
      <c r="M310" s="10"/>
      <c r="N310" s="7"/>
      <c r="O310" s="8" t="n">
        <v>0</v>
      </c>
      <c r="P310" s="8" t="n">
        <v>0</v>
      </c>
      <c r="Q310" s="8" t="n">
        <v>0</v>
      </c>
      <c r="R310" s="7"/>
      <c r="S310" s="7" t="s">
        <v>10626</v>
      </c>
    </row>
    <row r="311" customFormat="false" ht="15.75" hidden="false" customHeight="true" outlineLevel="0" collapsed="false">
      <c r="A311" s="7" t="s">
        <v>10627</v>
      </c>
      <c r="B311" s="8" t="n">
        <v>2005</v>
      </c>
      <c r="C311" s="8" t="n">
        <v>2009</v>
      </c>
      <c r="D311" s="8" t="s">
        <v>35</v>
      </c>
      <c r="E311" s="8" t="s">
        <v>9685</v>
      </c>
      <c r="F311" s="7" t="s">
        <v>10628</v>
      </c>
      <c r="G311" s="8" t="n">
        <v>7.8</v>
      </c>
      <c r="H311" s="8" t="n">
        <v>7</v>
      </c>
      <c r="I311" s="9" t="n">
        <v>116936</v>
      </c>
      <c r="J311" s="7"/>
      <c r="K311" s="7" t="s">
        <v>30</v>
      </c>
      <c r="L311" s="7"/>
      <c r="M311" s="10" t="s">
        <v>177</v>
      </c>
      <c r="N311" s="7"/>
      <c r="O311" s="8" t="n">
        <v>3</v>
      </c>
      <c r="P311" s="8" t="n">
        <v>0</v>
      </c>
      <c r="Q311" s="8" t="n">
        <v>14</v>
      </c>
      <c r="R311" s="7"/>
      <c r="S311" s="7" t="s">
        <v>10629</v>
      </c>
    </row>
    <row r="312" customFormat="false" ht="15.75" hidden="false" customHeight="true" outlineLevel="0" collapsed="false">
      <c r="A312" s="7" t="s">
        <v>10630</v>
      </c>
      <c r="B312" s="8" t="n">
        <v>2023</v>
      </c>
      <c r="C312" s="8" t="n">
        <v>2023</v>
      </c>
      <c r="D312" s="8" t="s">
        <v>378</v>
      </c>
      <c r="E312" s="8" t="s">
        <v>9685</v>
      </c>
      <c r="F312" s="7" t="s">
        <v>10631</v>
      </c>
      <c r="G312" s="8" t="n">
        <v>4.4</v>
      </c>
      <c r="H312" s="8"/>
      <c r="I312" s="9" t="n">
        <v>116926</v>
      </c>
      <c r="J312" s="7"/>
      <c r="K312" s="7" t="s">
        <v>90</v>
      </c>
      <c r="L312" s="7" t="s">
        <v>47</v>
      </c>
      <c r="M312" s="10" t="s">
        <v>55</v>
      </c>
      <c r="N312" s="7"/>
      <c r="O312" s="8" t="n">
        <v>0</v>
      </c>
      <c r="P312" s="8" t="n">
        <v>0</v>
      </c>
      <c r="Q312" s="8" t="n">
        <v>0</v>
      </c>
      <c r="R312" s="7"/>
      <c r="S312" s="7" t="s">
        <v>10632</v>
      </c>
    </row>
    <row r="313" customFormat="false" ht="15.75" hidden="false" customHeight="true" outlineLevel="0" collapsed="false">
      <c r="A313" s="7" t="s">
        <v>10633</v>
      </c>
      <c r="B313" s="8" t="n">
        <v>2019</v>
      </c>
      <c r="C313" s="8" t="n">
        <v>2022</v>
      </c>
      <c r="D313" s="8" t="s">
        <v>176</v>
      </c>
      <c r="E313" s="8" t="s">
        <v>9685</v>
      </c>
      <c r="F313" s="7" t="s">
        <v>10634</v>
      </c>
      <c r="G313" s="8" t="n">
        <v>7.7</v>
      </c>
      <c r="H313" s="8"/>
      <c r="I313" s="9" t="n">
        <v>116896</v>
      </c>
      <c r="J313" s="7"/>
      <c r="K313" s="7" t="s">
        <v>30</v>
      </c>
      <c r="L313" s="7" t="s">
        <v>125</v>
      </c>
      <c r="M313" s="10" t="s">
        <v>238</v>
      </c>
      <c r="N313" s="7"/>
      <c r="O313" s="8" t="n">
        <v>7</v>
      </c>
      <c r="P313" s="8" t="n">
        <v>0</v>
      </c>
      <c r="Q313" s="8" t="n">
        <v>34</v>
      </c>
      <c r="R313" s="7"/>
      <c r="S313" s="7" t="s">
        <v>10635</v>
      </c>
    </row>
    <row r="314" customFormat="false" ht="15.75" hidden="false" customHeight="true" outlineLevel="0" collapsed="false">
      <c r="A314" s="7" t="s">
        <v>10636</v>
      </c>
      <c r="B314" s="8" t="n">
        <v>2021</v>
      </c>
      <c r="C314" s="8"/>
      <c r="D314" s="8" t="s">
        <v>378</v>
      </c>
      <c r="E314" s="8" t="s">
        <v>9685</v>
      </c>
      <c r="F314" s="7" t="s">
        <v>10637</v>
      </c>
      <c r="G314" s="8" t="n">
        <v>7.7</v>
      </c>
      <c r="H314" s="8"/>
      <c r="I314" s="9" t="n">
        <v>116450</v>
      </c>
      <c r="J314" s="7"/>
      <c r="K314" s="7" t="s">
        <v>147</v>
      </c>
      <c r="L314" s="7" t="s">
        <v>125</v>
      </c>
      <c r="M314" s="10" t="s">
        <v>210</v>
      </c>
      <c r="N314" s="7"/>
      <c r="O314" s="8" t="n">
        <v>0</v>
      </c>
      <c r="P314" s="8" t="n">
        <v>0</v>
      </c>
      <c r="Q314" s="8" t="n">
        <v>0</v>
      </c>
      <c r="R314" s="7"/>
      <c r="S314" s="7" t="s">
        <v>10638</v>
      </c>
    </row>
    <row r="315" customFormat="false" ht="15.75" hidden="false" customHeight="true" outlineLevel="0" collapsed="false">
      <c r="A315" s="7" t="s">
        <v>10639</v>
      </c>
      <c r="B315" s="8" t="n">
        <v>2016</v>
      </c>
      <c r="C315" s="8" t="n">
        <v>2019</v>
      </c>
      <c r="D315" s="8" t="s">
        <v>176</v>
      </c>
      <c r="E315" s="8" t="s">
        <v>9685</v>
      </c>
      <c r="F315" s="7" t="s">
        <v>10640</v>
      </c>
      <c r="G315" s="8" t="n">
        <v>7.4</v>
      </c>
      <c r="H315" s="8"/>
      <c r="I315" s="9" t="n">
        <v>116336</v>
      </c>
      <c r="J315" s="7"/>
      <c r="K315" s="7" t="s">
        <v>112</v>
      </c>
      <c r="L315" s="7" t="s">
        <v>125</v>
      </c>
      <c r="M315" s="10" t="s">
        <v>238</v>
      </c>
      <c r="N315" s="7"/>
      <c r="O315" s="8" t="n">
        <v>0</v>
      </c>
      <c r="P315" s="8" t="n">
        <v>0</v>
      </c>
      <c r="Q315" s="8" t="n">
        <v>0</v>
      </c>
      <c r="R315" s="7"/>
      <c r="S315" s="7" t="s">
        <v>10641</v>
      </c>
    </row>
    <row r="316" customFormat="false" ht="15.75" hidden="false" customHeight="true" outlineLevel="0" collapsed="false">
      <c r="A316" s="7" t="s">
        <v>10642</v>
      </c>
      <c r="B316" s="8" t="n">
        <v>2025</v>
      </c>
      <c r="C316" s="8"/>
      <c r="D316" s="8" t="s">
        <v>378</v>
      </c>
      <c r="E316" s="8" t="s">
        <v>9685</v>
      </c>
      <c r="F316" s="7" t="s">
        <v>10643</v>
      </c>
      <c r="G316" s="8" t="n">
        <v>7.9</v>
      </c>
      <c r="H316" s="8"/>
      <c r="I316" s="9" t="n">
        <v>116122</v>
      </c>
      <c r="J316" s="7"/>
      <c r="K316" s="7" t="s">
        <v>147</v>
      </c>
      <c r="L316" s="7" t="s">
        <v>38</v>
      </c>
      <c r="M316" s="10" t="s">
        <v>55</v>
      </c>
      <c r="N316" s="7"/>
      <c r="O316" s="8" t="n">
        <v>0</v>
      </c>
      <c r="P316" s="8" t="n">
        <v>0</v>
      </c>
      <c r="Q316" s="8" t="n">
        <v>0</v>
      </c>
      <c r="R316" s="7"/>
      <c r="S316" s="7" t="s">
        <v>10644</v>
      </c>
    </row>
    <row r="317" customFormat="false" ht="15.75" hidden="false" customHeight="true" outlineLevel="0" collapsed="false">
      <c r="A317" s="7" t="s">
        <v>10645</v>
      </c>
      <c r="B317" s="8" t="n">
        <v>2011</v>
      </c>
      <c r="C317" s="8" t="n">
        <v>2017</v>
      </c>
      <c r="D317" s="8" t="s">
        <v>176</v>
      </c>
      <c r="E317" s="8" t="s">
        <v>9685</v>
      </c>
      <c r="F317" s="7" t="s">
        <v>10646</v>
      </c>
      <c r="G317" s="8" t="n">
        <v>6.7</v>
      </c>
      <c r="H317" s="8"/>
      <c r="I317" s="9" t="n">
        <v>115934</v>
      </c>
      <c r="J317" s="7"/>
      <c r="K317" s="7" t="s">
        <v>30</v>
      </c>
      <c r="L317" s="7"/>
      <c r="M317" s="10" t="s">
        <v>113</v>
      </c>
      <c r="N317" s="7"/>
      <c r="O317" s="8" t="n">
        <v>2</v>
      </c>
      <c r="P317" s="8" t="n">
        <v>0</v>
      </c>
      <c r="Q317" s="8" t="n">
        <v>15</v>
      </c>
      <c r="R317" s="7"/>
      <c r="S317" s="7" t="s">
        <v>10647</v>
      </c>
    </row>
    <row r="318" customFormat="false" ht="15.75" hidden="false" customHeight="true" outlineLevel="0" collapsed="false">
      <c r="A318" s="7" t="s">
        <v>10648</v>
      </c>
      <c r="B318" s="8" t="n">
        <v>2016</v>
      </c>
      <c r="C318" s="8" t="n">
        <v>2022</v>
      </c>
      <c r="D318" s="8" t="s">
        <v>176</v>
      </c>
      <c r="E318" s="8" t="s">
        <v>9685</v>
      </c>
      <c r="F318" s="7" t="s">
        <v>10649</v>
      </c>
      <c r="G318" s="8" t="n">
        <v>6.7</v>
      </c>
      <c r="H318" s="8"/>
      <c r="I318" s="9" t="n">
        <v>115153</v>
      </c>
      <c r="J318" s="7"/>
      <c r="K318" s="7" t="s">
        <v>112</v>
      </c>
      <c r="L318" s="7" t="s">
        <v>39</v>
      </c>
      <c r="M318" s="10"/>
      <c r="N318" s="7"/>
      <c r="O318" s="8" t="n">
        <v>0</v>
      </c>
      <c r="P318" s="8" t="n">
        <v>0</v>
      </c>
      <c r="Q318" s="8" t="n">
        <v>0</v>
      </c>
      <c r="R318" s="7"/>
      <c r="S318" s="7" t="s">
        <v>10650</v>
      </c>
    </row>
    <row r="319" customFormat="false" ht="15.75" hidden="false" customHeight="true" outlineLevel="0" collapsed="false">
      <c r="A319" s="7" t="s">
        <v>10651</v>
      </c>
      <c r="B319" s="8" t="n">
        <v>2017</v>
      </c>
      <c r="C319" s="8" t="n">
        <v>2021</v>
      </c>
      <c r="D319" s="8" t="s">
        <v>176</v>
      </c>
      <c r="E319" s="8" t="s">
        <v>9685</v>
      </c>
      <c r="F319" s="7" t="s">
        <v>10652</v>
      </c>
      <c r="G319" s="8" t="n">
        <v>8.2</v>
      </c>
      <c r="H319" s="8"/>
      <c r="I319" s="9" t="n">
        <v>114748</v>
      </c>
      <c r="J319" s="7"/>
      <c r="K319" s="7" t="s">
        <v>30</v>
      </c>
      <c r="L319" s="7" t="s">
        <v>47</v>
      </c>
      <c r="M319" s="10" t="s">
        <v>238</v>
      </c>
      <c r="N319" s="7"/>
      <c r="O319" s="8" t="n">
        <v>0</v>
      </c>
      <c r="P319" s="8" t="n">
        <v>0</v>
      </c>
      <c r="Q319" s="8" t="n">
        <v>0</v>
      </c>
      <c r="R319" s="7"/>
      <c r="S319" s="7" t="s">
        <v>10653</v>
      </c>
    </row>
    <row r="320" customFormat="false" ht="15.75" hidden="false" customHeight="true" outlineLevel="0" collapsed="false">
      <c r="A320" s="7" t="s">
        <v>10654</v>
      </c>
      <c r="B320" s="8" t="n">
        <v>2025</v>
      </c>
      <c r="C320" s="8"/>
      <c r="D320" s="8" t="s">
        <v>378</v>
      </c>
      <c r="E320" s="8" t="s">
        <v>9685</v>
      </c>
      <c r="F320" s="7" t="s">
        <v>10655</v>
      </c>
      <c r="G320" s="8" t="n">
        <v>8.1</v>
      </c>
      <c r="H320" s="8"/>
      <c r="I320" s="9" t="n">
        <v>114371</v>
      </c>
      <c r="J320" s="7"/>
      <c r="K320" s="7" t="s">
        <v>112</v>
      </c>
      <c r="L320" s="7" t="s">
        <v>54</v>
      </c>
      <c r="M320" s="10" t="s">
        <v>177</v>
      </c>
      <c r="N320" s="7"/>
      <c r="O320" s="8" t="n">
        <v>0</v>
      </c>
      <c r="P320" s="8" t="n">
        <v>0</v>
      </c>
      <c r="Q320" s="8" t="n">
        <v>0</v>
      </c>
      <c r="R320" s="7"/>
      <c r="S320" s="7" t="s">
        <v>10656</v>
      </c>
    </row>
    <row r="321" customFormat="false" ht="15.75" hidden="false" customHeight="true" outlineLevel="0" collapsed="false">
      <c r="A321" s="7" t="s">
        <v>10657</v>
      </c>
      <c r="B321" s="8" t="n">
        <v>2018</v>
      </c>
      <c r="C321" s="8" t="n">
        <v>2021</v>
      </c>
      <c r="D321" s="8" t="s">
        <v>176</v>
      </c>
      <c r="E321" s="8" t="s">
        <v>9685</v>
      </c>
      <c r="F321" s="7" t="s">
        <v>10658</v>
      </c>
      <c r="G321" s="8" t="n">
        <v>7.3</v>
      </c>
      <c r="H321" s="8"/>
      <c r="I321" s="9" t="n">
        <v>114260</v>
      </c>
      <c r="J321" s="7"/>
      <c r="K321" s="7" t="s">
        <v>39</v>
      </c>
      <c r="L321" s="7" t="s">
        <v>259</v>
      </c>
      <c r="M321" s="10" t="s">
        <v>238</v>
      </c>
      <c r="N321" s="7"/>
      <c r="O321" s="8" t="n">
        <v>0</v>
      </c>
      <c r="P321" s="8" t="n">
        <v>0</v>
      </c>
      <c r="Q321" s="8" t="n">
        <v>18</v>
      </c>
      <c r="R321" s="7"/>
      <c r="S321" s="7" t="s">
        <v>10659</v>
      </c>
    </row>
    <row r="322" customFormat="false" ht="15.75" hidden="false" customHeight="true" outlineLevel="0" collapsed="false">
      <c r="A322" s="7" t="s">
        <v>10660</v>
      </c>
      <c r="B322" s="8" t="n">
        <v>1995</v>
      </c>
      <c r="C322" s="8" t="n">
        <v>1996</v>
      </c>
      <c r="D322" s="8" t="s">
        <v>26</v>
      </c>
      <c r="E322" s="8" t="s">
        <v>9685</v>
      </c>
      <c r="F322" s="7" t="s">
        <v>10661</v>
      </c>
      <c r="G322" s="8" t="n">
        <v>8.5</v>
      </c>
      <c r="H322" s="8"/>
      <c r="I322" s="9" t="n">
        <v>113751</v>
      </c>
      <c r="J322" s="7"/>
      <c r="K322" s="7" t="s">
        <v>579</v>
      </c>
      <c r="L322" s="7" t="s">
        <v>112</v>
      </c>
      <c r="M322" s="10" t="s">
        <v>10662</v>
      </c>
      <c r="N322" s="7"/>
      <c r="O322" s="8" t="n">
        <v>0</v>
      </c>
      <c r="P322" s="8" t="n">
        <v>0</v>
      </c>
      <c r="Q322" s="8" t="n">
        <v>0</v>
      </c>
      <c r="R322" s="7"/>
      <c r="S322" s="7" t="s">
        <v>10663</v>
      </c>
    </row>
    <row r="323" customFormat="false" ht="15.75" hidden="false" customHeight="true" outlineLevel="0" collapsed="false">
      <c r="A323" s="7" t="s">
        <v>10664</v>
      </c>
      <c r="B323" s="8" t="n">
        <v>2024</v>
      </c>
      <c r="C323" s="8"/>
      <c r="D323" s="8" t="s">
        <v>378</v>
      </c>
      <c r="E323" s="8" t="s">
        <v>9685</v>
      </c>
      <c r="F323" s="7" t="s">
        <v>10665</v>
      </c>
      <c r="G323" s="8" t="n">
        <v>8.2</v>
      </c>
      <c r="H323" s="8"/>
      <c r="I323" s="9" t="n">
        <v>113685</v>
      </c>
      <c r="J323" s="7"/>
      <c r="K323" s="7" t="s">
        <v>268</v>
      </c>
      <c r="L323" s="7" t="s">
        <v>54</v>
      </c>
      <c r="M323" s="10" t="s">
        <v>192</v>
      </c>
      <c r="N323" s="7"/>
      <c r="O323" s="8" t="n">
        <v>0</v>
      </c>
      <c r="P323" s="8" t="n">
        <v>0</v>
      </c>
      <c r="Q323" s="8" t="n">
        <v>0</v>
      </c>
      <c r="R323" s="7"/>
      <c r="S323" s="7" t="s">
        <v>10666</v>
      </c>
    </row>
    <row r="324" customFormat="false" ht="15.75" hidden="false" customHeight="true" outlineLevel="0" collapsed="false">
      <c r="A324" s="7" t="s">
        <v>10667</v>
      </c>
      <c r="B324" s="8" t="n">
        <v>2019</v>
      </c>
      <c r="C324" s="8"/>
      <c r="D324" s="8" t="s">
        <v>176</v>
      </c>
      <c r="E324" s="8" t="s">
        <v>9685</v>
      </c>
      <c r="F324" s="7" t="s">
        <v>10668</v>
      </c>
      <c r="G324" s="8" t="n">
        <v>8.7</v>
      </c>
      <c r="H324" s="8"/>
      <c r="I324" s="9" t="n">
        <v>113570</v>
      </c>
      <c r="J324" s="7"/>
      <c r="K324" s="7" t="s">
        <v>112</v>
      </c>
      <c r="L324" s="7" t="s">
        <v>54</v>
      </c>
      <c r="M324" s="10" t="s">
        <v>113</v>
      </c>
      <c r="N324" s="7"/>
      <c r="O324" s="8" t="n">
        <v>0</v>
      </c>
      <c r="P324" s="8" t="n">
        <v>0</v>
      </c>
      <c r="Q324" s="8" t="n">
        <v>0</v>
      </c>
      <c r="R324" s="7"/>
      <c r="S324" s="7" t="s">
        <v>10669</v>
      </c>
    </row>
    <row r="325" customFormat="false" ht="15.75" hidden="false" customHeight="true" outlineLevel="0" collapsed="false">
      <c r="A325" s="7" t="s">
        <v>10670</v>
      </c>
      <c r="B325" s="8" t="n">
        <v>2009</v>
      </c>
      <c r="C325" s="8" t="n">
        <v>2013</v>
      </c>
      <c r="D325" s="8" t="s">
        <v>35</v>
      </c>
      <c r="E325" s="8" t="s">
        <v>9685</v>
      </c>
      <c r="F325" s="7" t="s">
        <v>10671</v>
      </c>
      <c r="G325" s="8" t="n">
        <v>8.1</v>
      </c>
      <c r="H325" s="8"/>
      <c r="I325" s="9" t="n">
        <v>113344</v>
      </c>
      <c r="J325" s="7"/>
      <c r="K325" s="7" t="s">
        <v>38</v>
      </c>
      <c r="L325" s="7" t="s">
        <v>30</v>
      </c>
      <c r="M325" s="10" t="s">
        <v>113</v>
      </c>
      <c r="N325" s="7"/>
      <c r="O325" s="8" t="n">
        <v>0</v>
      </c>
      <c r="P325" s="8" t="n">
        <v>0</v>
      </c>
      <c r="Q325" s="8" t="n">
        <v>0</v>
      </c>
      <c r="R325" s="7"/>
      <c r="S325" s="7" t="s">
        <v>10672</v>
      </c>
    </row>
    <row r="326" customFormat="false" ht="15.75" hidden="false" customHeight="true" outlineLevel="0" collapsed="false">
      <c r="A326" s="7" t="s">
        <v>10673</v>
      </c>
      <c r="B326" s="8" t="n">
        <v>2025</v>
      </c>
      <c r="C326" s="8"/>
      <c r="D326" s="8" t="s">
        <v>378</v>
      </c>
      <c r="E326" s="8" t="s">
        <v>9685</v>
      </c>
      <c r="F326" s="7" t="s">
        <v>10674</v>
      </c>
      <c r="G326" s="8" t="n">
        <v>8.7</v>
      </c>
      <c r="H326" s="8"/>
      <c r="I326" s="9" t="n">
        <v>112636</v>
      </c>
      <c r="J326" s="7"/>
      <c r="K326" s="7" t="s">
        <v>29</v>
      </c>
      <c r="L326" s="7" t="s">
        <v>75</v>
      </c>
      <c r="M326" s="10" t="s">
        <v>210</v>
      </c>
      <c r="N326" s="7"/>
      <c r="O326" s="8" t="n">
        <v>0</v>
      </c>
      <c r="P326" s="8" t="n">
        <v>0</v>
      </c>
      <c r="Q326" s="8" t="n">
        <v>0</v>
      </c>
      <c r="R326" s="7"/>
      <c r="S326" s="7" t="s">
        <v>10675</v>
      </c>
    </row>
    <row r="327" customFormat="false" ht="15.75" hidden="false" customHeight="true" outlineLevel="0" collapsed="false">
      <c r="A327" s="7" t="s">
        <v>10676</v>
      </c>
      <c r="B327" s="8" t="n">
        <v>1975</v>
      </c>
      <c r="C327" s="8" t="n">
        <v>1979</v>
      </c>
      <c r="D327" s="8" t="s">
        <v>61</v>
      </c>
      <c r="E327" s="8" t="s">
        <v>9685</v>
      </c>
      <c r="F327" s="7" t="s">
        <v>10677</v>
      </c>
      <c r="G327" s="8" t="n">
        <v>8.8</v>
      </c>
      <c r="H327" s="8"/>
      <c r="I327" s="9" t="n">
        <v>112032</v>
      </c>
      <c r="J327" s="7"/>
      <c r="K327" s="7" t="s">
        <v>30</v>
      </c>
      <c r="L327" s="7"/>
      <c r="M327" s="10"/>
      <c r="N327" s="7"/>
      <c r="O327" s="8" t="n">
        <v>0</v>
      </c>
      <c r="P327" s="8" t="n">
        <v>0</v>
      </c>
      <c r="Q327" s="8" t="n">
        <v>0</v>
      </c>
      <c r="R327" s="7"/>
      <c r="S327" s="7" t="s">
        <v>10678</v>
      </c>
    </row>
    <row r="328" customFormat="false" ht="15.75" hidden="false" customHeight="true" outlineLevel="0" collapsed="false">
      <c r="A328" s="7" t="s">
        <v>10679</v>
      </c>
      <c r="B328" s="8" t="n">
        <v>2019</v>
      </c>
      <c r="C328" s="8" t="n">
        <v>2022</v>
      </c>
      <c r="D328" s="8" t="s">
        <v>176</v>
      </c>
      <c r="E328" s="8" t="s">
        <v>9685</v>
      </c>
      <c r="F328" s="7" t="s">
        <v>10680</v>
      </c>
      <c r="G328" s="8" t="n">
        <v>7.6</v>
      </c>
      <c r="H328" s="8"/>
      <c r="I328" s="9" t="n">
        <v>111948</v>
      </c>
      <c r="J328" s="7"/>
      <c r="K328" s="7" t="s">
        <v>111</v>
      </c>
      <c r="L328" s="7" t="s">
        <v>112</v>
      </c>
      <c r="M328" s="10" t="s">
        <v>1293</v>
      </c>
      <c r="N328" s="7"/>
      <c r="O328" s="8" t="n">
        <v>0</v>
      </c>
      <c r="P328" s="8" t="n">
        <v>0</v>
      </c>
      <c r="Q328" s="8" t="n">
        <v>0</v>
      </c>
      <c r="R328" s="7"/>
      <c r="S328" s="7" t="s">
        <v>10681</v>
      </c>
    </row>
    <row r="329" customFormat="false" ht="15.75" hidden="false" customHeight="true" outlineLevel="0" collapsed="false">
      <c r="A329" s="7" t="s">
        <v>10682</v>
      </c>
      <c r="B329" s="8" t="n">
        <v>2019</v>
      </c>
      <c r="C329" s="8" t="n">
        <v>2022</v>
      </c>
      <c r="D329" s="8" t="s">
        <v>176</v>
      </c>
      <c r="E329" s="8" t="s">
        <v>9685</v>
      </c>
      <c r="F329" s="7" t="s">
        <v>10683</v>
      </c>
      <c r="G329" s="8" t="n">
        <v>7.9</v>
      </c>
      <c r="H329" s="8"/>
      <c r="I329" s="9" t="n">
        <v>111111</v>
      </c>
      <c r="J329" s="7"/>
      <c r="K329" s="7" t="s">
        <v>30</v>
      </c>
      <c r="L329" s="7" t="s">
        <v>54</v>
      </c>
      <c r="M329" s="10" t="s">
        <v>238</v>
      </c>
      <c r="N329" s="7"/>
      <c r="O329" s="8" t="n">
        <v>0</v>
      </c>
      <c r="P329" s="8" t="n">
        <v>0</v>
      </c>
      <c r="Q329" s="8" t="n">
        <v>20</v>
      </c>
      <c r="R329" s="7"/>
      <c r="S329" s="7" t="s">
        <v>10684</v>
      </c>
    </row>
    <row r="330" customFormat="false" ht="15.75" hidden="false" customHeight="true" outlineLevel="0" collapsed="false">
      <c r="A330" s="7" t="s">
        <v>10685</v>
      </c>
      <c r="B330" s="8" t="n">
        <v>2022</v>
      </c>
      <c r="C330" s="8" t="n">
        <v>2024</v>
      </c>
      <c r="D330" s="8" t="s">
        <v>378</v>
      </c>
      <c r="E330" s="8" t="s">
        <v>9685</v>
      </c>
      <c r="F330" s="7" t="s">
        <v>10686</v>
      </c>
      <c r="G330" s="8" t="n">
        <v>7.3</v>
      </c>
      <c r="H330" s="8"/>
      <c r="I330" s="9" t="n">
        <v>111021</v>
      </c>
      <c r="J330" s="7"/>
      <c r="K330" s="7" t="s">
        <v>111</v>
      </c>
      <c r="L330" s="7" t="s">
        <v>112</v>
      </c>
      <c r="M330" s="10" t="s">
        <v>192</v>
      </c>
      <c r="N330" s="7"/>
      <c r="O330" s="8" t="n">
        <v>0</v>
      </c>
      <c r="P330" s="8" t="n">
        <v>0</v>
      </c>
      <c r="Q330" s="8" t="n">
        <v>0</v>
      </c>
      <c r="R330" s="7"/>
      <c r="S330" s="7" t="s">
        <v>10687</v>
      </c>
    </row>
    <row r="331" customFormat="false" ht="15.75" hidden="false" customHeight="true" outlineLevel="0" collapsed="false">
      <c r="A331" s="7" t="s">
        <v>10688</v>
      </c>
      <c r="B331" s="8" t="n">
        <v>1997</v>
      </c>
      <c r="C331" s="8" t="n">
        <v>2007</v>
      </c>
      <c r="D331" s="8" t="s">
        <v>26</v>
      </c>
      <c r="E331" s="8" t="s">
        <v>9685</v>
      </c>
      <c r="F331" s="7" t="s">
        <v>10689</v>
      </c>
      <c r="G331" s="8" t="n">
        <v>8.4</v>
      </c>
      <c r="H331" s="8"/>
      <c r="I331" s="9" t="n">
        <v>110353</v>
      </c>
      <c r="J331" s="7"/>
      <c r="K331" s="7" t="s">
        <v>112</v>
      </c>
      <c r="L331" s="7" t="s">
        <v>39</v>
      </c>
      <c r="M331" s="10" t="s">
        <v>9981</v>
      </c>
      <c r="N331" s="7"/>
      <c r="O331" s="8" t="n">
        <v>0</v>
      </c>
      <c r="P331" s="8" t="n">
        <v>0</v>
      </c>
      <c r="Q331" s="8" t="n">
        <v>0</v>
      </c>
      <c r="R331" s="7"/>
      <c r="S331" s="7" t="s">
        <v>10690</v>
      </c>
    </row>
    <row r="332" customFormat="false" ht="15.75" hidden="false" customHeight="true" outlineLevel="0" collapsed="false">
      <c r="A332" s="7" t="s">
        <v>10691</v>
      </c>
      <c r="B332" s="8" t="n">
        <v>2017</v>
      </c>
      <c r="C332" s="8" t="n">
        <v>2022</v>
      </c>
      <c r="D332" s="8" t="s">
        <v>176</v>
      </c>
      <c r="E332" s="8" t="s">
        <v>9685</v>
      </c>
      <c r="F332" s="7" t="s">
        <v>10692</v>
      </c>
      <c r="G332" s="8" t="n">
        <v>8</v>
      </c>
      <c r="H332" s="8"/>
      <c r="I332" s="9" t="n">
        <v>110343</v>
      </c>
      <c r="J332" s="7"/>
      <c r="K332" s="7" t="s">
        <v>111</v>
      </c>
      <c r="L332" s="7" t="s">
        <v>39</v>
      </c>
      <c r="M332" s="10" t="s">
        <v>177</v>
      </c>
      <c r="N332" s="7"/>
      <c r="O332" s="8" t="n">
        <v>0</v>
      </c>
      <c r="P332" s="8" t="n">
        <v>0</v>
      </c>
      <c r="Q332" s="8" t="n">
        <v>9</v>
      </c>
      <c r="R332" s="7"/>
      <c r="S332" s="7" t="s">
        <v>10693</v>
      </c>
    </row>
    <row r="333" customFormat="false" ht="15.75" hidden="false" customHeight="true" outlineLevel="0" collapsed="false">
      <c r="A333" s="7" t="s">
        <v>10694</v>
      </c>
      <c r="B333" s="8" t="n">
        <v>2021</v>
      </c>
      <c r="C333" s="8"/>
      <c r="D333" s="8" t="s">
        <v>378</v>
      </c>
      <c r="E333" s="8" t="s">
        <v>9685</v>
      </c>
      <c r="F333" s="7" t="s">
        <v>10695</v>
      </c>
      <c r="G333" s="8" t="n">
        <v>7.5</v>
      </c>
      <c r="H333" s="8"/>
      <c r="I333" s="9" t="n">
        <v>110117</v>
      </c>
      <c r="J333" s="7"/>
      <c r="K333" s="7" t="s">
        <v>30</v>
      </c>
      <c r="L333" s="7" t="s">
        <v>47</v>
      </c>
      <c r="M333" s="10" t="s">
        <v>238</v>
      </c>
      <c r="N333" s="7"/>
      <c r="O333" s="8" t="n">
        <v>0</v>
      </c>
      <c r="P333" s="8" t="n">
        <v>0</v>
      </c>
      <c r="Q333" s="8" t="n">
        <v>0</v>
      </c>
      <c r="R333" s="7"/>
      <c r="S333" s="7" t="s">
        <v>10696</v>
      </c>
    </row>
    <row r="334" customFormat="false" ht="15.75" hidden="false" customHeight="true" outlineLevel="0" collapsed="false">
      <c r="A334" s="7" t="s">
        <v>10697</v>
      </c>
      <c r="B334" s="8" t="n">
        <v>2020</v>
      </c>
      <c r="C334" s="8" t="n">
        <v>2026</v>
      </c>
      <c r="D334" s="8" t="s">
        <v>378</v>
      </c>
      <c r="E334" s="8" t="s">
        <v>9685</v>
      </c>
      <c r="F334" s="7" t="s">
        <v>10698</v>
      </c>
      <c r="G334" s="8" t="n">
        <v>7.5</v>
      </c>
      <c r="H334" s="8"/>
      <c r="I334" s="9" t="n">
        <v>110069</v>
      </c>
      <c r="J334" s="7"/>
      <c r="K334" s="7" t="s">
        <v>112</v>
      </c>
      <c r="L334" s="7" t="s">
        <v>54</v>
      </c>
      <c r="M334" s="10" t="s">
        <v>238</v>
      </c>
      <c r="N334" s="7"/>
      <c r="O334" s="8" t="n">
        <v>0</v>
      </c>
      <c r="P334" s="8" t="n">
        <v>0</v>
      </c>
      <c r="Q334" s="8" t="n">
        <v>0</v>
      </c>
      <c r="R334" s="7"/>
      <c r="S334" s="7" t="s">
        <v>10699</v>
      </c>
    </row>
    <row r="335" customFormat="false" ht="15.75" hidden="false" customHeight="true" outlineLevel="0" collapsed="false">
      <c r="A335" s="7" t="s">
        <v>10700</v>
      </c>
      <c r="B335" s="8" t="n">
        <v>1959</v>
      </c>
      <c r="C335" s="8" t="n">
        <v>1964</v>
      </c>
      <c r="D335" s="8" t="s">
        <v>196</v>
      </c>
      <c r="E335" s="8" t="s">
        <v>9685</v>
      </c>
      <c r="F335" s="7" t="s">
        <v>10701</v>
      </c>
      <c r="G335" s="8" t="n">
        <v>9</v>
      </c>
      <c r="H335" s="8"/>
      <c r="I335" s="9" t="n">
        <v>109822</v>
      </c>
      <c r="J335" s="7"/>
      <c r="K335" s="7" t="s">
        <v>147</v>
      </c>
      <c r="L335" s="7" t="s">
        <v>38</v>
      </c>
      <c r="M335" s="10"/>
      <c r="N335" s="7"/>
      <c r="O335" s="8" t="n">
        <v>0</v>
      </c>
      <c r="P335" s="8" t="n">
        <v>0</v>
      </c>
      <c r="Q335" s="8" t="n">
        <v>1</v>
      </c>
      <c r="R335" s="7"/>
      <c r="S335" s="7" t="s">
        <v>10702</v>
      </c>
    </row>
    <row r="336" customFormat="false" ht="15.75" hidden="false" customHeight="true" outlineLevel="0" collapsed="false">
      <c r="A336" s="7" t="s">
        <v>10703</v>
      </c>
      <c r="B336" s="8" t="n">
        <v>2022</v>
      </c>
      <c r="C336" s="8" t="n">
        <v>2022</v>
      </c>
      <c r="D336" s="8" t="s">
        <v>378</v>
      </c>
      <c r="E336" s="8" t="s">
        <v>9685</v>
      </c>
      <c r="F336" s="7" t="s">
        <v>10704</v>
      </c>
      <c r="G336" s="8" t="n">
        <v>8.3</v>
      </c>
      <c r="H336" s="8"/>
      <c r="I336" s="9" t="n">
        <v>109347</v>
      </c>
      <c r="J336" s="7"/>
      <c r="K336" s="7" t="s">
        <v>579</v>
      </c>
      <c r="L336" s="7" t="s">
        <v>38</v>
      </c>
      <c r="M336" s="10" t="s">
        <v>3455</v>
      </c>
      <c r="N336" s="7"/>
      <c r="O336" s="8" t="n">
        <v>0</v>
      </c>
      <c r="P336" s="8" t="n">
        <v>0</v>
      </c>
      <c r="Q336" s="8" t="n">
        <v>0</v>
      </c>
      <c r="R336" s="7"/>
      <c r="S336" s="7" t="s">
        <v>10705</v>
      </c>
    </row>
    <row r="337" customFormat="false" ht="15.75" hidden="false" customHeight="true" outlineLevel="0" collapsed="false">
      <c r="A337" s="7" t="s">
        <v>10706</v>
      </c>
      <c r="B337" s="8" t="n">
        <v>2020</v>
      </c>
      <c r="C337" s="8" t="n">
        <v>2022</v>
      </c>
      <c r="D337" s="8" t="s">
        <v>378</v>
      </c>
      <c r="E337" s="8" t="s">
        <v>9685</v>
      </c>
      <c r="F337" s="7" t="s">
        <v>10707</v>
      </c>
      <c r="G337" s="8" t="n">
        <v>7.3</v>
      </c>
      <c r="H337" s="8"/>
      <c r="I337" s="9" t="n">
        <v>108913</v>
      </c>
      <c r="J337" s="7"/>
      <c r="K337" s="7" t="s">
        <v>147</v>
      </c>
      <c r="L337" s="7" t="s">
        <v>38</v>
      </c>
      <c r="M337" s="10" t="s">
        <v>238</v>
      </c>
      <c r="N337" s="7"/>
      <c r="O337" s="8" t="n">
        <v>0</v>
      </c>
      <c r="P337" s="8" t="n">
        <v>0</v>
      </c>
      <c r="Q337" s="8" t="n">
        <v>0</v>
      </c>
      <c r="R337" s="7"/>
      <c r="S337" s="7" t="s">
        <v>10708</v>
      </c>
    </row>
    <row r="338" customFormat="false" ht="15.75" hidden="false" customHeight="true" outlineLevel="0" collapsed="false">
      <c r="A338" s="7" t="s">
        <v>10709</v>
      </c>
      <c r="B338" s="8" t="n">
        <v>2015</v>
      </c>
      <c r="C338" s="8" t="n">
        <v>2018</v>
      </c>
      <c r="D338" s="8" t="s">
        <v>176</v>
      </c>
      <c r="E338" s="8" t="s">
        <v>9685</v>
      </c>
      <c r="F338" s="7" t="s">
        <v>10710</v>
      </c>
      <c r="G338" s="8" t="n">
        <v>8.5</v>
      </c>
      <c r="H338" s="8"/>
      <c r="I338" s="9" t="n">
        <v>108801</v>
      </c>
      <c r="J338" s="7"/>
      <c r="K338" s="7" t="s">
        <v>2730</v>
      </c>
      <c r="L338" s="7" t="s">
        <v>54</v>
      </c>
      <c r="M338" s="10" t="s">
        <v>238</v>
      </c>
      <c r="N338" s="7"/>
      <c r="O338" s="8" t="n">
        <v>7</v>
      </c>
      <c r="P338" s="8" t="n">
        <v>0</v>
      </c>
      <c r="Q338" s="8" t="n">
        <v>10</v>
      </c>
      <c r="R338" s="7"/>
      <c r="S338" s="7" t="s">
        <v>10711</v>
      </c>
    </row>
    <row r="339" customFormat="false" ht="15.75" hidden="false" customHeight="true" outlineLevel="0" collapsed="false">
      <c r="A339" s="7" t="s">
        <v>10712</v>
      </c>
      <c r="B339" s="8" t="n">
        <v>2025</v>
      </c>
      <c r="C339" s="8"/>
      <c r="D339" s="8" t="s">
        <v>378</v>
      </c>
      <c r="E339" s="8" t="s">
        <v>9685</v>
      </c>
      <c r="F339" s="7" t="s">
        <v>10713</v>
      </c>
      <c r="G339" s="8" t="n">
        <v>7.1</v>
      </c>
      <c r="H339" s="8"/>
      <c r="I339" s="9" t="n">
        <v>108408</v>
      </c>
      <c r="J339" s="7"/>
      <c r="K339" s="7" t="s">
        <v>147</v>
      </c>
      <c r="L339" s="7" t="s">
        <v>111</v>
      </c>
      <c r="M339" s="10" t="s">
        <v>177</v>
      </c>
      <c r="N339" s="7"/>
      <c r="O339" s="8" t="n">
        <v>0</v>
      </c>
      <c r="P339" s="8" t="n">
        <v>0</v>
      </c>
      <c r="Q339" s="8" t="n">
        <v>0</v>
      </c>
      <c r="R339" s="7"/>
      <c r="S339" s="7" t="s">
        <v>10714</v>
      </c>
    </row>
    <row r="340" customFormat="false" ht="15.75" hidden="false" customHeight="true" outlineLevel="0" collapsed="false">
      <c r="A340" s="7" t="s">
        <v>10715</v>
      </c>
      <c r="B340" s="8" t="n">
        <v>2006</v>
      </c>
      <c r="C340" s="8" t="n">
        <v>2008</v>
      </c>
      <c r="D340" s="8" t="s">
        <v>35</v>
      </c>
      <c r="E340" s="8" t="s">
        <v>9685</v>
      </c>
      <c r="F340" s="7" t="s">
        <v>10716</v>
      </c>
      <c r="G340" s="8" t="n">
        <v>8.7</v>
      </c>
      <c r="H340" s="8"/>
      <c r="I340" s="9" t="n">
        <v>107720</v>
      </c>
      <c r="J340" s="7"/>
      <c r="K340" s="7" t="s">
        <v>579</v>
      </c>
      <c r="L340" s="7" t="s">
        <v>112</v>
      </c>
      <c r="M340" s="10" t="s">
        <v>3522</v>
      </c>
      <c r="N340" s="7"/>
      <c r="O340" s="8" t="n">
        <v>0</v>
      </c>
      <c r="P340" s="8" t="n">
        <v>0</v>
      </c>
      <c r="Q340" s="8" t="n">
        <v>0</v>
      </c>
      <c r="R340" s="7"/>
      <c r="S340" s="7" t="s">
        <v>10717</v>
      </c>
    </row>
    <row r="341" customFormat="false" ht="15.75" hidden="false" customHeight="true" outlineLevel="0" collapsed="false">
      <c r="A341" s="7" t="s">
        <v>10718</v>
      </c>
      <c r="B341" s="8" t="n">
        <v>2023</v>
      </c>
      <c r="C341" s="8"/>
      <c r="D341" s="8" t="s">
        <v>378</v>
      </c>
      <c r="E341" s="8" t="s">
        <v>9685</v>
      </c>
      <c r="F341" s="7" t="s">
        <v>10719</v>
      </c>
      <c r="G341" s="8" t="n">
        <v>8.7</v>
      </c>
      <c r="H341" s="8"/>
      <c r="I341" s="9" t="n">
        <v>106350</v>
      </c>
      <c r="J341" s="7"/>
      <c r="K341" s="7" t="s">
        <v>579</v>
      </c>
      <c r="L341" s="7" t="s">
        <v>112</v>
      </c>
      <c r="M341" s="10" t="s">
        <v>238</v>
      </c>
      <c r="N341" s="7"/>
      <c r="O341" s="8" t="n">
        <v>0</v>
      </c>
      <c r="P341" s="8" t="n">
        <v>0</v>
      </c>
      <c r="Q341" s="8" t="n">
        <v>0</v>
      </c>
      <c r="R341" s="7"/>
      <c r="S341" s="7" t="s">
        <v>10720</v>
      </c>
    </row>
    <row r="342" customFormat="false" ht="15.75" hidden="false" customHeight="true" outlineLevel="0" collapsed="false">
      <c r="A342" s="7" t="s">
        <v>10721</v>
      </c>
      <c r="B342" s="8" t="n">
        <v>2018</v>
      </c>
      <c r="C342" s="8" t="n">
        <v>2023</v>
      </c>
      <c r="D342" s="8" t="s">
        <v>176</v>
      </c>
      <c r="E342" s="8" t="s">
        <v>9685</v>
      </c>
      <c r="F342" s="7" t="s">
        <v>10722</v>
      </c>
      <c r="G342" s="8" t="n">
        <v>7</v>
      </c>
      <c r="H342" s="8"/>
      <c r="I342" s="9" t="n">
        <v>106224</v>
      </c>
      <c r="J342" s="7"/>
      <c r="K342" s="7" t="s">
        <v>111</v>
      </c>
      <c r="L342" s="7" t="s">
        <v>125</v>
      </c>
      <c r="M342" s="10" t="s">
        <v>238</v>
      </c>
      <c r="N342" s="7"/>
      <c r="O342" s="8" t="n">
        <v>0</v>
      </c>
      <c r="P342" s="8" t="n">
        <v>0</v>
      </c>
      <c r="Q342" s="8" t="n">
        <v>0</v>
      </c>
      <c r="R342" s="7"/>
      <c r="S342" s="7" t="s">
        <v>10723</v>
      </c>
    </row>
    <row r="343" customFormat="false" ht="15.75" hidden="false" customHeight="true" outlineLevel="0" collapsed="false">
      <c r="A343" s="7" t="s">
        <v>10724</v>
      </c>
      <c r="B343" s="8" t="n">
        <v>2022</v>
      </c>
      <c r="C343" s="8" t="n">
        <v>2025</v>
      </c>
      <c r="D343" s="8" t="s">
        <v>378</v>
      </c>
      <c r="E343" s="8" t="s">
        <v>9685</v>
      </c>
      <c r="F343" s="7" t="s">
        <v>10725</v>
      </c>
      <c r="G343" s="8" t="n">
        <v>8.3</v>
      </c>
      <c r="H343" s="8"/>
      <c r="I343" s="9" t="n">
        <v>105885</v>
      </c>
      <c r="J343" s="7"/>
      <c r="K343" s="7" t="s">
        <v>268</v>
      </c>
      <c r="L343" s="7" t="s">
        <v>47</v>
      </c>
      <c r="M343" s="10" t="s">
        <v>192</v>
      </c>
      <c r="N343" s="7"/>
      <c r="O343" s="8" t="n">
        <v>0</v>
      </c>
      <c r="P343" s="8" t="n">
        <v>0</v>
      </c>
      <c r="Q343" s="8" t="n">
        <v>0</v>
      </c>
      <c r="R343" s="7"/>
      <c r="S343" s="7" t="s">
        <v>10726</v>
      </c>
    </row>
    <row r="344" customFormat="false" ht="15.75" hidden="false" customHeight="true" outlineLevel="0" collapsed="false">
      <c r="A344" s="7" t="s">
        <v>10727</v>
      </c>
      <c r="B344" s="8" t="n">
        <v>2014</v>
      </c>
      <c r="C344" s="8"/>
      <c r="D344" s="8" t="s">
        <v>176</v>
      </c>
      <c r="E344" s="8" t="s">
        <v>9685</v>
      </c>
      <c r="F344" s="7" t="s">
        <v>10728</v>
      </c>
      <c r="G344" s="8" t="n">
        <v>8.8</v>
      </c>
      <c r="H344" s="8"/>
      <c r="I344" s="9" t="n">
        <v>105764</v>
      </c>
      <c r="J344" s="7"/>
      <c r="K344" s="7" t="s">
        <v>30</v>
      </c>
      <c r="L344" s="7"/>
      <c r="M344" s="10"/>
      <c r="N344" s="7"/>
      <c r="O344" s="8" t="n">
        <v>148</v>
      </c>
      <c r="P344" s="8" t="n">
        <v>0</v>
      </c>
      <c r="Q344" s="8" t="n">
        <v>240</v>
      </c>
      <c r="R344" s="7"/>
      <c r="S344" s="7" t="s">
        <v>10729</v>
      </c>
    </row>
    <row r="345" customFormat="false" ht="15.75" hidden="false" customHeight="true" outlineLevel="0" collapsed="false">
      <c r="A345" s="7" t="s">
        <v>10730</v>
      </c>
      <c r="B345" s="8" t="n">
        <v>2003</v>
      </c>
      <c r="C345" s="8" t="n">
        <v>2007</v>
      </c>
      <c r="D345" s="8" t="s">
        <v>35</v>
      </c>
      <c r="E345" s="8" t="s">
        <v>9685</v>
      </c>
      <c r="F345" s="7" t="s">
        <v>10731</v>
      </c>
      <c r="G345" s="8" t="n">
        <v>7.6</v>
      </c>
      <c r="H345" s="8"/>
      <c r="I345" s="9" t="n">
        <v>104879</v>
      </c>
      <c r="J345" s="7"/>
      <c r="K345" s="7" t="s">
        <v>29</v>
      </c>
      <c r="L345" s="7" t="s">
        <v>30</v>
      </c>
      <c r="M345" s="10" t="s">
        <v>69</v>
      </c>
      <c r="N345" s="7"/>
      <c r="O345" s="8" t="n">
        <v>0</v>
      </c>
      <c r="P345" s="8" t="n">
        <v>0</v>
      </c>
      <c r="Q345" s="8" t="n">
        <v>0</v>
      </c>
      <c r="R345" s="7"/>
      <c r="S345" s="7" t="s">
        <v>10732</v>
      </c>
    </row>
    <row r="346" customFormat="false" ht="15.75" hidden="false" customHeight="true" outlineLevel="0" collapsed="false">
      <c r="A346" s="7" t="s">
        <v>10217</v>
      </c>
      <c r="B346" s="8" t="n">
        <v>1989</v>
      </c>
      <c r="C346" s="8" t="n">
        <v>1996</v>
      </c>
      <c r="D346" s="8" t="s">
        <v>109</v>
      </c>
      <c r="E346" s="8" t="s">
        <v>9685</v>
      </c>
      <c r="F346" s="7" t="s">
        <v>10733</v>
      </c>
      <c r="G346" s="8" t="n">
        <v>8.8</v>
      </c>
      <c r="H346" s="8"/>
      <c r="I346" s="9" t="n">
        <v>104669</v>
      </c>
      <c r="J346" s="7"/>
      <c r="K346" s="7" t="s">
        <v>579</v>
      </c>
      <c r="L346" s="7" t="s">
        <v>112</v>
      </c>
      <c r="M346" s="10" t="s">
        <v>1686</v>
      </c>
      <c r="N346" s="7"/>
      <c r="O346" s="8" t="n">
        <v>0</v>
      </c>
      <c r="P346" s="8" t="n">
        <v>0</v>
      </c>
      <c r="Q346" s="8" t="n">
        <v>0</v>
      </c>
      <c r="R346" s="7"/>
      <c r="S346" s="7" t="s">
        <v>10734</v>
      </c>
    </row>
    <row r="347" customFormat="false" ht="15.75" hidden="false" customHeight="true" outlineLevel="0" collapsed="false">
      <c r="A347" s="7" t="s">
        <v>613</v>
      </c>
      <c r="B347" s="8" t="n">
        <v>1995</v>
      </c>
      <c r="C347" s="8" t="n">
        <v>1995</v>
      </c>
      <c r="D347" s="8" t="s">
        <v>26</v>
      </c>
      <c r="E347" s="8" t="s">
        <v>9715</v>
      </c>
      <c r="F347" s="7" t="s">
        <v>10735</v>
      </c>
      <c r="G347" s="8" t="n">
        <v>8.8</v>
      </c>
      <c r="H347" s="8"/>
      <c r="I347" s="9" t="n">
        <v>104576</v>
      </c>
      <c r="J347" s="7"/>
      <c r="K347" s="7" t="s">
        <v>29</v>
      </c>
      <c r="L347" s="7" t="s">
        <v>47</v>
      </c>
      <c r="M347" s="10" t="s">
        <v>10736</v>
      </c>
      <c r="N347" s="7"/>
      <c r="O347" s="8" t="n">
        <v>0</v>
      </c>
      <c r="P347" s="8" t="n">
        <v>0</v>
      </c>
      <c r="Q347" s="8" t="n">
        <v>0</v>
      </c>
      <c r="R347" s="7"/>
      <c r="S347" s="7" t="s">
        <v>10737</v>
      </c>
    </row>
    <row r="348" customFormat="false" ht="15.75" hidden="false" customHeight="true" outlineLevel="0" collapsed="false">
      <c r="A348" s="7" t="s">
        <v>5886</v>
      </c>
      <c r="B348" s="8" t="n">
        <v>2017</v>
      </c>
      <c r="C348" s="8" t="n">
        <v>2019</v>
      </c>
      <c r="D348" s="8" t="s">
        <v>176</v>
      </c>
      <c r="E348" s="8" t="s">
        <v>9685</v>
      </c>
      <c r="F348" s="7" t="s">
        <v>10738</v>
      </c>
      <c r="G348" s="8" t="n">
        <v>8.1</v>
      </c>
      <c r="H348" s="8"/>
      <c r="I348" s="9" t="n">
        <v>104315</v>
      </c>
      <c r="J348" s="7"/>
      <c r="K348" s="7" t="s">
        <v>111</v>
      </c>
      <c r="L348" s="7" t="s">
        <v>131</v>
      </c>
      <c r="M348" s="10" t="s">
        <v>177</v>
      </c>
      <c r="N348" s="7"/>
      <c r="O348" s="8" t="n">
        <v>0</v>
      </c>
      <c r="P348" s="8" t="n">
        <v>0</v>
      </c>
      <c r="Q348" s="8" t="n">
        <v>1</v>
      </c>
      <c r="R348" s="7"/>
      <c r="S348" s="7" t="s">
        <v>10739</v>
      </c>
    </row>
    <row r="349" customFormat="false" ht="15.75" hidden="false" customHeight="true" outlineLevel="0" collapsed="false">
      <c r="A349" s="7" t="s">
        <v>10740</v>
      </c>
      <c r="B349" s="8" t="n">
        <v>2011</v>
      </c>
      <c r="C349" s="8" t="n">
        <v>2023</v>
      </c>
      <c r="D349" s="8" t="s">
        <v>176</v>
      </c>
      <c r="E349" s="8" t="s">
        <v>9685</v>
      </c>
      <c r="F349" s="7" t="s">
        <v>10741</v>
      </c>
      <c r="G349" s="8" t="n">
        <v>9</v>
      </c>
      <c r="H349" s="8"/>
      <c r="I349" s="9" t="n">
        <v>103884</v>
      </c>
      <c r="J349" s="7"/>
      <c r="K349" s="7" t="s">
        <v>39</v>
      </c>
      <c r="L349" s="7" t="s">
        <v>30</v>
      </c>
      <c r="M349" s="10"/>
      <c r="N349" s="7"/>
      <c r="O349" s="8" t="n">
        <v>0</v>
      </c>
      <c r="P349" s="8" t="n">
        <v>0</v>
      </c>
      <c r="Q349" s="8" t="n">
        <v>0</v>
      </c>
      <c r="R349" s="7"/>
      <c r="S349" s="7" t="s">
        <v>10742</v>
      </c>
    </row>
    <row r="350" customFormat="false" ht="15.75" hidden="false" customHeight="true" outlineLevel="0" collapsed="false">
      <c r="A350" s="7" t="s">
        <v>10743</v>
      </c>
      <c r="B350" s="8" t="n">
        <v>1993</v>
      </c>
      <c r="C350" s="8" t="n">
        <v>2004</v>
      </c>
      <c r="D350" s="8" t="s">
        <v>26</v>
      </c>
      <c r="E350" s="8" t="s">
        <v>9685</v>
      </c>
      <c r="F350" s="7" t="s">
        <v>10744</v>
      </c>
      <c r="G350" s="8" t="n">
        <v>8.2</v>
      </c>
      <c r="H350" s="8"/>
      <c r="I350" s="9" t="n">
        <v>103805</v>
      </c>
      <c r="J350" s="7"/>
      <c r="K350" s="7" t="s">
        <v>30</v>
      </c>
      <c r="L350" s="7"/>
      <c r="M350" s="10" t="s">
        <v>192</v>
      </c>
      <c r="N350" s="7"/>
      <c r="O350" s="8" t="n">
        <v>12</v>
      </c>
      <c r="P350" s="8" t="n">
        <v>0</v>
      </c>
      <c r="Q350" s="8" t="n">
        <v>32</v>
      </c>
      <c r="R350" s="7"/>
      <c r="S350" s="7" t="s">
        <v>10745</v>
      </c>
    </row>
    <row r="351" customFormat="false" ht="15.75" hidden="false" customHeight="true" outlineLevel="0" collapsed="false">
      <c r="A351" s="7" t="s">
        <v>10746</v>
      </c>
      <c r="B351" s="8" t="n">
        <v>2011</v>
      </c>
      <c r="C351" s="8"/>
      <c r="D351" s="8" t="s">
        <v>176</v>
      </c>
      <c r="E351" s="8" t="s">
        <v>9685</v>
      </c>
      <c r="F351" s="7" t="s">
        <v>10747</v>
      </c>
      <c r="G351" s="8" t="n">
        <v>8.2</v>
      </c>
      <c r="H351" s="8"/>
      <c r="I351" s="9" t="n">
        <v>103390</v>
      </c>
      <c r="J351" s="7"/>
      <c r="K351" s="7" t="s">
        <v>579</v>
      </c>
      <c r="L351" s="7" t="s">
        <v>30</v>
      </c>
      <c r="M351" s="10" t="s">
        <v>177</v>
      </c>
      <c r="N351" s="7"/>
      <c r="O351" s="8" t="n">
        <v>18</v>
      </c>
      <c r="P351" s="8" t="n">
        <v>0</v>
      </c>
      <c r="Q351" s="8" t="n">
        <v>140</v>
      </c>
      <c r="R351" s="7"/>
      <c r="S351" s="7" t="s">
        <v>10748</v>
      </c>
    </row>
    <row r="352" customFormat="false" ht="15.75" hidden="false" customHeight="true" outlineLevel="0" collapsed="false">
      <c r="A352" s="7" t="s">
        <v>10749</v>
      </c>
      <c r="B352" s="8" t="n">
        <v>2016</v>
      </c>
      <c r="C352" s="8" t="n">
        <v>2021</v>
      </c>
      <c r="D352" s="8" t="s">
        <v>176</v>
      </c>
      <c r="E352" s="8" t="s">
        <v>9685</v>
      </c>
      <c r="F352" s="7" t="s">
        <v>10750</v>
      </c>
      <c r="G352" s="8" t="n">
        <v>8.4</v>
      </c>
      <c r="H352" s="8"/>
      <c r="I352" s="9" t="n">
        <v>102888</v>
      </c>
      <c r="J352" s="7"/>
      <c r="K352" s="7" t="s">
        <v>47</v>
      </c>
      <c r="L352" s="7" t="s">
        <v>54</v>
      </c>
      <c r="M352" s="7"/>
      <c r="N352" s="7"/>
      <c r="O352" s="8" t="n">
        <v>0</v>
      </c>
      <c r="P352" s="8" t="n">
        <v>0</v>
      </c>
      <c r="Q352" s="8" t="n">
        <v>0</v>
      </c>
      <c r="R352" s="7"/>
      <c r="S352" s="7"/>
    </row>
    <row r="353" customFormat="false" ht="15.75" hidden="false" customHeight="true" outlineLevel="0" collapsed="false">
      <c r="A353" s="7" t="s">
        <v>10751</v>
      </c>
      <c r="B353" s="8" t="n">
        <v>2018</v>
      </c>
      <c r="C353" s="8" t="n">
        <v>2024</v>
      </c>
      <c r="D353" s="8" t="s">
        <v>176</v>
      </c>
      <c r="E353" s="8" t="s">
        <v>9685</v>
      </c>
      <c r="F353" s="7" t="s">
        <v>10752</v>
      </c>
      <c r="G353" s="8" t="n">
        <v>7.1</v>
      </c>
      <c r="H353" s="8"/>
      <c r="I353" s="9" t="n">
        <v>102879</v>
      </c>
      <c r="J353" s="7"/>
      <c r="K353" s="7" t="s">
        <v>131</v>
      </c>
      <c r="L353" s="7" t="s">
        <v>54</v>
      </c>
      <c r="M353" s="10" t="s">
        <v>238</v>
      </c>
      <c r="N353" s="7"/>
      <c r="O353" s="8" t="n">
        <v>0</v>
      </c>
      <c r="P353" s="8" t="n">
        <v>0</v>
      </c>
      <c r="Q353" s="8" t="n">
        <v>0</v>
      </c>
      <c r="R353" s="7"/>
      <c r="S353" s="7" t="s">
        <v>10753</v>
      </c>
    </row>
    <row r="354" customFormat="false" ht="15.75" hidden="false" customHeight="true" outlineLevel="0" collapsed="false">
      <c r="A354" s="7" t="s">
        <v>10754</v>
      </c>
      <c r="B354" s="8" t="n">
        <v>2002</v>
      </c>
      <c r="C354" s="8" t="n">
        <v>2009</v>
      </c>
      <c r="D354" s="8" t="s">
        <v>35</v>
      </c>
      <c r="E354" s="8" t="s">
        <v>9685</v>
      </c>
      <c r="F354" s="7" t="s">
        <v>10755</v>
      </c>
      <c r="G354" s="8" t="n">
        <v>8.1</v>
      </c>
      <c r="H354" s="8"/>
      <c r="I354" s="9" t="n">
        <v>102536</v>
      </c>
      <c r="J354" s="7"/>
      <c r="K354" s="7" t="s">
        <v>30</v>
      </c>
      <c r="L354" s="7" t="s">
        <v>54</v>
      </c>
      <c r="M354" s="10" t="s">
        <v>113</v>
      </c>
      <c r="N354" s="7"/>
      <c r="O354" s="8" t="n">
        <v>6</v>
      </c>
      <c r="P354" s="8" t="n">
        <v>0</v>
      </c>
      <c r="Q354" s="8" t="n">
        <v>14</v>
      </c>
      <c r="R354" s="7"/>
      <c r="S354" s="7" t="s">
        <v>10756</v>
      </c>
    </row>
    <row r="355" customFormat="false" ht="15.75" hidden="false" customHeight="true" outlineLevel="0" collapsed="false">
      <c r="A355" s="7" t="s">
        <v>10757</v>
      </c>
      <c r="B355" s="8" t="n">
        <v>2018</v>
      </c>
      <c r="C355" s="8" t="n">
        <v>2021</v>
      </c>
      <c r="D355" s="8" t="s">
        <v>176</v>
      </c>
      <c r="E355" s="8" t="s">
        <v>9685</v>
      </c>
      <c r="F355" s="7" t="s">
        <v>10758</v>
      </c>
      <c r="G355" s="8" t="n">
        <v>8.3</v>
      </c>
      <c r="H355" s="8"/>
      <c r="I355" s="9" t="n">
        <v>102425</v>
      </c>
      <c r="J355" s="7"/>
      <c r="K355" s="7" t="s">
        <v>47</v>
      </c>
      <c r="L355" s="7" t="s">
        <v>54</v>
      </c>
      <c r="M355" s="10" t="s">
        <v>238</v>
      </c>
      <c r="N355" s="7"/>
      <c r="O355" s="8" t="n">
        <v>0</v>
      </c>
      <c r="P355" s="8" t="n">
        <v>0</v>
      </c>
      <c r="Q355" s="8" t="n">
        <v>0</v>
      </c>
      <c r="R355" s="7"/>
      <c r="S355" s="7" t="s">
        <v>10759</v>
      </c>
    </row>
    <row r="356" customFormat="false" ht="15.75" hidden="false" customHeight="true" outlineLevel="0" collapsed="false">
      <c r="A356" s="7" t="s">
        <v>10760</v>
      </c>
      <c r="B356" s="8" t="n">
        <v>2020</v>
      </c>
      <c r="C356" s="8" t="n">
        <v>2023</v>
      </c>
      <c r="D356" s="8" t="s">
        <v>378</v>
      </c>
      <c r="E356" s="8" t="s">
        <v>9685</v>
      </c>
      <c r="F356" s="7" t="s">
        <v>10761</v>
      </c>
      <c r="G356" s="8" t="n">
        <v>7.5</v>
      </c>
      <c r="H356" s="8"/>
      <c r="I356" s="9" t="n">
        <v>102176</v>
      </c>
      <c r="J356" s="7"/>
      <c r="K356" s="7" t="s">
        <v>112</v>
      </c>
      <c r="L356" s="7" t="s">
        <v>39</v>
      </c>
      <c r="M356" s="10" t="s">
        <v>5259</v>
      </c>
      <c r="N356" s="7"/>
      <c r="O356" s="8" t="n">
        <v>6</v>
      </c>
      <c r="P356" s="8" t="n">
        <v>0</v>
      </c>
      <c r="Q356" s="8" t="n">
        <v>32</v>
      </c>
      <c r="R356" s="7"/>
      <c r="S356" s="7" t="s">
        <v>10762</v>
      </c>
    </row>
    <row r="357" customFormat="false" ht="15.75" hidden="false" customHeight="true" outlineLevel="0" collapsed="false">
      <c r="A357" s="7" t="s">
        <v>10763</v>
      </c>
      <c r="B357" s="8" t="n">
        <v>1966</v>
      </c>
      <c r="C357" s="8" t="n">
        <v>1969</v>
      </c>
      <c r="D357" s="8" t="s">
        <v>122</v>
      </c>
      <c r="E357" s="8" t="s">
        <v>9685</v>
      </c>
      <c r="F357" s="7" t="s">
        <v>10764</v>
      </c>
      <c r="G357" s="8" t="n">
        <v>8.4</v>
      </c>
      <c r="H357" s="8"/>
      <c r="I357" s="9" t="n">
        <v>101621</v>
      </c>
      <c r="J357" s="7"/>
      <c r="K357" s="7" t="s">
        <v>111</v>
      </c>
      <c r="L357" s="7" t="s">
        <v>112</v>
      </c>
      <c r="M357" s="7"/>
      <c r="N357" s="7"/>
      <c r="O357" s="8" t="n">
        <v>0</v>
      </c>
      <c r="P357" s="8" t="n">
        <v>0</v>
      </c>
      <c r="Q357" s="8" t="n">
        <v>1</v>
      </c>
      <c r="R357" s="7"/>
      <c r="S357" s="7"/>
    </row>
    <row r="358" customFormat="false" ht="15.75" hidden="false" customHeight="true" outlineLevel="0" collapsed="false">
      <c r="A358" s="7" t="s">
        <v>10765</v>
      </c>
      <c r="B358" s="8" t="n">
        <v>2008</v>
      </c>
      <c r="C358" s="8" t="n">
        <v>2010</v>
      </c>
      <c r="D358" s="8" t="s">
        <v>35</v>
      </c>
      <c r="E358" s="8" t="s">
        <v>9685</v>
      </c>
      <c r="F358" s="7" t="s">
        <v>10766</v>
      </c>
      <c r="G358" s="8" t="n">
        <v>8.4</v>
      </c>
      <c r="H358" s="8"/>
      <c r="I358" s="9" t="n">
        <v>101607</v>
      </c>
      <c r="J358" s="7"/>
      <c r="K358" s="7" t="s">
        <v>30</v>
      </c>
      <c r="L358" s="7"/>
      <c r="M358" s="10"/>
      <c r="N358" s="7"/>
      <c r="O358" s="8" t="n">
        <v>0</v>
      </c>
      <c r="P358" s="8" t="n">
        <v>0</v>
      </c>
      <c r="Q358" s="8" t="n">
        <v>0</v>
      </c>
      <c r="R358" s="7"/>
      <c r="S358" s="7" t="s">
        <v>10767</v>
      </c>
    </row>
    <row r="359" customFormat="false" ht="15.75" hidden="false" customHeight="true" outlineLevel="0" collapsed="false">
      <c r="A359" s="7" t="s">
        <v>10768</v>
      </c>
      <c r="B359" s="8" t="n">
        <v>2007</v>
      </c>
      <c r="C359" s="8" t="n">
        <v>2013</v>
      </c>
      <c r="D359" s="8" t="s">
        <v>35</v>
      </c>
      <c r="E359" s="8" t="s">
        <v>9685</v>
      </c>
      <c r="F359" s="7" t="s">
        <v>10769</v>
      </c>
      <c r="G359" s="8" t="n">
        <v>8.2</v>
      </c>
      <c r="H359" s="8"/>
      <c r="I359" s="9" t="n">
        <v>101295</v>
      </c>
      <c r="J359" s="7"/>
      <c r="K359" s="7" t="s">
        <v>47</v>
      </c>
      <c r="L359" s="7"/>
      <c r="M359" s="10"/>
      <c r="N359" s="7"/>
      <c r="O359" s="8" t="n">
        <v>0</v>
      </c>
      <c r="P359" s="8" t="n">
        <v>0</v>
      </c>
      <c r="Q359" s="8" t="n">
        <v>0</v>
      </c>
      <c r="R359" s="7"/>
      <c r="S359" s="7" t="s">
        <v>10770</v>
      </c>
    </row>
    <row r="360" customFormat="false" ht="15.75" hidden="false" customHeight="true" outlineLevel="0" collapsed="false">
      <c r="A360" s="7" t="s">
        <v>10771</v>
      </c>
      <c r="B360" s="8" t="n">
        <v>1999</v>
      </c>
      <c r="C360" s="8" t="n">
        <v>2006</v>
      </c>
      <c r="D360" s="8" t="s">
        <v>26</v>
      </c>
      <c r="E360" s="8" t="s">
        <v>9685</v>
      </c>
      <c r="F360" s="7" t="s">
        <v>10772</v>
      </c>
      <c r="G360" s="8" t="n">
        <v>8.9</v>
      </c>
      <c r="H360" s="8"/>
      <c r="I360" s="9" t="n">
        <v>100447</v>
      </c>
      <c r="J360" s="7"/>
      <c r="K360" s="7" t="s">
        <v>47</v>
      </c>
      <c r="L360" s="7"/>
      <c r="M360" s="10"/>
      <c r="N360" s="7"/>
      <c r="O360" s="8" t="n">
        <v>1</v>
      </c>
      <c r="P360" s="8" t="n">
        <v>0</v>
      </c>
      <c r="Q360" s="8" t="n">
        <v>13</v>
      </c>
      <c r="R360" s="7"/>
      <c r="S360" s="7" t="s">
        <v>10773</v>
      </c>
    </row>
    <row r="361" customFormat="false" ht="15.75" hidden="false" customHeight="true" outlineLevel="0" collapsed="false">
      <c r="A361" s="7" t="s">
        <v>10774</v>
      </c>
      <c r="B361" s="8" t="n">
        <v>2013</v>
      </c>
      <c r="C361" s="8" t="n">
        <v>2020</v>
      </c>
      <c r="D361" s="8" t="s">
        <v>176</v>
      </c>
      <c r="E361" s="8" t="s">
        <v>9685</v>
      </c>
      <c r="F361" s="7" t="s">
        <v>10775</v>
      </c>
      <c r="G361" s="8" t="n">
        <v>8.3</v>
      </c>
      <c r="H361" s="8" t="n">
        <v>8</v>
      </c>
      <c r="I361" s="9" t="n">
        <v>100052</v>
      </c>
      <c r="J361" s="7"/>
      <c r="K361" s="7" t="s">
        <v>47</v>
      </c>
      <c r="L361" s="7" t="s">
        <v>54</v>
      </c>
      <c r="M361" s="10" t="s">
        <v>5526</v>
      </c>
      <c r="N361" s="7"/>
      <c r="O361" s="8" t="n">
        <v>1</v>
      </c>
      <c r="P361" s="8" t="n">
        <v>0</v>
      </c>
      <c r="Q361" s="8" t="n">
        <v>12</v>
      </c>
      <c r="R361" s="7"/>
      <c r="S361" s="7" t="s">
        <v>10776</v>
      </c>
    </row>
    <row r="362" customFormat="false" ht="15.75" hidden="false" customHeight="true" outlineLevel="0" collapsed="false">
      <c r="A362" s="7" t="s">
        <v>10777</v>
      </c>
      <c r="B362" s="8" t="n">
        <v>2022</v>
      </c>
      <c r="C362" s="8" t="n">
        <v>2027</v>
      </c>
      <c r="D362" s="8" t="s">
        <v>378</v>
      </c>
      <c r="E362" s="8" t="s">
        <v>9685</v>
      </c>
      <c r="F362" s="7" t="s">
        <v>10778</v>
      </c>
      <c r="G362" s="8" t="n">
        <v>7.8</v>
      </c>
      <c r="H362" s="8"/>
      <c r="I362" s="9" t="n">
        <v>99987</v>
      </c>
      <c r="J362" s="7"/>
      <c r="K362" s="7" t="s">
        <v>47</v>
      </c>
      <c r="L362" s="7" t="s">
        <v>54</v>
      </c>
      <c r="M362" s="10" t="s">
        <v>238</v>
      </c>
      <c r="N362" s="7"/>
      <c r="O362" s="8" t="n">
        <v>0</v>
      </c>
      <c r="P362" s="8" t="n">
        <v>0</v>
      </c>
      <c r="Q362" s="8" t="n">
        <v>0</v>
      </c>
      <c r="R362" s="7"/>
      <c r="S362" s="7" t="s">
        <v>10779</v>
      </c>
    </row>
    <row r="363" customFormat="false" ht="15.75" hidden="false" customHeight="true" outlineLevel="0" collapsed="false">
      <c r="A363" s="7" t="s">
        <v>10780</v>
      </c>
      <c r="B363" s="8" t="n">
        <v>2023</v>
      </c>
      <c r="C363" s="8"/>
      <c r="D363" s="8" t="s">
        <v>378</v>
      </c>
      <c r="E363" s="8" t="s">
        <v>9685</v>
      </c>
      <c r="F363" s="7" t="s">
        <v>10781</v>
      </c>
      <c r="G363" s="8" t="n">
        <v>8</v>
      </c>
      <c r="H363" s="8"/>
      <c r="I363" s="9" t="n">
        <v>99674</v>
      </c>
      <c r="J363" s="7"/>
      <c r="K363" s="7" t="s">
        <v>131</v>
      </c>
      <c r="L363" s="7" t="s">
        <v>47</v>
      </c>
      <c r="M363" s="10" t="s">
        <v>238</v>
      </c>
      <c r="N363" s="7"/>
      <c r="O363" s="8" t="n">
        <v>0</v>
      </c>
      <c r="P363" s="8" t="n">
        <v>0</v>
      </c>
      <c r="Q363" s="8" t="n">
        <v>0</v>
      </c>
      <c r="R363" s="7"/>
      <c r="S363" s="7" t="s">
        <v>10782</v>
      </c>
    </row>
    <row r="364" customFormat="false" ht="15.75" hidden="false" customHeight="true" outlineLevel="0" collapsed="false">
      <c r="A364" s="7" t="s">
        <v>10783</v>
      </c>
      <c r="B364" s="8" t="n">
        <v>2016</v>
      </c>
      <c r="C364" s="8" t="n">
        <v>2022</v>
      </c>
      <c r="D364" s="8" t="s">
        <v>176</v>
      </c>
      <c r="E364" s="8" t="s">
        <v>9685</v>
      </c>
      <c r="F364" s="7" t="s">
        <v>10784</v>
      </c>
      <c r="G364" s="8" t="n">
        <v>8.6</v>
      </c>
      <c r="H364" s="8"/>
      <c r="I364" s="9" t="n">
        <v>99580</v>
      </c>
      <c r="J364" s="7"/>
      <c r="K364" s="7" t="s">
        <v>90</v>
      </c>
      <c r="L364" s="7" t="s">
        <v>30</v>
      </c>
      <c r="M364" s="10" t="s">
        <v>177</v>
      </c>
      <c r="N364" s="7"/>
      <c r="O364" s="8" t="n">
        <v>12</v>
      </c>
      <c r="P364" s="8" t="n">
        <v>0</v>
      </c>
      <c r="Q364" s="8" t="n">
        <v>46</v>
      </c>
      <c r="R364" s="7"/>
      <c r="S364" s="7" t="s">
        <v>10785</v>
      </c>
    </row>
    <row r="365" customFormat="false" ht="15.75" hidden="false" customHeight="true" outlineLevel="0" collapsed="false">
      <c r="A365" s="7" t="s">
        <v>10786</v>
      </c>
      <c r="B365" s="8" t="n">
        <v>2020</v>
      </c>
      <c r="C365" s="8" t="n">
        <v>2020</v>
      </c>
      <c r="D365" s="8" t="s">
        <v>378</v>
      </c>
      <c r="E365" s="8" t="s">
        <v>9715</v>
      </c>
      <c r="F365" s="7" t="s">
        <v>10787</v>
      </c>
      <c r="G365" s="8" t="n">
        <v>8</v>
      </c>
      <c r="H365" s="8"/>
      <c r="I365" s="9" t="n">
        <v>99561</v>
      </c>
      <c r="J365" s="7"/>
      <c r="K365" s="7" t="s">
        <v>47</v>
      </c>
      <c r="L365" s="7"/>
      <c r="M365" s="10" t="s">
        <v>238</v>
      </c>
      <c r="N365" s="7"/>
      <c r="O365" s="8" t="n">
        <v>1</v>
      </c>
      <c r="P365" s="8" t="n">
        <v>0</v>
      </c>
      <c r="Q365" s="8" t="n">
        <v>15</v>
      </c>
      <c r="R365" s="7"/>
      <c r="S365" s="7" t="s">
        <v>10788</v>
      </c>
    </row>
    <row r="366" customFormat="false" ht="15.75" hidden="false" customHeight="true" outlineLevel="0" collapsed="false">
      <c r="A366" s="7" t="s">
        <v>10789</v>
      </c>
      <c r="B366" s="8" t="n">
        <v>1998</v>
      </c>
      <c r="C366" s="8" t="n">
        <v>2006</v>
      </c>
      <c r="D366" s="8" t="s">
        <v>26</v>
      </c>
      <c r="E366" s="8" t="s">
        <v>9685</v>
      </c>
      <c r="F366" s="7" t="s">
        <v>10790</v>
      </c>
      <c r="G366" s="8" t="n">
        <v>7.2</v>
      </c>
      <c r="H366" s="8"/>
      <c r="I366" s="9" t="n">
        <v>99450</v>
      </c>
      <c r="J366" s="7"/>
      <c r="K366" s="7" t="s">
        <v>38</v>
      </c>
      <c r="L366" s="7" t="s">
        <v>125</v>
      </c>
      <c r="M366" s="10"/>
      <c r="N366" s="7"/>
      <c r="O366" s="8" t="n">
        <v>0</v>
      </c>
      <c r="P366" s="8" t="n">
        <v>0</v>
      </c>
      <c r="Q366" s="8" t="n">
        <v>0</v>
      </c>
      <c r="R366" s="7"/>
      <c r="S366" s="7" t="s">
        <v>10791</v>
      </c>
    </row>
    <row r="367" customFormat="false" ht="15.75" hidden="false" customHeight="true" outlineLevel="0" collapsed="false">
      <c r="A367" s="7" t="s">
        <v>10792</v>
      </c>
      <c r="B367" s="8" t="n">
        <v>2011</v>
      </c>
      <c r="C367" s="8" t="n">
        <v>2015</v>
      </c>
      <c r="D367" s="8" t="s">
        <v>176</v>
      </c>
      <c r="E367" s="8" t="s">
        <v>9685</v>
      </c>
      <c r="F367" s="7" t="s">
        <v>10793</v>
      </c>
      <c r="G367" s="8" t="n">
        <v>7.1</v>
      </c>
      <c r="H367" s="8"/>
      <c r="I367" s="9" t="n">
        <v>99358</v>
      </c>
      <c r="J367" s="7"/>
      <c r="K367" s="7" t="s">
        <v>112</v>
      </c>
      <c r="L367" s="7" t="s">
        <v>39</v>
      </c>
      <c r="M367" s="10" t="s">
        <v>636</v>
      </c>
      <c r="N367" s="7"/>
      <c r="O367" s="8" t="n">
        <v>0</v>
      </c>
      <c r="P367" s="8" t="n">
        <v>0</v>
      </c>
      <c r="Q367" s="8" t="n">
        <v>18</v>
      </c>
      <c r="R367" s="7"/>
      <c r="S367" s="7" t="s">
        <v>10794</v>
      </c>
    </row>
    <row r="368" customFormat="false" ht="15.75" hidden="false" customHeight="true" outlineLevel="0" collapsed="false">
      <c r="A368" s="7" t="s">
        <v>10795</v>
      </c>
      <c r="B368" s="8" t="n">
        <v>2017</v>
      </c>
      <c r="C368" s="8" t="n">
        <v>2025</v>
      </c>
      <c r="D368" s="8" t="s">
        <v>176</v>
      </c>
      <c r="E368" s="8" t="s">
        <v>9685</v>
      </c>
      <c r="F368" s="7" t="s">
        <v>10796</v>
      </c>
      <c r="G368" s="8" t="n">
        <v>7.8</v>
      </c>
      <c r="H368" s="8"/>
      <c r="I368" s="9" t="n">
        <v>99316</v>
      </c>
      <c r="J368" s="7"/>
      <c r="K368" s="7" t="s">
        <v>579</v>
      </c>
      <c r="L368" s="7" t="s">
        <v>29</v>
      </c>
      <c r="M368" s="10" t="s">
        <v>238</v>
      </c>
      <c r="N368" s="7"/>
      <c r="O368" s="8" t="n">
        <v>1</v>
      </c>
      <c r="P368" s="8" t="n">
        <v>0</v>
      </c>
      <c r="Q368" s="8" t="n">
        <v>39</v>
      </c>
      <c r="R368" s="7"/>
      <c r="S368" s="7" t="s">
        <v>10797</v>
      </c>
    </row>
    <row r="369" customFormat="false" ht="15.75" hidden="false" customHeight="true" outlineLevel="0" collapsed="false">
      <c r="A369" s="7" t="s">
        <v>10798</v>
      </c>
      <c r="B369" s="8" t="n">
        <v>2017</v>
      </c>
      <c r="C369" s="8" t="n">
        <v>2021</v>
      </c>
      <c r="D369" s="8" t="s">
        <v>176</v>
      </c>
      <c r="E369" s="8" t="s">
        <v>9685</v>
      </c>
      <c r="F369" s="7" t="s">
        <v>10799</v>
      </c>
      <c r="G369" s="8" t="n">
        <v>7.6</v>
      </c>
      <c r="H369" s="8"/>
      <c r="I369" s="9" t="n">
        <v>98838</v>
      </c>
      <c r="J369" s="7"/>
      <c r="K369" s="7" t="s">
        <v>38</v>
      </c>
      <c r="L369" s="7" t="s">
        <v>125</v>
      </c>
      <c r="M369" s="10"/>
      <c r="N369" s="7"/>
      <c r="O369" s="8" t="n">
        <v>0</v>
      </c>
      <c r="P369" s="8" t="n">
        <v>0</v>
      </c>
      <c r="Q369" s="8" t="n">
        <v>13</v>
      </c>
      <c r="R369" s="7"/>
      <c r="S369" s="7" t="s">
        <v>10800</v>
      </c>
    </row>
    <row r="370" customFormat="false" ht="15.75" hidden="false" customHeight="true" outlineLevel="0" collapsed="false">
      <c r="A370" s="7" t="s">
        <v>10801</v>
      </c>
      <c r="B370" s="8" t="n">
        <v>2014</v>
      </c>
      <c r="C370" s="8" t="n">
        <v>2021</v>
      </c>
      <c r="D370" s="8" t="s">
        <v>176</v>
      </c>
      <c r="E370" s="8" t="s">
        <v>9685</v>
      </c>
      <c r="F370" s="7" t="s">
        <v>10802</v>
      </c>
      <c r="G370" s="8" t="n">
        <v>8.5</v>
      </c>
      <c r="H370" s="8"/>
      <c r="I370" s="9" t="n">
        <v>98672</v>
      </c>
      <c r="J370" s="7"/>
      <c r="K370" s="7" t="s">
        <v>47</v>
      </c>
      <c r="L370" s="7" t="s">
        <v>54</v>
      </c>
      <c r="M370" s="10" t="s">
        <v>113</v>
      </c>
      <c r="N370" s="7"/>
      <c r="O370" s="8" t="n">
        <v>0</v>
      </c>
      <c r="P370" s="8" t="n">
        <v>0</v>
      </c>
      <c r="Q370" s="8" t="n">
        <v>4</v>
      </c>
      <c r="R370" s="7"/>
      <c r="S370" s="7" t="s">
        <v>10803</v>
      </c>
    </row>
    <row r="371" customFormat="false" ht="15.75" hidden="false" customHeight="true" outlineLevel="0" collapsed="false">
      <c r="A371" s="7" t="s">
        <v>10804</v>
      </c>
      <c r="B371" s="8" t="n">
        <v>2018</v>
      </c>
      <c r="C371" s="8" t="n">
        <v>2019</v>
      </c>
      <c r="D371" s="8" t="s">
        <v>176</v>
      </c>
      <c r="E371" s="8" t="s">
        <v>9685</v>
      </c>
      <c r="F371" s="7" t="s">
        <v>10805</v>
      </c>
      <c r="G371" s="8" t="n">
        <v>8.5</v>
      </c>
      <c r="H371" s="8"/>
      <c r="I371" s="9" t="n">
        <v>98641</v>
      </c>
      <c r="J371" s="7"/>
      <c r="K371" s="7" t="s">
        <v>112</v>
      </c>
      <c r="L371" s="7" t="s">
        <v>54</v>
      </c>
      <c r="M371" s="10" t="s">
        <v>238</v>
      </c>
      <c r="N371" s="7"/>
      <c r="O371" s="8" t="n">
        <v>0</v>
      </c>
      <c r="P371" s="8" t="n">
        <v>0</v>
      </c>
      <c r="Q371" s="8" t="n">
        <v>0</v>
      </c>
      <c r="R371" s="7"/>
      <c r="S371" s="7" t="s">
        <v>10806</v>
      </c>
    </row>
    <row r="372" customFormat="false" ht="15.75" hidden="false" customHeight="true" outlineLevel="0" collapsed="false">
      <c r="A372" s="7" t="s">
        <v>10807</v>
      </c>
      <c r="B372" s="8" t="n">
        <v>2002</v>
      </c>
      <c r="C372" s="8" t="n">
        <v>2008</v>
      </c>
      <c r="D372" s="8" t="s">
        <v>35</v>
      </c>
      <c r="E372" s="8" t="s">
        <v>9685</v>
      </c>
      <c r="F372" s="7" t="s">
        <v>10808</v>
      </c>
      <c r="G372" s="8" t="n">
        <v>8.7</v>
      </c>
      <c r="H372" s="8"/>
      <c r="I372" s="9" t="n">
        <v>98119</v>
      </c>
      <c r="J372" s="7"/>
      <c r="K372" s="7" t="s">
        <v>131</v>
      </c>
      <c r="L372" s="7" t="s">
        <v>54</v>
      </c>
      <c r="M372" s="10"/>
      <c r="N372" s="7"/>
      <c r="O372" s="8" t="n">
        <v>0</v>
      </c>
      <c r="P372" s="8" t="n">
        <v>0</v>
      </c>
      <c r="Q372" s="8" t="n">
        <v>2</v>
      </c>
      <c r="R372" s="7"/>
      <c r="S372" s="7" t="s">
        <v>10809</v>
      </c>
    </row>
    <row r="373" customFormat="false" ht="15.75" hidden="false" customHeight="true" outlineLevel="0" collapsed="false">
      <c r="A373" s="7" t="s">
        <v>10810</v>
      </c>
      <c r="B373" s="8" t="n">
        <v>2024</v>
      </c>
      <c r="C373" s="8"/>
      <c r="D373" s="8" t="s">
        <v>378</v>
      </c>
      <c r="E373" s="8" t="s">
        <v>9685</v>
      </c>
      <c r="F373" s="7" t="s">
        <v>10811</v>
      </c>
      <c r="G373" s="8" t="n">
        <v>7.7</v>
      </c>
      <c r="H373" s="8"/>
      <c r="I373" s="9" t="n">
        <v>97757</v>
      </c>
      <c r="J373" s="7"/>
      <c r="K373" s="7" t="s">
        <v>47</v>
      </c>
      <c r="L373" s="7" t="s">
        <v>54</v>
      </c>
      <c r="M373" s="10" t="s">
        <v>1293</v>
      </c>
      <c r="N373" s="7"/>
      <c r="O373" s="8" t="n">
        <v>0</v>
      </c>
      <c r="P373" s="8" t="n">
        <v>0</v>
      </c>
      <c r="Q373" s="8" t="n">
        <v>0</v>
      </c>
      <c r="R373" s="7"/>
      <c r="S373" s="7" t="s">
        <v>10812</v>
      </c>
    </row>
    <row r="374" customFormat="false" ht="15.75" hidden="false" customHeight="true" outlineLevel="0" collapsed="false">
      <c r="A374" s="7" t="s">
        <v>10813</v>
      </c>
      <c r="B374" s="8" t="n">
        <v>2013</v>
      </c>
      <c r="C374" s="8" t="n">
        <v>2015</v>
      </c>
      <c r="D374" s="8" t="s">
        <v>176</v>
      </c>
      <c r="E374" s="8" t="s">
        <v>9685</v>
      </c>
      <c r="F374" s="7" t="s">
        <v>10814</v>
      </c>
      <c r="G374" s="8" t="n">
        <v>7.4</v>
      </c>
      <c r="H374" s="8"/>
      <c r="I374" s="9" t="n">
        <v>97072</v>
      </c>
      <c r="J374" s="7"/>
      <c r="K374" s="7" t="s">
        <v>147</v>
      </c>
      <c r="L374" s="7" t="s">
        <v>54</v>
      </c>
      <c r="M374" s="10"/>
      <c r="N374" s="7"/>
      <c r="O374" s="8" t="n">
        <v>0</v>
      </c>
      <c r="P374" s="8" t="n">
        <v>0</v>
      </c>
      <c r="Q374" s="8" t="n">
        <v>0</v>
      </c>
      <c r="R374" s="7"/>
      <c r="S374" s="7" t="s">
        <v>10815</v>
      </c>
    </row>
    <row r="375" customFormat="false" ht="15.75" hidden="false" customHeight="true" outlineLevel="0" collapsed="false">
      <c r="A375" s="7" t="s">
        <v>10816</v>
      </c>
      <c r="B375" s="8" t="n">
        <v>2020</v>
      </c>
      <c r="C375" s="8" t="n">
        <v>2023</v>
      </c>
      <c r="D375" s="8" t="s">
        <v>378</v>
      </c>
      <c r="E375" s="8" t="s">
        <v>9685</v>
      </c>
      <c r="F375" s="7" t="s">
        <v>10817</v>
      </c>
      <c r="G375" s="8" t="n">
        <v>7.8</v>
      </c>
      <c r="H375" s="8"/>
      <c r="I375" s="9" t="n">
        <v>96418</v>
      </c>
      <c r="J375" s="7"/>
      <c r="K375" s="7" t="s">
        <v>30</v>
      </c>
      <c r="L375" s="7" t="s">
        <v>47</v>
      </c>
      <c r="M375" s="10" t="s">
        <v>238</v>
      </c>
      <c r="N375" s="7"/>
      <c r="O375" s="8" t="n">
        <v>0</v>
      </c>
      <c r="P375" s="8" t="n">
        <v>0</v>
      </c>
      <c r="Q375" s="8" t="n">
        <v>0</v>
      </c>
      <c r="R375" s="7"/>
      <c r="S375" s="7" t="s">
        <v>10818</v>
      </c>
    </row>
    <row r="376" customFormat="false" ht="15.75" hidden="false" customHeight="true" outlineLevel="0" collapsed="false">
      <c r="A376" s="7" t="s">
        <v>10819</v>
      </c>
      <c r="B376" s="8" t="n">
        <v>2017</v>
      </c>
      <c r="C376" s="8" t="n">
        <v>2021</v>
      </c>
      <c r="D376" s="8" t="s">
        <v>176</v>
      </c>
      <c r="E376" s="8" t="s">
        <v>9685</v>
      </c>
      <c r="F376" s="7" t="s">
        <v>10820</v>
      </c>
      <c r="G376" s="8" t="n">
        <v>8.3</v>
      </c>
      <c r="H376" s="8"/>
      <c r="I376" s="9" t="n">
        <v>96014</v>
      </c>
      <c r="J376" s="7"/>
      <c r="K376" s="7" t="s">
        <v>579</v>
      </c>
      <c r="L376" s="7" t="s">
        <v>112</v>
      </c>
      <c r="M376" s="10" t="s">
        <v>238</v>
      </c>
      <c r="N376" s="7"/>
      <c r="O376" s="8" t="n">
        <v>0</v>
      </c>
      <c r="P376" s="8" t="n">
        <v>0</v>
      </c>
      <c r="Q376" s="8" t="n">
        <v>0</v>
      </c>
      <c r="R376" s="7"/>
      <c r="S376" s="7" t="s">
        <v>10821</v>
      </c>
    </row>
    <row r="377" customFormat="false" ht="15.75" hidden="false" customHeight="true" outlineLevel="0" collapsed="false">
      <c r="A377" s="7" t="s">
        <v>10822</v>
      </c>
      <c r="B377" s="8" t="n">
        <v>2015</v>
      </c>
      <c r="C377" s="8" t="n">
        <v>2016</v>
      </c>
      <c r="D377" s="8" t="s">
        <v>176</v>
      </c>
      <c r="E377" s="8" t="s">
        <v>9685</v>
      </c>
      <c r="F377" s="7" t="s">
        <v>10823</v>
      </c>
      <c r="G377" s="8" t="n">
        <v>7.8</v>
      </c>
      <c r="H377" s="8"/>
      <c r="I377" s="9" t="n">
        <v>95919</v>
      </c>
      <c r="J377" s="7"/>
      <c r="K377" s="7" t="s">
        <v>112</v>
      </c>
      <c r="L377" s="7" t="s">
        <v>54</v>
      </c>
      <c r="M377" s="10" t="s">
        <v>177</v>
      </c>
      <c r="N377" s="7"/>
      <c r="O377" s="8" t="n">
        <v>0</v>
      </c>
      <c r="P377" s="8" t="n">
        <v>0</v>
      </c>
      <c r="Q377" s="8" t="n">
        <v>0</v>
      </c>
      <c r="R377" s="7"/>
      <c r="S377" s="7" t="s">
        <v>10824</v>
      </c>
    </row>
    <row r="378" customFormat="false" ht="15.75" hidden="false" customHeight="true" outlineLevel="0" collapsed="false">
      <c r="A378" s="7" t="s">
        <v>10825</v>
      </c>
      <c r="B378" s="8" t="n">
        <v>2021</v>
      </c>
      <c r="C378" s="8" t="n">
        <v>2021</v>
      </c>
      <c r="D378" s="8" t="s">
        <v>378</v>
      </c>
      <c r="E378" s="8" t="s">
        <v>9715</v>
      </c>
      <c r="F378" s="7" t="s">
        <v>10826</v>
      </c>
      <c r="G378" s="8" t="n">
        <v>7.2</v>
      </c>
      <c r="H378" s="8"/>
      <c r="I378" s="9" t="n">
        <v>95789</v>
      </c>
      <c r="J378" s="7"/>
      <c r="K378" s="7" t="s">
        <v>131</v>
      </c>
      <c r="L378" s="7" t="s">
        <v>125</v>
      </c>
      <c r="M378" s="10" t="s">
        <v>238</v>
      </c>
      <c r="N378" s="7"/>
      <c r="O378" s="8" t="n">
        <v>0</v>
      </c>
      <c r="P378" s="8" t="n">
        <v>0</v>
      </c>
      <c r="Q378" s="8" t="n">
        <v>0</v>
      </c>
      <c r="R378" s="7"/>
      <c r="S378" s="7" t="s">
        <v>10827</v>
      </c>
    </row>
    <row r="379" customFormat="false" ht="15.75" hidden="false" customHeight="true" outlineLevel="0" collapsed="false">
      <c r="A379" s="7" t="s">
        <v>10828</v>
      </c>
      <c r="B379" s="8" t="n">
        <v>1998</v>
      </c>
      <c r="C379" s="8" t="n">
        <v>2007</v>
      </c>
      <c r="D379" s="8" t="s">
        <v>26</v>
      </c>
      <c r="E379" s="8" t="s">
        <v>9685</v>
      </c>
      <c r="F379" s="7" t="s">
        <v>10829</v>
      </c>
      <c r="G379" s="8" t="n">
        <v>7.4</v>
      </c>
      <c r="H379" s="8"/>
      <c r="I379" s="9" t="n">
        <v>95710</v>
      </c>
      <c r="J379" s="7"/>
      <c r="K379" s="7" t="s">
        <v>30</v>
      </c>
      <c r="L379" s="7"/>
      <c r="M379" s="10" t="s">
        <v>238</v>
      </c>
      <c r="N379" s="7"/>
      <c r="O379" s="8" t="n">
        <v>0</v>
      </c>
      <c r="P379" s="8" t="n">
        <v>0</v>
      </c>
      <c r="Q379" s="8" t="n">
        <v>1</v>
      </c>
      <c r="R379" s="7"/>
      <c r="S379" s="7" t="s">
        <v>10830</v>
      </c>
    </row>
    <row r="380" customFormat="false" ht="15.75" hidden="false" customHeight="true" outlineLevel="0" collapsed="false">
      <c r="A380" s="7" t="s">
        <v>10831</v>
      </c>
      <c r="B380" s="8" t="n">
        <v>2016</v>
      </c>
      <c r="C380" s="8"/>
      <c r="D380" s="8" t="s">
        <v>176</v>
      </c>
      <c r="E380" s="8" t="s">
        <v>9685</v>
      </c>
      <c r="F380" s="7" t="s">
        <v>10832</v>
      </c>
      <c r="G380" s="8" t="n">
        <v>8.7</v>
      </c>
      <c r="H380" s="8"/>
      <c r="I380" s="9" t="n">
        <v>95628</v>
      </c>
      <c r="J380" s="7"/>
      <c r="K380" s="7" t="s">
        <v>39</v>
      </c>
      <c r="L380" s="7" t="s">
        <v>75</v>
      </c>
      <c r="M380" s="10" t="s">
        <v>113</v>
      </c>
      <c r="N380" s="7"/>
      <c r="O380" s="8" t="n">
        <v>0</v>
      </c>
      <c r="P380" s="8" t="n">
        <v>0</v>
      </c>
      <c r="Q380" s="8" t="n">
        <v>0</v>
      </c>
      <c r="R380" s="7"/>
      <c r="S380" s="7" t="s">
        <v>10833</v>
      </c>
    </row>
    <row r="381" customFormat="false" ht="15.75" hidden="false" customHeight="true" outlineLevel="0" collapsed="false">
      <c r="A381" s="7" t="s">
        <v>10834</v>
      </c>
      <c r="B381" s="8" t="n">
        <v>2003</v>
      </c>
      <c r="C381" s="8" t="n">
        <v>2012</v>
      </c>
      <c r="D381" s="8" t="s">
        <v>35</v>
      </c>
      <c r="E381" s="8" t="s">
        <v>9685</v>
      </c>
      <c r="F381" s="7" t="s">
        <v>10835</v>
      </c>
      <c r="G381" s="8" t="n">
        <v>7.8</v>
      </c>
      <c r="H381" s="8"/>
      <c r="I381" s="9" t="n">
        <v>95600</v>
      </c>
      <c r="J381" s="7"/>
      <c r="K381" s="7" t="s">
        <v>29</v>
      </c>
      <c r="L381" s="7" t="s">
        <v>75</v>
      </c>
      <c r="M381" s="10" t="s">
        <v>636</v>
      </c>
      <c r="N381" s="7"/>
      <c r="O381" s="8" t="n">
        <v>0</v>
      </c>
      <c r="P381" s="8" t="n">
        <v>0</v>
      </c>
      <c r="Q381" s="8" t="n">
        <v>0</v>
      </c>
      <c r="R381" s="7"/>
      <c r="S381" s="7" t="s">
        <v>10836</v>
      </c>
    </row>
    <row r="382" customFormat="false" ht="15.75" hidden="false" customHeight="true" outlineLevel="0" collapsed="false">
      <c r="A382" s="7" t="s">
        <v>10837</v>
      </c>
      <c r="B382" s="8" t="n">
        <v>2011</v>
      </c>
      <c r="C382" s="8" t="n">
        <v>2015</v>
      </c>
      <c r="D382" s="8" t="s">
        <v>176</v>
      </c>
      <c r="E382" s="8" t="s">
        <v>9685</v>
      </c>
      <c r="F382" s="7" t="s">
        <v>10838</v>
      </c>
      <c r="G382" s="8" t="n">
        <v>8.8</v>
      </c>
      <c r="H382" s="8"/>
      <c r="I382" s="9" t="n">
        <v>95407</v>
      </c>
      <c r="J382" s="7"/>
      <c r="K382" s="7" t="s">
        <v>579</v>
      </c>
      <c r="L382" s="7" t="s">
        <v>30</v>
      </c>
      <c r="M382" s="10" t="s">
        <v>1686</v>
      </c>
      <c r="N382" s="7"/>
      <c r="O382" s="8" t="n">
        <v>0</v>
      </c>
      <c r="P382" s="8" t="n">
        <v>0</v>
      </c>
      <c r="Q382" s="8" t="n">
        <v>0</v>
      </c>
      <c r="R382" s="7"/>
      <c r="S382" s="7" t="s">
        <v>10839</v>
      </c>
    </row>
    <row r="383" customFormat="false" ht="15.75" hidden="false" customHeight="true" outlineLevel="0" collapsed="false">
      <c r="A383" s="7" t="s">
        <v>10840</v>
      </c>
      <c r="B383" s="8" t="n">
        <v>2019</v>
      </c>
      <c r="C383" s="8" t="n">
        <v>2022</v>
      </c>
      <c r="D383" s="8" t="s">
        <v>176</v>
      </c>
      <c r="E383" s="8" t="s">
        <v>9685</v>
      </c>
      <c r="F383" s="7" t="s">
        <v>10841</v>
      </c>
      <c r="G383" s="8" t="n">
        <v>7.7</v>
      </c>
      <c r="H383" s="8"/>
      <c r="I383" s="9" t="n">
        <v>95406</v>
      </c>
      <c r="J383" s="7"/>
      <c r="K383" s="7" t="s">
        <v>38</v>
      </c>
      <c r="L383" s="7" t="s">
        <v>39</v>
      </c>
      <c r="M383" s="10" t="s">
        <v>55</v>
      </c>
      <c r="N383" s="7"/>
      <c r="O383" s="8" t="n">
        <v>0</v>
      </c>
      <c r="P383" s="8" t="n">
        <v>0</v>
      </c>
      <c r="Q383" s="8" t="n">
        <v>0</v>
      </c>
      <c r="R383" s="7"/>
      <c r="S383" s="7" t="s">
        <v>10842</v>
      </c>
    </row>
    <row r="384" customFormat="false" ht="15.75" hidden="false" customHeight="true" outlineLevel="0" collapsed="false">
      <c r="A384" s="7" t="s">
        <v>10843</v>
      </c>
      <c r="B384" s="8" t="n">
        <v>2022</v>
      </c>
      <c r="C384" s="8" t="n">
        <v>2024</v>
      </c>
      <c r="D384" s="8" t="s">
        <v>378</v>
      </c>
      <c r="E384" s="8" t="s">
        <v>9685</v>
      </c>
      <c r="F384" s="7" t="s">
        <v>10844</v>
      </c>
      <c r="G384" s="8" t="n">
        <v>8.5</v>
      </c>
      <c r="H384" s="8"/>
      <c r="I384" s="9" t="n">
        <v>95062</v>
      </c>
      <c r="J384" s="7"/>
      <c r="K384" s="7" t="s">
        <v>29</v>
      </c>
      <c r="L384" s="7" t="s">
        <v>47</v>
      </c>
      <c r="M384" s="10" t="s">
        <v>238</v>
      </c>
      <c r="N384" s="7"/>
      <c r="O384" s="8" t="n">
        <v>0</v>
      </c>
      <c r="P384" s="8" t="n">
        <v>0</v>
      </c>
      <c r="Q384" s="8" t="n">
        <v>0</v>
      </c>
      <c r="R384" s="7"/>
      <c r="S384" s="7" t="s">
        <v>10845</v>
      </c>
    </row>
    <row r="385" customFormat="false" ht="15.75" hidden="false" customHeight="true" outlineLevel="0" collapsed="false">
      <c r="A385" s="7" t="s">
        <v>10846</v>
      </c>
      <c r="B385" s="8" t="n">
        <v>2004</v>
      </c>
      <c r="C385" s="8" t="n">
        <v>2012</v>
      </c>
      <c r="D385" s="8" t="s">
        <v>35</v>
      </c>
      <c r="E385" s="8" t="s">
        <v>9685</v>
      </c>
      <c r="F385" s="7" t="s">
        <v>10847</v>
      </c>
      <c r="G385" s="8" t="n">
        <v>8.3</v>
      </c>
      <c r="H385" s="8"/>
      <c r="I385" s="9" t="n">
        <v>94822</v>
      </c>
      <c r="J385" s="7"/>
      <c r="K385" s="7" t="s">
        <v>579</v>
      </c>
      <c r="L385" s="7" t="s">
        <v>112</v>
      </c>
      <c r="M385" s="10" t="s">
        <v>177</v>
      </c>
      <c r="N385" s="7"/>
      <c r="O385" s="8" t="n">
        <v>0</v>
      </c>
      <c r="P385" s="8" t="n">
        <v>0</v>
      </c>
      <c r="Q385" s="8" t="n">
        <v>0</v>
      </c>
      <c r="R385" s="7"/>
      <c r="S385" s="7" t="s">
        <v>10848</v>
      </c>
    </row>
    <row r="386" customFormat="false" ht="15.75" hidden="false" customHeight="true" outlineLevel="0" collapsed="false">
      <c r="A386" s="7" t="s">
        <v>10849</v>
      </c>
      <c r="B386" s="8" t="n">
        <v>2000</v>
      </c>
      <c r="C386" s="8" t="n">
        <v>2015</v>
      </c>
      <c r="D386" s="8" t="s">
        <v>35</v>
      </c>
      <c r="E386" s="8" t="s">
        <v>9685</v>
      </c>
      <c r="F386" s="7" t="s">
        <v>10850</v>
      </c>
      <c r="G386" s="8" t="n">
        <v>7.7</v>
      </c>
      <c r="H386" s="8"/>
      <c r="I386" s="9" t="n">
        <v>94640</v>
      </c>
      <c r="J386" s="7"/>
      <c r="K386" s="7" t="s">
        <v>47</v>
      </c>
      <c r="L386" s="7" t="s">
        <v>54</v>
      </c>
      <c r="M386" s="10" t="s">
        <v>220</v>
      </c>
      <c r="N386" s="7"/>
      <c r="O386" s="8" t="n">
        <v>13</v>
      </c>
      <c r="P386" s="8" t="n">
        <v>0</v>
      </c>
      <c r="Q386" s="8" t="n">
        <v>63</v>
      </c>
      <c r="R386" s="7"/>
      <c r="S386" s="7" t="s">
        <v>10851</v>
      </c>
    </row>
    <row r="387" customFormat="false" ht="15.75" hidden="false" customHeight="true" outlineLevel="0" collapsed="false">
      <c r="A387" s="7" t="s">
        <v>10852</v>
      </c>
      <c r="B387" s="8" t="n">
        <v>2022</v>
      </c>
      <c r="C387" s="8"/>
      <c r="D387" s="8" t="s">
        <v>378</v>
      </c>
      <c r="E387" s="8" t="s">
        <v>9685</v>
      </c>
      <c r="F387" s="7" t="s">
        <v>10853</v>
      </c>
      <c r="G387" s="8" t="n">
        <v>6.5</v>
      </c>
      <c r="H387" s="8" t="n">
        <v>7</v>
      </c>
      <c r="I387" s="9" t="n">
        <v>94508</v>
      </c>
      <c r="J387" s="7"/>
      <c r="K387" s="7" t="s">
        <v>147</v>
      </c>
      <c r="L387" s="7" t="s">
        <v>125</v>
      </c>
      <c r="M387" s="10" t="s">
        <v>238</v>
      </c>
      <c r="N387" s="7"/>
      <c r="O387" s="8" t="n">
        <v>0</v>
      </c>
      <c r="P387" s="8" t="n">
        <v>0</v>
      </c>
      <c r="Q387" s="8" t="n">
        <v>0</v>
      </c>
      <c r="R387" s="7"/>
      <c r="S387" s="7" t="s">
        <v>10854</v>
      </c>
    </row>
    <row r="388" customFormat="false" ht="15.75" hidden="false" customHeight="true" outlineLevel="0" collapsed="false">
      <c r="A388" s="7" t="s">
        <v>10855</v>
      </c>
      <c r="B388" s="8" t="n">
        <v>2023</v>
      </c>
      <c r="C388" s="8"/>
      <c r="D388" s="8" t="s">
        <v>378</v>
      </c>
      <c r="E388" s="8" t="s">
        <v>9685</v>
      </c>
      <c r="F388" s="7" t="s">
        <v>10856</v>
      </c>
      <c r="G388" s="8" t="n">
        <v>7.3</v>
      </c>
      <c r="H388" s="8"/>
      <c r="I388" s="9" t="n">
        <v>94430</v>
      </c>
      <c r="J388" s="7"/>
      <c r="K388" s="7" t="s">
        <v>131</v>
      </c>
      <c r="L388" s="7" t="s">
        <v>47</v>
      </c>
      <c r="M388" s="10" t="s">
        <v>1293</v>
      </c>
      <c r="N388" s="7"/>
      <c r="O388" s="8" t="n">
        <v>0</v>
      </c>
      <c r="P388" s="8" t="n">
        <v>0</v>
      </c>
      <c r="Q388" s="8" t="n">
        <v>0</v>
      </c>
      <c r="R388" s="7"/>
      <c r="S388" s="7" t="s">
        <v>10857</v>
      </c>
    </row>
    <row r="389" customFormat="false" ht="15.75" hidden="false" customHeight="true" outlineLevel="0" collapsed="false">
      <c r="A389" s="7" t="s">
        <v>10858</v>
      </c>
      <c r="B389" s="8" t="n">
        <v>2018</v>
      </c>
      <c r="C389" s="8"/>
      <c r="D389" s="8" t="s">
        <v>176</v>
      </c>
      <c r="E389" s="8" t="s">
        <v>9685</v>
      </c>
      <c r="F389" s="7" t="s">
        <v>10859</v>
      </c>
      <c r="G389" s="8" t="n">
        <v>8.4</v>
      </c>
      <c r="H389" s="8"/>
      <c r="I389" s="9" t="n">
        <v>94406</v>
      </c>
      <c r="J389" s="7"/>
      <c r="K389" s="7" t="s">
        <v>112</v>
      </c>
      <c r="L389" s="7" t="s">
        <v>54</v>
      </c>
      <c r="M389" s="10" t="s">
        <v>113</v>
      </c>
      <c r="N389" s="7"/>
      <c r="O389" s="8" t="n">
        <v>0</v>
      </c>
      <c r="P389" s="8" t="n">
        <v>0</v>
      </c>
      <c r="Q389" s="8" t="n">
        <v>0</v>
      </c>
      <c r="R389" s="7"/>
      <c r="S389" s="7" t="s">
        <v>10860</v>
      </c>
    </row>
    <row r="390" customFormat="false" ht="15.75" hidden="false" customHeight="true" outlineLevel="0" collapsed="false">
      <c r="A390" s="7" t="s">
        <v>10861</v>
      </c>
      <c r="B390" s="8" t="n">
        <v>2008</v>
      </c>
      <c r="C390" s="8" t="n">
        <v>2012</v>
      </c>
      <c r="D390" s="8" t="s">
        <v>35</v>
      </c>
      <c r="E390" s="8" t="s">
        <v>9685</v>
      </c>
      <c r="F390" s="7" t="s">
        <v>10862</v>
      </c>
      <c r="G390" s="8" t="n">
        <v>7.9</v>
      </c>
      <c r="H390" s="8"/>
      <c r="I390" s="9" t="n">
        <v>94382</v>
      </c>
      <c r="J390" s="7"/>
      <c r="K390" s="7" t="s">
        <v>38</v>
      </c>
      <c r="L390" s="7" t="s">
        <v>39</v>
      </c>
      <c r="M390" s="10" t="s">
        <v>210</v>
      </c>
      <c r="N390" s="7"/>
      <c r="O390" s="8" t="n">
        <v>0</v>
      </c>
      <c r="P390" s="8" t="n">
        <v>0</v>
      </c>
      <c r="Q390" s="8" t="n">
        <v>0</v>
      </c>
      <c r="R390" s="7"/>
      <c r="S390" s="7" t="s">
        <v>10863</v>
      </c>
    </row>
    <row r="391" customFormat="false" ht="15.75" hidden="false" customHeight="true" outlineLevel="0" collapsed="false">
      <c r="A391" s="7" t="s">
        <v>10864</v>
      </c>
      <c r="B391" s="8" t="n">
        <v>2021</v>
      </c>
      <c r="C391" s="8" t="n">
        <v>2021</v>
      </c>
      <c r="D391" s="8" t="s">
        <v>378</v>
      </c>
      <c r="E391" s="8" t="s">
        <v>9715</v>
      </c>
      <c r="F391" s="7" t="s">
        <v>10865</v>
      </c>
      <c r="G391" s="8" t="n">
        <v>8.6</v>
      </c>
      <c r="H391" s="8"/>
      <c r="I391" s="9" t="n">
        <v>94059</v>
      </c>
      <c r="J391" s="7"/>
      <c r="K391" s="7" t="s">
        <v>47</v>
      </c>
      <c r="L391" s="7"/>
      <c r="M391" s="10" t="s">
        <v>177</v>
      </c>
      <c r="N391" s="7"/>
      <c r="O391" s="8" t="n">
        <v>0</v>
      </c>
      <c r="P391" s="8" t="n">
        <v>0</v>
      </c>
      <c r="Q391" s="8" t="n">
        <v>0</v>
      </c>
      <c r="R391" s="7"/>
      <c r="S391" s="7" t="s">
        <v>10866</v>
      </c>
    </row>
    <row r="392" customFormat="false" ht="15.75" hidden="false" customHeight="true" outlineLevel="0" collapsed="false">
      <c r="A392" s="7" t="s">
        <v>10867</v>
      </c>
      <c r="B392" s="8" t="n">
        <v>2014</v>
      </c>
      <c r="C392" s="8" t="n">
        <v>2017</v>
      </c>
      <c r="D392" s="8" t="s">
        <v>176</v>
      </c>
      <c r="E392" s="8" t="s">
        <v>9685</v>
      </c>
      <c r="F392" s="7" t="s">
        <v>10868</v>
      </c>
      <c r="G392" s="8" t="n">
        <v>7.3</v>
      </c>
      <c r="H392" s="8"/>
      <c r="I392" s="9" t="n">
        <v>93996</v>
      </c>
      <c r="J392" s="7"/>
      <c r="K392" s="7" t="s">
        <v>147</v>
      </c>
      <c r="L392" s="7" t="s">
        <v>38</v>
      </c>
      <c r="M392" s="10" t="s">
        <v>2616</v>
      </c>
      <c r="N392" s="7"/>
      <c r="O392" s="8" t="n">
        <v>0</v>
      </c>
      <c r="P392" s="8" t="n">
        <v>0</v>
      </c>
      <c r="Q392" s="8" t="n">
        <v>0</v>
      </c>
      <c r="R392" s="7"/>
      <c r="S392" s="7" t="s">
        <v>10869</v>
      </c>
    </row>
    <row r="393" customFormat="false" ht="15.75" hidden="false" customHeight="true" outlineLevel="0" collapsed="false">
      <c r="A393" s="7" t="s">
        <v>10870</v>
      </c>
      <c r="B393" s="8" t="n">
        <v>2022</v>
      </c>
      <c r="C393" s="8"/>
      <c r="D393" s="8" t="s">
        <v>378</v>
      </c>
      <c r="E393" s="8" t="s">
        <v>9685</v>
      </c>
      <c r="F393" s="7" t="s">
        <v>10871</v>
      </c>
      <c r="G393" s="8" t="n">
        <v>7.6</v>
      </c>
      <c r="H393" s="8"/>
      <c r="I393" s="9" t="n">
        <v>93931</v>
      </c>
      <c r="J393" s="7"/>
      <c r="K393" s="7" t="s">
        <v>38</v>
      </c>
      <c r="L393" s="7" t="s">
        <v>112</v>
      </c>
      <c r="M393" s="10" t="s">
        <v>238</v>
      </c>
      <c r="N393" s="7"/>
      <c r="O393" s="8" t="n">
        <v>0</v>
      </c>
      <c r="P393" s="8" t="n">
        <v>0</v>
      </c>
      <c r="Q393" s="8" t="n">
        <v>0</v>
      </c>
      <c r="R393" s="7"/>
      <c r="S393" s="7" t="s">
        <v>10872</v>
      </c>
    </row>
    <row r="394" customFormat="false" ht="15.75" hidden="false" customHeight="true" outlineLevel="0" collapsed="false">
      <c r="A394" s="7" t="s">
        <v>10873</v>
      </c>
      <c r="B394" s="8" t="n">
        <v>2018</v>
      </c>
      <c r="C394" s="8" t="n">
        <v>2018</v>
      </c>
      <c r="D394" s="8" t="s">
        <v>176</v>
      </c>
      <c r="E394" s="8" t="s">
        <v>9715</v>
      </c>
      <c r="F394" s="7" t="s">
        <v>1526</v>
      </c>
      <c r="G394" s="8" t="n">
        <v>7.6</v>
      </c>
      <c r="H394" s="8"/>
      <c r="I394" s="9" t="n">
        <v>93796</v>
      </c>
      <c r="J394" s="7"/>
      <c r="K394" s="7" t="s">
        <v>111</v>
      </c>
      <c r="L394" s="7" t="s">
        <v>30</v>
      </c>
      <c r="M394" s="10" t="s">
        <v>238</v>
      </c>
      <c r="N394" s="7"/>
      <c r="O394" s="8" t="n">
        <v>0</v>
      </c>
      <c r="P394" s="8" t="n">
        <v>0</v>
      </c>
      <c r="Q394" s="8" t="n">
        <v>0</v>
      </c>
      <c r="R394" s="7"/>
      <c r="S394" s="7" t="s">
        <v>10874</v>
      </c>
    </row>
    <row r="395" customFormat="false" ht="15.75" hidden="false" customHeight="true" outlineLevel="0" collapsed="false">
      <c r="A395" s="7" t="s">
        <v>10875</v>
      </c>
      <c r="B395" s="8" t="n">
        <v>2020</v>
      </c>
      <c r="C395" s="8" t="n">
        <v>2022</v>
      </c>
      <c r="D395" s="8" t="s">
        <v>378</v>
      </c>
      <c r="E395" s="8" t="s">
        <v>9685</v>
      </c>
      <c r="F395" s="7" t="s">
        <v>10876</v>
      </c>
      <c r="G395" s="8" t="n">
        <v>7.4</v>
      </c>
      <c r="H395" s="8"/>
      <c r="I395" s="9" t="n">
        <v>93388</v>
      </c>
      <c r="J395" s="7"/>
      <c r="K395" s="7" t="s">
        <v>111</v>
      </c>
      <c r="L395" s="7" t="s">
        <v>38</v>
      </c>
      <c r="M395" s="10"/>
      <c r="N395" s="7"/>
      <c r="O395" s="8" t="n">
        <v>0</v>
      </c>
      <c r="P395" s="8" t="n">
        <v>0</v>
      </c>
      <c r="Q395" s="8" t="n">
        <v>1</v>
      </c>
      <c r="R395" s="7"/>
      <c r="S395" s="7" t="s">
        <v>10877</v>
      </c>
    </row>
    <row r="396" customFormat="false" ht="15.75" hidden="false" customHeight="true" outlineLevel="0" collapsed="false">
      <c r="A396" s="7" t="s">
        <v>10878</v>
      </c>
      <c r="B396" s="8" t="n">
        <v>2019</v>
      </c>
      <c r="C396" s="8" t="n">
        <v>2021</v>
      </c>
      <c r="D396" s="8" t="s">
        <v>176</v>
      </c>
      <c r="E396" s="8" t="s">
        <v>9685</v>
      </c>
      <c r="F396" s="7" t="s">
        <v>10879</v>
      </c>
      <c r="G396" s="8" t="n">
        <v>9</v>
      </c>
      <c r="H396" s="8"/>
      <c r="I396" s="9" t="n">
        <v>93136</v>
      </c>
      <c r="J396" s="7"/>
      <c r="K396" s="7" t="s">
        <v>30</v>
      </c>
      <c r="L396" s="7" t="s">
        <v>47</v>
      </c>
      <c r="M396" s="7"/>
      <c r="N396" s="7"/>
      <c r="O396" s="8" t="n">
        <v>0</v>
      </c>
      <c r="P396" s="8" t="n">
        <v>0</v>
      </c>
      <c r="Q396" s="8" t="n">
        <v>0</v>
      </c>
      <c r="R396" s="7"/>
      <c r="S396" s="7"/>
    </row>
    <row r="397" customFormat="false" ht="15.75" hidden="false" customHeight="true" outlineLevel="0" collapsed="false">
      <c r="A397" s="7" t="s">
        <v>10880</v>
      </c>
      <c r="B397" s="8" t="n">
        <v>2024</v>
      </c>
      <c r="C397" s="8"/>
      <c r="D397" s="8" t="s">
        <v>378</v>
      </c>
      <c r="E397" s="8" t="s">
        <v>9685</v>
      </c>
      <c r="F397" s="7" t="s">
        <v>10881</v>
      </c>
      <c r="G397" s="8" t="n">
        <v>7.1</v>
      </c>
      <c r="H397" s="8"/>
      <c r="I397" s="9" t="n">
        <v>92537</v>
      </c>
      <c r="J397" s="7"/>
      <c r="K397" s="7" t="s">
        <v>112</v>
      </c>
      <c r="L397" s="7" t="s">
        <v>39</v>
      </c>
      <c r="M397" s="10" t="s">
        <v>238</v>
      </c>
      <c r="N397" s="7"/>
      <c r="O397" s="8" t="n">
        <v>0</v>
      </c>
      <c r="P397" s="8" t="n">
        <v>0</v>
      </c>
      <c r="Q397" s="8" t="n">
        <v>0</v>
      </c>
      <c r="R397" s="7"/>
      <c r="S397" s="7" t="s">
        <v>10882</v>
      </c>
    </row>
    <row r="398" customFormat="false" ht="15.75" hidden="false" customHeight="true" outlineLevel="0" collapsed="false">
      <c r="A398" s="7" t="s">
        <v>10883</v>
      </c>
      <c r="B398" s="8" t="n">
        <v>2019</v>
      </c>
      <c r="C398" s="8" t="n">
        <v>2027</v>
      </c>
      <c r="D398" s="8" t="s">
        <v>176</v>
      </c>
      <c r="E398" s="8" t="s">
        <v>9685</v>
      </c>
      <c r="F398" s="7" t="s">
        <v>10884</v>
      </c>
      <c r="G398" s="8" t="n">
        <v>8.1</v>
      </c>
      <c r="H398" s="8"/>
      <c r="I398" s="9" t="n">
        <v>92429</v>
      </c>
      <c r="J398" s="7"/>
      <c r="K398" s="7" t="s">
        <v>111</v>
      </c>
      <c r="L398" s="7" t="s">
        <v>47</v>
      </c>
      <c r="M398" s="10" t="s">
        <v>1293</v>
      </c>
      <c r="N398" s="7"/>
      <c r="O398" s="8" t="n">
        <v>0</v>
      </c>
      <c r="P398" s="8" t="n">
        <v>0</v>
      </c>
      <c r="Q398" s="8" t="n">
        <v>0</v>
      </c>
      <c r="R398" s="7"/>
      <c r="S398" s="7" t="s">
        <v>10885</v>
      </c>
    </row>
    <row r="399" customFormat="false" ht="15.75" hidden="false" customHeight="true" outlineLevel="0" collapsed="false">
      <c r="A399" s="7" t="s">
        <v>10886</v>
      </c>
      <c r="B399" s="8" t="n">
        <v>2022</v>
      </c>
      <c r="C399" s="8" t="n">
        <v>2022</v>
      </c>
      <c r="D399" s="8" t="s">
        <v>378</v>
      </c>
      <c r="E399" s="8" t="s">
        <v>9685</v>
      </c>
      <c r="F399" s="7" t="s">
        <v>10887</v>
      </c>
      <c r="G399" s="8" t="n">
        <v>7.5</v>
      </c>
      <c r="H399" s="8"/>
      <c r="I399" s="9" t="n">
        <v>92272</v>
      </c>
      <c r="J399" s="7"/>
      <c r="K399" s="7" t="s">
        <v>111</v>
      </c>
      <c r="L399" s="7" t="s">
        <v>125</v>
      </c>
      <c r="M399" s="10" t="s">
        <v>113</v>
      </c>
      <c r="N399" s="7"/>
      <c r="O399" s="8" t="n">
        <v>0</v>
      </c>
      <c r="P399" s="8" t="n">
        <v>0</v>
      </c>
      <c r="Q399" s="8" t="n">
        <v>0</v>
      </c>
      <c r="R399" s="7"/>
      <c r="S399" s="7" t="s">
        <v>10888</v>
      </c>
    </row>
    <row r="400" customFormat="false" ht="15.75" hidden="false" customHeight="true" outlineLevel="0" collapsed="false">
      <c r="A400" s="7" t="s">
        <v>10889</v>
      </c>
      <c r="B400" s="8" t="n">
        <v>2024</v>
      </c>
      <c r="C400" s="8" t="n">
        <v>2025</v>
      </c>
      <c r="D400" s="8" t="s">
        <v>378</v>
      </c>
      <c r="E400" s="8" t="s">
        <v>9685</v>
      </c>
      <c r="F400" s="7" t="s">
        <v>10890</v>
      </c>
      <c r="G400" s="8" t="n">
        <v>6</v>
      </c>
      <c r="H400" s="8"/>
      <c r="I400" s="9" t="n">
        <v>92245</v>
      </c>
      <c r="J400" s="7"/>
      <c r="K400" s="7" t="s">
        <v>29</v>
      </c>
      <c r="L400" s="7" t="s">
        <v>125</v>
      </c>
      <c r="M400" s="10" t="s">
        <v>238</v>
      </c>
      <c r="N400" s="7"/>
      <c r="O400" s="8" t="n">
        <v>0</v>
      </c>
      <c r="P400" s="8" t="n">
        <v>0</v>
      </c>
      <c r="Q400" s="8" t="n">
        <v>0</v>
      </c>
      <c r="R400" s="7"/>
      <c r="S400" s="7" t="s">
        <v>10891</v>
      </c>
    </row>
    <row r="401" customFormat="false" ht="15.75" hidden="false" customHeight="true" outlineLevel="0" collapsed="false">
      <c r="A401" s="7" t="s">
        <v>10892</v>
      </c>
      <c r="B401" s="8" t="n">
        <v>2017</v>
      </c>
      <c r="C401" s="8" t="n">
        <v>2017</v>
      </c>
      <c r="D401" s="8" t="s">
        <v>176</v>
      </c>
      <c r="E401" s="8" t="s">
        <v>9715</v>
      </c>
      <c r="F401" s="7" t="s">
        <v>7895</v>
      </c>
      <c r="G401" s="8" t="n">
        <v>8.2</v>
      </c>
      <c r="H401" s="8" t="n">
        <v>8</v>
      </c>
      <c r="I401" s="9" t="n">
        <v>92071</v>
      </c>
      <c r="J401" s="7"/>
      <c r="K401" s="7" t="s">
        <v>268</v>
      </c>
      <c r="L401" s="7" t="s">
        <v>112</v>
      </c>
      <c r="M401" s="10" t="s">
        <v>238</v>
      </c>
      <c r="N401" s="7"/>
      <c r="O401" s="8" t="n">
        <v>3</v>
      </c>
      <c r="P401" s="8" t="n">
        <v>0</v>
      </c>
      <c r="Q401" s="8" t="n">
        <v>28</v>
      </c>
      <c r="R401" s="7"/>
      <c r="S401" s="7" t="s">
        <v>10893</v>
      </c>
    </row>
    <row r="402" customFormat="false" ht="15.75" hidden="false" customHeight="true" outlineLevel="0" collapsed="false">
      <c r="A402" s="7" t="s">
        <v>10894</v>
      </c>
      <c r="B402" s="8" t="n">
        <v>2023</v>
      </c>
      <c r="C402" s="8" t="n">
        <v>2023</v>
      </c>
      <c r="D402" s="8" t="s">
        <v>378</v>
      </c>
      <c r="E402" s="8" t="s">
        <v>9715</v>
      </c>
      <c r="F402" s="7" t="s">
        <v>10895</v>
      </c>
      <c r="G402" s="8" t="n">
        <v>5.8</v>
      </c>
      <c r="H402" s="8"/>
      <c r="I402" s="9" t="n">
        <v>91961</v>
      </c>
      <c r="J402" s="7"/>
      <c r="K402" s="7" t="s">
        <v>112</v>
      </c>
      <c r="L402" s="7" t="s">
        <v>125</v>
      </c>
      <c r="M402" s="10" t="s">
        <v>177</v>
      </c>
      <c r="N402" s="7"/>
      <c r="O402" s="8" t="n">
        <v>0</v>
      </c>
      <c r="P402" s="8" t="n">
        <v>0</v>
      </c>
      <c r="Q402" s="8" t="n">
        <v>0</v>
      </c>
      <c r="R402" s="7"/>
      <c r="S402" s="7" t="s">
        <v>10896</v>
      </c>
    </row>
    <row r="403" customFormat="false" ht="15.75" hidden="false" customHeight="true" outlineLevel="0" collapsed="false">
      <c r="A403" s="7" t="s">
        <v>10897</v>
      </c>
      <c r="B403" s="8" t="n">
        <v>2023</v>
      </c>
      <c r="C403" s="8"/>
      <c r="D403" s="8" t="s">
        <v>378</v>
      </c>
      <c r="E403" s="8" t="s">
        <v>9685</v>
      </c>
      <c r="F403" s="7" t="s">
        <v>10898</v>
      </c>
      <c r="G403" s="8" t="n">
        <v>7.8</v>
      </c>
      <c r="H403" s="8"/>
      <c r="I403" s="9" t="n">
        <v>91841</v>
      </c>
      <c r="J403" s="7"/>
      <c r="K403" s="7" t="s">
        <v>131</v>
      </c>
      <c r="L403" s="7" t="s">
        <v>112</v>
      </c>
      <c r="M403" s="10" t="s">
        <v>192</v>
      </c>
      <c r="N403" s="7"/>
      <c r="O403" s="8" t="n">
        <v>0</v>
      </c>
      <c r="P403" s="8" t="n">
        <v>0</v>
      </c>
      <c r="Q403" s="8" t="n">
        <v>0</v>
      </c>
      <c r="R403" s="7"/>
      <c r="S403" s="7" t="s">
        <v>10899</v>
      </c>
    </row>
    <row r="404" customFormat="false" ht="15.75" hidden="false" customHeight="true" outlineLevel="0" collapsed="false">
      <c r="A404" s="7" t="s">
        <v>10900</v>
      </c>
      <c r="B404" s="8" t="n">
        <v>2014</v>
      </c>
      <c r="C404" s="8" t="n">
        <v>2014</v>
      </c>
      <c r="D404" s="8" t="s">
        <v>176</v>
      </c>
      <c r="E404" s="8" t="s">
        <v>9715</v>
      </c>
      <c r="F404" s="7" t="s">
        <v>10901</v>
      </c>
      <c r="G404" s="8" t="n">
        <v>8.7</v>
      </c>
      <c r="H404" s="8"/>
      <c r="I404" s="9" t="n">
        <v>91357</v>
      </c>
      <c r="J404" s="7"/>
      <c r="K404" s="7" t="s">
        <v>579</v>
      </c>
      <c r="L404" s="7" t="s">
        <v>39</v>
      </c>
      <c r="M404" s="10" t="s">
        <v>55</v>
      </c>
      <c r="N404" s="7"/>
      <c r="O404" s="8" t="n">
        <v>14</v>
      </c>
      <c r="P404" s="8" t="n">
        <v>0</v>
      </c>
      <c r="Q404" s="8" t="n">
        <v>14</v>
      </c>
      <c r="R404" s="7"/>
      <c r="S404" s="7" t="s">
        <v>10902</v>
      </c>
    </row>
    <row r="405" customFormat="false" ht="15.75" hidden="false" customHeight="true" outlineLevel="0" collapsed="false">
      <c r="A405" s="7" t="s">
        <v>10903</v>
      </c>
      <c r="B405" s="8" t="n">
        <v>2020</v>
      </c>
      <c r="C405" s="8" t="n">
        <v>2021</v>
      </c>
      <c r="D405" s="8" t="s">
        <v>378</v>
      </c>
      <c r="E405" s="8" t="s">
        <v>9685</v>
      </c>
      <c r="F405" s="7" t="s">
        <v>10904</v>
      </c>
      <c r="G405" s="8" t="n">
        <v>7.5</v>
      </c>
      <c r="H405" s="8"/>
      <c r="I405" s="9" t="n">
        <v>91319</v>
      </c>
      <c r="J405" s="7"/>
      <c r="K405" s="7" t="s">
        <v>2730</v>
      </c>
      <c r="L405" s="7" t="s">
        <v>54</v>
      </c>
      <c r="M405" s="10" t="s">
        <v>238</v>
      </c>
      <c r="N405" s="7"/>
      <c r="O405" s="8" t="n">
        <v>0</v>
      </c>
      <c r="P405" s="8" t="n">
        <v>0</v>
      </c>
      <c r="Q405" s="8" t="n">
        <v>0</v>
      </c>
      <c r="R405" s="7"/>
      <c r="S405" s="7" t="s">
        <v>10905</v>
      </c>
    </row>
    <row r="406" customFormat="false" ht="15.75" hidden="false" customHeight="true" outlineLevel="0" collapsed="false">
      <c r="A406" s="7" t="s">
        <v>10042</v>
      </c>
      <c r="B406" s="8" t="n">
        <v>2017</v>
      </c>
      <c r="C406" s="8" t="n">
        <v>2017</v>
      </c>
      <c r="D406" s="8" t="s">
        <v>176</v>
      </c>
      <c r="E406" s="8" t="s">
        <v>9685</v>
      </c>
      <c r="F406" s="7" t="s">
        <v>521</v>
      </c>
      <c r="G406" s="8" t="n">
        <v>8.5</v>
      </c>
      <c r="H406" s="8"/>
      <c r="I406" s="9" t="n">
        <v>91274</v>
      </c>
      <c r="J406" s="7"/>
      <c r="K406" s="7" t="s">
        <v>147</v>
      </c>
      <c r="L406" s="7" t="s">
        <v>54</v>
      </c>
      <c r="M406" s="7"/>
      <c r="N406" s="7"/>
      <c r="O406" s="8" t="n">
        <v>0</v>
      </c>
      <c r="P406" s="8" t="n">
        <v>0</v>
      </c>
      <c r="Q406" s="8" t="n">
        <v>27</v>
      </c>
      <c r="R406" s="7"/>
      <c r="S406" s="7" t="s">
        <v>10906</v>
      </c>
    </row>
    <row r="407" customFormat="false" ht="15.75" hidden="false" customHeight="true" outlineLevel="0" collapsed="false">
      <c r="A407" s="7" t="s">
        <v>10907</v>
      </c>
      <c r="B407" s="8" t="n">
        <v>2022</v>
      </c>
      <c r="C407" s="8" t="n">
        <v>2022</v>
      </c>
      <c r="D407" s="8" t="s">
        <v>378</v>
      </c>
      <c r="E407" s="8" t="s">
        <v>9715</v>
      </c>
      <c r="F407" s="7" t="s">
        <v>10908</v>
      </c>
      <c r="G407" s="8" t="n">
        <v>6.9</v>
      </c>
      <c r="H407" s="8"/>
      <c r="I407" s="9" t="n">
        <v>91122</v>
      </c>
      <c r="J407" s="7"/>
      <c r="K407" s="7" t="s">
        <v>47</v>
      </c>
      <c r="L407" s="7" t="s">
        <v>48</v>
      </c>
      <c r="M407" s="10" t="s">
        <v>238</v>
      </c>
      <c r="N407" s="7"/>
      <c r="O407" s="8" t="n">
        <v>0</v>
      </c>
      <c r="P407" s="8" t="n">
        <v>0</v>
      </c>
      <c r="Q407" s="8" t="n">
        <v>0</v>
      </c>
      <c r="R407" s="7"/>
      <c r="S407" s="7" t="s">
        <v>10909</v>
      </c>
    </row>
    <row r="408" customFormat="false" ht="15.75" hidden="false" customHeight="true" outlineLevel="0" collapsed="false">
      <c r="A408" s="7" t="s">
        <v>10910</v>
      </c>
      <c r="B408" s="8" t="n">
        <v>2020</v>
      </c>
      <c r="C408" s="8" t="n">
        <v>2025</v>
      </c>
      <c r="D408" s="8" t="s">
        <v>378</v>
      </c>
      <c r="E408" s="8" t="s">
        <v>9685</v>
      </c>
      <c r="F408" s="7" t="s">
        <v>10911</v>
      </c>
      <c r="G408" s="8" t="n">
        <v>7.7</v>
      </c>
      <c r="H408" s="8"/>
      <c r="I408" s="9" t="n">
        <v>90971</v>
      </c>
      <c r="J408" s="7"/>
      <c r="K408" s="7" t="s">
        <v>111</v>
      </c>
      <c r="L408" s="7" t="s">
        <v>125</v>
      </c>
      <c r="M408" s="10" t="s">
        <v>113</v>
      </c>
      <c r="N408" s="7"/>
      <c r="O408" s="8" t="n">
        <v>0</v>
      </c>
      <c r="P408" s="8" t="n">
        <v>0</v>
      </c>
      <c r="Q408" s="8" t="n">
        <v>0</v>
      </c>
      <c r="R408" s="7"/>
      <c r="S408" s="7" t="s">
        <v>10912</v>
      </c>
    </row>
    <row r="409" customFormat="false" ht="15.75" hidden="false" customHeight="true" outlineLevel="0" collapsed="false">
      <c r="A409" s="7" t="s">
        <v>10913</v>
      </c>
      <c r="B409" s="8" t="n">
        <v>2024</v>
      </c>
      <c r="C409" s="8" t="n">
        <v>2024</v>
      </c>
      <c r="D409" s="8" t="s">
        <v>378</v>
      </c>
      <c r="E409" s="8" t="s">
        <v>9715</v>
      </c>
      <c r="F409" s="7" t="s">
        <v>10914</v>
      </c>
      <c r="G409" s="8" t="n">
        <v>7.2</v>
      </c>
      <c r="H409" s="8"/>
      <c r="I409" s="9" t="n">
        <v>90917</v>
      </c>
      <c r="J409" s="7"/>
      <c r="K409" s="7" t="s">
        <v>112</v>
      </c>
      <c r="L409" s="7" t="s">
        <v>39</v>
      </c>
      <c r="M409" s="10" t="s">
        <v>177</v>
      </c>
      <c r="N409" s="7"/>
      <c r="O409" s="8" t="n">
        <v>0</v>
      </c>
      <c r="P409" s="8" t="n">
        <v>0</v>
      </c>
      <c r="Q409" s="8" t="n">
        <v>0</v>
      </c>
      <c r="R409" s="7"/>
      <c r="S409" s="7" t="s">
        <v>10915</v>
      </c>
    </row>
    <row r="410" customFormat="false" ht="15.75" hidden="false" customHeight="true" outlineLevel="0" collapsed="false">
      <c r="A410" s="7" t="s">
        <v>10916</v>
      </c>
      <c r="B410" s="8" t="n">
        <v>2021</v>
      </c>
      <c r="C410" s="8" t="n">
        <v>2025</v>
      </c>
      <c r="D410" s="8" t="s">
        <v>378</v>
      </c>
      <c r="E410" s="8" t="s">
        <v>9685</v>
      </c>
      <c r="F410" s="7" t="s">
        <v>10917</v>
      </c>
      <c r="G410" s="8" t="n">
        <v>8</v>
      </c>
      <c r="H410" s="8"/>
      <c r="I410" s="9" t="n">
        <v>90796</v>
      </c>
      <c r="J410" s="7"/>
      <c r="K410" s="7" t="s">
        <v>30</v>
      </c>
      <c r="L410" s="7" t="s">
        <v>125</v>
      </c>
      <c r="M410" s="10" t="s">
        <v>10918</v>
      </c>
      <c r="N410" s="7"/>
      <c r="O410" s="8" t="n">
        <v>0</v>
      </c>
      <c r="P410" s="8" t="n">
        <v>0</v>
      </c>
      <c r="Q410" s="8" t="n">
        <v>0</v>
      </c>
      <c r="R410" s="7"/>
      <c r="S410" s="7" t="s">
        <v>10919</v>
      </c>
    </row>
    <row r="411" customFormat="false" ht="15.75" hidden="false" customHeight="true" outlineLevel="0" collapsed="false">
      <c r="A411" s="7" t="s">
        <v>10920</v>
      </c>
      <c r="B411" s="8" t="n">
        <v>2026</v>
      </c>
      <c r="C411" s="8" t="n">
        <v>2026</v>
      </c>
      <c r="D411" s="8" t="s">
        <v>378</v>
      </c>
      <c r="E411" s="8" t="s">
        <v>9715</v>
      </c>
      <c r="F411" s="7" t="s">
        <v>10921</v>
      </c>
      <c r="G411" s="8" t="n">
        <v>7.1</v>
      </c>
      <c r="H411" s="8"/>
      <c r="I411" s="9" t="n">
        <v>90748</v>
      </c>
      <c r="J411" s="7"/>
      <c r="K411" s="7" t="s">
        <v>47</v>
      </c>
      <c r="L411" s="7" t="s">
        <v>54</v>
      </c>
      <c r="M411" s="10" t="s">
        <v>238</v>
      </c>
      <c r="N411" s="7"/>
      <c r="O411" s="8" t="n">
        <v>0</v>
      </c>
      <c r="P411" s="8" t="n">
        <v>0</v>
      </c>
      <c r="Q411" s="8" t="n">
        <v>0</v>
      </c>
      <c r="R411" s="7"/>
      <c r="S411" s="7" t="s">
        <v>10922</v>
      </c>
    </row>
    <row r="412" customFormat="false" ht="15.75" hidden="false" customHeight="true" outlineLevel="0" collapsed="false">
      <c r="A412" s="7" t="s">
        <v>10923</v>
      </c>
      <c r="B412" s="8" t="n">
        <v>2009</v>
      </c>
      <c r="C412" s="8" t="n">
        <v>2016</v>
      </c>
      <c r="D412" s="8" t="s">
        <v>35</v>
      </c>
      <c r="E412" s="8" t="s">
        <v>9685</v>
      </c>
      <c r="F412" s="7" t="s">
        <v>10924</v>
      </c>
      <c r="G412" s="8" t="n">
        <v>8.3</v>
      </c>
      <c r="H412" s="8"/>
      <c r="I412" s="9" t="n">
        <v>89762</v>
      </c>
      <c r="J412" s="7"/>
      <c r="K412" s="7" t="s">
        <v>47</v>
      </c>
      <c r="L412" s="7" t="s">
        <v>54</v>
      </c>
      <c r="M412" s="10" t="s">
        <v>192</v>
      </c>
      <c r="N412" s="7"/>
      <c r="O412" s="8" t="n">
        <v>5</v>
      </c>
      <c r="P412" s="8" t="n">
        <v>0</v>
      </c>
      <c r="Q412" s="8" t="n">
        <v>60</v>
      </c>
      <c r="R412" s="7"/>
      <c r="S412" s="7" t="s">
        <v>10925</v>
      </c>
    </row>
    <row r="413" customFormat="false" ht="15.75" hidden="false" customHeight="true" outlineLevel="0" collapsed="false">
      <c r="A413" s="7" t="s">
        <v>10926</v>
      </c>
      <c r="B413" s="8" t="n">
        <v>2021</v>
      </c>
      <c r="C413" s="8"/>
      <c r="D413" s="8" t="s">
        <v>378</v>
      </c>
      <c r="E413" s="8" t="s">
        <v>9685</v>
      </c>
      <c r="F413" s="7" t="s">
        <v>10927</v>
      </c>
      <c r="G413" s="8" t="n">
        <v>9</v>
      </c>
      <c r="H413" s="8"/>
      <c r="I413" s="9" t="n">
        <v>89600</v>
      </c>
      <c r="J413" s="7"/>
      <c r="K413" s="7" t="s">
        <v>2730</v>
      </c>
      <c r="L413" s="7" t="s">
        <v>30</v>
      </c>
      <c r="M413" s="10" t="s">
        <v>113</v>
      </c>
      <c r="N413" s="7"/>
      <c r="O413" s="8" t="n">
        <v>0</v>
      </c>
      <c r="P413" s="8" t="n">
        <v>0</v>
      </c>
      <c r="Q413" s="8" t="n">
        <v>0</v>
      </c>
      <c r="R413" s="7"/>
      <c r="S413" s="7" t="s">
        <v>10928</v>
      </c>
    </row>
    <row r="414" customFormat="false" ht="15.75" hidden="false" customHeight="true" outlineLevel="0" collapsed="false">
      <c r="A414" s="7" t="s">
        <v>10929</v>
      </c>
      <c r="B414" s="8" t="n">
        <v>2019</v>
      </c>
      <c r="C414" s="8" t="n">
        <v>2023</v>
      </c>
      <c r="D414" s="8" t="s">
        <v>176</v>
      </c>
      <c r="E414" s="8" t="s">
        <v>9685</v>
      </c>
      <c r="F414" s="7" t="s">
        <v>10930</v>
      </c>
      <c r="G414" s="8" t="n">
        <v>7.6</v>
      </c>
      <c r="H414" s="8"/>
      <c r="I414" s="9" t="n">
        <v>89202</v>
      </c>
      <c r="J414" s="7"/>
      <c r="K414" s="7" t="s">
        <v>38</v>
      </c>
      <c r="L414" s="7" t="s">
        <v>54</v>
      </c>
      <c r="M414" s="10" t="s">
        <v>113</v>
      </c>
      <c r="N414" s="7"/>
      <c r="O414" s="8" t="n">
        <v>0</v>
      </c>
      <c r="P414" s="8" t="n">
        <v>0</v>
      </c>
      <c r="Q414" s="8" t="n">
        <v>10</v>
      </c>
      <c r="R414" s="7"/>
      <c r="S414" s="7" t="s">
        <v>10931</v>
      </c>
    </row>
    <row r="415" customFormat="false" ht="15.75" hidden="false" customHeight="true" outlineLevel="0" collapsed="false">
      <c r="A415" s="7" t="s">
        <v>10932</v>
      </c>
      <c r="B415" s="8" t="n">
        <v>2011</v>
      </c>
      <c r="C415" s="8" t="n">
        <v>2011</v>
      </c>
      <c r="D415" s="8" t="s">
        <v>176</v>
      </c>
      <c r="E415" s="8" t="s">
        <v>9685</v>
      </c>
      <c r="F415" s="7" t="s">
        <v>10933</v>
      </c>
      <c r="G415" s="8" t="n">
        <v>6.7</v>
      </c>
      <c r="H415" s="8"/>
      <c r="I415" s="9" t="n">
        <v>89038</v>
      </c>
      <c r="J415" s="7"/>
      <c r="K415" s="7" t="s">
        <v>39</v>
      </c>
      <c r="L415" s="7" t="s">
        <v>125</v>
      </c>
      <c r="M415" s="10"/>
      <c r="N415" s="7"/>
      <c r="O415" s="8" t="n">
        <v>0</v>
      </c>
      <c r="P415" s="8" t="n">
        <v>0</v>
      </c>
      <c r="Q415" s="8" t="n">
        <v>0</v>
      </c>
      <c r="R415" s="7"/>
      <c r="S415" s="7" t="s">
        <v>10934</v>
      </c>
    </row>
    <row r="416" customFormat="false" ht="15.75" hidden="false" customHeight="true" outlineLevel="0" collapsed="false">
      <c r="A416" s="7" t="s">
        <v>10935</v>
      </c>
      <c r="B416" s="8" t="n">
        <v>2012</v>
      </c>
      <c r="C416" s="8" t="n">
        <v>2014</v>
      </c>
      <c r="D416" s="8" t="s">
        <v>176</v>
      </c>
      <c r="E416" s="8" t="s">
        <v>9685</v>
      </c>
      <c r="F416" s="7" t="s">
        <v>10936</v>
      </c>
      <c r="G416" s="8" t="n">
        <v>6.6</v>
      </c>
      <c r="H416" s="8"/>
      <c r="I416" s="9" t="n">
        <v>88351</v>
      </c>
      <c r="J416" s="7"/>
      <c r="K416" s="7" t="s">
        <v>112</v>
      </c>
      <c r="L416" s="7" t="s">
        <v>39</v>
      </c>
      <c r="M416" s="10" t="s">
        <v>113</v>
      </c>
      <c r="N416" s="7"/>
      <c r="O416" s="8" t="n">
        <v>1</v>
      </c>
      <c r="P416" s="8" t="n">
        <v>0</v>
      </c>
      <c r="Q416" s="8" t="n">
        <v>10</v>
      </c>
      <c r="R416" s="7"/>
      <c r="S416" s="7" t="s">
        <v>10937</v>
      </c>
    </row>
    <row r="417" customFormat="false" ht="15.75" hidden="false" customHeight="true" outlineLevel="0" collapsed="false">
      <c r="A417" s="7" t="s">
        <v>10938</v>
      </c>
      <c r="B417" s="8" t="n">
        <v>2023</v>
      </c>
      <c r="C417" s="8" t="n">
        <v>2023</v>
      </c>
      <c r="D417" s="8" t="s">
        <v>378</v>
      </c>
      <c r="E417" s="8" t="s">
        <v>9715</v>
      </c>
      <c r="F417" s="7" t="s">
        <v>10939</v>
      </c>
      <c r="G417" s="8" t="n">
        <v>1.2</v>
      </c>
      <c r="H417" s="8"/>
      <c r="I417" s="9" t="n">
        <v>88138</v>
      </c>
      <c r="J417" s="7"/>
      <c r="K417" s="7" t="s">
        <v>2730</v>
      </c>
      <c r="L417" s="7" t="s">
        <v>453</v>
      </c>
      <c r="M417" s="10" t="s">
        <v>238</v>
      </c>
      <c r="N417" s="7"/>
      <c r="O417" s="8" t="n">
        <v>0</v>
      </c>
      <c r="P417" s="8" t="n">
        <v>0</v>
      </c>
      <c r="Q417" s="8" t="n">
        <v>0</v>
      </c>
      <c r="R417" s="7"/>
      <c r="S417" s="7" t="s">
        <v>10940</v>
      </c>
    </row>
    <row r="418" customFormat="false" ht="15.75" hidden="false" customHeight="true" outlineLevel="0" collapsed="false">
      <c r="A418" s="7" t="s">
        <v>10941</v>
      </c>
      <c r="B418" s="8" t="n">
        <v>2007</v>
      </c>
      <c r="C418" s="8" t="n">
        <v>2010</v>
      </c>
      <c r="D418" s="8" t="s">
        <v>35</v>
      </c>
      <c r="E418" s="8" t="s">
        <v>9685</v>
      </c>
      <c r="F418" s="7" t="s">
        <v>10942</v>
      </c>
      <c r="G418" s="8" t="n">
        <v>8.1</v>
      </c>
      <c r="H418" s="8"/>
      <c r="I418" s="9" t="n">
        <v>87815</v>
      </c>
      <c r="J418" s="7"/>
      <c r="K418" s="7" t="s">
        <v>29</v>
      </c>
      <c r="L418" s="7" t="s">
        <v>453</v>
      </c>
      <c r="M418" s="10" t="s">
        <v>238</v>
      </c>
      <c r="N418" s="7"/>
      <c r="O418" s="8" t="n">
        <v>8</v>
      </c>
      <c r="P418" s="8" t="n">
        <v>0</v>
      </c>
      <c r="Q418" s="8" t="n">
        <v>32</v>
      </c>
      <c r="R418" s="7"/>
      <c r="S418" s="7" t="s">
        <v>10943</v>
      </c>
    </row>
    <row r="419" customFormat="false" ht="15.75" hidden="false" customHeight="true" outlineLevel="0" collapsed="false">
      <c r="A419" s="7" t="s">
        <v>10944</v>
      </c>
      <c r="B419" s="8" t="n">
        <v>1969</v>
      </c>
      <c r="C419" s="8" t="n">
        <v>1974</v>
      </c>
      <c r="D419" s="8" t="s">
        <v>122</v>
      </c>
      <c r="E419" s="8" t="s">
        <v>9685</v>
      </c>
      <c r="F419" s="7" t="s">
        <v>10945</v>
      </c>
      <c r="G419" s="8" t="n">
        <v>8.8</v>
      </c>
      <c r="H419" s="8"/>
      <c r="I419" s="9" t="n">
        <v>87650</v>
      </c>
      <c r="J419" s="7"/>
      <c r="K419" s="7" t="s">
        <v>30</v>
      </c>
      <c r="L419" s="7"/>
      <c r="M419" s="10"/>
      <c r="N419" s="7"/>
      <c r="O419" s="8" t="n">
        <v>0</v>
      </c>
      <c r="P419" s="8" t="n">
        <v>0</v>
      </c>
      <c r="Q419" s="8" t="n">
        <v>0</v>
      </c>
      <c r="R419" s="7"/>
      <c r="S419" s="7" t="s">
        <v>10946</v>
      </c>
    </row>
    <row r="420" customFormat="false" ht="15.75" hidden="false" customHeight="true" outlineLevel="0" collapsed="false">
      <c r="A420" s="7" t="s">
        <v>10947</v>
      </c>
      <c r="B420" s="8" t="n">
        <v>2016</v>
      </c>
      <c r="C420" s="8" t="n">
        <v>2019</v>
      </c>
      <c r="D420" s="8" t="s">
        <v>176</v>
      </c>
      <c r="E420" s="8" t="s">
        <v>9685</v>
      </c>
      <c r="F420" s="7" t="s">
        <v>10948</v>
      </c>
      <c r="G420" s="8" t="n">
        <v>7.9</v>
      </c>
      <c r="H420" s="8"/>
      <c r="I420" s="9" t="n">
        <v>87344</v>
      </c>
      <c r="J420" s="7"/>
      <c r="K420" s="7" t="s">
        <v>38</v>
      </c>
      <c r="L420" s="7" t="s">
        <v>39</v>
      </c>
      <c r="M420" s="10"/>
      <c r="N420" s="7"/>
      <c r="O420" s="8" t="n">
        <v>0</v>
      </c>
      <c r="P420" s="8" t="n">
        <v>0</v>
      </c>
      <c r="Q420" s="8" t="n">
        <v>0</v>
      </c>
      <c r="R420" s="7"/>
      <c r="S420" s="7" t="s">
        <v>10949</v>
      </c>
    </row>
    <row r="421" customFormat="false" ht="15.75" hidden="false" customHeight="true" outlineLevel="0" collapsed="false">
      <c r="A421" s="7" t="s">
        <v>10950</v>
      </c>
      <c r="B421" s="8" t="n">
        <v>2023</v>
      </c>
      <c r="C421" s="8"/>
      <c r="D421" s="8" t="s">
        <v>378</v>
      </c>
      <c r="E421" s="8" t="s">
        <v>9685</v>
      </c>
      <c r="F421" s="7" t="s">
        <v>10951</v>
      </c>
      <c r="G421" s="8" t="n">
        <v>9.2</v>
      </c>
      <c r="H421" s="8"/>
      <c r="I421" s="9" t="n">
        <v>87227</v>
      </c>
      <c r="J421" s="7"/>
      <c r="K421" s="7" t="s">
        <v>47</v>
      </c>
      <c r="L421" s="7"/>
      <c r="M421" s="10" t="s">
        <v>113</v>
      </c>
      <c r="N421" s="7"/>
      <c r="O421" s="8" t="n">
        <v>0</v>
      </c>
      <c r="P421" s="8" t="n">
        <v>0</v>
      </c>
      <c r="Q421" s="8" t="n">
        <v>0</v>
      </c>
      <c r="R421" s="7"/>
      <c r="S421" s="7" t="s">
        <v>10952</v>
      </c>
    </row>
    <row r="422" customFormat="false" ht="15.75" hidden="false" customHeight="true" outlineLevel="0" collapsed="false">
      <c r="A422" s="7" t="s">
        <v>10953</v>
      </c>
      <c r="B422" s="8" t="n">
        <v>2025</v>
      </c>
      <c r="C422" s="8"/>
      <c r="D422" s="8" t="s">
        <v>378</v>
      </c>
      <c r="E422" s="8" t="s">
        <v>9685</v>
      </c>
      <c r="F422" s="7" t="s">
        <v>10954</v>
      </c>
      <c r="G422" s="8" t="n">
        <v>7.9</v>
      </c>
      <c r="H422" s="8"/>
      <c r="I422" s="9" t="n">
        <v>87116</v>
      </c>
      <c r="J422" s="7"/>
      <c r="K422" s="7" t="s">
        <v>112</v>
      </c>
      <c r="L422" s="7" t="s">
        <v>125</v>
      </c>
      <c r="M422" s="10" t="s">
        <v>177</v>
      </c>
      <c r="N422" s="7"/>
      <c r="O422" s="8" t="n">
        <v>0</v>
      </c>
      <c r="P422" s="8" t="n">
        <v>0</v>
      </c>
      <c r="Q422" s="8" t="n">
        <v>0</v>
      </c>
      <c r="R422" s="7"/>
      <c r="S422" s="7" t="s">
        <v>10955</v>
      </c>
    </row>
    <row r="423" customFormat="false" ht="15.75" hidden="false" customHeight="true" outlineLevel="0" collapsed="false">
      <c r="A423" s="7" t="s">
        <v>10956</v>
      </c>
      <c r="B423" s="8" t="n">
        <v>2025</v>
      </c>
      <c r="C423" s="8" t="n">
        <v>2025</v>
      </c>
      <c r="D423" s="8" t="s">
        <v>378</v>
      </c>
      <c r="E423" s="8" t="s">
        <v>9715</v>
      </c>
      <c r="F423" s="7" t="s">
        <v>5314</v>
      </c>
      <c r="G423" s="8" t="n">
        <v>8</v>
      </c>
      <c r="H423" s="8" t="n">
        <v>9</v>
      </c>
      <c r="I423" s="9" t="n">
        <v>87086</v>
      </c>
      <c r="J423" s="7"/>
      <c r="K423" s="7" t="s">
        <v>131</v>
      </c>
      <c r="L423" s="7" t="s">
        <v>112</v>
      </c>
      <c r="M423" s="10" t="s">
        <v>238</v>
      </c>
      <c r="N423" s="7"/>
      <c r="O423" s="8" t="n">
        <v>0</v>
      </c>
      <c r="P423" s="8" t="n">
        <v>0</v>
      </c>
      <c r="Q423" s="8" t="n">
        <v>0</v>
      </c>
      <c r="R423" s="7"/>
      <c r="S423" s="7" t="s">
        <v>10957</v>
      </c>
    </row>
    <row r="424" customFormat="false" ht="15.75" hidden="false" customHeight="true" outlineLevel="0" collapsed="false">
      <c r="A424" s="7" t="s">
        <v>10958</v>
      </c>
      <c r="B424" s="8" t="n">
        <v>2003</v>
      </c>
      <c r="C424" s="8" t="n">
        <v>2004</v>
      </c>
      <c r="D424" s="8" t="s">
        <v>35</v>
      </c>
      <c r="E424" s="8" t="s">
        <v>9685</v>
      </c>
      <c r="F424" s="7" t="s">
        <v>10959</v>
      </c>
      <c r="G424" s="8" t="n">
        <v>8.5</v>
      </c>
      <c r="H424" s="8"/>
      <c r="I424" s="9" t="n">
        <v>86849</v>
      </c>
      <c r="J424" s="7"/>
      <c r="K424" s="7" t="s">
        <v>579</v>
      </c>
      <c r="L424" s="7" t="s">
        <v>112</v>
      </c>
      <c r="M424" s="7"/>
      <c r="N424" s="7"/>
      <c r="O424" s="8" t="n">
        <v>0</v>
      </c>
      <c r="P424" s="8" t="n">
        <v>0</v>
      </c>
      <c r="Q424" s="8" t="n">
        <v>0</v>
      </c>
      <c r="R424" s="7"/>
      <c r="S424" s="7"/>
    </row>
    <row r="425" customFormat="false" ht="15.75" hidden="false" customHeight="true" outlineLevel="0" collapsed="false">
      <c r="A425" s="7" t="s">
        <v>10960</v>
      </c>
      <c r="B425" s="8" t="n">
        <v>2015</v>
      </c>
      <c r="C425" s="8" t="n">
        <v>2018</v>
      </c>
      <c r="D425" s="8" t="s">
        <v>176</v>
      </c>
      <c r="E425" s="8" t="s">
        <v>9685</v>
      </c>
      <c r="F425" s="7" t="s">
        <v>10961</v>
      </c>
      <c r="G425" s="8" t="n">
        <v>8.4</v>
      </c>
      <c r="H425" s="8"/>
      <c r="I425" s="9" t="n">
        <v>86320</v>
      </c>
      <c r="J425" s="7"/>
      <c r="K425" s="7" t="s">
        <v>147</v>
      </c>
      <c r="L425" s="7" t="s">
        <v>112</v>
      </c>
      <c r="M425" s="10" t="s">
        <v>161</v>
      </c>
      <c r="N425" s="7"/>
      <c r="O425" s="8" t="n">
        <v>0</v>
      </c>
      <c r="P425" s="8" t="n">
        <v>0</v>
      </c>
      <c r="Q425" s="8" t="n">
        <v>0</v>
      </c>
      <c r="R425" s="7"/>
      <c r="S425" s="7" t="s">
        <v>10962</v>
      </c>
    </row>
    <row r="426" customFormat="false" ht="15.75" hidden="false" customHeight="true" outlineLevel="0" collapsed="false">
      <c r="A426" s="7" t="s">
        <v>10963</v>
      </c>
      <c r="B426" s="8" t="n">
        <v>2015</v>
      </c>
      <c r="C426" s="8" t="n">
        <v>2020</v>
      </c>
      <c r="D426" s="8" t="s">
        <v>176</v>
      </c>
      <c r="E426" s="8" t="s">
        <v>9685</v>
      </c>
      <c r="F426" s="7" t="s">
        <v>10964</v>
      </c>
      <c r="G426" s="8" t="n">
        <v>7.3</v>
      </c>
      <c r="H426" s="8"/>
      <c r="I426" s="9" t="n">
        <v>86279</v>
      </c>
      <c r="J426" s="7"/>
      <c r="K426" s="7" t="s">
        <v>112</v>
      </c>
      <c r="L426" s="7" t="s">
        <v>54</v>
      </c>
      <c r="M426" s="10"/>
      <c r="N426" s="7"/>
      <c r="O426" s="8" t="n">
        <v>0</v>
      </c>
      <c r="P426" s="8" t="n">
        <v>0</v>
      </c>
      <c r="Q426" s="8" t="n">
        <v>3</v>
      </c>
      <c r="R426" s="7"/>
      <c r="S426" s="7" t="s">
        <v>10965</v>
      </c>
    </row>
    <row r="427" customFormat="false" ht="15.75" hidden="false" customHeight="true" outlineLevel="0" collapsed="false">
      <c r="A427" s="7" t="s">
        <v>10966</v>
      </c>
      <c r="B427" s="8" t="n">
        <v>2015</v>
      </c>
      <c r="C427" s="8" t="n">
        <v>2021</v>
      </c>
      <c r="D427" s="8" t="s">
        <v>176</v>
      </c>
      <c r="E427" s="8" t="s">
        <v>9685</v>
      </c>
      <c r="F427" s="7" t="s">
        <v>10967</v>
      </c>
      <c r="G427" s="8" t="n">
        <v>7.8</v>
      </c>
      <c r="H427" s="8"/>
      <c r="I427" s="9" t="n">
        <v>85998</v>
      </c>
      <c r="J427" s="7"/>
      <c r="K427" s="7" t="s">
        <v>30</v>
      </c>
      <c r="L427" s="7"/>
      <c r="M427" s="10" t="s">
        <v>177</v>
      </c>
      <c r="N427" s="7"/>
      <c r="O427" s="8" t="n">
        <v>0</v>
      </c>
      <c r="P427" s="8" t="n">
        <v>0</v>
      </c>
      <c r="Q427" s="8" t="n">
        <v>0</v>
      </c>
      <c r="R427" s="7"/>
      <c r="S427" s="7" t="s">
        <v>10968</v>
      </c>
    </row>
    <row r="428" customFormat="false" ht="15.75" hidden="false" customHeight="true" outlineLevel="0" collapsed="false">
      <c r="A428" s="7" t="s">
        <v>10969</v>
      </c>
      <c r="B428" s="8" t="n">
        <v>2010</v>
      </c>
      <c r="C428" s="8" t="n">
        <v>2015</v>
      </c>
      <c r="D428" s="8" t="s">
        <v>176</v>
      </c>
      <c r="E428" s="8" t="s">
        <v>9685</v>
      </c>
      <c r="F428" s="7" t="s">
        <v>10970</v>
      </c>
      <c r="G428" s="8" t="n">
        <v>8.5</v>
      </c>
      <c r="H428" s="8"/>
      <c r="I428" s="9" t="n">
        <v>85551</v>
      </c>
      <c r="J428" s="7"/>
      <c r="K428" s="7" t="s">
        <v>30</v>
      </c>
      <c r="L428" s="7" t="s">
        <v>47</v>
      </c>
      <c r="M428" s="10"/>
      <c r="N428" s="7"/>
      <c r="O428" s="8" t="n">
        <v>2</v>
      </c>
      <c r="P428" s="8" t="n">
        <v>0</v>
      </c>
      <c r="Q428" s="8" t="n">
        <v>22</v>
      </c>
      <c r="R428" s="7"/>
      <c r="S428" s="7" t="s">
        <v>10971</v>
      </c>
    </row>
    <row r="429" customFormat="false" ht="15.75" hidden="false" customHeight="true" outlineLevel="0" collapsed="false">
      <c r="A429" s="7" t="s">
        <v>10972</v>
      </c>
      <c r="B429" s="8" t="n">
        <v>2003</v>
      </c>
      <c r="C429" s="8" t="n">
        <v>2003</v>
      </c>
      <c r="D429" s="8" t="s">
        <v>35</v>
      </c>
      <c r="E429" s="8" t="s">
        <v>9715</v>
      </c>
      <c r="F429" s="7" t="s">
        <v>10973</v>
      </c>
      <c r="G429" s="8" t="n">
        <v>8.5</v>
      </c>
      <c r="H429" s="8"/>
      <c r="I429" s="9" t="n">
        <v>85510</v>
      </c>
      <c r="J429" s="7"/>
      <c r="K429" s="7" t="s">
        <v>112</v>
      </c>
      <c r="L429" s="7" t="s">
        <v>39</v>
      </c>
      <c r="M429" s="10" t="s">
        <v>192</v>
      </c>
      <c r="N429" s="7"/>
      <c r="O429" s="8" t="n">
        <v>26</v>
      </c>
      <c r="P429" s="8" t="n">
        <v>0</v>
      </c>
      <c r="Q429" s="8" t="n">
        <v>60</v>
      </c>
      <c r="R429" s="7"/>
      <c r="S429" s="7" t="s">
        <v>10974</v>
      </c>
    </row>
    <row r="430" customFormat="false" ht="15.75" hidden="false" customHeight="true" outlineLevel="0" collapsed="false">
      <c r="A430" s="7" t="s">
        <v>10975</v>
      </c>
      <c r="B430" s="8" t="n">
        <v>2011</v>
      </c>
      <c r="C430" s="8" t="n">
        <v>2018</v>
      </c>
      <c r="D430" s="8" t="s">
        <v>176</v>
      </c>
      <c r="E430" s="8" t="s">
        <v>9685</v>
      </c>
      <c r="F430" s="7" t="s">
        <v>10976</v>
      </c>
      <c r="G430" s="8" t="n">
        <v>8.6</v>
      </c>
      <c r="H430" s="8"/>
      <c r="I430" s="9" t="n">
        <v>85194</v>
      </c>
      <c r="J430" s="7"/>
      <c r="K430" s="7" t="s">
        <v>131</v>
      </c>
      <c r="L430" s="7" t="s">
        <v>54</v>
      </c>
      <c r="M430" s="10" t="s">
        <v>7693</v>
      </c>
      <c r="N430" s="7"/>
      <c r="O430" s="8" t="n">
        <v>0</v>
      </c>
      <c r="P430" s="8" t="n">
        <v>0</v>
      </c>
      <c r="Q430" s="8" t="n">
        <v>0</v>
      </c>
      <c r="R430" s="7"/>
      <c r="S430" s="7" t="s">
        <v>10977</v>
      </c>
    </row>
    <row r="431" customFormat="false" ht="15.75" hidden="false" customHeight="true" outlineLevel="0" collapsed="false">
      <c r="A431" s="7" t="s">
        <v>10978</v>
      </c>
      <c r="B431" s="8" t="n">
        <v>1995</v>
      </c>
      <c r="C431" s="8" t="n">
        <v>2001</v>
      </c>
      <c r="D431" s="8" t="s">
        <v>26</v>
      </c>
      <c r="E431" s="8" t="s">
        <v>9685</v>
      </c>
      <c r="F431" s="7" t="s">
        <v>10979</v>
      </c>
      <c r="G431" s="8" t="n">
        <v>7.9</v>
      </c>
      <c r="H431" s="8"/>
      <c r="I431" s="9" t="n">
        <v>85054</v>
      </c>
      <c r="J431" s="7"/>
      <c r="K431" s="7" t="s">
        <v>112</v>
      </c>
      <c r="L431" s="7" t="s">
        <v>39</v>
      </c>
      <c r="M431" s="10"/>
      <c r="N431" s="7"/>
      <c r="O431" s="8" t="n">
        <v>0</v>
      </c>
      <c r="P431" s="8" t="n">
        <v>0</v>
      </c>
      <c r="Q431" s="8" t="n">
        <v>0</v>
      </c>
      <c r="R431" s="7"/>
      <c r="S431" s="7" t="s">
        <v>10980</v>
      </c>
    </row>
    <row r="432" customFormat="false" ht="15.75" hidden="false" customHeight="true" outlineLevel="0" collapsed="false">
      <c r="A432" s="7" t="s">
        <v>10981</v>
      </c>
      <c r="B432" s="8" t="n">
        <v>2012</v>
      </c>
      <c r="C432" s="8" t="n">
        <v>2018</v>
      </c>
      <c r="D432" s="8" t="s">
        <v>176</v>
      </c>
      <c r="E432" s="8" t="s">
        <v>9685</v>
      </c>
      <c r="F432" s="7" t="s">
        <v>10982</v>
      </c>
      <c r="G432" s="8" t="n">
        <v>7.7</v>
      </c>
      <c r="H432" s="8"/>
      <c r="I432" s="9" t="n">
        <v>84788</v>
      </c>
      <c r="J432" s="7"/>
      <c r="K432" s="7" t="s">
        <v>131</v>
      </c>
      <c r="L432" s="7" t="s">
        <v>47</v>
      </c>
      <c r="M432" s="10" t="s">
        <v>177</v>
      </c>
      <c r="N432" s="7"/>
      <c r="O432" s="8" t="n">
        <v>1</v>
      </c>
      <c r="P432" s="8" t="n">
        <v>0</v>
      </c>
      <c r="Q432" s="8" t="n">
        <v>6</v>
      </c>
      <c r="R432" s="7"/>
      <c r="S432" s="7" t="s">
        <v>10983</v>
      </c>
    </row>
    <row r="433" customFormat="false" ht="15.75" hidden="false" customHeight="true" outlineLevel="0" collapsed="false">
      <c r="A433" s="7" t="s">
        <v>10984</v>
      </c>
      <c r="B433" s="8" t="n">
        <v>2014</v>
      </c>
      <c r="C433" s="8" t="n">
        <v>2016</v>
      </c>
      <c r="D433" s="8" t="s">
        <v>176</v>
      </c>
      <c r="E433" s="8" t="s">
        <v>9685</v>
      </c>
      <c r="F433" s="7" t="s">
        <v>10985</v>
      </c>
      <c r="G433" s="8" t="n">
        <v>7.9</v>
      </c>
      <c r="H433" s="8"/>
      <c r="I433" s="9" t="n">
        <v>84631</v>
      </c>
      <c r="J433" s="7"/>
      <c r="K433" s="7" t="s">
        <v>112</v>
      </c>
      <c r="L433" s="7" t="s">
        <v>39</v>
      </c>
      <c r="M433" s="10" t="s">
        <v>238</v>
      </c>
      <c r="N433" s="7"/>
      <c r="O433" s="8" t="n">
        <v>0</v>
      </c>
      <c r="P433" s="8" t="n">
        <v>0</v>
      </c>
      <c r="Q433" s="8" t="n">
        <v>1</v>
      </c>
      <c r="R433" s="7"/>
      <c r="S433" s="7" t="s">
        <v>10986</v>
      </c>
    </row>
    <row r="434" customFormat="false" ht="15.75" hidden="false" customHeight="true" outlineLevel="0" collapsed="false">
      <c r="A434" s="7" t="s">
        <v>10987</v>
      </c>
      <c r="B434" s="8" t="n">
        <v>2014</v>
      </c>
      <c r="C434" s="8" t="n">
        <v>2014</v>
      </c>
      <c r="D434" s="8" t="s">
        <v>176</v>
      </c>
      <c r="E434" s="8" t="s">
        <v>9715</v>
      </c>
      <c r="F434" s="7" t="s">
        <v>10988</v>
      </c>
      <c r="G434" s="8" t="n">
        <v>7.7</v>
      </c>
      <c r="H434" s="8"/>
      <c r="I434" s="9" t="n">
        <v>84474</v>
      </c>
      <c r="J434" s="7"/>
      <c r="K434" s="7" t="s">
        <v>579</v>
      </c>
      <c r="L434" s="7" t="s">
        <v>112</v>
      </c>
      <c r="M434" s="10" t="s">
        <v>10989</v>
      </c>
      <c r="N434" s="7"/>
      <c r="O434" s="8" t="n">
        <v>0</v>
      </c>
      <c r="P434" s="8" t="n">
        <v>0</v>
      </c>
      <c r="Q434" s="8" t="n">
        <v>0</v>
      </c>
      <c r="R434" s="7"/>
      <c r="S434" s="7" t="s">
        <v>10990</v>
      </c>
    </row>
    <row r="435" customFormat="false" ht="15.75" hidden="false" customHeight="true" outlineLevel="0" collapsed="false">
      <c r="A435" s="7" t="s">
        <v>10991</v>
      </c>
      <c r="B435" s="8" t="n">
        <v>2024</v>
      </c>
      <c r="C435" s="8"/>
      <c r="D435" s="8" t="s">
        <v>378</v>
      </c>
      <c r="E435" s="8" t="s">
        <v>9685</v>
      </c>
      <c r="F435" s="7" t="s">
        <v>10992</v>
      </c>
      <c r="G435" s="8" t="n">
        <v>7.7</v>
      </c>
      <c r="H435" s="8"/>
      <c r="I435" s="9" t="n">
        <v>84246</v>
      </c>
      <c r="J435" s="7"/>
      <c r="K435" s="7" t="s">
        <v>29</v>
      </c>
      <c r="L435" s="7" t="s">
        <v>30</v>
      </c>
      <c r="M435" s="10" t="s">
        <v>238</v>
      </c>
      <c r="N435" s="7"/>
      <c r="O435" s="8" t="n">
        <v>0</v>
      </c>
      <c r="P435" s="8" t="n">
        <v>0</v>
      </c>
      <c r="Q435" s="8" t="n">
        <v>0</v>
      </c>
      <c r="R435" s="7"/>
      <c r="S435" s="7" t="s">
        <v>10993</v>
      </c>
    </row>
    <row r="436" customFormat="false" ht="15.75" hidden="false" customHeight="true" outlineLevel="0" collapsed="false">
      <c r="A436" s="7" t="s">
        <v>10994</v>
      </c>
      <c r="B436" s="8" t="n">
        <v>2004</v>
      </c>
      <c r="C436" s="8" t="n">
        <v>2019</v>
      </c>
      <c r="D436" s="8" t="s">
        <v>35</v>
      </c>
      <c r="E436" s="8" t="s">
        <v>9685</v>
      </c>
      <c r="F436" s="7" t="s">
        <v>10995</v>
      </c>
      <c r="G436" s="8" t="n">
        <v>8.3</v>
      </c>
      <c r="H436" s="8"/>
      <c r="I436" s="9" t="n">
        <v>83975</v>
      </c>
      <c r="J436" s="7"/>
      <c r="K436" s="7" t="s">
        <v>47</v>
      </c>
      <c r="L436" s="7" t="s">
        <v>54</v>
      </c>
      <c r="M436" s="10" t="s">
        <v>113</v>
      </c>
      <c r="N436" s="7"/>
      <c r="O436" s="8" t="n">
        <v>0</v>
      </c>
      <c r="P436" s="8" t="n">
        <v>0</v>
      </c>
      <c r="Q436" s="8" t="n">
        <v>0</v>
      </c>
      <c r="R436" s="7"/>
      <c r="S436" s="7" t="s">
        <v>10996</v>
      </c>
    </row>
    <row r="437" customFormat="false" ht="15.75" hidden="false" customHeight="true" outlineLevel="0" collapsed="false">
      <c r="A437" s="7" t="s">
        <v>10997</v>
      </c>
      <c r="B437" s="8" t="n">
        <v>2010</v>
      </c>
      <c r="C437" s="8" t="n">
        <v>2020</v>
      </c>
      <c r="D437" s="8" t="s">
        <v>176</v>
      </c>
      <c r="E437" s="8" t="s">
        <v>9685</v>
      </c>
      <c r="F437" s="7" t="s">
        <v>10998</v>
      </c>
      <c r="G437" s="8" t="n">
        <v>7.4</v>
      </c>
      <c r="H437" s="8"/>
      <c r="I437" s="9" t="n">
        <v>83917</v>
      </c>
      <c r="J437" s="7"/>
      <c r="K437" s="7" t="s">
        <v>112</v>
      </c>
      <c r="L437" s="7" t="s">
        <v>39</v>
      </c>
      <c r="M437" s="10" t="s">
        <v>220</v>
      </c>
      <c r="N437" s="7"/>
      <c r="O437" s="8" t="n">
        <v>0</v>
      </c>
      <c r="P437" s="8" t="n">
        <v>0</v>
      </c>
      <c r="Q437" s="8" t="n">
        <v>2</v>
      </c>
      <c r="R437" s="7"/>
      <c r="S437" s="7" t="s">
        <v>10999</v>
      </c>
    </row>
    <row r="438" customFormat="false" ht="15.75" hidden="false" customHeight="true" outlineLevel="0" collapsed="false">
      <c r="A438" s="7" t="s">
        <v>11000</v>
      </c>
      <c r="B438" s="8" t="n">
        <v>2015</v>
      </c>
      <c r="C438" s="8" t="n">
        <v>2019</v>
      </c>
      <c r="D438" s="8" t="s">
        <v>176</v>
      </c>
      <c r="E438" s="8" t="s">
        <v>9685</v>
      </c>
      <c r="F438" s="7" t="s">
        <v>11001</v>
      </c>
      <c r="G438" s="8" t="n">
        <v>7.5</v>
      </c>
      <c r="H438" s="8"/>
      <c r="I438" s="9" t="n">
        <v>83868</v>
      </c>
      <c r="J438" s="7"/>
      <c r="K438" s="7" t="s">
        <v>30</v>
      </c>
      <c r="L438" s="7"/>
      <c r="M438" s="10" t="s">
        <v>238</v>
      </c>
      <c r="N438" s="7"/>
      <c r="O438" s="8" t="n">
        <v>0</v>
      </c>
      <c r="P438" s="8" t="n">
        <v>0</v>
      </c>
      <c r="Q438" s="8" t="n">
        <v>48</v>
      </c>
      <c r="R438" s="7"/>
      <c r="S438" s="7" t="s">
        <v>11002</v>
      </c>
    </row>
    <row r="439" customFormat="false" ht="15.75" hidden="false" customHeight="true" outlineLevel="0" collapsed="false">
      <c r="A439" s="7" t="s">
        <v>11003</v>
      </c>
      <c r="B439" s="8" t="n">
        <v>2017</v>
      </c>
      <c r="C439" s="8" t="n">
        <v>2019</v>
      </c>
      <c r="D439" s="8" t="s">
        <v>176</v>
      </c>
      <c r="E439" s="8" t="s">
        <v>9685</v>
      </c>
      <c r="F439" s="7" t="s">
        <v>11004</v>
      </c>
      <c r="G439" s="8" t="n">
        <v>7.8</v>
      </c>
      <c r="H439" s="8"/>
      <c r="I439" s="9" t="n">
        <v>83861</v>
      </c>
      <c r="J439" s="7"/>
      <c r="K439" s="7" t="s">
        <v>147</v>
      </c>
      <c r="L439" s="7" t="s">
        <v>30</v>
      </c>
      <c r="M439" s="10" t="s">
        <v>238</v>
      </c>
      <c r="N439" s="7"/>
      <c r="O439" s="8" t="n">
        <v>0</v>
      </c>
      <c r="P439" s="8" t="n">
        <v>0</v>
      </c>
      <c r="Q439" s="8" t="n">
        <v>0</v>
      </c>
      <c r="R439" s="7"/>
      <c r="S439" s="7" t="s">
        <v>11005</v>
      </c>
    </row>
    <row r="440" customFormat="false" ht="15.75" hidden="false" customHeight="true" outlineLevel="0" collapsed="false">
      <c r="A440" s="7" t="s">
        <v>11006</v>
      </c>
      <c r="B440" s="8" t="n">
        <v>2012</v>
      </c>
      <c r="C440" s="8" t="n">
        <v>2017</v>
      </c>
      <c r="D440" s="8" t="s">
        <v>176</v>
      </c>
      <c r="E440" s="8" t="s">
        <v>9685</v>
      </c>
      <c r="F440" s="7" t="s">
        <v>11007</v>
      </c>
      <c r="G440" s="8" t="n">
        <v>7.4</v>
      </c>
      <c r="H440" s="8"/>
      <c r="I440" s="9" t="n">
        <v>83822</v>
      </c>
      <c r="J440" s="7"/>
      <c r="K440" s="7" t="s">
        <v>30</v>
      </c>
      <c r="L440" s="7" t="s">
        <v>47</v>
      </c>
      <c r="M440" s="10" t="s">
        <v>55</v>
      </c>
      <c r="N440" s="7"/>
      <c r="O440" s="8" t="n">
        <v>2</v>
      </c>
      <c r="P440" s="8" t="n">
        <v>0</v>
      </c>
      <c r="Q440" s="8" t="n">
        <v>28</v>
      </c>
      <c r="R440" s="7"/>
      <c r="S440" s="7" t="s">
        <v>11008</v>
      </c>
    </row>
    <row r="441" customFormat="false" ht="15.75" hidden="false" customHeight="true" outlineLevel="0" collapsed="false">
      <c r="A441" s="7" t="s">
        <v>11009</v>
      </c>
      <c r="B441" s="8" t="n">
        <v>2020</v>
      </c>
      <c r="C441" s="8" t="n">
        <v>2020</v>
      </c>
      <c r="D441" s="8" t="s">
        <v>378</v>
      </c>
      <c r="E441" s="8" t="s">
        <v>9685</v>
      </c>
      <c r="F441" s="7" t="s">
        <v>11010</v>
      </c>
      <c r="G441" s="8" t="n">
        <v>7.5</v>
      </c>
      <c r="H441" s="8"/>
      <c r="I441" s="9" t="n">
        <v>83785</v>
      </c>
      <c r="J441" s="7"/>
      <c r="K441" s="7" t="s">
        <v>38</v>
      </c>
      <c r="L441" s="7" t="s">
        <v>30</v>
      </c>
      <c r="M441" s="10" t="s">
        <v>238</v>
      </c>
      <c r="N441" s="7"/>
      <c r="O441" s="8" t="n">
        <v>0</v>
      </c>
      <c r="P441" s="8" t="n">
        <v>0</v>
      </c>
      <c r="Q441" s="8" t="n">
        <v>0</v>
      </c>
      <c r="R441" s="7"/>
      <c r="S441" s="7" t="s">
        <v>11011</v>
      </c>
    </row>
    <row r="442" customFormat="false" ht="15.75" hidden="false" customHeight="true" outlineLevel="0" collapsed="false">
      <c r="A442" s="7" t="s">
        <v>11012</v>
      </c>
      <c r="B442" s="8" t="n">
        <v>1996</v>
      </c>
      <c r="C442" s="8" t="n">
        <v>2005</v>
      </c>
      <c r="D442" s="8" t="s">
        <v>26</v>
      </c>
      <c r="E442" s="8" t="s">
        <v>9685</v>
      </c>
      <c r="F442" s="7" t="s">
        <v>11013</v>
      </c>
      <c r="G442" s="8" t="n">
        <v>7.3</v>
      </c>
      <c r="H442" s="8"/>
      <c r="I442" s="9" t="n">
        <v>83687</v>
      </c>
      <c r="J442" s="7"/>
      <c r="K442" s="7" t="s">
        <v>30</v>
      </c>
      <c r="L442" s="7"/>
      <c r="M442" s="10"/>
      <c r="N442" s="7"/>
      <c r="O442" s="8" t="n">
        <v>7</v>
      </c>
      <c r="P442" s="8" t="n">
        <v>0</v>
      </c>
      <c r="Q442" s="8" t="n">
        <v>30</v>
      </c>
      <c r="R442" s="7"/>
      <c r="S442" s="7" t="s">
        <v>11014</v>
      </c>
    </row>
    <row r="443" customFormat="false" ht="15.75" hidden="false" customHeight="true" outlineLevel="0" collapsed="false">
      <c r="A443" s="7" t="s">
        <v>11015</v>
      </c>
      <c r="B443" s="8" t="n">
        <v>2007</v>
      </c>
      <c r="C443" s="8" t="n">
        <v>2013</v>
      </c>
      <c r="D443" s="8" t="s">
        <v>35</v>
      </c>
      <c r="E443" s="8" t="s">
        <v>9685</v>
      </c>
      <c r="F443" s="7" t="s">
        <v>11016</v>
      </c>
      <c r="G443" s="8" t="n">
        <v>8</v>
      </c>
      <c r="H443" s="8"/>
      <c r="I443" s="9" t="n">
        <v>83458</v>
      </c>
      <c r="J443" s="7"/>
      <c r="K443" s="7" t="s">
        <v>112</v>
      </c>
      <c r="L443" s="7" t="s">
        <v>54</v>
      </c>
      <c r="M443" s="10" t="s">
        <v>177</v>
      </c>
      <c r="N443" s="7"/>
      <c r="O443" s="8" t="n">
        <v>0</v>
      </c>
      <c r="P443" s="8" t="n">
        <v>0</v>
      </c>
      <c r="Q443" s="8" t="n">
        <v>8</v>
      </c>
      <c r="R443" s="7"/>
      <c r="S443" s="7" t="s">
        <v>11017</v>
      </c>
    </row>
    <row r="444" customFormat="false" ht="15.75" hidden="false" customHeight="true" outlineLevel="0" collapsed="false">
      <c r="A444" s="7" t="s">
        <v>11018</v>
      </c>
      <c r="B444" s="8" t="n">
        <v>2017</v>
      </c>
      <c r="C444" s="8" t="n">
        <v>2019</v>
      </c>
      <c r="D444" s="8" t="s">
        <v>176</v>
      </c>
      <c r="E444" s="8" t="s">
        <v>9685</v>
      </c>
      <c r="F444" s="7" t="s">
        <v>11019</v>
      </c>
      <c r="G444" s="8" t="n">
        <v>8.6</v>
      </c>
      <c r="H444" s="8"/>
      <c r="I444" s="9" t="n">
        <v>82655</v>
      </c>
      <c r="J444" s="7"/>
      <c r="K444" s="7" t="s">
        <v>47</v>
      </c>
      <c r="L444" s="7" t="s">
        <v>259</v>
      </c>
      <c r="M444" s="7"/>
      <c r="N444" s="7"/>
      <c r="O444" s="8" t="n">
        <v>0</v>
      </c>
      <c r="P444" s="8" t="n">
        <v>0</v>
      </c>
      <c r="Q444" s="8" t="n">
        <v>0</v>
      </c>
      <c r="R444" s="7"/>
      <c r="S444" s="7"/>
    </row>
    <row r="445" customFormat="false" ht="15.75" hidden="false" customHeight="true" outlineLevel="0" collapsed="false">
      <c r="A445" s="7" t="s">
        <v>11020</v>
      </c>
      <c r="B445" s="8" t="n">
        <v>2023</v>
      </c>
      <c r="C445" s="8"/>
      <c r="D445" s="8" t="s">
        <v>378</v>
      </c>
      <c r="E445" s="8" t="s">
        <v>9685</v>
      </c>
      <c r="F445" s="7" t="s">
        <v>11021</v>
      </c>
      <c r="G445" s="8" t="n">
        <v>8.9</v>
      </c>
      <c r="H445" s="8"/>
      <c r="I445" s="9" t="n">
        <v>82026</v>
      </c>
      <c r="J445" s="7"/>
      <c r="K445" s="7" t="s">
        <v>579</v>
      </c>
      <c r="L445" s="7" t="s">
        <v>39</v>
      </c>
      <c r="M445" s="7"/>
      <c r="N445" s="7"/>
      <c r="O445" s="8" t="n">
        <v>0</v>
      </c>
      <c r="P445" s="8" t="n">
        <v>0</v>
      </c>
      <c r="Q445" s="8" t="n">
        <v>0</v>
      </c>
      <c r="R445" s="7"/>
      <c r="S445" s="7"/>
    </row>
    <row r="446" customFormat="false" ht="15.75" hidden="false" customHeight="true" outlineLevel="0" collapsed="false">
      <c r="A446" s="7" t="s">
        <v>11022</v>
      </c>
      <c r="B446" s="8" t="n">
        <v>2012</v>
      </c>
      <c r="C446" s="8"/>
      <c r="D446" s="8" t="s">
        <v>176</v>
      </c>
      <c r="E446" s="8" t="s">
        <v>9685</v>
      </c>
      <c r="F446" s="7" t="s">
        <v>11023</v>
      </c>
      <c r="G446" s="8" t="n">
        <v>8.7</v>
      </c>
      <c r="H446" s="8"/>
      <c r="I446" s="9" t="n">
        <v>81844</v>
      </c>
      <c r="J446" s="7"/>
      <c r="K446" s="7" t="s">
        <v>47</v>
      </c>
      <c r="L446" s="7" t="s">
        <v>54</v>
      </c>
      <c r="M446" s="10"/>
      <c r="N446" s="7"/>
      <c r="O446" s="8" t="n">
        <v>0</v>
      </c>
      <c r="P446" s="8" t="n">
        <v>0</v>
      </c>
      <c r="Q446" s="8" t="n">
        <v>0</v>
      </c>
      <c r="R446" s="7"/>
      <c r="S446" s="7" t="s">
        <v>11024</v>
      </c>
    </row>
    <row r="447" customFormat="false" ht="15.75" hidden="false" customHeight="true" outlineLevel="0" collapsed="false">
      <c r="A447" s="7" t="s">
        <v>11025</v>
      </c>
      <c r="B447" s="8" t="n">
        <v>1997</v>
      </c>
      <c r="C447" s="8" t="n">
        <v>1998</v>
      </c>
      <c r="D447" s="8" t="s">
        <v>26</v>
      </c>
      <c r="E447" s="8" t="s">
        <v>9685</v>
      </c>
      <c r="F447" s="7" t="s">
        <v>11026</v>
      </c>
      <c r="G447" s="8" t="n">
        <v>8.8</v>
      </c>
      <c r="H447" s="8"/>
      <c r="I447" s="9" t="n">
        <v>81821</v>
      </c>
      <c r="J447" s="7"/>
      <c r="K447" s="7" t="s">
        <v>579</v>
      </c>
      <c r="L447" s="7" t="s">
        <v>112</v>
      </c>
      <c r="M447" s="10" t="s">
        <v>238</v>
      </c>
      <c r="N447" s="7"/>
      <c r="O447" s="8" t="n">
        <v>0</v>
      </c>
      <c r="P447" s="8" t="n">
        <v>0</v>
      </c>
      <c r="Q447" s="8" t="n">
        <v>0</v>
      </c>
      <c r="R447" s="7"/>
      <c r="S447" s="7" t="s">
        <v>11027</v>
      </c>
    </row>
    <row r="448" customFormat="false" ht="15.75" hidden="false" customHeight="true" outlineLevel="0" collapsed="false">
      <c r="A448" s="7" t="s">
        <v>11028</v>
      </c>
      <c r="B448" s="8" t="n">
        <v>2023</v>
      </c>
      <c r="C448" s="8" t="n">
        <v>2024</v>
      </c>
      <c r="D448" s="8" t="s">
        <v>378</v>
      </c>
      <c r="E448" s="8" t="s">
        <v>9685</v>
      </c>
      <c r="F448" s="7" t="s">
        <v>11029</v>
      </c>
      <c r="G448" s="8" t="n">
        <v>1.7</v>
      </c>
      <c r="H448" s="8"/>
      <c r="I448" s="9" t="n">
        <v>81650</v>
      </c>
      <c r="J448" s="7"/>
      <c r="K448" s="7" t="s">
        <v>579</v>
      </c>
      <c r="L448" s="7" t="s">
        <v>39</v>
      </c>
      <c r="M448" s="10" t="s">
        <v>55</v>
      </c>
      <c r="N448" s="7"/>
      <c r="O448" s="8" t="n">
        <v>0</v>
      </c>
      <c r="P448" s="8" t="n">
        <v>0</v>
      </c>
      <c r="Q448" s="8" t="n">
        <v>0</v>
      </c>
      <c r="R448" s="7"/>
      <c r="S448" s="7" t="s">
        <v>11030</v>
      </c>
    </row>
    <row r="449" customFormat="false" ht="15.75" hidden="false" customHeight="true" outlineLevel="0" collapsed="false">
      <c r="A449" s="7" t="s">
        <v>11031</v>
      </c>
      <c r="B449" s="8" t="n">
        <v>2013</v>
      </c>
      <c r="C449" s="8" t="n">
        <v>2015</v>
      </c>
      <c r="D449" s="8" t="s">
        <v>176</v>
      </c>
      <c r="E449" s="8" t="s">
        <v>9685</v>
      </c>
      <c r="F449" s="7" t="s">
        <v>11032</v>
      </c>
      <c r="G449" s="8" t="n">
        <v>7.9</v>
      </c>
      <c r="H449" s="8"/>
      <c r="I449" s="9" t="n">
        <v>81585</v>
      </c>
      <c r="J449" s="7"/>
      <c r="K449" s="7" t="s">
        <v>39</v>
      </c>
      <c r="L449" s="7" t="s">
        <v>48</v>
      </c>
      <c r="M449" s="10"/>
      <c r="N449" s="7"/>
      <c r="O449" s="8" t="n">
        <v>1</v>
      </c>
      <c r="P449" s="8" t="n">
        <v>0</v>
      </c>
      <c r="Q449" s="8" t="n">
        <v>10</v>
      </c>
      <c r="R449" s="7"/>
      <c r="S449" s="7" t="s">
        <v>11033</v>
      </c>
    </row>
    <row r="450" customFormat="false" ht="15.75" hidden="false" customHeight="true" outlineLevel="0" collapsed="false">
      <c r="A450" s="7" t="s">
        <v>11034</v>
      </c>
      <c r="B450" s="8" t="n">
        <v>1999</v>
      </c>
      <c r="C450" s="8" t="n">
        <v>2004</v>
      </c>
      <c r="D450" s="8" t="s">
        <v>26</v>
      </c>
      <c r="E450" s="8" t="s">
        <v>9685</v>
      </c>
      <c r="F450" s="7" t="s">
        <v>11035</v>
      </c>
      <c r="G450" s="8" t="n">
        <v>7.9</v>
      </c>
      <c r="H450" s="8"/>
      <c r="I450" s="9" t="n">
        <v>81113</v>
      </c>
      <c r="J450" s="7"/>
      <c r="K450" s="7" t="s">
        <v>112</v>
      </c>
      <c r="L450" s="7" t="s">
        <v>39</v>
      </c>
      <c r="M450" s="10" t="s">
        <v>177</v>
      </c>
      <c r="N450" s="7"/>
      <c r="O450" s="8" t="n">
        <v>0</v>
      </c>
      <c r="P450" s="8" t="n">
        <v>0</v>
      </c>
      <c r="Q450" s="8" t="n">
        <v>0</v>
      </c>
      <c r="R450" s="7"/>
      <c r="S450" s="7" t="s">
        <v>11036</v>
      </c>
    </row>
    <row r="451" customFormat="false" ht="15.75" hidden="false" customHeight="true" outlineLevel="0" collapsed="false">
      <c r="A451" s="7" t="s">
        <v>11037</v>
      </c>
      <c r="B451" s="8" t="n">
        <v>2022</v>
      </c>
      <c r="C451" s="8"/>
      <c r="D451" s="8" t="s">
        <v>378</v>
      </c>
      <c r="E451" s="8" t="s">
        <v>9685</v>
      </c>
      <c r="F451" s="7" t="s">
        <v>11038</v>
      </c>
      <c r="G451" s="8" t="n">
        <v>9</v>
      </c>
      <c r="H451" s="8"/>
      <c r="I451" s="9" t="n">
        <v>81028</v>
      </c>
      <c r="J451" s="7"/>
      <c r="K451" s="7" t="s">
        <v>579</v>
      </c>
      <c r="L451" s="7" t="s">
        <v>112</v>
      </c>
      <c r="M451" s="10"/>
      <c r="N451" s="7"/>
      <c r="O451" s="8" t="n">
        <v>0</v>
      </c>
      <c r="P451" s="8" t="n">
        <v>0</v>
      </c>
      <c r="Q451" s="8" t="n">
        <v>0</v>
      </c>
      <c r="R451" s="7"/>
      <c r="S451" s="7" t="s">
        <v>11039</v>
      </c>
    </row>
    <row r="452" customFormat="false" ht="15.75" hidden="false" customHeight="true" outlineLevel="0" collapsed="false">
      <c r="A452" s="7" t="s">
        <v>11040</v>
      </c>
      <c r="B452" s="8" t="n">
        <v>2018</v>
      </c>
      <c r="C452" s="8" t="n">
        <v>2023</v>
      </c>
      <c r="D452" s="8" t="s">
        <v>176</v>
      </c>
      <c r="E452" s="8" t="s">
        <v>9685</v>
      </c>
      <c r="F452" s="7" t="s">
        <v>11041</v>
      </c>
      <c r="G452" s="8" t="n">
        <v>7.2</v>
      </c>
      <c r="H452" s="8"/>
      <c r="I452" s="9" t="n">
        <v>80904</v>
      </c>
      <c r="J452" s="7"/>
      <c r="K452" s="7" t="s">
        <v>579</v>
      </c>
      <c r="L452" s="7" t="s">
        <v>112</v>
      </c>
      <c r="M452" s="10" t="s">
        <v>238</v>
      </c>
      <c r="N452" s="7"/>
      <c r="O452" s="8" t="n">
        <v>0</v>
      </c>
      <c r="P452" s="8" t="n">
        <v>0</v>
      </c>
      <c r="Q452" s="8" t="n">
        <v>0</v>
      </c>
      <c r="R452" s="7"/>
      <c r="S452" s="7" t="s">
        <v>11042</v>
      </c>
    </row>
    <row r="453" customFormat="false" ht="15.75" hidden="false" customHeight="true" outlineLevel="0" collapsed="false">
      <c r="A453" s="7" t="s">
        <v>11043</v>
      </c>
      <c r="B453" s="8" t="n">
        <v>2020</v>
      </c>
      <c r="C453" s="8" t="n">
        <v>2020</v>
      </c>
      <c r="D453" s="8" t="s">
        <v>378</v>
      </c>
      <c r="E453" s="8" t="s">
        <v>9715</v>
      </c>
      <c r="F453" s="7" t="s">
        <v>2411</v>
      </c>
      <c r="G453" s="8" t="n">
        <v>7.7</v>
      </c>
      <c r="H453" s="8"/>
      <c r="I453" s="9" t="n">
        <v>80742</v>
      </c>
      <c r="J453" s="7"/>
      <c r="K453" s="7" t="s">
        <v>47</v>
      </c>
      <c r="L453" s="7" t="s">
        <v>54</v>
      </c>
      <c r="M453" s="10" t="s">
        <v>1293</v>
      </c>
      <c r="N453" s="7"/>
      <c r="O453" s="8" t="n">
        <v>0</v>
      </c>
      <c r="P453" s="8" t="n">
        <v>0</v>
      </c>
      <c r="Q453" s="8" t="n">
        <v>2</v>
      </c>
      <c r="R453" s="7"/>
      <c r="S453" s="7" t="s">
        <v>11044</v>
      </c>
    </row>
    <row r="454" customFormat="false" ht="15.75" hidden="false" customHeight="true" outlineLevel="0" collapsed="false">
      <c r="A454" s="7" t="s">
        <v>11045</v>
      </c>
      <c r="B454" s="8" t="n">
        <v>2020</v>
      </c>
      <c r="C454" s="8" t="n">
        <v>2023</v>
      </c>
      <c r="D454" s="8" t="s">
        <v>378</v>
      </c>
      <c r="E454" s="8" t="s">
        <v>9685</v>
      </c>
      <c r="F454" s="7" t="s">
        <v>11046</v>
      </c>
      <c r="G454" s="8" t="n">
        <v>7.6</v>
      </c>
      <c r="H454" s="8"/>
      <c r="I454" s="9" t="n">
        <v>80351</v>
      </c>
      <c r="J454" s="7"/>
      <c r="K454" s="7" t="s">
        <v>131</v>
      </c>
      <c r="L454" s="7" t="s">
        <v>54</v>
      </c>
      <c r="M454" s="10" t="s">
        <v>192</v>
      </c>
      <c r="N454" s="7"/>
      <c r="O454" s="8" t="n">
        <v>0</v>
      </c>
      <c r="P454" s="8" t="n">
        <v>0</v>
      </c>
      <c r="Q454" s="8" t="n">
        <v>0</v>
      </c>
      <c r="R454" s="7"/>
      <c r="S454" s="7" t="s">
        <v>11047</v>
      </c>
    </row>
    <row r="455" customFormat="false" ht="15.75" hidden="false" customHeight="true" outlineLevel="0" collapsed="false">
      <c r="A455" s="7" t="s">
        <v>11048</v>
      </c>
      <c r="B455" s="8" t="n">
        <v>2020</v>
      </c>
      <c r="C455" s="8" t="n">
        <v>2020</v>
      </c>
      <c r="D455" s="8" t="s">
        <v>378</v>
      </c>
      <c r="E455" s="8" t="s">
        <v>9685</v>
      </c>
      <c r="F455" s="7" t="s">
        <v>11049</v>
      </c>
      <c r="G455" s="8" t="n">
        <v>7.2</v>
      </c>
      <c r="H455" s="8"/>
      <c r="I455" s="9" t="n">
        <v>80239</v>
      </c>
      <c r="J455" s="7"/>
      <c r="K455" s="7" t="s">
        <v>47</v>
      </c>
      <c r="L455" s="7" t="s">
        <v>54</v>
      </c>
      <c r="M455" s="7"/>
      <c r="N455" s="7"/>
      <c r="O455" s="8" t="n">
        <v>0</v>
      </c>
      <c r="P455" s="8" t="n">
        <v>0</v>
      </c>
      <c r="Q455" s="8" t="n">
        <v>15</v>
      </c>
      <c r="R455" s="7"/>
      <c r="S455" s="7" t="s">
        <v>11050</v>
      </c>
    </row>
    <row r="456" customFormat="false" ht="15.75" hidden="false" customHeight="true" outlineLevel="0" collapsed="false">
      <c r="A456" s="7" t="s">
        <v>11051</v>
      </c>
      <c r="B456" s="8" t="n">
        <v>2015</v>
      </c>
      <c r="C456" s="8" t="n">
        <v>2022</v>
      </c>
      <c r="D456" s="8" t="s">
        <v>176</v>
      </c>
      <c r="E456" s="8" t="s">
        <v>9685</v>
      </c>
      <c r="F456" s="7" t="s">
        <v>11052</v>
      </c>
      <c r="G456" s="8" t="n">
        <v>9</v>
      </c>
      <c r="H456" s="8"/>
      <c r="I456" s="9" t="n">
        <v>80027</v>
      </c>
      <c r="J456" s="7"/>
      <c r="K456" s="7" t="s">
        <v>30</v>
      </c>
      <c r="L456" s="7" t="s">
        <v>47</v>
      </c>
      <c r="M456" s="10"/>
      <c r="N456" s="7"/>
      <c r="O456" s="8" t="n">
        <v>0</v>
      </c>
      <c r="P456" s="8" t="n">
        <v>0</v>
      </c>
      <c r="Q456" s="8" t="n">
        <v>0</v>
      </c>
      <c r="R456" s="7"/>
      <c r="S456" s="7" t="s">
        <v>11053</v>
      </c>
    </row>
    <row r="457" customFormat="false" ht="15.75" hidden="false" customHeight="true" outlineLevel="0" collapsed="false">
      <c r="A457" s="7" t="s">
        <v>11054</v>
      </c>
      <c r="B457" s="8" t="n">
        <v>2006</v>
      </c>
      <c r="C457" s="8" t="n">
        <v>2011</v>
      </c>
      <c r="D457" s="8" t="s">
        <v>35</v>
      </c>
      <c r="E457" s="8" t="s">
        <v>9685</v>
      </c>
      <c r="F457" s="7" t="s">
        <v>11055</v>
      </c>
      <c r="G457" s="8" t="n">
        <v>8.7</v>
      </c>
      <c r="H457" s="8"/>
      <c r="I457" s="9" t="n">
        <v>79973</v>
      </c>
      <c r="J457" s="7"/>
      <c r="K457" s="7" t="s">
        <v>47</v>
      </c>
      <c r="L457" s="7" t="s">
        <v>75</v>
      </c>
      <c r="M457" s="10" t="s">
        <v>784</v>
      </c>
      <c r="N457" s="7"/>
      <c r="O457" s="8" t="n">
        <v>5</v>
      </c>
      <c r="P457" s="8" t="n">
        <v>0</v>
      </c>
      <c r="Q457" s="8" t="n">
        <v>34</v>
      </c>
      <c r="R457" s="7"/>
      <c r="S457" s="7" t="s">
        <v>11056</v>
      </c>
    </row>
    <row r="458" customFormat="false" ht="15.75" hidden="false" customHeight="true" outlineLevel="0" collapsed="false">
      <c r="A458" s="7" t="s">
        <v>11057</v>
      </c>
      <c r="B458" s="8" t="n">
        <v>1994</v>
      </c>
      <c r="C458" s="8" t="n">
        <v>2009</v>
      </c>
      <c r="D458" s="8" t="s">
        <v>26</v>
      </c>
      <c r="E458" s="8" t="s">
        <v>9685</v>
      </c>
      <c r="F458" s="7" t="s">
        <v>11058</v>
      </c>
      <c r="G458" s="8" t="n">
        <v>7.9</v>
      </c>
      <c r="H458" s="8"/>
      <c r="I458" s="9" t="n">
        <v>79861</v>
      </c>
      <c r="J458" s="7"/>
      <c r="K458" s="7" t="s">
        <v>29</v>
      </c>
      <c r="L458" s="7" t="s">
        <v>47</v>
      </c>
      <c r="M458" s="10" t="s">
        <v>238</v>
      </c>
      <c r="N458" s="7"/>
      <c r="O458" s="8" t="n">
        <v>2</v>
      </c>
      <c r="P458" s="8" t="n">
        <v>0</v>
      </c>
      <c r="Q458" s="8" t="n">
        <v>37</v>
      </c>
      <c r="R458" s="7"/>
      <c r="S458" s="7" t="s">
        <v>11059</v>
      </c>
    </row>
    <row r="459" customFormat="false" ht="15.75" hidden="false" customHeight="true" outlineLevel="0" collapsed="false">
      <c r="A459" s="7" t="s">
        <v>11060</v>
      </c>
      <c r="B459" s="8" t="n">
        <v>2015</v>
      </c>
      <c r="C459" s="8" t="n">
        <v>2019</v>
      </c>
      <c r="D459" s="8" t="s">
        <v>176</v>
      </c>
      <c r="E459" s="8" t="s">
        <v>9685</v>
      </c>
      <c r="F459" s="7" t="s">
        <v>11061</v>
      </c>
      <c r="G459" s="8" t="n">
        <v>7.8</v>
      </c>
      <c r="H459" s="8"/>
      <c r="I459" s="9" t="n">
        <v>79478</v>
      </c>
      <c r="J459" s="7"/>
      <c r="K459" s="7" t="s">
        <v>30</v>
      </c>
      <c r="L459" s="7" t="s">
        <v>54</v>
      </c>
      <c r="M459" s="10"/>
      <c r="N459" s="7"/>
      <c r="O459" s="8" t="n">
        <v>0</v>
      </c>
      <c r="P459" s="8" t="n">
        <v>0</v>
      </c>
      <c r="Q459" s="8" t="n">
        <v>0</v>
      </c>
      <c r="R459" s="7"/>
      <c r="S459" s="7" t="s">
        <v>11062</v>
      </c>
    </row>
    <row r="460" customFormat="false" ht="15.75" hidden="false" customHeight="true" outlineLevel="0" collapsed="false">
      <c r="A460" s="7" t="s">
        <v>11063</v>
      </c>
      <c r="B460" s="8" t="n">
        <v>2021</v>
      </c>
      <c r="C460" s="8" t="n">
        <v>2024</v>
      </c>
      <c r="D460" s="8" t="s">
        <v>378</v>
      </c>
      <c r="E460" s="8" t="s">
        <v>9685</v>
      </c>
      <c r="F460" s="7" t="s">
        <v>11064</v>
      </c>
      <c r="G460" s="8" t="n">
        <v>7.7</v>
      </c>
      <c r="H460" s="8"/>
      <c r="I460" s="9" t="n">
        <v>79391</v>
      </c>
      <c r="J460" s="7"/>
      <c r="K460" s="7" t="s">
        <v>112</v>
      </c>
      <c r="L460" s="7" t="s">
        <v>39</v>
      </c>
      <c r="M460" s="10" t="s">
        <v>238</v>
      </c>
      <c r="N460" s="7"/>
      <c r="O460" s="8" t="n">
        <v>0</v>
      </c>
      <c r="P460" s="8" t="n">
        <v>0</v>
      </c>
      <c r="Q460" s="8" t="n">
        <v>0</v>
      </c>
      <c r="R460" s="7"/>
      <c r="S460" s="7" t="s">
        <v>11065</v>
      </c>
    </row>
    <row r="461" customFormat="false" ht="15.75" hidden="false" customHeight="true" outlineLevel="0" collapsed="false">
      <c r="A461" s="7" t="s">
        <v>11066</v>
      </c>
      <c r="B461" s="8" t="n">
        <v>2023</v>
      </c>
      <c r="C461" s="8" t="n">
        <v>2023</v>
      </c>
      <c r="D461" s="8" t="s">
        <v>378</v>
      </c>
      <c r="E461" s="8" t="s">
        <v>9715</v>
      </c>
      <c r="F461" s="7" t="s">
        <v>11067</v>
      </c>
      <c r="G461" s="8" t="n">
        <v>7.6</v>
      </c>
      <c r="H461" s="8"/>
      <c r="I461" s="9" t="n">
        <v>79359</v>
      </c>
      <c r="J461" s="7"/>
      <c r="K461" s="7" t="s">
        <v>29</v>
      </c>
      <c r="L461" s="7" t="s">
        <v>453</v>
      </c>
      <c r="M461" s="10" t="s">
        <v>238</v>
      </c>
      <c r="N461" s="7"/>
      <c r="O461" s="8" t="n">
        <v>0</v>
      </c>
      <c r="P461" s="8" t="n">
        <v>0</v>
      </c>
      <c r="Q461" s="8" t="n">
        <v>0</v>
      </c>
      <c r="R461" s="7"/>
      <c r="S461" s="7" t="s">
        <v>11068</v>
      </c>
    </row>
    <row r="462" customFormat="false" ht="15.75" hidden="false" customHeight="true" outlineLevel="0" collapsed="false">
      <c r="A462" s="7" t="s">
        <v>11069</v>
      </c>
      <c r="B462" s="8" t="n">
        <v>2003</v>
      </c>
      <c r="C462" s="8" t="n">
        <v>2006</v>
      </c>
      <c r="D462" s="8" t="s">
        <v>35</v>
      </c>
      <c r="E462" s="8" t="s">
        <v>9685</v>
      </c>
      <c r="F462" s="7" t="s">
        <v>11070</v>
      </c>
      <c r="G462" s="8" t="n">
        <v>8.8</v>
      </c>
      <c r="H462" s="8"/>
      <c r="I462" s="9" t="n">
        <v>79312</v>
      </c>
      <c r="J462" s="7"/>
      <c r="K462" s="7" t="s">
        <v>90</v>
      </c>
      <c r="L462" s="7" t="s">
        <v>30</v>
      </c>
      <c r="M462" s="10"/>
      <c r="N462" s="7"/>
      <c r="O462" s="8" t="n">
        <v>0</v>
      </c>
      <c r="P462" s="8" t="n">
        <v>0</v>
      </c>
      <c r="Q462" s="8" t="n">
        <v>0</v>
      </c>
      <c r="R462" s="7"/>
      <c r="S462" s="7" t="s">
        <v>11071</v>
      </c>
    </row>
    <row r="463" customFormat="false" ht="15.75" hidden="false" customHeight="true" outlineLevel="0" collapsed="false">
      <c r="A463" s="7" t="s">
        <v>11072</v>
      </c>
      <c r="B463" s="8" t="n">
        <v>2018</v>
      </c>
      <c r="C463" s="8" t="n">
        <v>2022</v>
      </c>
      <c r="D463" s="8" t="s">
        <v>176</v>
      </c>
      <c r="E463" s="8" t="s">
        <v>9685</v>
      </c>
      <c r="F463" s="7" t="s">
        <v>11073</v>
      </c>
      <c r="G463" s="8" t="n">
        <v>8.5</v>
      </c>
      <c r="H463" s="8"/>
      <c r="I463" s="9" t="n">
        <v>79085</v>
      </c>
      <c r="J463" s="7"/>
      <c r="K463" s="7" t="s">
        <v>30</v>
      </c>
      <c r="L463" s="7"/>
      <c r="M463" s="10" t="s">
        <v>238</v>
      </c>
      <c r="N463" s="7"/>
      <c r="O463" s="8" t="n">
        <v>0</v>
      </c>
      <c r="P463" s="8" t="n">
        <v>0</v>
      </c>
      <c r="Q463" s="8" t="n">
        <v>0</v>
      </c>
      <c r="R463" s="7"/>
      <c r="S463" s="7" t="s">
        <v>11074</v>
      </c>
    </row>
    <row r="464" customFormat="false" ht="15.75" hidden="false" customHeight="true" outlineLevel="0" collapsed="false">
      <c r="A464" s="7" t="s">
        <v>11075</v>
      </c>
      <c r="B464" s="8" t="n">
        <v>2015</v>
      </c>
      <c r="C464" s="8" t="n">
        <v>2021</v>
      </c>
      <c r="D464" s="8" t="s">
        <v>176</v>
      </c>
      <c r="E464" s="8" t="s">
        <v>9685</v>
      </c>
      <c r="F464" s="7" t="s">
        <v>11076</v>
      </c>
      <c r="G464" s="8" t="n">
        <v>8.2</v>
      </c>
      <c r="H464" s="8"/>
      <c r="I464" s="9" t="n">
        <v>79005</v>
      </c>
      <c r="J464" s="7"/>
      <c r="K464" s="7" t="s">
        <v>30</v>
      </c>
      <c r="L464" s="7" t="s">
        <v>47</v>
      </c>
      <c r="M464" s="10" t="s">
        <v>238</v>
      </c>
      <c r="N464" s="7"/>
      <c r="O464" s="8" t="n">
        <v>5</v>
      </c>
      <c r="P464" s="8" t="n">
        <v>0</v>
      </c>
      <c r="Q464" s="8" t="n">
        <v>23</v>
      </c>
      <c r="R464" s="7"/>
      <c r="S464" s="7" t="s">
        <v>11077</v>
      </c>
    </row>
    <row r="465" customFormat="false" ht="15.75" hidden="false" customHeight="true" outlineLevel="0" collapsed="false">
      <c r="A465" s="7" t="s">
        <v>11078</v>
      </c>
      <c r="B465" s="8" t="n">
        <v>2015</v>
      </c>
      <c r="C465" s="8" t="n">
        <v>2019</v>
      </c>
      <c r="D465" s="8" t="s">
        <v>176</v>
      </c>
      <c r="E465" s="8" t="s">
        <v>9685</v>
      </c>
      <c r="F465" s="7" t="s">
        <v>11079</v>
      </c>
      <c r="G465" s="8" t="n">
        <v>7.6</v>
      </c>
      <c r="H465" s="8"/>
      <c r="I465" s="9" t="n">
        <v>78520</v>
      </c>
      <c r="J465" s="7"/>
      <c r="K465" s="7" t="s">
        <v>30</v>
      </c>
      <c r="L465" s="7" t="s">
        <v>75</v>
      </c>
      <c r="M465" s="10" t="s">
        <v>69</v>
      </c>
      <c r="N465" s="7"/>
      <c r="O465" s="8" t="n">
        <v>0</v>
      </c>
      <c r="P465" s="8" t="n">
        <v>0</v>
      </c>
      <c r="Q465" s="8" t="n">
        <v>19</v>
      </c>
      <c r="R465" s="7"/>
      <c r="S465" s="7" t="s">
        <v>11080</v>
      </c>
    </row>
    <row r="466" customFormat="false" ht="15.75" hidden="false" customHeight="true" outlineLevel="0" collapsed="false">
      <c r="A466" s="7" t="s">
        <v>11081</v>
      </c>
      <c r="B466" s="8" t="n">
        <v>2016</v>
      </c>
      <c r="C466" s="8"/>
      <c r="D466" s="8" t="s">
        <v>176</v>
      </c>
      <c r="E466" s="8" t="s">
        <v>9685</v>
      </c>
      <c r="F466" s="7" t="s">
        <v>11082</v>
      </c>
      <c r="G466" s="8" t="n">
        <v>8.3</v>
      </c>
      <c r="H466" s="8"/>
      <c r="I466" s="9" t="n">
        <v>78388</v>
      </c>
      <c r="J466" s="7"/>
      <c r="K466" s="7" t="s">
        <v>579</v>
      </c>
      <c r="L466" s="7" t="s">
        <v>39</v>
      </c>
      <c r="M466" s="10" t="s">
        <v>3455</v>
      </c>
      <c r="N466" s="7"/>
      <c r="O466" s="8" t="n">
        <v>0</v>
      </c>
      <c r="P466" s="8" t="n">
        <v>0</v>
      </c>
      <c r="Q466" s="8" t="n">
        <v>0</v>
      </c>
      <c r="R466" s="7"/>
      <c r="S466" s="7" t="s">
        <v>11083</v>
      </c>
    </row>
    <row r="467" customFormat="false" ht="15.75" hidden="false" customHeight="true" outlineLevel="0" collapsed="false">
      <c r="A467" s="7" t="s">
        <v>11084</v>
      </c>
      <c r="B467" s="8" t="n">
        <v>2025</v>
      </c>
      <c r="C467" s="8"/>
      <c r="D467" s="8" t="s">
        <v>378</v>
      </c>
      <c r="E467" s="8" t="s">
        <v>9685</v>
      </c>
      <c r="F467" s="7" t="s">
        <v>11085</v>
      </c>
      <c r="G467" s="8" t="n">
        <v>7.9</v>
      </c>
      <c r="H467" s="8"/>
      <c r="I467" s="9" t="n">
        <v>78329</v>
      </c>
      <c r="J467" s="7"/>
      <c r="K467" s="7" t="s">
        <v>131</v>
      </c>
      <c r="L467" s="7" t="s">
        <v>54</v>
      </c>
      <c r="M467" s="10" t="s">
        <v>55</v>
      </c>
      <c r="N467" s="7"/>
      <c r="O467" s="8" t="n">
        <v>0</v>
      </c>
      <c r="P467" s="8" t="n">
        <v>0</v>
      </c>
      <c r="Q467" s="8" t="n">
        <v>0</v>
      </c>
      <c r="R467" s="7"/>
      <c r="S467" s="7" t="s">
        <v>11086</v>
      </c>
    </row>
    <row r="468" customFormat="false" ht="15.75" hidden="false" customHeight="true" outlineLevel="0" collapsed="false">
      <c r="A468" s="7" t="s">
        <v>11087</v>
      </c>
      <c r="B468" s="8" t="n">
        <v>1993</v>
      </c>
      <c r="C468" s="8" t="n">
        <v>1999</v>
      </c>
      <c r="D468" s="8" t="s">
        <v>26</v>
      </c>
      <c r="E468" s="8" t="s">
        <v>9685</v>
      </c>
      <c r="F468" s="7" t="s">
        <v>11088</v>
      </c>
      <c r="G468" s="8" t="n">
        <v>8.1</v>
      </c>
      <c r="H468" s="8"/>
      <c r="I468" s="9" t="n">
        <v>78077</v>
      </c>
      <c r="J468" s="7"/>
      <c r="K468" s="7" t="s">
        <v>112</v>
      </c>
      <c r="L468" s="7" t="s">
        <v>39</v>
      </c>
      <c r="M468" s="10"/>
      <c r="N468" s="7"/>
      <c r="O468" s="8" t="n">
        <v>0</v>
      </c>
      <c r="P468" s="8" t="n">
        <v>0</v>
      </c>
      <c r="Q468" s="8" t="n">
        <v>0</v>
      </c>
      <c r="R468" s="7"/>
      <c r="S468" s="7" t="s">
        <v>11089</v>
      </c>
    </row>
    <row r="469" customFormat="false" ht="15.75" hidden="false" customHeight="true" outlineLevel="0" collapsed="false">
      <c r="A469" s="7" t="s">
        <v>11090</v>
      </c>
      <c r="B469" s="8" t="n">
        <v>2016</v>
      </c>
      <c r="C469" s="8" t="n">
        <v>2019</v>
      </c>
      <c r="D469" s="8" t="s">
        <v>176</v>
      </c>
      <c r="E469" s="8" t="s">
        <v>9685</v>
      </c>
      <c r="F469" s="7" t="s">
        <v>11091</v>
      </c>
      <c r="G469" s="8" t="n">
        <v>6.5</v>
      </c>
      <c r="H469" s="8"/>
      <c r="I469" s="9" t="n">
        <v>77353</v>
      </c>
      <c r="J469" s="7"/>
      <c r="K469" s="7" t="s">
        <v>38</v>
      </c>
      <c r="L469" s="7" t="s">
        <v>112</v>
      </c>
      <c r="M469" s="10"/>
      <c r="N469" s="7"/>
      <c r="O469" s="8" t="n">
        <v>0</v>
      </c>
      <c r="P469" s="8" t="n">
        <v>0</v>
      </c>
      <c r="Q469" s="8" t="n">
        <v>0</v>
      </c>
      <c r="R469" s="7"/>
      <c r="S469" s="7" t="s">
        <v>11092</v>
      </c>
    </row>
    <row r="470" customFormat="false" ht="15.75" hidden="false" customHeight="true" outlineLevel="0" collapsed="false">
      <c r="A470" s="7" t="s">
        <v>11093</v>
      </c>
      <c r="B470" s="8" t="n">
        <v>2023</v>
      </c>
      <c r="C470" s="8" t="n">
        <v>2023</v>
      </c>
      <c r="D470" s="8" t="s">
        <v>378</v>
      </c>
      <c r="E470" s="8" t="s">
        <v>9685</v>
      </c>
      <c r="F470" s="7" t="s">
        <v>11094</v>
      </c>
      <c r="G470" s="8" t="n">
        <v>9</v>
      </c>
      <c r="H470" s="8"/>
      <c r="I470" s="9" t="n">
        <v>77352</v>
      </c>
      <c r="J470" s="7"/>
      <c r="K470" s="7" t="s">
        <v>47</v>
      </c>
      <c r="L470" s="7"/>
      <c r="M470" s="10" t="s">
        <v>113</v>
      </c>
      <c r="N470" s="7"/>
      <c r="O470" s="8" t="n">
        <v>0</v>
      </c>
      <c r="P470" s="8" t="n">
        <v>0</v>
      </c>
      <c r="Q470" s="8" t="n">
        <v>0</v>
      </c>
      <c r="R470" s="7"/>
      <c r="S470" s="7" t="s">
        <v>11095</v>
      </c>
    </row>
    <row r="471" customFormat="false" ht="15.75" hidden="false" customHeight="true" outlineLevel="0" collapsed="false">
      <c r="A471" s="7" t="s">
        <v>11096</v>
      </c>
      <c r="B471" s="8" t="n">
        <v>2022</v>
      </c>
      <c r="C471" s="8" t="n">
        <v>2027</v>
      </c>
      <c r="D471" s="8" t="s">
        <v>378</v>
      </c>
      <c r="E471" s="8" t="s">
        <v>9685</v>
      </c>
      <c r="F471" s="7" t="s">
        <v>11097</v>
      </c>
      <c r="G471" s="8" t="n">
        <v>8.2</v>
      </c>
      <c r="H471" s="8"/>
      <c r="I471" s="9" t="n">
        <v>77240</v>
      </c>
      <c r="J471" s="7"/>
      <c r="K471" s="7" t="s">
        <v>111</v>
      </c>
      <c r="L471" s="7" t="s">
        <v>112</v>
      </c>
      <c r="M471" s="10" t="s">
        <v>192</v>
      </c>
      <c r="N471" s="7"/>
      <c r="O471" s="8" t="n">
        <v>0</v>
      </c>
      <c r="P471" s="8" t="n">
        <v>0</v>
      </c>
      <c r="Q471" s="8" t="n">
        <v>0</v>
      </c>
      <c r="R471" s="7"/>
      <c r="S471" s="7" t="s">
        <v>11098</v>
      </c>
    </row>
    <row r="472" customFormat="false" ht="15.75" hidden="false" customHeight="true" outlineLevel="0" collapsed="false">
      <c r="A472" s="7" t="s">
        <v>11099</v>
      </c>
      <c r="B472" s="8" t="n">
        <v>2022</v>
      </c>
      <c r="C472" s="8" t="n">
        <v>2025</v>
      </c>
      <c r="D472" s="8" t="s">
        <v>378</v>
      </c>
      <c r="E472" s="8" t="s">
        <v>9685</v>
      </c>
      <c r="F472" s="7" t="s">
        <v>11100</v>
      </c>
      <c r="G472" s="8" t="n">
        <v>7.2</v>
      </c>
      <c r="H472" s="8"/>
      <c r="I472" s="9" t="n">
        <v>77004</v>
      </c>
      <c r="J472" s="7"/>
      <c r="K472" s="7" t="s">
        <v>29</v>
      </c>
      <c r="L472" s="7" t="s">
        <v>47</v>
      </c>
      <c r="M472" s="10" t="s">
        <v>113</v>
      </c>
      <c r="N472" s="7"/>
      <c r="O472" s="8" t="n">
        <v>0</v>
      </c>
      <c r="P472" s="8" t="n">
        <v>0</v>
      </c>
      <c r="Q472" s="8" t="n">
        <v>0</v>
      </c>
      <c r="R472" s="7"/>
      <c r="S472" s="7" t="s">
        <v>11101</v>
      </c>
    </row>
    <row r="473" customFormat="false" ht="15.75" hidden="false" customHeight="true" outlineLevel="0" collapsed="false">
      <c r="A473" s="7" t="s">
        <v>11102</v>
      </c>
      <c r="B473" s="8" t="n">
        <v>1986</v>
      </c>
      <c r="C473" s="8" t="n">
        <v>1989</v>
      </c>
      <c r="D473" s="8" t="s">
        <v>109</v>
      </c>
      <c r="E473" s="8" t="s">
        <v>9685</v>
      </c>
      <c r="F473" s="7" t="s">
        <v>11103</v>
      </c>
      <c r="G473" s="8" t="n">
        <v>8.5</v>
      </c>
      <c r="H473" s="8"/>
      <c r="I473" s="9" t="n">
        <v>76850</v>
      </c>
      <c r="J473" s="7"/>
      <c r="K473" s="7" t="s">
        <v>579</v>
      </c>
      <c r="L473" s="7" t="s">
        <v>112</v>
      </c>
      <c r="M473" s="10" t="s">
        <v>11104</v>
      </c>
      <c r="N473" s="7"/>
      <c r="O473" s="8" t="n">
        <v>0</v>
      </c>
      <c r="P473" s="8" t="n">
        <v>0</v>
      </c>
      <c r="Q473" s="8" t="n">
        <v>0</v>
      </c>
      <c r="R473" s="7"/>
      <c r="S473" s="7" t="s">
        <v>11105</v>
      </c>
    </row>
    <row r="474" customFormat="false" ht="15.75" hidden="false" customHeight="true" outlineLevel="0" collapsed="false">
      <c r="A474" s="7" t="s">
        <v>11106</v>
      </c>
      <c r="B474" s="8" t="n">
        <v>1995</v>
      </c>
      <c r="C474" s="8" t="n">
        <v>2003</v>
      </c>
      <c r="D474" s="8" t="s">
        <v>26</v>
      </c>
      <c r="E474" s="8" t="s">
        <v>9685</v>
      </c>
      <c r="F474" s="7" t="s">
        <v>11107</v>
      </c>
      <c r="G474" s="8" t="n">
        <v>8.5</v>
      </c>
      <c r="H474" s="8"/>
      <c r="I474" s="9" t="n">
        <v>76816</v>
      </c>
      <c r="J474" s="7"/>
      <c r="K474" s="7" t="s">
        <v>579</v>
      </c>
      <c r="L474" s="7" t="s">
        <v>112</v>
      </c>
      <c r="M474" s="10" t="s">
        <v>11104</v>
      </c>
      <c r="N474" s="7"/>
      <c r="O474" s="8" t="n">
        <v>0</v>
      </c>
      <c r="P474" s="8" t="n">
        <v>0</v>
      </c>
      <c r="Q474" s="8" t="n">
        <v>0</v>
      </c>
      <c r="R474" s="7"/>
      <c r="S474" s="7" t="s">
        <v>11105</v>
      </c>
    </row>
    <row r="475" customFormat="false" ht="15.75" hidden="false" customHeight="true" outlineLevel="0" collapsed="false">
      <c r="A475" s="7" t="s">
        <v>11108</v>
      </c>
      <c r="B475" s="8" t="n">
        <v>2024</v>
      </c>
      <c r="C475" s="8"/>
      <c r="D475" s="8" t="s">
        <v>378</v>
      </c>
      <c r="E475" s="8" t="s">
        <v>9685</v>
      </c>
      <c r="F475" s="7" t="s">
        <v>11109</v>
      </c>
      <c r="G475" s="8" t="n">
        <v>7.6</v>
      </c>
      <c r="H475" s="8"/>
      <c r="I475" s="9" t="n">
        <v>76643</v>
      </c>
      <c r="J475" s="7"/>
      <c r="K475" s="7" t="s">
        <v>111</v>
      </c>
      <c r="L475" s="7" t="s">
        <v>131</v>
      </c>
      <c r="M475" s="10" t="s">
        <v>1293</v>
      </c>
      <c r="N475" s="7"/>
      <c r="O475" s="8" t="n">
        <v>0</v>
      </c>
      <c r="P475" s="8" t="n">
        <v>0</v>
      </c>
      <c r="Q475" s="8" t="n">
        <v>0</v>
      </c>
      <c r="R475" s="7"/>
      <c r="S475" s="7" t="s">
        <v>11110</v>
      </c>
    </row>
    <row r="476" customFormat="false" ht="15.75" hidden="false" customHeight="true" outlineLevel="0" collapsed="false">
      <c r="A476" s="7" t="s">
        <v>11111</v>
      </c>
      <c r="B476" s="8" t="n">
        <v>2020</v>
      </c>
      <c r="C476" s="8" t="n">
        <v>2022</v>
      </c>
      <c r="D476" s="8" t="s">
        <v>378</v>
      </c>
      <c r="E476" s="8" t="s">
        <v>9685</v>
      </c>
      <c r="F476" s="7" t="s">
        <v>11112</v>
      </c>
      <c r="G476" s="8" t="n">
        <v>6.7</v>
      </c>
      <c r="H476" s="8"/>
      <c r="I476" s="9" t="n">
        <v>76369</v>
      </c>
      <c r="J476" s="7"/>
      <c r="K476" s="7" t="s">
        <v>30</v>
      </c>
      <c r="L476" s="7"/>
      <c r="M476" s="10" t="s">
        <v>238</v>
      </c>
      <c r="N476" s="7"/>
      <c r="O476" s="8" t="n">
        <v>0</v>
      </c>
      <c r="P476" s="8" t="n">
        <v>0</v>
      </c>
      <c r="Q476" s="8" t="n">
        <v>15</v>
      </c>
      <c r="R476" s="7"/>
      <c r="S476" s="7" t="s">
        <v>11113</v>
      </c>
    </row>
    <row r="477" customFormat="false" ht="15.75" hidden="false" customHeight="true" outlineLevel="0" collapsed="false">
      <c r="A477" s="7" t="s">
        <v>11114</v>
      </c>
      <c r="B477" s="8" t="n">
        <v>2004</v>
      </c>
      <c r="C477" s="8" t="n">
        <v>2009</v>
      </c>
      <c r="D477" s="8" t="s">
        <v>35</v>
      </c>
      <c r="E477" s="8" t="s">
        <v>9685</v>
      </c>
      <c r="F477" s="7" t="s">
        <v>11115</v>
      </c>
      <c r="G477" s="8" t="n">
        <v>8.2</v>
      </c>
      <c r="H477" s="8"/>
      <c r="I477" s="9" t="n">
        <v>76343</v>
      </c>
      <c r="J477" s="7"/>
      <c r="K477" s="7" t="s">
        <v>112</v>
      </c>
      <c r="L477" s="7" t="s">
        <v>39</v>
      </c>
      <c r="M477" s="10" t="s">
        <v>210</v>
      </c>
      <c r="N477" s="7"/>
      <c r="O477" s="8" t="n">
        <v>0</v>
      </c>
      <c r="P477" s="8" t="n">
        <v>0</v>
      </c>
      <c r="Q477" s="8" t="n">
        <v>9</v>
      </c>
      <c r="R477" s="7"/>
      <c r="S477" s="7" t="s">
        <v>11116</v>
      </c>
    </row>
    <row r="478" customFormat="false" ht="15.75" hidden="false" customHeight="true" outlineLevel="0" collapsed="false">
      <c r="A478" s="7" t="s">
        <v>11117</v>
      </c>
      <c r="B478" s="8" t="n">
        <v>2016</v>
      </c>
      <c r="C478" s="8" t="n">
        <v>2016</v>
      </c>
      <c r="D478" s="8" t="s">
        <v>176</v>
      </c>
      <c r="E478" s="8" t="s">
        <v>9715</v>
      </c>
      <c r="F478" s="7" t="s">
        <v>11118</v>
      </c>
      <c r="G478" s="8" t="n">
        <v>8.4</v>
      </c>
      <c r="H478" s="8"/>
      <c r="I478" s="9" t="n">
        <v>76233</v>
      </c>
      <c r="J478" s="7"/>
      <c r="K478" s="7" t="s">
        <v>579</v>
      </c>
      <c r="L478" s="7" t="s">
        <v>54</v>
      </c>
      <c r="M478" s="10" t="s">
        <v>1686</v>
      </c>
      <c r="N478" s="7"/>
      <c r="O478" s="8" t="n">
        <v>0</v>
      </c>
      <c r="P478" s="8" t="n">
        <v>0</v>
      </c>
      <c r="Q478" s="8" t="n">
        <v>0</v>
      </c>
      <c r="R478" s="7"/>
      <c r="S478" s="7" t="s">
        <v>11119</v>
      </c>
    </row>
    <row r="479" customFormat="false" ht="15.75" hidden="false" customHeight="true" outlineLevel="0" collapsed="false">
      <c r="A479" s="7" t="s">
        <v>11120</v>
      </c>
      <c r="B479" s="8" t="n">
        <v>2010</v>
      </c>
      <c r="C479" s="8" t="n">
        <v>2017</v>
      </c>
      <c r="D479" s="8" t="s">
        <v>176</v>
      </c>
      <c r="E479" s="8" t="s">
        <v>9685</v>
      </c>
      <c r="F479" s="7" t="s">
        <v>11121</v>
      </c>
      <c r="G479" s="8" t="n">
        <v>8.6</v>
      </c>
      <c r="H479" s="8"/>
      <c r="I479" s="9" t="n">
        <v>76155</v>
      </c>
      <c r="J479" s="7"/>
      <c r="K479" s="7" t="s">
        <v>579</v>
      </c>
      <c r="L479" s="7" t="s">
        <v>112</v>
      </c>
      <c r="M479" s="10" t="s">
        <v>4902</v>
      </c>
      <c r="N479" s="7"/>
      <c r="O479" s="8" t="n">
        <v>11</v>
      </c>
      <c r="P479" s="8" t="n">
        <v>0</v>
      </c>
      <c r="Q479" s="8" t="n">
        <v>42</v>
      </c>
      <c r="R479" s="7"/>
      <c r="S479" s="7" t="s">
        <v>11122</v>
      </c>
    </row>
    <row r="480" customFormat="false" ht="15.75" hidden="false" customHeight="true" outlineLevel="0" collapsed="false">
      <c r="A480" s="7" t="s">
        <v>11123</v>
      </c>
      <c r="B480" s="8" t="n">
        <v>2025</v>
      </c>
      <c r="C480" s="8" t="n">
        <v>2025</v>
      </c>
      <c r="D480" s="8" t="s">
        <v>378</v>
      </c>
      <c r="E480" s="8" t="s">
        <v>9715</v>
      </c>
      <c r="F480" s="7" t="s">
        <v>11124</v>
      </c>
      <c r="G480" s="8" t="n">
        <v>7.4</v>
      </c>
      <c r="H480" s="8"/>
      <c r="I480" s="9" t="n">
        <v>76071</v>
      </c>
      <c r="J480" s="7"/>
      <c r="K480" s="7" t="s">
        <v>131</v>
      </c>
      <c r="L480" s="7" t="s">
        <v>125</v>
      </c>
      <c r="M480" s="10" t="s">
        <v>238</v>
      </c>
      <c r="N480" s="7"/>
      <c r="O480" s="8" t="n">
        <v>0</v>
      </c>
      <c r="P480" s="8" t="n">
        <v>0</v>
      </c>
      <c r="Q480" s="8" t="n">
        <v>0</v>
      </c>
      <c r="R480" s="7"/>
      <c r="S480" s="7" t="s">
        <v>11125</v>
      </c>
    </row>
    <row r="481" customFormat="false" ht="15.75" hidden="false" customHeight="true" outlineLevel="0" collapsed="false">
      <c r="A481" s="7" t="s">
        <v>11126</v>
      </c>
      <c r="B481" s="8" t="n">
        <v>2020</v>
      </c>
      <c r="C481" s="8"/>
      <c r="D481" s="8" t="s">
        <v>378</v>
      </c>
      <c r="E481" s="8" t="s">
        <v>9685</v>
      </c>
      <c r="F481" s="7" t="s">
        <v>11127</v>
      </c>
      <c r="G481" s="8" t="n">
        <v>8.2</v>
      </c>
      <c r="H481" s="8"/>
      <c r="I481" s="9" t="n">
        <v>76043</v>
      </c>
      <c r="J481" s="7"/>
      <c r="K481" s="7" t="s">
        <v>112</v>
      </c>
      <c r="L481" s="7" t="s">
        <v>54</v>
      </c>
      <c r="M481" s="10" t="s">
        <v>113</v>
      </c>
      <c r="N481" s="7"/>
      <c r="O481" s="8" t="n">
        <v>0</v>
      </c>
      <c r="P481" s="8" t="n">
        <v>0</v>
      </c>
      <c r="Q481" s="8" t="n">
        <v>0</v>
      </c>
      <c r="R481" s="7"/>
      <c r="S481" s="7" t="s">
        <v>11128</v>
      </c>
    </row>
    <row r="482" customFormat="false" ht="15.75" hidden="false" customHeight="true" outlineLevel="0" collapsed="false">
      <c r="A482" s="7" t="s">
        <v>11129</v>
      </c>
      <c r="B482" s="8" t="n">
        <v>2020</v>
      </c>
      <c r="C482" s="8" t="n">
        <v>2020</v>
      </c>
      <c r="D482" s="8" t="s">
        <v>378</v>
      </c>
      <c r="E482" s="8" t="s">
        <v>9685</v>
      </c>
      <c r="F482" s="7" t="s">
        <v>11130</v>
      </c>
      <c r="G482" s="8" t="n">
        <v>8</v>
      </c>
      <c r="H482" s="8"/>
      <c r="I482" s="9" t="n">
        <v>76030</v>
      </c>
      <c r="J482" s="7"/>
      <c r="K482" s="7" t="s">
        <v>147</v>
      </c>
      <c r="L482" s="7" t="s">
        <v>38</v>
      </c>
      <c r="M482" s="10" t="s">
        <v>238</v>
      </c>
      <c r="N482" s="7"/>
      <c r="O482" s="8" t="n">
        <v>0</v>
      </c>
      <c r="P482" s="8" t="n">
        <v>0</v>
      </c>
      <c r="Q482" s="8" t="n">
        <v>0</v>
      </c>
      <c r="R482" s="7"/>
      <c r="S482" s="7" t="s">
        <v>11131</v>
      </c>
    </row>
    <row r="483" customFormat="false" ht="15.75" hidden="false" customHeight="true" outlineLevel="0" collapsed="false">
      <c r="A483" s="7" t="s">
        <v>11132</v>
      </c>
      <c r="B483" s="8" t="n">
        <v>2024</v>
      </c>
      <c r="C483" s="8"/>
      <c r="D483" s="8" t="s">
        <v>378</v>
      </c>
      <c r="E483" s="8" t="s">
        <v>9685</v>
      </c>
      <c r="F483" s="7" t="s">
        <v>11133</v>
      </c>
      <c r="G483" s="8" t="n">
        <v>7.2</v>
      </c>
      <c r="H483" s="8"/>
      <c r="I483" s="9" t="n">
        <v>75740</v>
      </c>
      <c r="J483" s="7"/>
      <c r="K483" s="7" t="s">
        <v>112</v>
      </c>
      <c r="L483" s="7" t="s">
        <v>125</v>
      </c>
      <c r="M483" s="10" t="s">
        <v>238</v>
      </c>
      <c r="N483" s="7"/>
      <c r="O483" s="8" t="n">
        <v>0</v>
      </c>
      <c r="P483" s="8" t="n">
        <v>0</v>
      </c>
      <c r="Q483" s="8" t="n">
        <v>0</v>
      </c>
      <c r="R483" s="7"/>
      <c r="S483" s="7" t="s">
        <v>11134</v>
      </c>
    </row>
    <row r="484" customFormat="false" ht="15.75" hidden="false" customHeight="true" outlineLevel="0" collapsed="false">
      <c r="A484" s="7" t="s">
        <v>11135</v>
      </c>
      <c r="B484" s="8" t="n">
        <v>2020</v>
      </c>
      <c r="C484" s="8" t="n">
        <v>2024</v>
      </c>
      <c r="D484" s="8" t="s">
        <v>378</v>
      </c>
      <c r="E484" s="8" t="s">
        <v>9685</v>
      </c>
      <c r="F484" s="7" t="s">
        <v>11136</v>
      </c>
      <c r="G484" s="8" t="n">
        <v>6.9</v>
      </c>
      <c r="H484" s="8"/>
      <c r="I484" s="9" t="n">
        <v>75730</v>
      </c>
      <c r="J484" s="7"/>
      <c r="K484" s="7" t="s">
        <v>111</v>
      </c>
      <c r="L484" s="7" t="s">
        <v>112</v>
      </c>
      <c r="M484" s="7"/>
      <c r="N484" s="7"/>
      <c r="O484" s="8" t="n">
        <v>0</v>
      </c>
      <c r="P484" s="8" t="n">
        <v>0</v>
      </c>
      <c r="Q484" s="8" t="n">
        <v>0</v>
      </c>
      <c r="R484" s="7"/>
      <c r="S484" s="7"/>
    </row>
    <row r="485" customFormat="false" ht="15.75" hidden="false" customHeight="true" outlineLevel="0" collapsed="false">
      <c r="A485" s="7" t="s">
        <v>11137</v>
      </c>
      <c r="B485" s="8" t="n">
        <v>2018</v>
      </c>
      <c r="C485" s="8" t="n">
        <v>2022</v>
      </c>
      <c r="D485" s="8" t="s">
        <v>176</v>
      </c>
      <c r="E485" s="8" t="s">
        <v>9685</v>
      </c>
      <c r="F485" s="7" t="s">
        <v>11138</v>
      </c>
      <c r="G485" s="8" t="n">
        <v>7.7</v>
      </c>
      <c r="H485" s="8"/>
      <c r="I485" s="9" t="n">
        <v>75579</v>
      </c>
      <c r="J485" s="7"/>
      <c r="K485" s="7" t="s">
        <v>38</v>
      </c>
      <c r="L485" s="7" t="s">
        <v>29</v>
      </c>
      <c r="M485" s="10" t="s">
        <v>192</v>
      </c>
      <c r="N485" s="7"/>
      <c r="O485" s="8" t="n">
        <v>0</v>
      </c>
      <c r="P485" s="8" t="n">
        <v>0</v>
      </c>
      <c r="Q485" s="8" t="n">
        <v>0</v>
      </c>
      <c r="R485" s="7"/>
      <c r="S485" s="7" t="s">
        <v>11139</v>
      </c>
    </row>
    <row r="486" customFormat="false" ht="15.75" hidden="false" customHeight="true" outlineLevel="0" collapsed="false">
      <c r="A486" s="7" t="s">
        <v>7385</v>
      </c>
      <c r="B486" s="8" t="n">
        <v>2015</v>
      </c>
      <c r="C486" s="8" t="n">
        <v>2016</v>
      </c>
      <c r="D486" s="8" t="s">
        <v>176</v>
      </c>
      <c r="E486" s="8" t="s">
        <v>9685</v>
      </c>
      <c r="F486" s="7" t="s">
        <v>11140</v>
      </c>
      <c r="G486" s="8" t="n">
        <v>7.6</v>
      </c>
      <c r="H486" s="8"/>
      <c r="I486" s="9" t="n">
        <v>75304</v>
      </c>
      <c r="J486" s="7"/>
      <c r="K486" s="7" t="s">
        <v>30</v>
      </c>
      <c r="L486" s="7" t="s">
        <v>54</v>
      </c>
      <c r="M486" s="10"/>
      <c r="N486" s="7"/>
      <c r="O486" s="8" t="n">
        <v>0</v>
      </c>
      <c r="P486" s="8" t="n">
        <v>0</v>
      </c>
      <c r="Q486" s="8" t="n">
        <v>1</v>
      </c>
      <c r="R486" s="7"/>
      <c r="S486" s="7" t="s">
        <v>11141</v>
      </c>
    </row>
    <row r="487" customFormat="false" ht="15.75" hidden="false" customHeight="true" outlineLevel="0" collapsed="false">
      <c r="A487" s="7" t="s">
        <v>11142</v>
      </c>
      <c r="B487" s="8" t="n">
        <v>2021</v>
      </c>
      <c r="C487" s="8"/>
      <c r="D487" s="8" t="s">
        <v>378</v>
      </c>
      <c r="E487" s="8" t="s">
        <v>9685</v>
      </c>
      <c r="F487" s="7" t="s">
        <v>11143</v>
      </c>
      <c r="G487" s="8" t="n">
        <v>6.9</v>
      </c>
      <c r="H487" s="8"/>
      <c r="I487" s="9" t="n">
        <v>75091</v>
      </c>
      <c r="J487" s="7"/>
      <c r="K487" s="7" t="s">
        <v>131</v>
      </c>
      <c r="L487" s="7" t="s">
        <v>125</v>
      </c>
      <c r="M487" s="7"/>
      <c r="N487" s="7"/>
      <c r="O487" s="8" t="n">
        <v>0</v>
      </c>
      <c r="P487" s="8" t="n">
        <v>0</v>
      </c>
      <c r="Q487" s="8" t="n">
        <v>0</v>
      </c>
      <c r="R487" s="7"/>
      <c r="S487" s="7"/>
    </row>
    <row r="488" customFormat="false" ht="15.75" hidden="false" customHeight="true" outlineLevel="0" collapsed="false">
      <c r="A488" s="7" t="s">
        <v>11144</v>
      </c>
      <c r="B488" s="8" t="n">
        <v>2014</v>
      </c>
      <c r="C488" s="8" t="n">
        <v>2023</v>
      </c>
      <c r="D488" s="8" t="s">
        <v>176</v>
      </c>
      <c r="E488" s="8" t="s">
        <v>9685</v>
      </c>
      <c r="F488" s="7" t="s">
        <v>11145</v>
      </c>
      <c r="G488" s="8" t="n">
        <v>8.5</v>
      </c>
      <c r="H488" s="8"/>
      <c r="I488" s="9" t="n">
        <v>74449</v>
      </c>
      <c r="J488" s="7"/>
      <c r="K488" s="7" t="s">
        <v>131</v>
      </c>
      <c r="L488" s="7" t="s">
        <v>54</v>
      </c>
      <c r="M488" s="10" t="s">
        <v>11146</v>
      </c>
      <c r="N488" s="7"/>
      <c r="O488" s="8" t="n">
        <v>0</v>
      </c>
      <c r="P488" s="8" t="n">
        <v>0</v>
      </c>
      <c r="Q488" s="8" t="n">
        <v>0</v>
      </c>
      <c r="R488" s="7"/>
      <c r="S488" s="7" t="s">
        <v>11147</v>
      </c>
    </row>
    <row r="489" customFormat="false" ht="15.75" hidden="false" customHeight="true" outlineLevel="0" collapsed="false">
      <c r="A489" s="7" t="s">
        <v>11148</v>
      </c>
      <c r="B489" s="8" t="n">
        <v>2003</v>
      </c>
      <c r="C489" s="8" t="n">
        <v>2015</v>
      </c>
      <c r="D489" s="8" t="s">
        <v>35</v>
      </c>
      <c r="E489" s="8" t="s">
        <v>9685</v>
      </c>
      <c r="F489" s="7" t="s">
        <v>11149</v>
      </c>
      <c r="G489" s="8" t="n">
        <v>8.7</v>
      </c>
      <c r="H489" s="8"/>
      <c r="I489" s="9" t="n">
        <v>74341</v>
      </c>
      <c r="J489" s="7"/>
      <c r="K489" s="7" t="s">
        <v>30</v>
      </c>
      <c r="L489" s="7"/>
      <c r="M489" s="10"/>
      <c r="N489" s="7"/>
      <c r="O489" s="8" t="n">
        <v>0</v>
      </c>
      <c r="P489" s="8" t="n">
        <v>0</v>
      </c>
      <c r="Q489" s="8" t="n">
        <v>0</v>
      </c>
      <c r="R489" s="7"/>
      <c r="S489" s="7" t="s">
        <v>11150</v>
      </c>
    </row>
    <row r="490" customFormat="false" ht="15.75" hidden="false" customHeight="true" outlineLevel="0" collapsed="false">
      <c r="A490" s="7" t="s">
        <v>11151</v>
      </c>
      <c r="B490" s="8" t="n">
        <v>2021</v>
      </c>
      <c r="C490" s="8"/>
      <c r="D490" s="8" t="s">
        <v>378</v>
      </c>
      <c r="E490" s="8" t="s">
        <v>9685</v>
      </c>
      <c r="F490" s="7" t="s">
        <v>11152</v>
      </c>
      <c r="G490" s="8" t="n">
        <v>8.2</v>
      </c>
      <c r="H490" s="8"/>
      <c r="I490" s="9" t="n">
        <v>74047</v>
      </c>
      <c r="J490" s="7"/>
      <c r="K490" s="7" t="s">
        <v>131</v>
      </c>
      <c r="L490" s="7" t="s">
        <v>54</v>
      </c>
      <c r="M490" s="10" t="s">
        <v>192</v>
      </c>
      <c r="N490" s="7"/>
      <c r="O490" s="8" t="n">
        <v>0</v>
      </c>
      <c r="P490" s="8" t="n">
        <v>0</v>
      </c>
      <c r="Q490" s="8" t="n">
        <v>0</v>
      </c>
      <c r="R490" s="7"/>
      <c r="S490" s="7" t="s">
        <v>11153</v>
      </c>
    </row>
    <row r="491" customFormat="false" ht="15.75" hidden="false" customHeight="true" outlineLevel="0" collapsed="false">
      <c r="A491" s="7" t="s">
        <v>11154</v>
      </c>
      <c r="B491" s="8" t="n">
        <v>2025</v>
      </c>
      <c r="C491" s="8"/>
      <c r="D491" s="8" t="s">
        <v>378</v>
      </c>
      <c r="E491" s="8" t="s">
        <v>9685</v>
      </c>
      <c r="F491" s="7" t="s">
        <v>11155</v>
      </c>
      <c r="G491" s="8" t="n">
        <v>7.1</v>
      </c>
      <c r="H491" s="8"/>
      <c r="I491" s="9" t="n">
        <v>73804</v>
      </c>
      <c r="J491" s="7"/>
      <c r="K491" s="7" t="s">
        <v>47</v>
      </c>
      <c r="L491" s="7" t="s">
        <v>54</v>
      </c>
      <c r="M491" s="10" t="s">
        <v>238</v>
      </c>
      <c r="N491" s="7"/>
      <c r="O491" s="8" t="n">
        <v>0</v>
      </c>
      <c r="P491" s="8" t="n">
        <v>0</v>
      </c>
      <c r="Q491" s="8" t="n">
        <v>0</v>
      </c>
      <c r="R491" s="7"/>
      <c r="S491" s="7" t="s">
        <v>11156</v>
      </c>
    </row>
    <row r="492" customFormat="false" ht="15.75" hidden="false" customHeight="true" outlineLevel="0" collapsed="false">
      <c r="A492" s="7" t="s">
        <v>11157</v>
      </c>
      <c r="B492" s="8" t="n">
        <v>2004</v>
      </c>
      <c r="C492" s="8" t="n">
        <v>2005</v>
      </c>
      <c r="D492" s="8" t="s">
        <v>35</v>
      </c>
      <c r="E492" s="8" t="s">
        <v>9685</v>
      </c>
      <c r="F492" s="7" t="s">
        <v>11158</v>
      </c>
      <c r="G492" s="8" t="n">
        <v>8.8</v>
      </c>
      <c r="H492" s="8"/>
      <c r="I492" s="9" t="n">
        <v>73769</v>
      </c>
      <c r="J492" s="7"/>
      <c r="K492" s="7" t="s">
        <v>579</v>
      </c>
      <c r="L492" s="7" t="s">
        <v>54</v>
      </c>
      <c r="M492" s="10" t="s">
        <v>238</v>
      </c>
      <c r="N492" s="7"/>
      <c r="O492" s="8" t="n">
        <v>0</v>
      </c>
      <c r="P492" s="8" t="n">
        <v>0</v>
      </c>
      <c r="Q492" s="8" t="n">
        <v>0</v>
      </c>
      <c r="R492" s="7"/>
      <c r="S492" s="7" t="s">
        <v>11159</v>
      </c>
    </row>
    <row r="493" customFormat="false" ht="15.75" hidden="false" customHeight="true" outlineLevel="0" collapsed="false">
      <c r="A493" s="7" t="s">
        <v>11160</v>
      </c>
      <c r="B493" s="8" t="n">
        <v>2024</v>
      </c>
      <c r="C493" s="8"/>
      <c r="D493" s="8" t="s">
        <v>378</v>
      </c>
      <c r="E493" s="8" t="s">
        <v>9685</v>
      </c>
      <c r="F493" s="7" t="s">
        <v>2938</v>
      </c>
      <c r="G493" s="8" t="n">
        <v>6.5</v>
      </c>
      <c r="H493" s="8"/>
      <c r="I493" s="9" t="n">
        <v>73529</v>
      </c>
      <c r="J493" s="7"/>
      <c r="K493" s="7" t="s">
        <v>47</v>
      </c>
      <c r="L493" s="7" t="s">
        <v>54</v>
      </c>
      <c r="M493" s="10" t="s">
        <v>238</v>
      </c>
      <c r="N493" s="7"/>
      <c r="O493" s="8" t="n">
        <v>0</v>
      </c>
      <c r="P493" s="8" t="n">
        <v>0</v>
      </c>
      <c r="Q493" s="8" t="n">
        <v>0</v>
      </c>
      <c r="R493" s="7"/>
      <c r="S493" s="7" t="s">
        <v>11161</v>
      </c>
    </row>
    <row r="494" customFormat="false" ht="15.75" hidden="false" customHeight="true" outlineLevel="0" collapsed="false">
      <c r="A494" s="7" t="s">
        <v>11162</v>
      </c>
      <c r="B494" s="8" t="n">
        <v>2017</v>
      </c>
      <c r="C494" s="8" t="n">
        <v>2019</v>
      </c>
      <c r="D494" s="8" t="s">
        <v>176</v>
      </c>
      <c r="E494" s="8" t="s">
        <v>9685</v>
      </c>
      <c r="F494" s="7" t="s">
        <v>11163</v>
      </c>
      <c r="G494" s="8" t="n">
        <v>7.7</v>
      </c>
      <c r="H494" s="8"/>
      <c r="I494" s="9" t="n">
        <v>73162</v>
      </c>
      <c r="J494" s="7"/>
      <c r="K494" s="7" t="s">
        <v>39</v>
      </c>
      <c r="L494" s="7" t="s">
        <v>30</v>
      </c>
      <c r="M494" s="10" t="s">
        <v>238</v>
      </c>
      <c r="N494" s="7"/>
      <c r="O494" s="8" t="n">
        <v>0</v>
      </c>
      <c r="P494" s="8" t="n">
        <v>0</v>
      </c>
      <c r="Q494" s="8" t="n">
        <v>24</v>
      </c>
      <c r="R494" s="7"/>
      <c r="S494" s="7" t="s">
        <v>11164</v>
      </c>
    </row>
    <row r="495" customFormat="false" ht="15.75" hidden="false" customHeight="true" outlineLevel="0" collapsed="false">
      <c r="A495" s="7" t="s">
        <v>11165</v>
      </c>
      <c r="B495" s="8" t="n">
        <v>2016</v>
      </c>
      <c r="C495" s="8" t="n">
        <v>2018</v>
      </c>
      <c r="D495" s="8" t="s">
        <v>176</v>
      </c>
      <c r="E495" s="8" t="s">
        <v>9685</v>
      </c>
      <c r="F495" s="7" t="s">
        <v>11166</v>
      </c>
      <c r="G495" s="8" t="n">
        <v>8</v>
      </c>
      <c r="H495" s="8"/>
      <c r="I495" s="9" t="n">
        <v>72931</v>
      </c>
      <c r="J495" s="7"/>
      <c r="K495" s="7" t="s">
        <v>111</v>
      </c>
      <c r="L495" s="7" t="s">
        <v>125</v>
      </c>
      <c r="M495" s="10" t="s">
        <v>238</v>
      </c>
      <c r="N495" s="7"/>
      <c r="O495" s="8" t="n">
        <v>0</v>
      </c>
      <c r="P495" s="8" t="n">
        <v>0</v>
      </c>
      <c r="Q495" s="8" t="n">
        <v>0</v>
      </c>
      <c r="R495" s="7"/>
      <c r="S495" s="7" t="s">
        <v>11167</v>
      </c>
    </row>
    <row r="496" customFormat="false" ht="15.75" hidden="false" customHeight="true" outlineLevel="0" collapsed="false">
      <c r="A496" s="7" t="s">
        <v>11168</v>
      </c>
      <c r="B496" s="8" t="n">
        <v>2012</v>
      </c>
      <c r="C496" s="8" t="n">
        <v>2019</v>
      </c>
      <c r="D496" s="8" t="s">
        <v>176</v>
      </c>
      <c r="E496" s="8" t="s">
        <v>9685</v>
      </c>
      <c r="F496" s="7" t="s">
        <v>11169</v>
      </c>
      <c r="G496" s="8" t="n">
        <v>8.4</v>
      </c>
      <c r="H496" s="8"/>
      <c r="I496" s="9" t="n">
        <v>72380</v>
      </c>
      <c r="J496" s="7"/>
      <c r="K496" s="7" t="s">
        <v>30</v>
      </c>
      <c r="L496" s="7"/>
      <c r="M496" s="10" t="s">
        <v>4902</v>
      </c>
      <c r="N496" s="7"/>
      <c r="O496" s="8" t="n">
        <v>58</v>
      </c>
      <c r="P496" s="8" t="n">
        <v>1</v>
      </c>
      <c r="Q496" s="8" t="n">
        <v>155</v>
      </c>
      <c r="R496" s="7"/>
      <c r="S496" s="7" t="s">
        <v>11170</v>
      </c>
    </row>
    <row r="497" customFormat="false" ht="15.75" hidden="false" customHeight="true" outlineLevel="0" collapsed="false">
      <c r="A497" s="7" t="s">
        <v>11171</v>
      </c>
      <c r="B497" s="8" t="n">
        <v>2012</v>
      </c>
      <c r="C497" s="8"/>
      <c r="D497" s="8" t="s">
        <v>176</v>
      </c>
      <c r="E497" s="8" t="s">
        <v>9685</v>
      </c>
      <c r="F497" s="7" t="s">
        <v>11172</v>
      </c>
      <c r="G497" s="8" t="n">
        <v>8</v>
      </c>
      <c r="H497" s="8"/>
      <c r="I497" s="9" t="n">
        <v>72248</v>
      </c>
      <c r="J497" s="7"/>
      <c r="K497" s="7" t="s">
        <v>112</v>
      </c>
      <c r="L497" s="7" t="s">
        <v>47</v>
      </c>
      <c r="M497" s="10" t="s">
        <v>11173</v>
      </c>
      <c r="N497" s="7"/>
      <c r="O497" s="8" t="n">
        <v>0</v>
      </c>
      <c r="P497" s="8" t="n">
        <v>0</v>
      </c>
      <c r="Q497" s="8" t="n">
        <v>0</v>
      </c>
      <c r="R497" s="7"/>
      <c r="S497" s="7" t="s">
        <v>11174</v>
      </c>
    </row>
    <row r="498" customFormat="false" ht="15.75" hidden="false" customHeight="true" outlineLevel="0" collapsed="false">
      <c r="A498" s="7" t="s">
        <v>11175</v>
      </c>
      <c r="B498" s="8" t="n">
        <v>2022</v>
      </c>
      <c r="C498" s="8" t="n">
        <v>2024</v>
      </c>
      <c r="D498" s="8" t="s">
        <v>378</v>
      </c>
      <c r="E498" s="8" t="s">
        <v>9685</v>
      </c>
      <c r="F498" s="7" t="s">
        <v>11176</v>
      </c>
      <c r="G498" s="8" t="n">
        <v>7.4</v>
      </c>
      <c r="H498" s="8"/>
      <c r="I498" s="9" t="n">
        <v>72103</v>
      </c>
      <c r="J498" s="7"/>
      <c r="K498" s="7" t="s">
        <v>112</v>
      </c>
      <c r="L498" s="7" t="s">
        <v>39</v>
      </c>
      <c r="M498" s="10" t="s">
        <v>238</v>
      </c>
      <c r="N498" s="7"/>
      <c r="O498" s="8" t="n">
        <v>0</v>
      </c>
      <c r="P498" s="8" t="n">
        <v>0</v>
      </c>
      <c r="Q498" s="8" t="n">
        <v>0</v>
      </c>
      <c r="R498" s="7"/>
      <c r="S498" s="7" t="s">
        <v>11177</v>
      </c>
    </row>
    <row r="499" customFormat="false" ht="15.75" hidden="false" customHeight="true" outlineLevel="0" collapsed="false">
      <c r="A499" s="7" t="s">
        <v>11178</v>
      </c>
      <c r="B499" s="8" t="n">
        <v>2020</v>
      </c>
      <c r="C499" s="8"/>
      <c r="D499" s="8" t="s">
        <v>378</v>
      </c>
      <c r="E499" s="8" t="s">
        <v>9685</v>
      </c>
      <c r="F499" s="7" t="s">
        <v>11179</v>
      </c>
      <c r="G499" s="8" t="n">
        <v>8.5</v>
      </c>
      <c r="H499" s="8"/>
      <c r="I499" s="9" t="n">
        <v>71700</v>
      </c>
      <c r="J499" s="7"/>
      <c r="K499" s="7" t="s">
        <v>47</v>
      </c>
      <c r="L499" s="7" t="s">
        <v>54</v>
      </c>
      <c r="M499" s="10"/>
      <c r="N499" s="7"/>
      <c r="O499" s="8" t="n">
        <v>0</v>
      </c>
      <c r="P499" s="8" t="n">
        <v>0</v>
      </c>
      <c r="Q499" s="8" t="n">
        <v>0</v>
      </c>
      <c r="R499" s="7"/>
      <c r="S499" s="7" t="s">
        <v>11180</v>
      </c>
    </row>
    <row r="500" customFormat="false" ht="15.75" hidden="false" customHeight="true" outlineLevel="0" collapsed="false">
      <c r="A500" s="7" t="s">
        <v>11181</v>
      </c>
      <c r="B500" s="8" t="n">
        <v>2024</v>
      </c>
      <c r="C500" s="8" t="n">
        <v>2024</v>
      </c>
      <c r="D500" s="8" t="s">
        <v>378</v>
      </c>
      <c r="E500" s="8" t="s">
        <v>9715</v>
      </c>
      <c r="F500" s="7" t="s">
        <v>11182</v>
      </c>
      <c r="G500" s="8" t="n">
        <v>7.8</v>
      </c>
      <c r="H500" s="8"/>
      <c r="I500" s="9" t="n">
        <v>71647</v>
      </c>
      <c r="J500" s="7"/>
      <c r="K500" s="7" t="s">
        <v>112</v>
      </c>
      <c r="L500" s="7" t="s">
        <v>453</v>
      </c>
      <c r="M500" s="10" t="s">
        <v>1293</v>
      </c>
      <c r="N500" s="7"/>
      <c r="O500" s="8" t="n">
        <v>0</v>
      </c>
      <c r="P500" s="8" t="n">
        <v>0</v>
      </c>
      <c r="Q500" s="8" t="n">
        <v>0</v>
      </c>
      <c r="R500" s="7"/>
      <c r="S500" s="7" t="s">
        <v>11183</v>
      </c>
    </row>
    <row r="501" customFormat="false" ht="15.75" hidden="false" customHeight="true" outlineLevel="0" collapsed="false">
      <c r="A501" s="7" t="s">
        <v>11184</v>
      </c>
      <c r="B501" s="8" t="n">
        <v>2014</v>
      </c>
      <c r="C501" s="8" t="n">
        <v>2018</v>
      </c>
      <c r="D501" s="8" t="s">
        <v>176</v>
      </c>
      <c r="E501" s="8" t="s">
        <v>9685</v>
      </c>
      <c r="F501" s="7" t="s">
        <v>11185</v>
      </c>
      <c r="G501" s="8" t="n">
        <v>8.1</v>
      </c>
      <c r="H501" s="8"/>
      <c r="I501" s="9" t="n">
        <v>71068</v>
      </c>
      <c r="J501" s="7"/>
      <c r="K501" s="7" t="s">
        <v>579</v>
      </c>
      <c r="L501" s="7" t="s">
        <v>112</v>
      </c>
      <c r="M501" s="10" t="s">
        <v>177</v>
      </c>
      <c r="N501" s="7"/>
      <c r="O501" s="8" t="n">
        <v>0</v>
      </c>
      <c r="P501" s="8" t="n">
        <v>0</v>
      </c>
      <c r="Q501" s="8" t="n">
        <v>21</v>
      </c>
      <c r="R501" s="7"/>
      <c r="S501" s="7" t="s">
        <v>11186</v>
      </c>
    </row>
    <row r="502" customFormat="false" ht="15.75" hidden="false" customHeight="true" outlineLevel="0" collapsed="false">
      <c r="A502" s="7" t="s">
        <v>11187</v>
      </c>
      <c r="B502" s="8" t="n">
        <v>2017</v>
      </c>
      <c r="C502" s="8"/>
      <c r="D502" s="8" t="s">
        <v>176</v>
      </c>
      <c r="E502" s="8" t="s">
        <v>9685</v>
      </c>
      <c r="F502" s="7" t="s">
        <v>11188</v>
      </c>
      <c r="G502" s="8" t="n">
        <v>9.1</v>
      </c>
      <c r="H502" s="8"/>
      <c r="I502" s="9" t="n">
        <v>70956</v>
      </c>
      <c r="J502" s="7"/>
      <c r="K502" s="7" t="s">
        <v>47</v>
      </c>
      <c r="L502" s="7" t="s">
        <v>48</v>
      </c>
      <c r="M502" s="10" t="s">
        <v>1469</v>
      </c>
      <c r="N502" s="7"/>
      <c r="O502" s="8" t="n">
        <v>0</v>
      </c>
      <c r="P502" s="8" t="n">
        <v>0</v>
      </c>
      <c r="Q502" s="8" t="n">
        <v>0</v>
      </c>
      <c r="R502" s="7"/>
      <c r="S502" s="7" t="s">
        <v>11189</v>
      </c>
    </row>
    <row r="503" customFormat="false" ht="15.75" hidden="false" customHeight="true" outlineLevel="0" collapsed="false">
      <c r="A503" s="7" t="s">
        <v>11190</v>
      </c>
      <c r="B503" s="8" t="n">
        <v>2009</v>
      </c>
      <c r="C503" s="8" t="n">
        <v>2013</v>
      </c>
      <c r="D503" s="8" t="s">
        <v>35</v>
      </c>
      <c r="E503" s="8" t="s">
        <v>9685</v>
      </c>
      <c r="F503" s="7" t="s">
        <v>11191</v>
      </c>
      <c r="G503" s="8" t="n">
        <v>8.2</v>
      </c>
      <c r="H503" s="8"/>
      <c r="I503" s="9" t="n">
        <v>70889</v>
      </c>
      <c r="J503" s="7"/>
      <c r="K503" s="7" t="s">
        <v>30</v>
      </c>
      <c r="L503" s="7" t="s">
        <v>75</v>
      </c>
      <c r="M503" s="10" t="s">
        <v>55</v>
      </c>
      <c r="N503" s="7"/>
      <c r="O503" s="8" t="n">
        <v>0</v>
      </c>
      <c r="P503" s="8" t="n">
        <v>0</v>
      </c>
      <c r="Q503" s="8" t="n">
        <v>0</v>
      </c>
      <c r="R503" s="7"/>
      <c r="S503" s="7" t="s">
        <v>11192</v>
      </c>
    </row>
    <row r="504" customFormat="false" ht="15.75" hidden="false" customHeight="true" outlineLevel="0" collapsed="false">
      <c r="A504" s="7" t="s">
        <v>11193</v>
      </c>
      <c r="B504" s="8" t="n">
        <v>2024</v>
      </c>
      <c r="C504" s="8" t="n">
        <v>2024</v>
      </c>
      <c r="D504" s="8" t="s">
        <v>378</v>
      </c>
      <c r="E504" s="8" t="s">
        <v>9715</v>
      </c>
      <c r="F504" s="7" t="s">
        <v>11194</v>
      </c>
      <c r="G504" s="8" t="n">
        <v>6.8</v>
      </c>
      <c r="H504" s="8"/>
      <c r="I504" s="9" t="n">
        <v>70479</v>
      </c>
      <c r="J504" s="7"/>
      <c r="K504" s="7" t="s">
        <v>47</v>
      </c>
      <c r="L504" s="7" t="s">
        <v>54</v>
      </c>
      <c r="M504" s="10" t="s">
        <v>238</v>
      </c>
      <c r="N504" s="7"/>
      <c r="O504" s="8" t="n">
        <v>0</v>
      </c>
      <c r="P504" s="8" t="n">
        <v>0</v>
      </c>
      <c r="Q504" s="8" t="n">
        <v>0</v>
      </c>
      <c r="R504" s="7"/>
      <c r="S504" s="7" t="s">
        <v>11195</v>
      </c>
    </row>
    <row r="505" customFormat="false" ht="15.75" hidden="false" customHeight="true" outlineLevel="0" collapsed="false">
      <c r="A505" s="7" t="s">
        <v>11196</v>
      </c>
      <c r="B505" s="8" t="n">
        <v>2020</v>
      </c>
      <c r="C505" s="8" t="n">
        <v>2020</v>
      </c>
      <c r="D505" s="8" t="s">
        <v>378</v>
      </c>
      <c r="E505" s="8" t="s">
        <v>9715</v>
      </c>
      <c r="F505" s="7" t="s">
        <v>11197</v>
      </c>
      <c r="G505" s="8" t="n">
        <v>7.2</v>
      </c>
      <c r="H505" s="8"/>
      <c r="I505" s="9" t="n">
        <v>70474</v>
      </c>
      <c r="J505" s="7"/>
      <c r="K505" s="7" t="s">
        <v>47</v>
      </c>
      <c r="L505" s="7" t="s">
        <v>54</v>
      </c>
      <c r="M505" s="10" t="s">
        <v>238</v>
      </c>
      <c r="N505" s="7"/>
      <c r="O505" s="8" t="n">
        <v>0</v>
      </c>
      <c r="P505" s="8" t="n">
        <v>0</v>
      </c>
      <c r="Q505" s="8" t="n">
        <v>0</v>
      </c>
      <c r="R505" s="7"/>
      <c r="S505" s="7" t="s">
        <v>11198</v>
      </c>
    </row>
    <row r="506" customFormat="false" ht="15.75" hidden="false" customHeight="true" outlineLevel="0" collapsed="false">
      <c r="A506" s="7" t="s">
        <v>11199</v>
      </c>
      <c r="B506" s="8" t="n">
        <v>2014</v>
      </c>
      <c r="C506" s="8" t="n">
        <v>2018</v>
      </c>
      <c r="D506" s="8" t="s">
        <v>176</v>
      </c>
      <c r="E506" s="8" t="s">
        <v>9685</v>
      </c>
      <c r="F506" s="7" t="s">
        <v>11200</v>
      </c>
      <c r="G506" s="8" t="n">
        <v>7.4</v>
      </c>
      <c r="H506" s="8"/>
      <c r="I506" s="9" t="n">
        <v>70468</v>
      </c>
      <c r="J506" s="7"/>
      <c r="K506" s="7" t="s">
        <v>111</v>
      </c>
      <c r="L506" s="7" t="s">
        <v>112</v>
      </c>
      <c r="M506" s="10" t="s">
        <v>210</v>
      </c>
      <c r="N506" s="7"/>
      <c r="O506" s="8" t="n">
        <v>0</v>
      </c>
      <c r="P506" s="8" t="n">
        <v>0</v>
      </c>
      <c r="Q506" s="8" t="n">
        <v>0</v>
      </c>
      <c r="R506" s="7"/>
      <c r="S506" s="7" t="s">
        <v>11201</v>
      </c>
    </row>
    <row r="507" customFormat="false" ht="15.75" hidden="false" customHeight="true" outlineLevel="0" collapsed="false">
      <c r="A507" s="7" t="s">
        <v>11202</v>
      </c>
      <c r="B507" s="8" t="n">
        <v>2019</v>
      </c>
      <c r="C507" s="8" t="n">
        <v>2019</v>
      </c>
      <c r="D507" s="8" t="s">
        <v>176</v>
      </c>
      <c r="E507" s="8" t="s">
        <v>9715</v>
      </c>
      <c r="F507" s="7" t="s">
        <v>11203</v>
      </c>
      <c r="G507" s="8" t="n">
        <v>8</v>
      </c>
      <c r="H507" s="8"/>
      <c r="I507" s="9" t="n">
        <v>70251</v>
      </c>
      <c r="J507" s="7"/>
      <c r="K507" s="7" t="s">
        <v>2730</v>
      </c>
      <c r="L507" s="7" t="s">
        <v>54</v>
      </c>
      <c r="M507" s="10" t="s">
        <v>238</v>
      </c>
      <c r="N507" s="7"/>
      <c r="O507" s="8" t="n">
        <v>0</v>
      </c>
      <c r="P507" s="8" t="n">
        <v>0</v>
      </c>
      <c r="Q507" s="8" t="n">
        <v>0</v>
      </c>
      <c r="R507" s="7"/>
      <c r="S507" s="7" t="s">
        <v>11204</v>
      </c>
    </row>
    <row r="508" customFormat="false" ht="15.75" hidden="false" customHeight="true" outlineLevel="0" collapsed="false">
      <c r="A508" s="7" t="s">
        <v>11205</v>
      </c>
      <c r="B508" s="8" t="n">
        <v>2016</v>
      </c>
      <c r="C508" s="8" t="n">
        <v>2022</v>
      </c>
      <c r="D508" s="8" t="s">
        <v>176</v>
      </c>
      <c r="E508" s="8" t="s">
        <v>9685</v>
      </c>
      <c r="F508" s="7" t="s">
        <v>11206</v>
      </c>
      <c r="G508" s="8" t="n">
        <v>8.5</v>
      </c>
      <c r="H508" s="8"/>
      <c r="I508" s="9" t="n">
        <v>70175</v>
      </c>
      <c r="J508" s="7"/>
      <c r="K508" s="7" t="s">
        <v>579</v>
      </c>
      <c r="L508" s="7" t="s">
        <v>112</v>
      </c>
      <c r="M508" s="10" t="s">
        <v>3522</v>
      </c>
      <c r="N508" s="7"/>
      <c r="O508" s="8" t="n">
        <v>0</v>
      </c>
      <c r="P508" s="8" t="n">
        <v>0</v>
      </c>
      <c r="Q508" s="8" t="n">
        <v>0</v>
      </c>
      <c r="R508" s="7"/>
      <c r="S508" s="7" t="s">
        <v>11207</v>
      </c>
    </row>
    <row r="509" customFormat="false" ht="15.75" hidden="false" customHeight="true" outlineLevel="0" collapsed="false">
      <c r="A509" s="7" t="s">
        <v>11208</v>
      </c>
      <c r="B509" s="8" t="n">
        <v>2007</v>
      </c>
      <c r="C509" s="8" t="n">
        <v>2009</v>
      </c>
      <c r="D509" s="8" t="s">
        <v>35</v>
      </c>
      <c r="E509" s="8" t="s">
        <v>9685</v>
      </c>
      <c r="F509" s="7" t="s">
        <v>11209</v>
      </c>
      <c r="G509" s="8" t="n">
        <v>8.5</v>
      </c>
      <c r="H509" s="8"/>
      <c r="I509" s="9" t="n">
        <v>70158</v>
      </c>
      <c r="J509" s="7"/>
      <c r="K509" s="7" t="s">
        <v>90</v>
      </c>
      <c r="L509" s="7" t="s">
        <v>30</v>
      </c>
      <c r="M509" s="7"/>
      <c r="N509" s="7"/>
      <c r="O509" s="8" t="n">
        <v>0</v>
      </c>
      <c r="P509" s="8" t="n">
        <v>0</v>
      </c>
      <c r="Q509" s="8" t="n">
        <v>26</v>
      </c>
      <c r="R509" s="7"/>
      <c r="S509" s="7"/>
    </row>
    <row r="510" customFormat="false" ht="15.75" hidden="false" customHeight="true" outlineLevel="0" collapsed="false">
      <c r="A510" s="7" t="s">
        <v>11210</v>
      </c>
      <c r="B510" s="8" t="n">
        <v>2024</v>
      </c>
      <c r="C510" s="8" t="n">
        <v>2025</v>
      </c>
      <c r="D510" s="8" t="s">
        <v>378</v>
      </c>
      <c r="E510" s="8" t="s">
        <v>9685</v>
      </c>
      <c r="F510" s="7" t="s">
        <v>11211</v>
      </c>
      <c r="G510" s="8" t="n">
        <v>8.1</v>
      </c>
      <c r="H510" s="8"/>
      <c r="I510" s="9" t="n">
        <v>69988</v>
      </c>
      <c r="J510" s="7"/>
      <c r="K510" s="7" t="s">
        <v>47</v>
      </c>
      <c r="L510" s="7" t="s">
        <v>54</v>
      </c>
      <c r="M510" s="10" t="s">
        <v>192</v>
      </c>
      <c r="N510" s="7"/>
      <c r="O510" s="8" t="n">
        <v>0</v>
      </c>
      <c r="P510" s="8" t="n">
        <v>0</v>
      </c>
      <c r="Q510" s="8" t="n">
        <v>0</v>
      </c>
      <c r="R510" s="7"/>
      <c r="S510" s="7" t="s">
        <v>11212</v>
      </c>
    </row>
    <row r="511" customFormat="false" ht="15.75" hidden="false" customHeight="true" outlineLevel="0" collapsed="false">
      <c r="A511" s="7" t="s">
        <v>11213</v>
      </c>
      <c r="B511" s="8" t="n">
        <v>1972</v>
      </c>
      <c r="C511" s="8" t="n">
        <v>1983</v>
      </c>
      <c r="D511" s="8" t="s">
        <v>61</v>
      </c>
      <c r="E511" s="8" t="s">
        <v>9685</v>
      </c>
      <c r="F511" s="7" t="s">
        <v>11214</v>
      </c>
      <c r="G511" s="8" t="n">
        <v>8.5</v>
      </c>
      <c r="H511" s="8"/>
      <c r="I511" s="9" t="n">
        <v>69803</v>
      </c>
      <c r="J511" s="7"/>
      <c r="K511" s="7" t="s">
        <v>154</v>
      </c>
      <c r="L511" s="7" t="s">
        <v>30</v>
      </c>
      <c r="M511" s="10"/>
      <c r="N511" s="7"/>
      <c r="O511" s="8" t="n">
        <v>2</v>
      </c>
      <c r="P511" s="8" t="n">
        <v>0</v>
      </c>
      <c r="Q511" s="8" t="n">
        <v>23</v>
      </c>
      <c r="R511" s="7"/>
      <c r="S511" s="7" t="s">
        <v>11215</v>
      </c>
    </row>
    <row r="512" customFormat="false" ht="15.75" hidden="false" customHeight="true" outlineLevel="0" collapsed="false">
      <c r="A512" s="7" t="s">
        <v>11216</v>
      </c>
      <c r="B512" s="8" t="n">
        <v>2024</v>
      </c>
      <c r="C512" s="8"/>
      <c r="D512" s="8" t="s">
        <v>378</v>
      </c>
      <c r="E512" s="8" t="s">
        <v>9685</v>
      </c>
      <c r="F512" s="7" t="s">
        <v>11217</v>
      </c>
      <c r="G512" s="8" t="n">
        <v>7.3</v>
      </c>
      <c r="H512" s="8"/>
      <c r="I512" s="9" t="n">
        <v>69728</v>
      </c>
      <c r="J512" s="7"/>
      <c r="K512" s="7" t="s">
        <v>112</v>
      </c>
      <c r="L512" s="7" t="s">
        <v>39</v>
      </c>
      <c r="M512" s="10" t="s">
        <v>55</v>
      </c>
      <c r="N512" s="7"/>
      <c r="O512" s="8" t="n">
        <v>0</v>
      </c>
      <c r="P512" s="8" t="n">
        <v>0</v>
      </c>
      <c r="Q512" s="8" t="n">
        <v>0</v>
      </c>
      <c r="R512" s="7"/>
      <c r="S512" s="7" t="s">
        <v>11218</v>
      </c>
    </row>
    <row r="513" customFormat="false" ht="15.75" hidden="false" customHeight="true" outlineLevel="0" collapsed="false">
      <c r="A513" s="7" t="s">
        <v>11219</v>
      </c>
      <c r="B513" s="8" t="n">
        <v>2023</v>
      </c>
      <c r="C513" s="8" t="n">
        <v>2023</v>
      </c>
      <c r="D513" s="8" t="s">
        <v>378</v>
      </c>
      <c r="E513" s="8" t="s">
        <v>9715</v>
      </c>
      <c r="F513" s="7" t="s">
        <v>11220</v>
      </c>
      <c r="G513" s="8" t="n">
        <v>7.3</v>
      </c>
      <c r="H513" s="8"/>
      <c r="I513" s="9" t="n">
        <v>69359</v>
      </c>
      <c r="J513" s="7"/>
      <c r="K513" s="7" t="s">
        <v>47</v>
      </c>
      <c r="L513" s="7" t="s">
        <v>54</v>
      </c>
      <c r="M513" s="10" t="s">
        <v>238</v>
      </c>
      <c r="N513" s="7"/>
      <c r="O513" s="8" t="n">
        <v>0</v>
      </c>
      <c r="P513" s="8" t="n">
        <v>0</v>
      </c>
      <c r="Q513" s="8" t="n">
        <v>0</v>
      </c>
      <c r="R513" s="7"/>
      <c r="S513" s="7" t="s">
        <v>11221</v>
      </c>
    </row>
    <row r="514" customFormat="false" ht="15.75" hidden="false" customHeight="true" outlineLevel="0" collapsed="false">
      <c r="A514" s="7" t="s">
        <v>11222</v>
      </c>
      <c r="B514" s="8" t="n">
        <v>2024</v>
      </c>
      <c r="C514" s="8" t="n">
        <v>2024</v>
      </c>
      <c r="D514" s="8" t="s">
        <v>378</v>
      </c>
      <c r="E514" s="8" t="s">
        <v>9715</v>
      </c>
      <c r="F514" s="7" t="s">
        <v>11223</v>
      </c>
      <c r="G514" s="8" t="n">
        <v>8.1</v>
      </c>
      <c r="H514" s="8"/>
      <c r="I514" s="9" t="n">
        <v>69320</v>
      </c>
      <c r="J514" s="7"/>
      <c r="K514" s="7" t="s">
        <v>131</v>
      </c>
      <c r="L514" s="7" t="s">
        <v>54</v>
      </c>
      <c r="M514" s="10" t="s">
        <v>238</v>
      </c>
      <c r="N514" s="7"/>
      <c r="O514" s="8" t="n">
        <v>0</v>
      </c>
      <c r="P514" s="8" t="n">
        <v>0</v>
      </c>
      <c r="Q514" s="8" t="n">
        <v>0</v>
      </c>
      <c r="R514" s="7"/>
      <c r="S514" s="7" t="s">
        <v>11224</v>
      </c>
    </row>
    <row r="515" customFormat="false" ht="15.75" hidden="false" customHeight="true" outlineLevel="0" collapsed="false">
      <c r="A515" s="7" t="s">
        <v>11225</v>
      </c>
      <c r="B515" s="8" t="n">
        <v>2021</v>
      </c>
      <c r="C515" s="8"/>
      <c r="D515" s="8" t="s">
        <v>378</v>
      </c>
      <c r="E515" s="8" t="s">
        <v>9685</v>
      </c>
      <c r="F515" s="7" t="s">
        <v>11226</v>
      </c>
      <c r="G515" s="8" t="n">
        <v>7.6</v>
      </c>
      <c r="H515" s="8"/>
      <c r="I515" s="9" t="n">
        <v>69142</v>
      </c>
      <c r="J515" s="7"/>
      <c r="K515" s="7" t="s">
        <v>47</v>
      </c>
      <c r="L515" s="7" t="s">
        <v>54</v>
      </c>
      <c r="M515" s="10" t="s">
        <v>238</v>
      </c>
      <c r="N515" s="7"/>
      <c r="O515" s="8" t="n">
        <v>0</v>
      </c>
      <c r="P515" s="8" t="n">
        <v>0</v>
      </c>
      <c r="Q515" s="8" t="n">
        <v>0</v>
      </c>
      <c r="R515" s="7"/>
      <c r="S515" s="7" t="s">
        <v>11227</v>
      </c>
    </row>
    <row r="516" customFormat="false" ht="15.75" hidden="false" customHeight="true" outlineLevel="0" collapsed="false">
      <c r="A516" s="7" t="s">
        <v>11228</v>
      </c>
      <c r="B516" s="8" t="n">
        <v>2025</v>
      </c>
      <c r="C516" s="8" t="n">
        <v>2025</v>
      </c>
      <c r="D516" s="8" t="s">
        <v>378</v>
      </c>
      <c r="E516" s="8" t="s">
        <v>9715</v>
      </c>
      <c r="F516" s="7" t="s">
        <v>11229</v>
      </c>
      <c r="G516" s="8" t="n">
        <v>4.5</v>
      </c>
      <c r="H516" s="8"/>
      <c r="I516" s="9" t="n">
        <v>69101</v>
      </c>
      <c r="J516" s="7"/>
      <c r="K516" s="7" t="s">
        <v>38</v>
      </c>
      <c r="L516" s="7" t="s">
        <v>112</v>
      </c>
      <c r="M516" s="10" t="s">
        <v>177</v>
      </c>
      <c r="N516" s="7"/>
      <c r="O516" s="8" t="n">
        <v>0</v>
      </c>
      <c r="P516" s="8" t="n">
        <v>0</v>
      </c>
      <c r="Q516" s="8" t="n">
        <v>0</v>
      </c>
      <c r="R516" s="7"/>
      <c r="S516" s="7" t="s">
        <v>11230</v>
      </c>
    </row>
    <row r="517" customFormat="false" ht="15.75" hidden="false" customHeight="true" outlineLevel="0" collapsed="false">
      <c r="A517" s="7" t="s">
        <v>11231</v>
      </c>
      <c r="B517" s="8" t="n">
        <v>2023</v>
      </c>
      <c r="C517" s="8" t="n">
        <v>2025</v>
      </c>
      <c r="D517" s="8" t="s">
        <v>378</v>
      </c>
      <c r="E517" s="8" t="s">
        <v>9685</v>
      </c>
      <c r="F517" s="7" t="s">
        <v>11232</v>
      </c>
      <c r="G517" s="8" t="n">
        <v>7.7</v>
      </c>
      <c r="H517" s="8"/>
      <c r="I517" s="9" t="n">
        <v>69052</v>
      </c>
      <c r="J517" s="7"/>
      <c r="K517" s="7" t="s">
        <v>30</v>
      </c>
      <c r="L517" s="7" t="s">
        <v>54</v>
      </c>
      <c r="M517" s="10" t="s">
        <v>192</v>
      </c>
      <c r="N517" s="7"/>
      <c r="O517" s="8" t="n">
        <v>0</v>
      </c>
      <c r="P517" s="8" t="n">
        <v>0</v>
      </c>
      <c r="Q517" s="8" t="n">
        <v>0</v>
      </c>
      <c r="R517" s="7"/>
      <c r="S517" s="7" t="s">
        <v>11233</v>
      </c>
    </row>
    <row r="518" customFormat="false" ht="15.75" hidden="false" customHeight="true" outlineLevel="0" collapsed="false">
      <c r="A518" s="7" t="s">
        <v>11234</v>
      </c>
      <c r="B518" s="8" t="n">
        <v>2007</v>
      </c>
      <c r="C518" s="8"/>
      <c r="D518" s="8" t="s">
        <v>35</v>
      </c>
      <c r="E518" s="8" t="s">
        <v>9685</v>
      </c>
      <c r="F518" s="7" t="s">
        <v>11235</v>
      </c>
      <c r="G518" s="8" t="n">
        <v>8.1</v>
      </c>
      <c r="H518" s="8"/>
      <c r="I518" s="9" t="n">
        <v>68986</v>
      </c>
      <c r="J518" s="7"/>
      <c r="K518" s="7" t="s">
        <v>579</v>
      </c>
      <c r="L518" s="7" t="s">
        <v>112</v>
      </c>
      <c r="M518" s="10" t="s">
        <v>177</v>
      </c>
      <c r="N518" s="7"/>
      <c r="O518" s="8" t="n">
        <v>0</v>
      </c>
      <c r="P518" s="8" t="n">
        <v>0</v>
      </c>
      <c r="Q518" s="8" t="n">
        <v>10</v>
      </c>
      <c r="R518" s="7"/>
      <c r="S518" s="7" t="s">
        <v>11236</v>
      </c>
    </row>
    <row r="519" customFormat="false" ht="15.75" hidden="false" customHeight="true" outlineLevel="0" collapsed="false">
      <c r="A519" s="7" t="s">
        <v>11237</v>
      </c>
      <c r="B519" s="8" t="n">
        <v>2015</v>
      </c>
      <c r="C519" s="8" t="n">
        <v>2018</v>
      </c>
      <c r="D519" s="8" t="s">
        <v>176</v>
      </c>
      <c r="E519" s="8" t="s">
        <v>9685</v>
      </c>
      <c r="F519" s="7" t="s">
        <v>11238</v>
      </c>
      <c r="G519" s="8" t="n">
        <v>7.4</v>
      </c>
      <c r="H519" s="8"/>
      <c r="I519" s="9" t="n">
        <v>68858</v>
      </c>
      <c r="J519" s="7"/>
      <c r="K519" s="7" t="s">
        <v>112</v>
      </c>
      <c r="L519" s="7" t="s">
        <v>30</v>
      </c>
      <c r="M519" s="10" t="s">
        <v>177</v>
      </c>
      <c r="N519" s="7"/>
      <c r="O519" s="8" t="n">
        <v>0</v>
      </c>
      <c r="P519" s="8" t="n">
        <v>0</v>
      </c>
      <c r="Q519" s="8" t="n">
        <v>6</v>
      </c>
      <c r="R519" s="7"/>
      <c r="S519" s="7" t="s">
        <v>11239</v>
      </c>
    </row>
    <row r="520" customFormat="false" ht="15.75" hidden="false" customHeight="true" outlineLevel="0" collapsed="false">
      <c r="A520" s="7" t="s">
        <v>11240</v>
      </c>
      <c r="B520" s="8" t="n">
        <v>2025</v>
      </c>
      <c r="C520" s="8"/>
      <c r="D520" s="8" t="s">
        <v>378</v>
      </c>
      <c r="E520" s="8" t="s">
        <v>9685</v>
      </c>
      <c r="F520" s="7" t="s">
        <v>11241</v>
      </c>
      <c r="G520" s="8" t="n">
        <v>8</v>
      </c>
      <c r="H520" s="8"/>
      <c r="I520" s="9" t="n">
        <v>68843</v>
      </c>
      <c r="J520" s="7"/>
      <c r="K520" s="7" t="s">
        <v>30</v>
      </c>
      <c r="L520" s="7" t="s">
        <v>47</v>
      </c>
      <c r="M520" s="10" t="s">
        <v>1293</v>
      </c>
      <c r="N520" s="7"/>
      <c r="O520" s="8" t="n">
        <v>0</v>
      </c>
      <c r="P520" s="8" t="n">
        <v>0</v>
      </c>
      <c r="Q520" s="8" t="n">
        <v>0</v>
      </c>
      <c r="R520" s="7"/>
      <c r="S520" s="7" t="s">
        <v>11242</v>
      </c>
    </row>
    <row r="521" customFormat="false" ht="15.75" hidden="false" customHeight="true" outlineLevel="0" collapsed="false">
      <c r="A521" s="7" t="s">
        <v>11243</v>
      </c>
      <c r="B521" s="8" t="n">
        <v>1982</v>
      </c>
      <c r="C521" s="8" t="n">
        <v>1993</v>
      </c>
      <c r="D521" s="8" t="s">
        <v>109</v>
      </c>
      <c r="E521" s="8" t="s">
        <v>9685</v>
      </c>
      <c r="F521" s="7" t="s">
        <v>11244</v>
      </c>
      <c r="G521" s="8" t="n">
        <v>8</v>
      </c>
      <c r="H521" s="8"/>
      <c r="I521" s="9" t="n">
        <v>68670</v>
      </c>
      <c r="J521" s="7"/>
      <c r="K521" s="7" t="s">
        <v>30</v>
      </c>
      <c r="L521" s="7" t="s">
        <v>47</v>
      </c>
      <c r="M521" s="10"/>
      <c r="N521" s="7"/>
      <c r="O521" s="8" t="n">
        <v>8</v>
      </c>
      <c r="P521" s="8" t="n">
        <v>0</v>
      </c>
      <c r="Q521" s="8" t="n">
        <v>39</v>
      </c>
      <c r="R521" s="7"/>
      <c r="S521" s="7" t="s">
        <v>11245</v>
      </c>
    </row>
    <row r="522" customFormat="false" ht="15.75" hidden="false" customHeight="true" outlineLevel="0" collapsed="false">
      <c r="A522" s="7" t="s">
        <v>11246</v>
      </c>
      <c r="B522" s="8" t="n">
        <v>2021</v>
      </c>
      <c r="C522" s="8" t="n">
        <v>2026</v>
      </c>
      <c r="D522" s="8" t="s">
        <v>378</v>
      </c>
      <c r="E522" s="8" t="s">
        <v>9685</v>
      </c>
      <c r="F522" s="7" t="s">
        <v>11247</v>
      </c>
      <c r="G522" s="8" t="n">
        <v>8.2</v>
      </c>
      <c r="H522" s="8"/>
      <c r="I522" s="9" t="n">
        <v>68652</v>
      </c>
      <c r="J522" s="7"/>
      <c r="K522" s="7" t="s">
        <v>30</v>
      </c>
      <c r="L522" s="7" t="s">
        <v>47</v>
      </c>
      <c r="M522" s="10" t="s">
        <v>6654</v>
      </c>
      <c r="N522" s="7"/>
      <c r="O522" s="8" t="n">
        <v>5</v>
      </c>
      <c r="P522" s="8" t="n">
        <v>0</v>
      </c>
      <c r="Q522" s="8" t="n">
        <v>33</v>
      </c>
      <c r="R522" s="7"/>
      <c r="S522" s="7" t="s">
        <v>11248</v>
      </c>
    </row>
    <row r="523" customFormat="false" ht="15.75" hidden="false" customHeight="true" outlineLevel="0" collapsed="false">
      <c r="A523" s="7" t="s">
        <v>11249</v>
      </c>
      <c r="B523" s="8" t="n">
        <v>2022</v>
      </c>
      <c r="C523" s="8" t="n">
        <v>2022</v>
      </c>
      <c r="D523" s="8" t="s">
        <v>378</v>
      </c>
      <c r="E523" s="8" t="s">
        <v>9685</v>
      </c>
      <c r="F523" s="7" t="s">
        <v>11250</v>
      </c>
      <c r="G523" s="8" t="n">
        <v>7.3</v>
      </c>
      <c r="H523" s="8"/>
      <c r="I523" s="9" t="n">
        <v>68631</v>
      </c>
      <c r="J523" s="7"/>
      <c r="K523" s="7" t="s">
        <v>147</v>
      </c>
      <c r="L523" s="7" t="s">
        <v>125</v>
      </c>
      <c r="M523" s="10" t="s">
        <v>238</v>
      </c>
      <c r="N523" s="7"/>
      <c r="O523" s="8" t="n">
        <v>0</v>
      </c>
      <c r="P523" s="8" t="n">
        <v>0</v>
      </c>
      <c r="Q523" s="8" t="n">
        <v>0</v>
      </c>
      <c r="R523" s="7"/>
      <c r="S523" s="7" t="s">
        <v>11251</v>
      </c>
    </row>
    <row r="524" customFormat="false" ht="15.75" hidden="false" customHeight="true" outlineLevel="0" collapsed="false">
      <c r="A524" s="7" t="s">
        <v>11252</v>
      </c>
      <c r="B524" s="8" t="n">
        <v>2018</v>
      </c>
      <c r="C524" s="8" t="n">
        <v>2021</v>
      </c>
      <c r="D524" s="8" t="s">
        <v>176</v>
      </c>
      <c r="E524" s="8" t="s">
        <v>9685</v>
      </c>
      <c r="F524" s="7" t="s">
        <v>11253</v>
      </c>
      <c r="G524" s="8" t="n">
        <v>7.7</v>
      </c>
      <c r="H524" s="8"/>
      <c r="I524" s="9" t="n">
        <v>68280</v>
      </c>
      <c r="J524" s="7"/>
      <c r="K524" s="7" t="s">
        <v>30</v>
      </c>
      <c r="L524" s="7" t="s">
        <v>54</v>
      </c>
      <c r="M524" s="10"/>
      <c r="N524" s="7"/>
      <c r="O524" s="8" t="n">
        <v>0</v>
      </c>
      <c r="P524" s="8" t="n">
        <v>0</v>
      </c>
      <c r="Q524" s="8" t="n">
        <v>0</v>
      </c>
      <c r="R524" s="7"/>
      <c r="S524" s="7" t="s">
        <v>11254</v>
      </c>
    </row>
    <row r="525" customFormat="false" ht="15.75" hidden="false" customHeight="true" outlineLevel="0" collapsed="false">
      <c r="A525" s="7" t="s">
        <v>11255</v>
      </c>
      <c r="B525" s="8" t="n">
        <v>2021</v>
      </c>
      <c r="C525" s="8" t="n">
        <v>2024</v>
      </c>
      <c r="D525" s="8" t="s">
        <v>378</v>
      </c>
      <c r="E525" s="8" t="s">
        <v>9685</v>
      </c>
      <c r="F525" s="7" t="s">
        <v>11256</v>
      </c>
      <c r="G525" s="8" t="n">
        <v>7.8</v>
      </c>
      <c r="H525" s="8"/>
      <c r="I525" s="9" t="n">
        <v>68257</v>
      </c>
      <c r="J525" s="7"/>
      <c r="K525" s="7" t="s">
        <v>579</v>
      </c>
      <c r="L525" s="7" t="s">
        <v>112</v>
      </c>
      <c r="M525" s="10" t="s">
        <v>177</v>
      </c>
      <c r="N525" s="7"/>
      <c r="O525" s="8" t="n">
        <v>0</v>
      </c>
      <c r="P525" s="8" t="n">
        <v>0</v>
      </c>
      <c r="Q525" s="8" t="n">
        <v>0</v>
      </c>
      <c r="R525" s="7"/>
      <c r="S525" s="7" t="s">
        <v>11257</v>
      </c>
    </row>
    <row r="526" customFormat="false" ht="15.75" hidden="false" customHeight="true" outlineLevel="0" collapsed="false">
      <c r="A526" s="7" t="s">
        <v>11258</v>
      </c>
      <c r="B526" s="8" t="n">
        <v>2021</v>
      </c>
      <c r="C526" s="8" t="n">
        <v>2021</v>
      </c>
      <c r="D526" s="8" t="s">
        <v>378</v>
      </c>
      <c r="E526" s="8" t="s">
        <v>9715</v>
      </c>
      <c r="F526" s="7" t="s">
        <v>11259</v>
      </c>
      <c r="G526" s="8" t="n">
        <v>7.2</v>
      </c>
      <c r="H526" s="8"/>
      <c r="I526" s="9" t="n">
        <v>68176</v>
      </c>
      <c r="J526" s="7"/>
      <c r="K526" s="7" t="s">
        <v>47</v>
      </c>
      <c r="L526" s="7" t="s">
        <v>54</v>
      </c>
      <c r="M526" s="10" t="s">
        <v>238</v>
      </c>
      <c r="N526" s="7"/>
      <c r="O526" s="8" t="n">
        <v>0</v>
      </c>
      <c r="P526" s="8" t="n">
        <v>0</v>
      </c>
      <c r="Q526" s="8" t="n">
        <v>0</v>
      </c>
      <c r="R526" s="7"/>
      <c r="S526" s="7" t="s">
        <v>11260</v>
      </c>
    </row>
    <row r="527" customFormat="false" ht="15.75" hidden="false" customHeight="true" outlineLevel="0" collapsed="false">
      <c r="A527" s="7" t="s">
        <v>11261</v>
      </c>
      <c r="B527" s="8" t="n">
        <v>1987</v>
      </c>
      <c r="C527" s="8" t="n">
        <v>1995</v>
      </c>
      <c r="D527" s="8" t="s">
        <v>109</v>
      </c>
      <c r="E527" s="8" t="s">
        <v>9685</v>
      </c>
      <c r="F527" s="7" t="s">
        <v>11262</v>
      </c>
      <c r="G527" s="8" t="n">
        <v>6.8</v>
      </c>
      <c r="H527" s="8"/>
      <c r="I527" s="9" t="n">
        <v>67666</v>
      </c>
      <c r="J527" s="7"/>
      <c r="K527" s="7" t="s">
        <v>30</v>
      </c>
      <c r="L527" s="7" t="s">
        <v>47</v>
      </c>
      <c r="M527" s="10"/>
      <c r="N527" s="7"/>
      <c r="O527" s="8" t="n">
        <v>0</v>
      </c>
      <c r="P527" s="8" t="n">
        <v>0</v>
      </c>
      <c r="Q527" s="8" t="n">
        <v>0</v>
      </c>
      <c r="R527" s="7"/>
      <c r="S527" s="7" t="s">
        <v>11263</v>
      </c>
    </row>
    <row r="528" customFormat="false" ht="15.75" hidden="false" customHeight="true" outlineLevel="0" collapsed="false">
      <c r="A528" s="7" t="s">
        <v>11264</v>
      </c>
      <c r="B528" s="8" t="n">
        <v>2020</v>
      </c>
      <c r="C528" s="8" t="n">
        <v>2022</v>
      </c>
      <c r="D528" s="8" t="s">
        <v>378</v>
      </c>
      <c r="E528" s="8" t="s">
        <v>9685</v>
      </c>
      <c r="F528" s="7" t="s">
        <v>11265</v>
      </c>
      <c r="G528" s="8" t="n">
        <v>7</v>
      </c>
      <c r="H528" s="8"/>
      <c r="I528" s="9" t="n">
        <v>67467</v>
      </c>
      <c r="J528" s="7"/>
      <c r="K528" s="7" t="s">
        <v>30</v>
      </c>
      <c r="L528" s="7" t="s">
        <v>125</v>
      </c>
      <c r="M528" s="10" t="s">
        <v>55</v>
      </c>
      <c r="N528" s="7"/>
      <c r="O528" s="8" t="n">
        <v>1</v>
      </c>
      <c r="P528" s="8" t="n">
        <v>0</v>
      </c>
      <c r="Q528" s="8" t="n">
        <v>23</v>
      </c>
      <c r="R528" s="7"/>
      <c r="S528" s="7" t="s">
        <v>11266</v>
      </c>
    </row>
    <row r="529" customFormat="false" ht="15.75" hidden="false" customHeight="true" outlineLevel="0" collapsed="false">
      <c r="A529" s="7" t="s">
        <v>11267</v>
      </c>
      <c r="B529" s="8" t="n">
        <v>2001</v>
      </c>
      <c r="C529" s="8" t="n">
        <v>2017</v>
      </c>
      <c r="D529" s="8" t="s">
        <v>35</v>
      </c>
      <c r="E529" s="8" t="s">
        <v>9685</v>
      </c>
      <c r="F529" s="7" t="s">
        <v>11268</v>
      </c>
      <c r="G529" s="8" t="n">
        <v>8.5</v>
      </c>
      <c r="H529" s="8"/>
      <c r="I529" s="9" t="n">
        <v>67346</v>
      </c>
      <c r="J529" s="7"/>
      <c r="K529" s="7" t="s">
        <v>579</v>
      </c>
      <c r="L529" s="7" t="s">
        <v>112</v>
      </c>
      <c r="M529" s="10" t="s">
        <v>55</v>
      </c>
      <c r="N529" s="7"/>
      <c r="O529" s="8" t="n">
        <v>4</v>
      </c>
      <c r="P529" s="8" t="n">
        <v>0</v>
      </c>
      <c r="Q529" s="8" t="n">
        <v>4</v>
      </c>
      <c r="R529" s="7"/>
      <c r="S529" s="7" t="s">
        <v>11269</v>
      </c>
    </row>
    <row r="530" customFormat="false" ht="15.75" hidden="false" customHeight="true" outlineLevel="0" collapsed="false">
      <c r="A530" s="7" t="s">
        <v>11270</v>
      </c>
      <c r="B530" s="8" t="n">
        <v>2017</v>
      </c>
      <c r="C530" s="8" t="n">
        <v>2020</v>
      </c>
      <c r="D530" s="8" t="s">
        <v>176</v>
      </c>
      <c r="E530" s="8" t="s">
        <v>9685</v>
      </c>
      <c r="F530" s="7" t="s">
        <v>11271</v>
      </c>
      <c r="G530" s="8" t="n">
        <v>8.1</v>
      </c>
      <c r="H530" s="8" t="n">
        <v>6</v>
      </c>
      <c r="I530" s="9" t="n">
        <v>67323</v>
      </c>
      <c r="J530" s="7"/>
      <c r="K530" s="7" t="s">
        <v>47</v>
      </c>
      <c r="L530" s="7" t="s">
        <v>54</v>
      </c>
      <c r="M530" s="10" t="s">
        <v>161</v>
      </c>
      <c r="N530" s="7"/>
      <c r="O530" s="8" t="n">
        <v>5</v>
      </c>
      <c r="P530" s="8" t="n">
        <v>0</v>
      </c>
      <c r="Q530" s="8" t="n">
        <v>7</v>
      </c>
      <c r="R530" s="7"/>
      <c r="S530" s="7" t="s">
        <v>11272</v>
      </c>
    </row>
    <row r="531" customFormat="false" ht="15.75" hidden="false" customHeight="true" outlineLevel="0" collapsed="false">
      <c r="A531" s="7" t="s">
        <v>11273</v>
      </c>
      <c r="B531" s="8" t="n">
        <v>2024</v>
      </c>
      <c r="C531" s="8" t="n">
        <v>2024</v>
      </c>
      <c r="D531" s="8" t="s">
        <v>378</v>
      </c>
      <c r="E531" s="8" t="s">
        <v>9715</v>
      </c>
      <c r="F531" s="7" t="s">
        <v>11274</v>
      </c>
      <c r="G531" s="8" t="n">
        <v>8</v>
      </c>
      <c r="H531" s="8"/>
      <c r="I531" s="9" t="n">
        <v>67134</v>
      </c>
      <c r="J531" s="7"/>
      <c r="K531" s="7" t="s">
        <v>29</v>
      </c>
      <c r="L531" s="7" t="s">
        <v>30</v>
      </c>
      <c r="M531" s="10" t="s">
        <v>238</v>
      </c>
      <c r="N531" s="7"/>
      <c r="O531" s="8" t="n">
        <v>0</v>
      </c>
      <c r="P531" s="8" t="n">
        <v>0</v>
      </c>
      <c r="Q531" s="8" t="n">
        <v>0</v>
      </c>
      <c r="R531" s="7"/>
      <c r="S531" s="7" t="s">
        <v>11275</v>
      </c>
    </row>
    <row r="532" customFormat="false" ht="15.75" hidden="false" customHeight="true" outlineLevel="0" collapsed="false">
      <c r="A532" s="7" t="s">
        <v>5894</v>
      </c>
      <c r="B532" s="8" t="n">
        <v>2013</v>
      </c>
      <c r="C532" s="8" t="n">
        <v>2017</v>
      </c>
      <c r="D532" s="8" t="s">
        <v>176</v>
      </c>
      <c r="E532" s="8" t="s">
        <v>9685</v>
      </c>
      <c r="F532" s="7" t="s">
        <v>11276</v>
      </c>
      <c r="G532" s="8" t="n">
        <v>7.3</v>
      </c>
      <c r="H532" s="8"/>
      <c r="I532" s="9" t="n">
        <v>67108</v>
      </c>
      <c r="J532" s="7"/>
      <c r="K532" s="7" t="s">
        <v>112</v>
      </c>
      <c r="L532" s="7" t="s">
        <v>54</v>
      </c>
      <c r="M532" s="10" t="s">
        <v>177</v>
      </c>
      <c r="N532" s="7"/>
      <c r="O532" s="8" t="n">
        <v>0</v>
      </c>
      <c r="P532" s="8" t="n">
        <v>0</v>
      </c>
      <c r="Q532" s="8" t="n">
        <v>0</v>
      </c>
      <c r="R532" s="7"/>
      <c r="S532" s="7" t="s">
        <v>11277</v>
      </c>
    </row>
    <row r="533" customFormat="false" ht="15.75" hidden="false" customHeight="true" outlineLevel="0" collapsed="false">
      <c r="A533" s="7" t="s">
        <v>11278</v>
      </c>
      <c r="B533" s="8" t="n">
        <v>2012</v>
      </c>
      <c r="C533" s="8" t="n">
        <v>2015</v>
      </c>
      <c r="D533" s="8" t="s">
        <v>176</v>
      </c>
      <c r="E533" s="8" t="s">
        <v>9685</v>
      </c>
      <c r="F533" s="7" t="s">
        <v>11279</v>
      </c>
      <c r="G533" s="8" t="n">
        <v>7.6</v>
      </c>
      <c r="H533" s="8"/>
      <c r="I533" s="9" t="n">
        <v>66961</v>
      </c>
      <c r="J533" s="7"/>
      <c r="K533" s="7" t="s">
        <v>111</v>
      </c>
      <c r="L533" s="7" t="s">
        <v>131</v>
      </c>
      <c r="M533" s="10"/>
      <c r="N533" s="7"/>
      <c r="O533" s="8" t="n">
        <v>0</v>
      </c>
      <c r="P533" s="8" t="n">
        <v>0</v>
      </c>
      <c r="Q533" s="8" t="n">
        <v>0</v>
      </c>
      <c r="R533" s="7"/>
      <c r="S533" s="7" t="s">
        <v>11280</v>
      </c>
    </row>
    <row r="534" customFormat="false" ht="15.75" hidden="false" customHeight="true" outlineLevel="0" collapsed="false">
      <c r="A534" s="7" t="s">
        <v>11281</v>
      </c>
      <c r="B534" s="8" t="n">
        <v>2019</v>
      </c>
      <c r="C534" s="8" t="n">
        <v>2025</v>
      </c>
      <c r="D534" s="8" t="s">
        <v>176</v>
      </c>
      <c r="E534" s="8" t="s">
        <v>9685</v>
      </c>
      <c r="F534" s="7" t="s">
        <v>11191</v>
      </c>
      <c r="G534" s="8" t="n">
        <v>8.1</v>
      </c>
      <c r="H534" s="8"/>
      <c r="I534" s="9" t="n">
        <v>66803</v>
      </c>
      <c r="J534" s="7"/>
      <c r="K534" s="7" t="s">
        <v>30</v>
      </c>
      <c r="L534" s="7" t="s">
        <v>47</v>
      </c>
      <c r="M534" s="10" t="s">
        <v>55</v>
      </c>
      <c r="N534" s="7"/>
      <c r="O534" s="8" t="n">
        <v>0</v>
      </c>
      <c r="P534" s="8" t="n">
        <v>0</v>
      </c>
      <c r="Q534" s="8" t="n">
        <v>0</v>
      </c>
      <c r="R534" s="7"/>
      <c r="S534" s="7" t="s">
        <v>11282</v>
      </c>
    </row>
    <row r="535" customFormat="false" ht="15.75" hidden="false" customHeight="true" outlineLevel="0" collapsed="false">
      <c r="A535" s="7" t="s">
        <v>11283</v>
      </c>
      <c r="B535" s="8" t="n">
        <v>2014</v>
      </c>
      <c r="C535" s="8" t="n">
        <v>2015</v>
      </c>
      <c r="D535" s="8" t="s">
        <v>176</v>
      </c>
      <c r="E535" s="8" t="s">
        <v>9685</v>
      </c>
      <c r="F535" s="7" t="s">
        <v>11284</v>
      </c>
      <c r="G535" s="8" t="n">
        <v>8.2</v>
      </c>
      <c r="H535" s="8"/>
      <c r="I535" s="9" t="n">
        <v>66691</v>
      </c>
      <c r="J535" s="7"/>
      <c r="K535" s="7" t="s">
        <v>38</v>
      </c>
      <c r="L535" s="7" t="s">
        <v>54</v>
      </c>
      <c r="M535" s="10"/>
      <c r="N535" s="7"/>
      <c r="O535" s="8" t="n">
        <v>0</v>
      </c>
      <c r="P535" s="8" t="n">
        <v>0</v>
      </c>
      <c r="Q535" s="8" t="n">
        <v>0</v>
      </c>
      <c r="R535" s="7"/>
      <c r="S535" s="7" t="s">
        <v>11285</v>
      </c>
    </row>
    <row r="536" customFormat="false" ht="15.75" hidden="false" customHeight="true" outlineLevel="0" collapsed="false">
      <c r="A536" s="7" t="s">
        <v>11286</v>
      </c>
      <c r="B536" s="8" t="n">
        <v>1997</v>
      </c>
      <c r="C536" s="8"/>
      <c r="D536" s="8" t="s">
        <v>26</v>
      </c>
      <c r="E536" s="8" t="s">
        <v>9685</v>
      </c>
      <c r="F536" s="7" t="s">
        <v>11287</v>
      </c>
      <c r="G536" s="8" t="n">
        <v>7.6</v>
      </c>
      <c r="H536" s="8"/>
      <c r="I536" s="9" t="n">
        <v>66614</v>
      </c>
      <c r="J536" s="7"/>
      <c r="K536" s="7" t="s">
        <v>579</v>
      </c>
      <c r="L536" s="7" t="s">
        <v>30</v>
      </c>
      <c r="M536" s="10" t="s">
        <v>177</v>
      </c>
      <c r="N536" s="7"/>
      <c r="O536" s="8" t="n">
        <v>0</v>
      </c>
      <c r="P536" s="8" t="n">
        <v>0</v>
      </c>
      <c r="Q536" s="8" t="n">
        <v>21</v>
      </c>
      <c r="R536" s="7"/>
      <c r="S536" s="7" t="s">
        <v>11288</v>
      </c>
    </row>
    <row r="537" customFormat="false" ht="15.75" hidden="false" customHeight="true" outlineLevel="0" collapsed="false">
      <c r="A537" s="7" t="s">
        <v>11289</v>
      </c>
      <c r="B537" s="8" t="n">
        <v>1981</v>
      </c>
      <c r="C537" s="8" t="n">
        <v>2003</v>
      </c>
      <c r="D537" s="8" t="s">
        <v>109</v>
      </c>
      <c r="E537" s="8" t="s">
        <v>9685</v>
      </c>
      <c r="F537" s="7" t="s">
        <v>11290</v>
      </c>
      <c r="G537" s="8" t="n">
        <v>9</v>
      </c>
      <c r="H537" s="8"/>
      <c r="I537" s="9" t="n">
        <v>66563</v>
      </c>
      <c r="J537" s="7"/>
      <c r="K537" s="7" t="s">
        <v>30</v>
      </c>
      <c r="L537" s="7"/>
      <c r="M537" s="10"/>
      <c r="N537" s="7"/>
      <c r="O537" s="8" t="n">
        <v>0</v>
      </c>
      <c r="P537" s="8" t="n">
        <v>0</v>
      </c>
      <c r="Q537" s="8" t="n">
        <v>0</v>
      </c>
      <c r="R537" s="7"/>
      <c r="S537" s="7" t="s">
        <v>11291</v>
      </c>
    </row>
    <row r="538" customFormat="false" ht="15.75" hidden="false" customHeight="true" outlineLevel="0" collapsed="false">
      <c r="A538" s="7" t="s">
        <v>11292</v>
      </c>
      <c r="B538" s="8" t="n">
        <v>2016</v>
      </c>
      <c r="C538" s="8" t="n">
        <v>2017</v>
      </c>
      <c r="D538" s="8" t="s">
        <v>176</v>
      </c>
      <c r="E538" s="8" t="s">
        <v>9685</v>
      </c>
      <c r="F538" s="7" t="s">
        <v>11293</v>
      </c>
      <c r="G538" s="8" t="n">
        <v>7.1</v>
      </c>
      <c r="H538" s="8"/>
      <c r="I538" s="9" t="n">
        <v>66454</v>
      </c>
      <c r="J538" s="7"/>
      <c r="K538" s="7" t="s">
        <v>38</v>
      </c>
      <c r="L538" s="7" t="s">
        <v>39</v>
      </c>
      <c r="M538" s="10" t="s">
        <v>2236</v>
      </c>
      <c r="N538" s="7"/>
      <c r="O538" s="8" t="n">
        <v>0</v>
      </c>
      <c r="P538" s="8" t="n">
        <v>0</v>
      </c>
      <c r="Q538" s="8" t="n">
        <v>0</v>
      </c>
      <c r="R538" s="7"/>
      <c r="S538" s="7" t="s">
        <v>11294</v>
      </c>
    </row>
    <row r="539" customFormat="false" ht="15.75" hidden="false" customHeight="true" outlineLevel="0" collapsed="false">
      <c r="A539" s="7" t="s">
        <v>11295</v>
      </c>
      <c r="B539" s="8" t="n">
        <v>2015</v>
      </c>
      <c r="C539" s="8" t="n">
        <v>2018</v>
      </c>
      <c r="D539" s="8" t="s">
        <v>176</v>
      </c>
      <c r="E539" s="8" t="s">
        <v>9685</v>
      </c>
      <c r="F539" s="7" t="s">
        <v>11296</v>
      </c>
      <c r="G539" s="8" t="n">
        <v>6.7</v>
      </c>
      <c r="H539" s="8"/>
      <c r="I539" s="9" t="n">
        <v>66155</v>
      </c>
      <c r="J539" s="7"/>
      <c r="K539" s="7" t="s">
        <v>47</v>
      </c>
      <c r="L539" s="7" t="s">
        <v>54</v>
      </c>
      <c r="M539" s="10" t="s">
        <v>177</v>
      </c>
      <c r="N539" s="7"/>
      <c r="O539" s="8" t="n">
        <v>0</v>
      </c>
      <c r="P539" s="8" t="n">
        <v>0</v>
      </c>
      <c r="Q539" s="8" t="n">
        <v>0</v>
      </c>
      <c r="R539" s="7"/>
      <c r="S539" s="7" t="s">
        <v>11297</v>
      </c>
    </row>
    <row r="540" customFormat="false" ht="15.75" hidden="false" customHeight="true" outlineLevel="0" collapsed="false">
      <c r="A540" s="7" t="s">
        <v>11298</v>
      </c>
      <c r="B540" s="8" t="n">
        <v>2020</v>
      </c>
      <c r="C540" s="8" t="n">
        <v>2023</v>
      </c>
      <c r="D540" s="8" t="s">
        <v>378</v>
      </c>
      <c r="E540" s="8" t="s">
        <v>9685</v>
      </c>
      <c r="F540" s="7" t="s">
        <v>11299</v>
      </c>
      <c r="G540" s="8" t="n">
        <v>8.1</v>
      </c>
      <c r="H540" s="8"/>
      <c r="I540" s="9" t="n">
        <v>65954</v>
      </c>
      <c r="J540" s="7"/>
      <c r="K540" s="7" t="s">
        <v>30</v>
      </c>
      <c r="L540" s="7" t="s">
        <v>48</v>
      </c>
      <c r="M540" s="10" t="s">
        <v>238</v>
      </c>
      <c r="N540" s="7"/>
      <c r="O540" s="8" t="n">
        <v>0</v>
      </c>
      <c r="P540" s="8" t="n">
        <v>0</v>
      </c>
      <c r="Q540" s="8" t="n">
        <v>2</v>
      </c>
      <c r="R540" s="7"/>
      <c r="S540" s="7" t="s">
        <v>11300</v>
      </c>
    </row>
    <row r="541" customFormat="false" ht="15.75" hidden="false" customHeight="true" outlineLevel="0" collapsed="false">
      <c r="A541" s="7" t="s">
        <v>11301</v>
      </c>
      <c r="B541" s="8" t="n">
        <v>2021</v>
      </c>
      <c r="C541" s="8"/>
      <c r="D541" s="8" t="s">
        <v>378</v>
      </c>
      <c r="E541" s="8" t="s">
        <v>9685</v>
      </c>
      <c r="F541" s="7" t="s">
        <v>11302</v>
      </c>
      <c r="G541" s="8" t="n">
        <v>4.8</v>
      </c>
      <c r="H541" s="8"/>
      <c r="I541" s="9" t="n">
        <v>65714</v>
      </c>
      <c r="J541" s="7"/>
      <c r="K541" s="7" t="s">
        <v>131</v>
      </c>
      <c r="L541" s="7" t="s">
        <v>47</v>
      </c>
      <c r="M541" s="10" t="s">
        <v>113</v>
      </c>
      <c r="N541" s="7"/>
      <c r="O541" s="8" t="n">
        <v>0</v>
      </c>
      <c r="P541" s="8" t="n">
        <v>0</v>
      </c>
      <c r="Q541" s="8" t="n">
        <v>0</v>
      </c>
      <c r="R541" s="7"/>
      <c r="S541" s="7" t="s">
        <v>11303</v>
      </c>
    </row>
    <row r="542" customFormat="false" ht="15.75" hidden="false" customHeight="true" outlineLevel="0" collapsed="false">
      <c r="A542" s="7" t="s">
        <v>11304</v>
      </c>
      <c r="B542" s="8" t="n">
        <v>2008</v>
      </c>
      <c r="C542" s="8" t="n">
        <v>2009</v>
      </c>
      <c r="D542" s="8" t="s">
        <v>35</v>
      </c>
      <c r="E542" s="8" t="s">
        <v>9685</v>
      </c>
      <c r="F542" s="7" t="s">
        <v>11305</v>
      </c>
      <c r="G542" s="8" t="n">
        <v>7.6</v>
      </c>
      <c r="H542" s="8"/>
      <c r="I542" s="9" t="n">
        <v>65683</v>
      </c>
      <c r="J542" s="7"/>
      <c r="K542" s="7" t="s">
        <v>38</v>
      </c>
      <c r="L542" s="7" t="s">
        <v>112</v>
      </c>
      <c r="M542" s="10"/>
      <c r="N542" s="7"/>
      <c r="O542" s="8" t="n">
        <v>0</v>
      </c>
      <c r="P542" s="8" t="n">
        <v>0</v>
      </c>
      <c r="Q542" s="8" t="n">
        <v>19</v>
      </c>
      <c r="R542" s="7"/>
      <c r="S542" s="7" t="s">
        <v>11306</v>
      </c>
    </row>
    <row r="543" customFormat="false" ht="15.75" hidden="false" customHeight="true" outlineLevel="0" collapsed="false">
      <c r="A543" s="7" t="s">
        <v>11307</v>
      </c>
      <c r="B543" s="8" t="n">
        <v>2025</v>
      </c>
      <c r="C543" s="8" t="n">
        <v>2025</v>
      </c>
      <c r="D543" s="8" t="s">
        <v>378</v>
      </c>
      <c r="E543" s="8" t="s">
        <v>9715</v>
      </c>
      <c r="F543" s="7" t="s">
        <v>11308</v>
      </c>
      <c r="G543" s="8" t="n">
        <v>7</v>
      </c>
      <c r="H543" s="8"/>
      <c r="I543" s="9" t="n">
        <v>65573</v>
      </c>
      <c r="J543" s="7"/>
      <c r="K543" s="7" t="s">
        <v>131</v>
      </c>
      <c r="L543" s="7" t="s">
        <v>47</v>
      </c>
      <c r="M543" s="10" t="s">
        <v>238</v>
      </c>
      <c r="N543" s="7"/>
      <c r="O543" s="8" t="n">
        <v>0</v>
      </c>
      <c r="P543" s="8" t="n">
        <v>0</v>
      </c>
      <c r="Q543" s="8" t="n">
        <v>0</v>
      </c>
      <c r="R543" s="7"/>
      <c r="S543" s="7" t="s">
        <v>11309</v>
      </c>
    </row>
    <row r="544" customFormat="false" ht="15.75" hidden="false" customHeight="true" outlineLevel="0" collapsed="false">
      <c r="A544" s="7" t="s">
        <v>11310</v>
      </c>
      <c r="B544" s="8" t="n">
        <v>1989</v>
      </c>
      <c r="C544" s="8" t="n">
        <v>1989</v>
      </c>
      <c r="D544" s="8" t="s">
        <v>109</v>
      </c>
      <c r="E544" s="8" t="s">
        <v>9685</v>
      </c>
      <c r="F544" s="7" t="s">
        <v>11311</v>
      </c>
      <c r="G544" s="8" t="n">
        <v>8.8</v>
      </c>
      <c r="H544" s="8"/>
      <c r="I544" s="9" t="n">
        <v>65528</v>
      </c>
      <c r="J544" s="7"/>
      <c r="K544" s="7" t="s">
        <v>154</v>
      </c>
      <c r="L544" s="7" t="s">
        <v>30</v>
      </c>
      <c r="M544" s="10"/>
      <c r="N544" s="7"/>
      <c r="O544" s="8" t="n">
        <v>0</v>
      </c>
      <c r="P544" s="8" t="n">
        <v>0</v>
      </c>
      <c r="Q544" s="8" t="n">
        <v>0</v>
      </c>
      <c r="R544" s="7"/>
      <c r="S544" s="7" t="s">
        <v>11312</v>
      </c>
    </row>
    <row r="545" customFormat="false" ht="15.75" hidden="false" customHeight="true" outlineLevel="0" collapsed="false">
      <c r="A545" s="7" t="s">
        <v>11313</v>
      </c>
      <c r="B545" s="8" t="n">
        <v>2015</v>
      </c>
      <c r="C545" s="8" t="n">
        <v>2016</v>
      </c>
      <c r="D545" s="8" t="s">
        <v>176</v>
      </c>
      <c r="E545" s="8" t="s">
        <v>9685</v>
      </c>
      <c r="F545" s="7" t="s">
        <v>11314</v>
      </c>
      <c r="G545" s="8" t="n">
        <v>7.3</v>
      </c>
      <c r="H545" s="8"/>
      <c r="I545" s="9" t="n">
        <v>65500</v>
      </c>
      <c r="J545" s="7"/>
      <c r="K545" s="7" t="s">
        <v>147</v>
      </c>
      <c r="L545" s="7" t="s">
        <v>125</v>
      </c>
      <c r="M545" s="10"/>
      <c r="N545" s="7"/>
      <c r="O545" s="8" t="n">
        <v>0</v>
      </c>
      <c r="P545" s="8" t="n">
        <v>0</v>
      </c>
      <c r="Q545" s="8" t="n">
        <v>0</v>
      </c>
      <c r="R545" s="7"/>
      <c r="S545" s="7" t="s">
        <v>11315</v>
      </c>
    </row>
    <row r="546" customFormat="false" ht="15.75" hidden="false" customHeight="true" outlineLevel="0" collapsed="false">
      <c r="A546" s="7" t="s">
        <v>11316</v>
      </c>
      <c r="B546" s="8" t="n">
        <v>2022</v>
      </c>
      <c r="C546" s="8" t="n">
        <v>2022</v>
      </c>
      <c r="D546" s="8" t="s">
        <v>378</v>
      </c>
      <c r="E546" s="8" t="s">
        <v>9685</v>
      </c>
      <c r="F546" s="7" t="s">
        <v>11317</v>
      </c>
      <c r="G546" s="8" t="n">
        <v>7</v>
      </c>
      <c r="H546" s="8"/>
      <c r="I546" s="9" t="n">
        <v>65441</v>
      </c>
      <c r="J546" s="7"/>
      <c r="K546" s="7" t="s">
        <v>147</v>
      </c>
      <c r="L546" s="7" t="s">
        <v>125</v>
      </c>
      <c r="M546" s="10" t="s">
        <v>238</v>
      </c>
      <c r="N546" s="7"/>
      <c r="O546" s="8" t="n">
        <v>0</v>
      </c>
      <c r="P546" s="8" t="n">
        <v>0</v>
      </c>
      <c r="Q546" s="8" t="n">
        <v>0</v>
      </c>
      <c r="R546" s="7"/>
      <c r="S546" s="7" t="s">
        <v>11318</v>
      </c>
    </row>
    <row r="547" customFormat="false" ht="15.75" hidden="false" customHeight="true" outlineLevel="0" collapsed="false">
      <c r="A547" s="7" t="s">
        <v>11319</v>
      </c>
      <c r="B547" s="8" t="n">
        <v>2008</v>
      </c>
      <c r="C547" s="8" t="n">
        <v>2008</v>
      </c>
      <c r="D547" s="8" t="s">
        <v>35</v>
      </c>
      <c r="E547" s="8" t="s">
        <v>9715</v>
      </c>
      <c r="F547" s="7" t="s">
        <v>11320</v>
      </c>
      <c r="G547" s="8" t="n">
        <v>8.4</v>
      </c>
      <c r="H547" s="8"/>
      <c r="I547" s="9" t="n">
        <v>65329</v>
      </c>
      <c r="J547" s="7"/>
      <c r="K547" s="7" t="s">
        <v>154</v>
      </c>
      <c r="L547" s="7" t="s">
        <v>47</v>
      </c>
      <c r="M547" s="10" t="s">
        <v>55</v>
      </c>
      <c r="N547" s="7"/>
      <c r="O547" s="8" t="n">
        <v>24</v>
      </c>
      <c r="P547" s="8" t="n">
        <v>0</v>
      </c>
      <c r="Q547" s="8" t="n">
        <v>39</v>
      </c>
      <c r="R547" s="7"/>
      <c r="S547" s="7" t="s">
        <v>11321</v>
      </c>
    </row>
    <row r="548" customFormat="false" ht="15.75" hidden="false" customHeight="true" outlineLevel="0" collapsed="false">
      <c r="A548" s="7" t="s">
        <v>11322</v>
      </c>
      <c r="B548" s="8" t="n">
        <v>2026</v>
      </c>
      <c r="C548" s="8"/>
      <c r="D548" s="8" t="s">
        <v>378</v>
      </c>
      <c r="E548" s="8" t="s">
        <v>9685</v>
      </c>
      <c r="F548" s="7" t="s">
        <v>11323</v>
      </c>
      <c r="G548" s="8" t="n">
        <v>8.1</v>
      </c>
      <c r="H548" s="8"/>
      <c r="I548" s="9" t="n">
        <v>65302</v>
      </c>
      <c r="J548" s="7"/>
      <c r="K548" s="7" t="s">
        <v>147</v>
      </c>
      <c r="L548" s="7" t="s">
        <v>30</v>
      </c>
      <c r="M548" s="10" t="s">
        <v>1293</v>
      </c>
      <c r="N548" s="7"/>
      <c r="O548" s="8" t="n">
        <v>0</v>
      </c>
      <c r="P548" s="8" t="n">
        <v>0</v>
      </c>
      <c r="Q548" s="8" t="n">
        <v>0</v>
      </c>
      <c r="R548" s="7"/>
      <c r="S548" s="7" t="s">
        <v>11324</v>
      </c>
    </row>
    <row r="549" customFormat="false" ht="15.75" hidden="false" customHeight="true" outlineLevel="0" collapsed="false">
      <c r="A549" s="7" t="s">
        <v>11325</v>
      </c>
      <c r="B549" s="8" t="n">
        <v>2025</v>
      </c>
      <c r="C549" s="8"/>
      <c r="D549" s="8" t="s">
        <v>378</v>
      </c>
      <c r="E549" s="8" t="s">
        <v>9685</v>
      </c>
      <c r="F549" s="7" t="s">
        <v>11326</v>
      </c>
      <c r="G549" s="8" t="n">
        <v>7.6</v>
      </c>
      <c r="H549" s="8"/>
      <c r="I549" s="9" t="n">
        <v>65223</v>
      </c>
      <c r="J549" s="7"/>
      <c r="K549" s="7" t="s">
        <v>47</v>
      </c>
      <c r="L549" s="7" t="s">
        <v>54</v>
      </c>
      <c r="M549" s="10" t="s">
        <v>1293</v>
      </c>
      <c r="N549" s="7"/>
      <c r="O549" s="8" t="n">
        <v>0</v>
      </c>
      <c r="P549" s="8" t="n">
        <v>0</v>
      </c>
      <c r="Q549" s="8" t="n">
        <v>0</v>
      </c>
      <c r="R549" s="7"/>
      <c r="S549" s="7" t="s">
        <v>11327</v>
      </c>
    </row>
    <row r="550" customFormat="false" ht="15.75" hidden="false" customHeight="true" outlineLevel="0" collapsed="false">
      <c r="A550" s="7" t="s">
        <v>11328</v>
      </c>
      <c r="B550" s="8" t="n">
        <v>2021</v>
      </c>
      <c r="C550" s="8" t="n">
        <v>2022</v>
      </c>
      <c r="D550" s="8" t="s">
        <v>378</v>
      </c>
      <c r="E550" s="8" t="s">
        <v>9685</v>
      </c>
      <c r="F550" s="7" t="s">
        <v>11329</v>
      </c>
      <c r="G550" s="8" t="n">
        <v>6.8</v>
      </c>
      <c r="H550" s="8"/>
      <c r="I550" s="9" t="n">
        <v>65166</v>
      </c>
      <c r="J550" s="7"/>
      <c r="K550" s="7" t="s">
        <v>112</v>
      </c>
      <c r="L550" s="7" t="s">
        <v>39</v>
      </c>
      <c r="M550" s="10" t="s">
        <v>238</v>
      </c>
      <c r="N550" s="7"/>
      <c r="O550" s="8" t="n">
        <v>0</v>
      </c>
      <c r="P550" s="8" t="n">
        <v>0</v>
      </c>
      <c r="Q550" s="8" t="n">
        <v>0</v>
      </c>
      <c r="R550" s="7"/>
      <c r="S550" s="7" t="s">
        <v>11330</v>
      </c>
    </row>
    <row r="551" customFormat="false" ht="15.75" hidden="false" customHeight="true" outlineLevel="0" collapsed="false">
      <c r="A551" s="7" t="s">
        <v>11331</v>
      </c>
      <c r="B551" s="8" t="n">
        <v>2022</v>
      </c>
      <c r="C551" s="8" t="n">
        <v>2025</v>
      </c>
      <c r="D551" s="8" t="s">
        <v>378</v>
      </c>
      <c r="E551" s="8" t="s">
        <v>9685</v>
      </c>
      <c r="F551" s="7" t="s">
        <v>11332</v>
      </c>
      <c r="G551" s="8" t="n">
        <v>7.4</v>
      </c>
      <c r="H551" s="8"/>
      <c r="I551" s="9" t="n">
        <v>65000</v>
      </c>
      <c r="J551" s="7"/>
      <c r="K551" s="7" t="s">
        <v>112</v>
      </c>
      <c r="L551" s="7" t="s">
        <v>54</v>
      </c>
      <c r="M551" s="10" t="s">
        <v>238</v>
      </c>
      <c r="N551" s="7"/>
      <c r="O551" s="8" t="n">
        <v>0</v>
      </c>
      <c r="P551" s="8" t="n">
        <v>0</v>
      </c>
      <c r="Q551" s="8" t="n">
        <v>0</v>
      </c>
      <c r="R551" s="7"/>
      <c r="S551" s="7" t="s">
        <v>11333</v>
      </c>
    </row>
    <row r="552" customFormat="false" ht="15.75" hidden="false" customHeight="true" outlineLevel="0" collapsed="false">
      <c r="A552" s="7" t="s">
        <v>11334</v>
      </c>
      <c r="B552" s="8" t="n">
        <v>2018</v>
      </c>
      <c r="C552" s="8" t="n">
        <v>2020</v>
      </c>
      <c r="D552" s="8" t="s">
        <v>176</v>
      </c>
      <c r="E552" s="8" t="s">
        <v>9685</v>
      </c>
      <c r="F552" s="7" t="s">
        <v>11335</v>
      </c>
      <c r="G552" s="8" t="n">
        <v>7.7</v>
      </c>
      <c r="H552" s="8"/>
      <c r="I552" s="9" t="n">
        <v>64999</v>
      </c>
      <c r="J552" s="7"/>
      <c r="K552" s="7" t="s">
        <v>47</v>
      </c>
      <c r="L552" s="7" t="s">
        <v>54</v>
      </c>
      <c r="M552" s="10" t="s">
        <v>192</v>
      </c>
      <c r="N552" s="7"/>
      <c r="O552" s="8" t="n">
        <v>9</v>
      </c>
      <c r="P552" s="8" t="n">
        <v>0</v>
      </c>
      <c r="Q552" s="8" t="n">
        <v>33</v>
      </c>
      <c r="R552" s="7"/>
      <c r="S552" s="7" t="s">
        <v>11336</v>
      </c>
    </row>
    <row r="553" customFormat="false" ht="15.75" hidden="false" customHeight="true" outlineLevel="0" collapsed="false">
      <c r="A553" s="7" t="s">
        <v>11337</v>
      </c>
      <c r="B553" s="8" t="n">
        <v>2014</v>
      </c>
      <c r="C553" s="8" t="n">
        <v>2019</v>
      </c>
      <c r="D553" s="8" t="s">
        <v>176</v>
      </c>
      <c r="E553" s="8" t="s">
        <v>9685</v>
      </c>
      <c r="F553" s="7" t="s">
        <v>11338</v>
      </c>
      <c r="G553" s="8" t="n">
        <v>7.8</v>
      </c>
      <c r="H553" s="8"/>
      <c r="I553" s="9" t="n">
        <v>64889</v>
      </c>
      <c r="J553" s="7"/>
      <c r="K553" s="7" t="s">
        <v>30</v>
      </c>
      <c r="L553" s="7" t="s">
        <v>47</v>
      </c>
      <c r="M553" s="10"/>
      <c r="N553" s="7"/>
      <c r="O553" s="8" t="n">
        <v>0</v>
      </c>
      <c r="P553" s="8" t="n">
        <v>0</v>
      </c>
      <c r="Q553" s="8" t="n">
        <v>2</v>
      </c>
      <c r="R553" s="7"/>
      <c r="S553" s="7" t="s">
        <v>11339</v>
      </c>
    </row>
    <row r="554" customFormat="false" ht="15.75" hidden="false" customHeight="true" outlineLevel="0" collapsed="false">
      <c r="A554" s="7" t="s">
        <v>11340</v>
      </c>
      <c r="B554" s="8" t="n">
        <v>2025</v>
      </c>
      <c r="C554" s="8" t="n">
        <v>2025</v>
      </c>
      <c r="D554" s="8" t="s">
        <v>378</v>
      </c>
      <c r="E554" s="8" t="s">
        <v>9715</v>
      </c>
      <c r="F554" s="7" t="s">
        <v>11341</v>
      </c>
      <c r="G554" s="8" t="n">
        <v>7.7</v>
      </c>
      <c r="H554" s="8"/>
      <c r="I554" s="9" t="n">
        <v>64861</v>
      </c>
      <c r="J554" s="7"/>
      <c r="K554" s="7" t="s">
        <v>30</v>
      </c>
      <c r="L554" s="7" t="s">
        <v>54</v>
      </c>
      <c r="M554" s="10" t="s">
        <v>238</v>
      </c>
      <c r="N554" s="7"/>
      <c r="O554" s="8" t="n">
        <v>0</v>
      </c>
      <c r="P554" s="8" t="n">
        <v>0</v>
      </c>
      <c r="Q554" s="8" t="n">
        <v>0</v>
      </c>
      <c r="R554" s="7"/>
      <c r="S554" s="7" t="s">
        <v>11342</v>
      </c>
    </row>
    <row r="555" customFormat="false" ht="15.75" hidden="false" customHeight="true" outlineLevel="0" collapsed="false">
      <c r="A555" s="7" t="s">
        <v>11343</v>
      </c>
      <c r="B555" s="8" t="n">
        <v>2001</v>
      </c>
      <c r="C555" s="8" t="n">
        <v>2005</v>
      </c>
      <c r="D555" s="8" t="s">
        <v>35</v>
      </c>
      <c r="E555" s="8" t="s">
        <v>9685</v>
      </c>
      <c r="F555" s="7" t="s">
        <v>11344</v>
      </c>
      <c r="G555" s="8" t="n">
        <v>7.6</v>
      </c>
      <c r="H555" s="8"/>
      <c r="I555" s="9" t="n">
        <v>64836</v>
      </c>
      <c r="J555" s="7"/>
      <c r="K555" s="7" t="s">
        <v>112</v>
      </c>
      <c r="L555" s="7" t="s">
        <v>39</v>
      </c>
      <c r="M555" s="10" t="s">
        <v>192</v>
      </c>
      <c r="N555" s="7"/>
      <c r="O555" s="8" t="n">
        <v>0</v>
      </c>
      <c r="P555" s="8" t="n">
        <v>0</v>
      </c>
      <c r="Q555" s="8" t="n">
        <v>0</v>
      </c>
      <c r="R555" s="7"/>
      <c r="S555" s="7" t="s">
        <v>11345</v>
      </c>
    </row>
    <row r="556" customFormat="false" ht="15.75" hidden="false" customHeight="true" outlineLevel="0" collapsed="false">
      <c r="A556" s="7" t="s">
        <v>11346</v>
      </c>
      <c r="B556" s="8" t="n">
        <v>2002</v>
      </c>
      <c r="C556" s="8" t="n">
        <v>2012</v>
      </c>
      <c r="D556" s="8" t="s">
        <v>35</v>
      </c>
      <c r="E556" s="8" t="s">
        <v>9685</v>
      </c>
      <c r="F556" s="7" t="s">
        <v>11347</v>
      </c>
      <c r="G556" s="8" t="n">
        <v>6.5</v>
      </c>
      <c r="H556" s="8"/>
      <c r="I556" s="9" t="n">
        <v>64826</v>
      </c>
      <c r="J556" s="7"/>
      <c r="K556" s="7" t="s">
        <v>112</v>
      </c>
      <c r="L556" s="7" t="s">
        <v>54</v>
      </c>
      <c r="M556" s="10" t="s">
        <v>220</v>
      </c>
      <c r="N556" s="7"/>
      <c r="O556" s="8" t="n">
        <v>1</v>
      </c>
      <c r="P556" s="8" t="n">
        <v>0</v>
      </c>
      <c r="Q556" s="8" t="n">
        <v>15</v>
      </c>
      <c r="R556" s="7"/>
      <c r="S556" s="7" t="s">
        <v>11348</v>
      </c>
    </row>
    <row r="557" customFormat="false" ht="15.75" hidden="false" customHeight="true" outlineLevel="0" collapsed="false">
      <c r="A557" s="7" t="s">
        <v>11349</v>
      </c>
      <c r="B557" s="8" t="n">
        <v>2018</v>
      </c>
      <c r="C557" s="8"/>
      <c r="D557" s="8" t="s">
        <v>176</v>
      </c>
      <c r="E557" s="8" t="s">
        <v>9685</v>
      </c>
      <c r="F557" s="7" t="s">
        <v>11350</v>
      </c>
      <c r="G557" s="8" t="n">
        <v>7.9</v>
      </c>
      <c r="H557" s="8"/>
      <c r="I557" s="9" t="n">
        <v>64777</v>
      </c>
      <c r="J557" s="7"/>
      <c r="K557" s="7" t="s">
        <v>131</v>
      </c>
      <c r="L557" s="7" t="s">
        <v>112</v>
      </c>
      <c r="M557" s="10" t="s">
        <v>552</v>
      </c>
      <c r="N557" s="7"/>
      <c r="O557" s="8" t="n">
        <v>0</v>
      </c>
      <c r="P557" s="8" t="n">
        <v>0</v>
      </c>
      <c r="Q557" s="8" t="n">
        <v>0</v>
      </c>
      <c r="R557" s="7"/>
      <c r="S557" s="7" t="s">
        <v>11351</v>
      </c>
    </row>
    <row r="558" customFormat="false" ht="15.75" hidden="false" customHeight="true" outlineLevel="0" collapsed="false">
      <c r="A558" s="7" t="s">
        <v>11352</v>
      </c>
      <c r="B558" s="8" t="n">
        <v>2026</v>
      </c>
      <c r="C558" s="8"/>
      <c r="D558" s="8" t="s">
        <v>378</v>
      </c>
      <c r="E558" s="8" t="s">
        <v>9685</v>
      </c>
      <c r="F558" s="7" t="s">
        <v>11353</v>
      </c>
      <c r="G558" s="8" t="n">
        <v>7.7</v>
      </c>
      <c r="H558" s="8"/>
      <c r="I558" s="9" t="n">
        <v>64735</v>
      </c>
      <c r="J558" s="7"/>
      <c r="K558" s="7" t="s">
        <v>112</v>
      </c>
      <c r="L558" s="7" t="s">
        <v>54</v>
      </c>
      <c r="M558" s="10" t="s">
        <v>113</v>
      </c>
      <c r="N558" s="7"/>
      <c r="O558" s="8" t="n">
        <v>0</v>
      </c>
      <c r="P558" s="8" t="n">
        <v>0</v>
      </c>
      <c r="Q558" s="8" t="n">
        <v>0</v>
      </c>
      <c r="R558" s="7"/>
      <c r="S558" s="7" t="s">
        <v>11354</v>
      </c>
    </row>
    <row r="559" customFormat="false" ht="15.75" hidden="false" customHeight="true" outlineLevel="0" collapsed="false">
      <c r="A559" s="7" t="s">
        <v>11355</v>
      </c>
      <c r="B559" s="8" t="n">
        <v>2019</v>
      </c>
      <c r="C559" s="8" t="n">
        <v>2020</v>
      </c>
      <c r="D559" s="8" t="s">
        <v>176</v>
      </c>
      <c r="E559" s="8" t="s">
        <v>9685</v>
      </c>
      <c r="F559" s="7" t="s">
        <v>11356</v>
      </c>
      <c r="G559" s="8" t="n">
        <v>8.3</v>
      </c>
      <c r="H559" s="8" t="n">
        <v>7</v>
      </c>
      <c r="I559" s="9" t="n">
        <v>64685</v>
      </c>
      <c r="J559" s="7"/>
      <c r="K559" s="7" t="s">
        <v>147</v>
      </c>
      <c r="L559" s="7" t="s">
        <v>112</v>
      </c>
      <c r="M559" s="10" t="s">
        <v>238</v>
      </c>
      <c r="N559" s="7"/>
      <c r="O559" s="8" t="n">
        <v>0</v>
      </c>
      <c r="P559" s="8" t="n">
        <v>0</v>
      </c>
      <c r="Q559" s="8" t="n">
        <v>0</v>
      </c>
      <c r="R559" s="7"/>
      <c r="S559" s="7" t="s">
        <v>11357</v>
      </c>
    </row>
    <row r="560" customFormat="false" ht="15.75" hidden="false" customHeight="true" outlineLevel="0" collapsed="false">
      <c r="A560" s="7" t="s">
        <v>11358</v>
      </c>
      <c r="B560" s="8" t="n">
        <v>2000</v>
      </c>
      <c r="C560" s="8" t="n">
        <v>2004</v>
      </c>
      <c r="D560" s="8" t="s">
        <v>35</v>
      </c>
      <c r="E560" s="8" t="s">
        <v>9685</v>
      </c>
      <c r="F560" s="7" t="s">
        <v>11359</v>
      </c>
      <c r="G560" s="8" t="n">
        <v>8.4</v>
      </c>
      <c r="H560" s="8"/>
      <c r="I560" s="9" t="n">
        <v>64670</v>
      </c>
      <c r="J560" s="7"/>
      <c r="K560" s="7" t="s">
        <v>30</v>
      </c>
      <c r="L560" s="7"/>
      <c r="M560" s="10"/>
      <c r="N560" s="7"/>
      <c r="O560" s="8" t="n">
        <v>0</v>
      </c>
      <c r="P560" s="8" t="n">
        <v>0</v>
      </c>
      <c r="Q560" s="8" t="n">
        <v>0</v>
      </c>
      <c r="R560" s="7"/>
      <c r="S560" s="7" t="s">
        <v>11360</v>
      </c>
    </row>
    <row r="561" customFormat="false" ht="15.75" hidden="false" customHeight="true" outlineLevel="0" collapsed="false">
      <c r="A561" s="7" t="s">
        <v>11361</v>
      </c>
      <c r="B561" s="8" t="n">
        <v>1998</v>
      </c>
      <c r="C561" s="8" t="n">
        <v>2020</v>
      </c>
      <c r="D561" s="8" t="s">
        <v>26</v>
      </c>
      <c r="E561" s="8" t="s">
        <v>9685</v>
      </c>
      <c r="F561" s="7" t="s">
        <v>11362</v>
      </c>
      <c r="G561" s="8" t="n">
        <v>7.4</v>
      </c>
      <c r="H561" s="8"/>
      <c r="I561" s="9" t="n">
        <v>64572</v>
      </c>
      <c r="J561" s="7"/>
      <c r="K561" s="7" t="s">
        <v>29</v>
      </c>
      <c r="L561" s="7" t="s">
        <v>30</v>
      </c>
      <c r="M561" s="10" t="s">
        <v>113</v>
      </c>
      <c r="N561" s="7"/>
      <c r="O561" s="8" t="n">
        <v>7</v>
      </c>
      <c r="P561" s="8" t="n">
        <v>0</v>
      </c>
      <c r="Q561" s="8" t="n">
        <v>48</v>
      </c>
      <c r="R561" s="7"/>
      <c r="S561" s="7" t="s">
        <v>11363</v>
      </c>
    </row>
    <row r="562" customFormat="false" ht="15.75" hidden="false" customHeight="true" outlineLevel="0" collapsed="false">
      <c r="A562" s="7" t="s">
        <v>11364</v>
      </c>
      <c r="B562" s="8" t="n">
        <v>2004</v>
      </c>
      <c r="C562" s="8" t="n">
        <v>2005</v>
      </c>
      <c r="D562" s="8" t="s">
        <v>35</v>
      </c>
      <c r="E562" s="8" t="s">
        <v>9685</v>
      </c>
      <c r="F562" s="7" t="s">
        <v>11365</v>
      </c>
      <c r="G562" s="8" t="n">
        <v>8.5</v>
      </c>
      <c r="H562" s="8"/>
      <c r="I562" s="9" t="n">
        <v>64565</v>
      </c>
      <c r="J562" s="7"/>
      <c r="K562" s="7" t="s">
        <v>579</v>
      </c>
      <c r="L562" s="7" t="s">
        <v>112</v>
      </c>
      <c r="M562" s="10" t="s">
        <v>11366</v>
      </c>
      <c r="N562" s="7"/>
      <c r="O562" s="8" t="n">
        <v>0</v>
      </c>
      <c r="P562" s="8" t="n">
        <v>0</v>
      </c>
      <c r="Q562" s="8" t="n">
        <v>0</v>
      </c>
      <c r="R562" s="7"/>
      <c r="S562" s="7" t="s">
        <v>11367</v>
      </c>
    </row>
    <row r="563" customFormat="false" ht="15.75" hidden="false" customHeight="true" outlineLevel="0" collapsed="false">
      <c r="A563" s="7" t="s">
        <v>11368</v>
      </c>
      <c r="B563" s="8" t="n">
        <v>2014</v>
      </c>
      <c r="C563" s="8" t="n">
        <v>2015</v>
      </c>
      <c r="D563" s="8" t="s">
        <v>176</v>
      </c>
      <c r="E563" s="8" t="s">
        <v>9685</v>
      </c>
      <c r="F563" s="7" t="s">
        <v>11369</v>
      </c>
      <c r="G563" s="8" t="n">
        <v>8.2</v>
      </c>
      <c r="H563" s="8"/>
      <c r="I563" s="9" t="n">
        <v>64505</v>
      </c>
      <c r="J563" s="7"/>
      <c r="K563" s="7" t="s">
        <v>579</v>
      </c>
      <c r="L563" s="7" t="s">
        <v>112</v>
      </c>
      <c r="M563" s="10" t="s">
        <v>238</v>
      </c>
      <c r="N563" s="7"/>
      <c r="O563" s="8" t="n">
        <v>0</v>
      </c>
      <c r="P563" s="8" t="n">
        <v>0</v>
      </c>
      <c r="Q563" s="8" t="n">
        <v>0</v>
      </c>
      <c r="R563" s="7"/>
      <c r="S563" s="7" t="s">
        <v>11370</v>
      </c>
    </row>
    <row r="564" customFormat="false" ht="15.75" hidden="false" customHeight="true" outlineLevel="0" collapsed="false">
      <c r="A564" s="7" t="s">
        <v>11371</v>
      </c>
      <c r="B564" s="8" t="n">
        <v>2010</v>
      </c>
      <c r="C564" s="8" t="n">
        <v>2011</v>
      </c>
      <c r="D564" s="8" t="s">
        <v>176</v>
      </c>
      <c r="E564" s="8" t="s">
        <v>9685</v>
      </c>
      <c r="F564" s="7" t="s">
        <v>11372</v>
      </c>
      <c r="G564" s="8" t="n">
        <v>8.3</v>
      </c>
      <c r="H564" s="8"/>
      <c r="I564" s="9" t="n">
        <v>64494</v>
      </c>
      <c r="J564" s="7"/>
      <c r="K564" s="7" t="s">
        <v>30</v>
      </c>
      <c r="L564" s="7" t="s">
        <v>75</v>
      </c>
      <c r="M564" s="10" t="s">
        <v>4251</v>
      </c>
      <c r="N564" s="7"/>
      <c r="O564" s="8" t="n">
        <v>0</v>
      </c>
      <c r="P564" s="8" t="n">
        <v>0</v>
      </c>
      <c r="Q564" s="8" t="n">
        <v>0</v>
      </c>
      <c r="R564" s="7"/>
      <c r="S564" s="7" t="s">
        <v>11373</v>
      </c>
    </row>
    <row r="565" customFormat="false" ht="15.75" hidden="false" customHeight="true" outlineLevel="0" collapsed="false">
      <c r="A565" s="7" t="s">
        <v>11374</v>
      </c>
      <c r="B565" s="8" t="n">
        <v>2022</v>
      </c>
      <c r="C565" s="8"/>
      <c r="D565" s="8" t="s">
        <v>378</v>
      </c>
      <c r="E565" s="8" t="s">
        <v>9685</v>
      </c>
      <c r="F565" s="7" t="s">
        <v>11375</v>
      </c>
      <c r="G565" s="8" t="n">
        <v>8.2</v>
      </c>
      <c r="H565" s="8"/>
      <c r="I565" s="9" t="n">
        <v>64385</v>
      </c>
      <c r="J565" s="7"/>
      <c r="K565" s="7" t="s">
        <v>579</v>
      </c>
      <c r="L565" s="7" t="s">
        <v>112</v>
      </c>
      <c r="M565" s="10" t="s">
        <v>3522</v>
      </c>
      <c r="N565" s="7"/>
      <c r="O565" s="8" t="n">
        <v>0</v>
      </c>
      <c r="P565" s="8" t="n">
        <v>0</v>
      </c>
      <c r="Q565" s="8" t="n">
        <v>0</v>
      </c>
      <c r="R565" s="7"/>
      <c r="S565" s="7" t="s">
        <v>11376</v>
      </c>
    </row>
    <row r="566" customFormat="false" ht="15.75" hidden="false" customHeight="true" outlineLevel="0" collapsed="false">
      <c r="A566" s="7" t="s">
        <v>11377</v>
      </c>
      <c r="B566" s="8" t="n">
        <v>2016</v>
      </c>
      <c r="C566" s="8" t="n">
        <v>2021</v>
      </c>
      <c r="D566" s="8" t="s">
        <v>176</v>
      </c>
      <c r="E566" s="8" t="s">
        <v>9685</v>
      </c>
      <c r="F566" s="7" t="s">
        <v>11378</v>
      </c>
      <c r="G566" s="8" t="n">
        <v>8.1</v>
      </c>
      <c r="H566" s="8"/>
      <c r="I566" s="9" t="n">
        <v>64337</v>
      </c>
      <c r="J566" s="7"/>
      <c r="K566" s="7" t="s">
        <v>47</v>
      </c>
      <c r="L566" s="7"/>
      <c r="M566" s="10" t="s">
        <v>113</v>
      </c>
      <c r="N566" s="7"/>
      <c r="O566" s="8" t="n">
        <v>0</v>
      </c>
      <c r="P566" s="8" t="n">
        <v>0</v>
      </c>
      <c r="Q566" s="8" t="n">
        <v>0</v>
      </c>
      <c r="R566" s="7"/>
      <c r="S566" s="7" t="s">
        <v>11379</v>
      </c>
    </row>
    <row r="567" customFormat="false" ht="15.75" hidden="false" customHeight="true" outlineLevel="0" collapsed="false">
      <c r="A567" s="7" t="s">
        <v>11380</v>
      </c>
      <c r="B567" s="8" t="n">
        <v>2014</v>
      </c>
      <c r="C567" s="8" t="n">
        <v>2018</v>
      </c>
      <c r="D567" s="8" t="s">
        <v>176</v>
      </c>
      <c r="E567" s="8" t="s">
        <v>9685</v>
      </c>
      <c r="F567" s="7" t="s">
        <v>9974</v>
      </c>
      <c r="G567" s="8" t="n">
        <v>7.1</v>
      </c>
      <c r="H567" s="8"/>
      <c r="I567" s="9" t="n">
        <v>64287</v>
      </c>
      <c r="J567" s="7"/>
      <c r="K567" s="7" t="s">
        <v>112</v>
      </c>
      <c r="L567" s="7" t="s">
        <v>54</v>
      </c>
      <c r="M567" s="10" t="s">
        <v>220</v>
      </c>
      <c r="N567" s="7"/>
      <c r="O567" s="8" t="n">
        <v>0</v>
      </c>
      <c r="P567" s="8" t="n">
        <v>0</v>
      </c>
      <c r="Q567" s="8" t="n">
        <v>0</v>
      </c>
      <c r="R567" s="7"/>
      <c r="S567" s="7" t="s">
        <v>11381</v>
      </c>
    </row>
    <row r="568" customFormat="false" ht="15.75" hidden="false" customHeight="true" outlineLevel="0" collapsed="false">
      <c r="A568" s="7" t="s">
        <v>11382</v>
      </c>
      <c r="B568" s="8" t="n">
        <v>2012</v>
      </c>
      <c r="C568" s="8" t="n">
        <v>2020</v>
      </c>
      <c r="D568" s="8" t="s">
        <v>176</v>
      </c>
      <c r="E568" s="8" t="s">
        <v>9685</v>
      </c>
      <c r="F568" s="7" t="s">
        <v>11383</v>
      </c>
      <c r="G568" s="8" t="n">
        <v>7.5</v>
      </c>
      <c r="H568" s="8"/>
      <c r="I568" s="9" t="n">
        <v>64182</v>
      </c>
      <c r="J568" s="7"/>
      <c r="K568" s="7" t="s">
        <v>579</v>
      </c>
      <c r="L568" s="7" t="s">
        <v>112</v>
      </c>
      <c r="M568" s="10" t="s">
        <v>11384</v>
      </c>
      <c r="N568" s="7"/>
      <c r="O568" s="8" t="n">
        <v>0</v>
      </c>
      <c r="P568" s="8" t="n">
        <v>0</v>
      </c>
      <c r="Q568" s="8" t="n">
        <v>0</v>
      </c>
      <c r="R568" s="7"/>
      <c r="S568" s="7" t="s">
        <v>11385</v>
      </c>
    </row>
    <row r="569" customFormat="false" ht="15.75" hidden="false" customHeight="true" outlineLevel="0" collapsed="false">
      <c r="A569" s="7" t="s">
        <v>11386</v>
      </c>
      <c r="B569" s="8" t="n">
        <v>2015</v>
      </c>
      <c r="C569" s="8" t="n">
        <v>2017</v>
      </c>
      <c r="D569" s="8" t="s">
        <v>176</v>
      </c>
      <c r="E569" s="8" t="s">
        <v>9685</v>
      </c>
      <c r="F569" s="7" t="s">
        <v>11387</v>
      </c>
      <c r="G569" s="8" t="n">
        <v>7.8</v>
      </c>
      <c r="H569" s="8"/>
      <c r="I569" s="9" t="n">
        <v>63952</v>
      </c>
      <c r="J569" s="7"/>
      <c r="K569" s="7" t="s">
        <v>131</v>
      </c>
      <c r="L569" s="7" t="s">
        <v>125</v>
      </c>
      <c r="M569" s="10" t="s">
        <v>238</v>
      </c>
      <c r="N569" s="7"/>
      <c r="O569" s="8" t="n">
        <v>1</v>
      </c>
      <c r="P569" s="8" t="n">
        <v>0</v>
      </c>
      <c r="Q569" s="8" t="n">
        <v>5</v>
      </c>
      <c r="R569" s="7"/>
      <c r="S569" s="7" t="s">
        <v>11388</v>
      </c>
    </row>
    <row r="570" customFormat="false" ht="15.75" hidden="false" customHeight="true" outlineLevel="0" collapsed="false">
      <c r="A570" s="7" t="s">
        <v>11389</v>
      </c>
      <c r="B570" s="8" t="n">
        <v>2019</v>
      </c>
      <c r="C570" s="8" t="n">
        <v>2023</v>
      </c>
      <c r="D570" s="8" t="s">
        <v>176</v>
      </c>
      <c r="E570" s="8" t="s">
        <v>9685</v>
      </c>
      <c r="F570" s="7" t="s">
        <v>11390</v>
      </c>
      <c r="G570" s="8" t="n">
        <v>7.7</v>
      </c>
      <c r="H570" s="8"/>
      <c r="I570" s="9" t="n">
        <v>63919</v>
      </c>
      <c r="J570" s="7"/>
      <c r="K570" s="7" t="s">
        <v>112</v>
      </c>
      <c r="L570" s="7" t="s">
        <v>39</v>
      </c>
      <c r="M570" s="10"/>
      <c r="N570" s="7"/>
      <c r="O570" s="8" t="n">
        <v>0</v>
      </c>
      <c r="P570" s="8" t="n">
        <v>0</v>
      </c>
      <c r="Q570" s="8" t="n">
        <v>1</v>
      </c>
      <c r="R570" s="7"/>
      <c r="S570" s="7" t="s">
        <v>11391</v>
      </c>
    </row>
    <row r="571" customFormat="false" ht="15.75" hidden="false" customHeight="true" outlineLevel="0" collapsed="false">
      <c r="A571" s="7" t="s">
        <v>11392</v>
      </c>
      <c r="B571" s="8" t="n">
        <v>2005</v>
      </c>
      <c r="C571" s="8" t="n">
        <v>2007</v>
      </c>
      <c r="D571" s="8" t="s">
        <v>35</v>
      </c>
      <c r="E571" s="8" t="s">
        <v>9685</v>
      </c>
      <c r="F571" s="7" t="s">
        <v>10491</v>
      </c>
      <c r="G571" s="8" t="n">
        <v>8.3</v>
      </c>
      <c r="H571" s="8"/>
      <c r="I571" s="9" t="n">
        <v>63841</v>
      </c>
      <c r="J571" s="7"/>
      <c r="K571" s="7" t="s">
        <v>30</v>
      </c>
      <c r="L571" s="7" t="s">
        <v>47</v>
      </c>
      <c r="M571" s="10"/>
      <c r="N571" s="7"/>
      <c r="O571" s="8" t="n">
        <v>1</v>
      </c>
      <c r="P571" s="8" t="n">
        <v>0</v>
      </c>
      <c r="Q571" s="8" t="n">
        <v>11</v>
      </c>
      <c r="R571" s="7"/>
      <c r="S571" s="7" t="s">
        <v>11393</v>
      </c>
    </row>
    <row r="572" customFormat="false" ht="15.75" hidden="false" customHeight="true" outlineLevel="0" collapsed="false">
      <c r="A572" s="7" t="s">
        <v>11394</v>
      </c>
      <c r="B572" s="8" t="n">
        <v>2019</v>
      </c>
      <c r="C572" s="8" t="n">
        <v>2023</v>
      </c>
      <c r="D572" s="8" t="s">
        <v>176</v>
      </c>
      <c r="E572" s="8" t="s">
        <v>9685</v>
      </c>
      <c r="F572" s="7" t="s">
        <v>11395</v>
      </c>
      <c r="G572" s="8" t="n">
        <v>9.2</v>
      </c>
      <c r="H572" s="8"/>
      <c r="I572" s="9" t="n">
        <v>63519</v>
      </c>
      <c r="J572" s="7"/>
      <c r="K572" s="7" t="s">
        <v>2730</v>
      </c>
      <c r="L572" s="7" t="s">
        <v>259</v>
      </c>
      <c r="M572" s="10" t="s">
        <v>238</v>
      </c>
      <c r="N572" s="7"/>
      <c r="O572" s="8" t="n">
        <v>4</v>
      </c>
      <c r="P572" s="8" t="n">
        <v>0</v>
      </c>
      <c r="Q572" s="8" t="n">
        <v>19</v>
      </c>
      <c r="R572" s="7"/>
      <c r="S572" s="7" t="s">
        <v>11396</v>
      </c>
    </row>
    <row r="573" customFormat="false" ht="15.75" hidden="false" customHeight="true" outlineLevel="0" collapsed="false">
      <c r="A573" s="7" t="s">
        <v>11397</v>
      </c>
      <c r="B573" s="8" t="n">
        <v>2009</v>
      </c>
      <c r="C573" s="8" t="n">
        <v>2010</v>
      </c>
      <c r="D573" s="8" t="s">
        <v>35</v>
      </c>
      <c r="E573" s="8" t="s">
        <v>9685</v>
      </c>
      <c r="F573" s="7" t="s">
        <v>11398</v>
      </c>
      <c r="G573" s="8" t="n">
        <v>7.6</v>
      </c>
      <c r="H573" s="8"/>
      <c r="I573" s="9" t="n">
        <v>63510</v>
      </c>
      <c r="J573" s="7"/>
      <c r="K573" s="7" t="s">
        <v>111</v>
      </c>
      <c r="L573" s="7" t="s">
        <v>125</v>
      </c>
      <c r="M573" s="10"/>
      <c r="N573" s="7"/>
      <c r="O573" s="8" t="n">
        <v>1</v>
      </c>
      <c r="P573" s="8" t="n">
        <v>0</v>
      </c>
      <c r="Q573" s="8" t="n">
        <v>3</v>
      </c>
      <c r="R573" s="7"/>
      <c r="S573" s="7" t="s">
        <v>11399</v>
      </c>
    </row>
    <row r="574" customFormat="false" ht="15.75" hidden="false" customHeight="true" outlineLevel="0" collapsed="false">
      <c r="A574" s="7" t="s">
        <v>11400</v>
      </c>
      <c r="B574" s="8" t="n">
        <v>2022</v>
      </c>
      <c r="C574" s="8" t="n">
        <v>2024</v>
      </c>
      <c r="D574" s="8" t="s">
        <v>378</v>
      </c>
      <c r="E574" s="8" t="s">
        <v>9685</v>
      </c>
      <c r="F574" s="7" t="s">
        <v>11401</v>
      </c>
      <c r="G574" s="8" t="n">
        <v>7.5</v>
      </c>
      <c r="H574" s="8"/>
      <c r="I574" s="9" t="n">
        <v>63475</v>
      </c>
      <c r="J574" s="7"/>
      <c r="K574" s="7" t="s">
        <v>131</v>
      </c>
      <c r="L574" s="7" t="s">
        <v>112</v>
      </c>
      <c r="M574" s="10" t="s">
        <v>177</v>
      </c>
      <c r="N574" s="7"/>
      <c r="O574" s="8" t="n">
        <v>0</v>
      </c>
      <c r="P574" s="8" t="n">
        <v>0</v>
      </c>
      <c r="Q574" s="8" t="n">
        <v>0</v>
      </c>
      <c r="R574" s="7"/>
      <c r="S574" s="7" t="s">
        <v>11402</v>
      </c>
    </row>
    <row r="575" customFormat="false" ht="15.75" hidden="false" customHeight="true" outlineLevel="0" collapsed="false">
      <c r="A575" s="7" t="s">
        <v>11403</v>
      </c>
      <c r="B575" s="8" t="n">
        <v>2016</v>
      </c>
      <c r="C575" s="8" t="n">
        <v>2017</v>
      </c>
      <c r="D575" s="8" t="s">
        <v>176</v>
      </c>
      <c r="E575" s="8" t="s">
        <v>9685</v>
      </c>
      <c r="F575" s="7" t="s">
        <v>11404</v>
      </c>
      <c r="G575" s="8" t="n">
        <v>8.1</v>
      </c>
      <c r="H575" s="8"/>
      <c r="I575" s="9" t="n">
        <v>63234</v>
      </c>
      <c r="J575" s="7"/>
      <c r="K575" s="7" t="s">
        <v>112</v>
      </c>
      <c r="L575" s="7" t="s">
        <v>39</v>
      </c>
      <c r="M575" s="10" t="s">
        <v>238</v>
      </c>
      <c r="N575" s="7"/>
      <c r="O575" s="8" t="n">
        <v>0</v>
      </c>
      <c r="P575" s="8" t="n">
        <v>0</v>
      </c>
      <c r="Q575" s="8" t="n">
        <v>0</v>
      </c>
      <c r="R575" s="7"/>
      <c r="S575" s="7" t="s">
        <v>11405</v>
      </c>
    </row>
    <row r="576" customFormat="false" ht="15.75" hidden="false" customHeight="true" outlineLevel="0" collapsed="false">
      <c r="A576" s="7" t="s">
        <v>11406</v>
      </c>
      <c r="B576" s="8" t="n">
        <v>2018</v>
      </c>
      <c r="C576" s="8" t="n">
        <v>2026</v>
      </c>
      <c r="D576" s="8" t="s">
        <v>176</v>
      </c>
      <c r="E576" s="8" t="s">
        <v>9685</v>
      </c>
      <c r="F576" s="7" t="s">
        <v>11407</v>
      </c>
      <c r="G576" s="8" t="n">
        <v>7.8</v>
      </c>
      <c r="H576" s="8"/>
      <c r="I576" s="9" t="n">
        <v>63218</v>
      </c>
      <c r="J576" s="7"/>
      <c r="K576" s="7" t="s">
        <v>147</v>
      </c>
      <c r="L576" s="7" t="s">
        <v>39</v>
      </c>
      <c r="M576" s="10" t="s">
        <v>11408</v>
      </c>
      <c r="N576" s="7"/>
      <c r="O576" s="8" t="n">
        <v>0</v>
      </c>
      <c r="P576" s="8" t="n">
        <v>0</v>
      </c>
      <c r="Q576" s="8" t="n">
        <v>0</v>
      </c>
      <c r="R576" s="7"/>
      <c r="S576" s="7" t="s">
        <v>11409</v>
      </c>
    </row>
    <row r="577" customFormat="false" ht="15.75" hidden="false" customHeight="true" outlineLevel="0" collapsed="false">
      <c r="A577" s="7" t="s">
        <v>11410</v>
      </c>
      <c r="B577" s="8" t="n">
        <v>2023</v>
      </c>
      <c r="C577" s="8"/>
      <c r="D577" s="8" t="s">
        <v>378</v>
      </c>
      <c r="E577" s="8" t="s">
        <v>9685</v>
      </c>
      <c r="F577" s="7" t="s">
        <v>11411</v>
      </c>
      <c r="G577" s="8" t="n">
        <v>7</v>
      </c>
      <c r="H577" s="8"/>
      <c r="I577" s="9" t="n">
        <v>63041</v>
      </c>
      <c r="J577" s="7"/>
      <c r="K577" s="7" t="s">
        <v>111</v>
      </c>
      <c r="L577" s="7" t="s">
        <v>112</v>
      </c>
      <c r="M577" s="10" t="s">
        <v>1293</v>
      </c>
      <c r="N577" s="7"/>
      <c r="O577" s="8" t="n">
        <v>0</v>
      </c>
      <c r="P577" s="8" t="n">
        <v>0</v>
      </c>
      <c r="Q577" s="8" t="n">
        <v>0</v>
      </c>
      <c r="R577" s="7"/>
      <c r="S577" s="7" t="s">
        <v>11412</v>
      </c>
    </row>
    <row r="578" customFormat="false" ht="15.75" hidden="false" customHeight="true" outlineLevel="0" collapsed="false">
      <c r="A578" s="7" t="s">
        <v>11413</v>
      </c>
      <c r="B578" s="8" t="n">
        <v>2018</v>
      </c>
      <c r="C578" s="8" t="n">
        <v>2018</v>
      </c>
      <c r="D578" s="8" t="s">
        <v>176</v>
      </c>
      <c r="E578" s="8" t="s">
        <v>9715</v>
      </c>
      <c r="F578" s="7" t="s">
        <v>11414</v>
      </c>
      <c r="G578" s="8" t="n">
        <v>7.2</v>
      </c>
      <c r="H578" s="8"/>
      <c r="I578" s="9" t="n">
        <v>62917</v>
      </c>
      <c r="J578" s="7"/>
      <c r="K578" s="7" t="s">
        <v>47</v>
      </c>
      <c r="L578" s="7" t="s">
        <v>54</v>
      </c>
      <c r="M578" s="10" t="s">
        <v>238</v>
      </c>
      <c r="N578" s="7"/>
      <c r="O578" s="8" t="n">
        <v>0</v>
      </c>
      <c r="P578" s="8" t="n">
        <v>0</v>
      </c>
      <c r="Q578" s="8" t="n">
        <v>0</v>
      </c>
      <c r="R578" s="7"/>
      <c r="S578" s="7" t="s">
        <v>11415</v>
      </c>
    </row>
    <row r="579" customFormat="false" ht="15.75" hidden="false" customHeight="true" outlineLevel="0" collapsed="false">
      <c r="A579" s="7" t="s">
        <v>11416</v>
      </c>
      <c r="B579" s="8" t="n">
        <v>2009</v>
      </c>
      <c r="C579" s="8" t="n">
        <v>2018</v>
      </c>
      <c r="D579" s="8" t="s">
        <v>35</v>
      </c>
      <c r="E579" s="8" t="s">
        <v>9685</v>
      </c>
      <c r="F579" s="7" t="s">
        <v>11417</v>
      </c>
      <c r="G579" s="8" t="n">
        <v>7.7</v>
      </c>
      <c r="H579" s="8"/>
      <c r="I579" s="9" t="n">
        <v>62581</v>
      </c>
      <c r="J579" s="7"/>
      <c r="K579" s="7" t="s">
        <v>30</v>
      </c>
      <c r="L579" s="7" t="s">
        <v>259</v>
      </c>
      <c r="M579" s="10" t="s">
        <v>238</v>
      </c>
      <c r="N579" s="7"/>
      <c r="O579" s="8" t="n">
        <v>0</v>
      </c>
      <c r="P579" s="8" t="n">
        <v>0</v>
      </c>
      <c r="Q579" s="8" t="n">
        <v>6</v>
      </c>
      <c r="R579" s="7"/>
      <c r="S579" s="7" t="s">
        <v>11418</v>
      </c>
    </row>
    <row r="580" customFormat="false" ht="15.75" hidden="false" customHeight="true" outlineLevel="0" collapsed="false">
      <c r="A580" s="7" t="s">
        <v>11419</v>
      </c>
      <c r="B580" s="8" t="n">
        <v>2007</v>
      </c>
      <c r="C580" s="8"/>
      <c r="D580" s="8" t="s">
        <v>35</v>
      </c>
      <c r="E580" s="8" t="s">
        <v>9685</v>
      </c>
      <c r="F580" s="7" t="s">
        <v>11420</v>
      </c>
      <c r="G580" s="8" t="n">
        <v>8.4</v>
      </c>
      <c r="H580" s="8"/>
      <c r="I580" s="9" t="n">
        <v>62479</v>
      </c>
      <c r="J580" s="7"/>
      <c r="K580" s="7" t="s">
        <v>38</v>
      </c>
      <c r="L580" s="7" t="s">
        <v>30</v>
      </c>
      <c r="M580" s="10"/>
      <c r="N580" s="7"/>
      <c r="O580" s="8" t="n">
        <v>12</v>
      </c>
      <c r="P580" s="8" t="n">
        <v>0</v>
      </c>
      <c r="Q580" s="8" t="n">
        <v>31</v>
      </c>
      <c r="R580" s="7"/>
      <c r="S580" s="7" t="s">
        <v>11421</v>
      </c>
    </row>
    <row r="581" customFormat="false" ht="15.75" hidden="false" customHeight="true" outlineLevel="0" collapsed="false">
      <c r="A581" s="7" t="s">
        <v>11422</v>
      </c>
      <c r="B581" s="8" t="n">
        <v>2015</v>
      </c>
      <c r="C581" s="8" t="n">
        <v>2022</v>
      </c>
      <c r="D581" s="8" t="s">
        <v>176</v>
      </c>
      <c r="E581" s="8" t="s">
        <v>9685</v>
      </c>
      <c r="F581" s="7" t="s">
        <v>11423</v>
      </c>
      <c r="G581" s="8" t="n">
        <v>8.2</v>
      </c>
      <c r="H581" s="8"/>
      <c r="I581" s="9" t="n">
        <v>62355</v>
      </c>
      <c r="J581" s="7"/>
      <c r="K581" s="7" t="s">
        <v>30</v>
      </c>
      <c r="L581" s="7" t="s">
        <v>47</v>
      </c>
      <c r="M581" s="10" t="s">
        <v>238</v>
      </c>
      <c r="N581" s="7"/>
      <c r="O581" s="8" t="n">
        <v>0</v>
      </c>
      <c r="P581" s="8" t="n">
        <v>0</v>
      </c>
      <c r="Q581" s="8" t="n">
        <v>29</v>
      </c>
      <c r="R581" s="7"/>
      <c r="S581" s="7" t="s">
        <v>11424</v>
      </c>
    </row>
    <row r="582" customFormat="false" ht="15.75" hidden="false" customHeight="true" outlineLevel="0" collapsed="false">
      <c r="A582" s="7" t="s">
        <v>11425</v>
      </c>
      <c r="B582" s="8" t="n">
        <v>2020</v>
      </c>
      <c r="C582" s="8" t="n">
        <v>2020</v>
      </c>
      <c r="D582" s="8" t="s">
        <v>378</v>
      </c>
      <c r="E582" s="8" t="s">
        <v>9715</v>
      </c>
      <c r="F582" s="7" t="s">
        <v>11426</v>
      </c>
      <c r="G582" s="8" t="n">
        <v>7.6</v>
      </c>
      <c r="H582" s="8"/>
      <c r="I582" s="9" t="n">
        <v>62198</v>
      </c>
      <c r="J582" s="7"/>
      <c r="K582" s="7" t="s">
        <v>131</v>
      </c>
      <c r="L582" s="7" t="s">
        <v>125</v>
      </c>
      <c r="M582" s="10" t="s">
        <v>177</v>
      </c>
      <c r="N582" s="7"/>
      <c r="O582" s="8" t="n">
        <v>0</v>
      </c>
      <c r="P582" s="8" t="n">
        <v>0</v>
      </c>
      <c r="Q582" s="8" t="n">
        <v>20</v>
      </c>
      <c r="R582" s="7"/>
      <c r="S582" s="7" t="s">
        <v>11427</v>
      </c>
    </row>
    <row r="583" customFormat="false" ht="15.75" hidden="false" customHeight="true" outlineLevel="0" collapsed="false">
      <c r="A583" s="7" t="s">
        <v>11428</v>
      </c>
      <c r="B583" s="8" t="n">
        <v>2003</v>
      </c>
      <c r="C583" s="8" t="n">
        <v>2010</v>
      </c>
      <c r="D583" s="8" t="s">
        <v>35</v>
      </c>
      <c r="E583" s="8" t="s">
        <v>9685</v>
      </c>
      <c r="F583" s="7" t="s">
        <v>11429</v>
      </c>
      <c r="G583" s="8" t="n">
        <v>7.7</v>
      </c>
      <c r="H583" s="8"/>
      <c r="I583" s="9" t="n">
        <v>62156</v>
      </c>
      <c r="J583" s="7"/>
      <c r="K583" s="7" t="s">
        <v>47</v>
      </c>
      <c r="L583" s="7"/>
      <c r="M583" s="10"/>
      <c r="N583" s="7"/>
      <c r="O583" s="8" t="n">
        <v>0</v>
      </c>
      <c r="P583" s="8" t="n">
        <v>0</v>
      </c>
      <c r="Q583" s="8" t="n">
        <v>21</v>
      </c>
      <c r="R583" s="7"/>
      <c r="S583" s="7" t="s">
        <v>11430</v>
      </c>
    </row>
    <row r="584" customFormat="false" ht="15.75" hidden="false" customHeight="true" outlineLevel="0" collapsed="false">
      <c r="A584" s="7" t="s">
        <v>11431</v>
      </c>
      <c r="B584" s="8" t="n">
        <v>2006</v>
      </c>
      <c r="C584" s="8" t="n">
        <v>2012</v>
      </c>
      <c r="D584" s="8" t="s">
        <v>35</v>
      </c>
      <c r="E584" s="8" t="s">
        <v>9685</v>
      </c>
      <c r="F584" s="7" t="s">
        <v>11432</v>
      </c>
      <c r="G584" s="8" t="n">
        <v>7.9</v>
      </c>
      <c r="H584" s="8"/>
      <c r="I584" s="9" t="n">
        <v>62102</v>
      </c>
      <c r="J584" s="7"/>
      <c r="K584" s="7" t="s">
        <v>39</v>
      </c>
      <c r="L584" s="7" t="s">
        <v>30</v>
      </c>
      <c r="M584" s="10"/>
      <c r="N584" s="7"/>
      <c r="O584" s="8" t="n">
        <v>0</v>
      </c>
      <c r="P584" s="8" t="n">
        <v>0</v>
      </c>
      <c r="Q584" s="8" t="n">
        <v>9</v>
      </c>
      <c r="R584" s="7"/>
      <c r="S584" s="7" t="s">
        <v>11433</v>
      </c>
    </row>
    <row r="585" customFormat="false" ht="15.75" hidden="false" customHeight="true" outlineLevel="0" collapsed="false">
      <c r="A585" s="7" t="s">
        <v>11434</v>
      </c>
      <c r="B585" s="8" t="n">
        <v>2009</v>
      </c>
      <c r="C585" s="8" t="n">
        <v>2014</v>
      </c>
      <c r="D585" s="8" t="s">
        <v>35</v>
      </c>
      <c r="E585" s="8" t="s">
        <v>9685</v>
      </c>
      <c r="F585" s="7" t="s">
        <v>11435</v>
      </c>
      <c r="G585" s="8" t="n">
        <v>7.6</v>
      </c>
      <c r="H585" s="8"/>
      <c r="I585" s="9" t="n">
        <v>61547</v>
      </c>
      <c r="J585" s="7"/>
      <c r="K585" s="7" t="s">
        <v>39</v>
      </c>
      <c r="L585" s="7" t="s">
        <v>125</v>
      </c>
      <c r="M585" s="10" t="s">
        <v>2666</v>
      </c>
      <c r="N585" s="7"/>
      <c r="O585" s="8" t="n">
        <v>0</v>
      </c>
      <c r="P585" s="8" t="n">
        <v>0</v>
      </c>
      <c r="Q585" s="8" t="n">
        <v>1</v>
      </c>
      <c r="R585" s="7"/>
      <c r="S585" s="7" t="s">
        <v>11436</v>
      </c>
    </row>
    <row r="586" customFormat="false" ht="15.75" hidden="false" customHeight="true" outlineLevel="0" collapsed="false">
      <c r="A586" s="7" t="s">
        <v>11437</v>
      </c>
      <c r="B586" s="8" t="n">
        <v>2006</v>
      </c>
      <c r="C586" s="8" t="n">
        <v>2008</v>
      </c>
      <c r="D586" s="8" t="s">
        <v>35</v>
      </c>
      <c r="E586" s="8" t="s">
        <v>9685</v>
      </c>
      <c r="F586" s="7" t="s">
        <v>11438</v>
      </c>
      <c r="G586" s="8" t="n">
        <v>7.9</v>
      </c>
      <c r="H586" s="8"/>
      <c r="I586" s="9" t="n">
        <v>61372</v>
      </c>
      <c r="J586" s="7"/>
      <c r="K586" s="7" t="s">
        <v>112</v>
      </c>
      <c r="L586" s="7" t="s">
        <v>125</v>
      </c>
      <c r="M586" s="10"/>
      <c r="N586" s="7"/>
      <c r="O586" s="8" t="n">
        <v>0</v>
      </c>
      <c r="P586" s="8" t="n">
        <v>0</v>
      </c>
      <c r="Q586" s="8" t="n">
        <v>8</v>
      </c>
      <c r="R586" s="7"/>
      <c r="S586" s="7" t="s">
        <v>11439</v>
      </c>
    </row>
    <row r="587" customFormat="false" ht="15.75" hidden="false" customHeight="true" outlineLevel="0" collapsed="false">
      <c r="A587" s="7" t="s">
        <v>11440</v>
      </c>
      <c r="B587" s="8" t="n">
        <v>2009</v>
      </c>
      <c r="C587" s="8" t="n">
        <v>2011</v>
      </c>
      <c r="D587" s="8" t="s">
        <v>35</v>
      </c>
      <c r="E587" s="8" t="s">
        <v>9685</v>
      </c>
      <c r="F587" s="7" t="s">
        <v>11441</v>
      </c>
      <c r="G587" s="8" t="n">
        <v>6.8</v>
      </c>
      <c r="H587" s="8"/>
      <c r="I587" s="9" t="n">
        <v>61346</v>
      </c>
      <c r="J587" s="7"/>
      <c r="K587" s="7" t="s">
        <v>111</v>
      </c>
      <c r="L587" s="7" t="s">
        <v>131</v>
      </c>
      <c r="M587" s="10"/>
      <c r="N587" s="7"/>
      <c r="O587" s="8" t="n">
        <v>0</v>
      </c>
      <c r="P587" s="8" t="n">
        <v>0</v>
      </c>
      <c r="Q587" s="8" t="n">
        <v>10</v>
      </c>
      <c r="R587" s="7"/>
      <c r="S587" s="7" t="s">
        <v>11442</v>
      </c>
    </row>
    <row r="588" customFormat="false" ht="15.75" hidden="false" customHeight="true" outlineLevel="0" collapsed="false">
      <c r="A588" s="7" t="s">
        <v>11443</v>
      </c>
      <c r="B588" s="8" t="n">
        <v>2022</v>
      </c>
      <c r="C588" s="8" t="n">
        <v>2022</v>
      </c>
      <c r="D588" s="8" t="s">
        <v>378</v>
      </c>
      <c r="E588" s="8" t="s">
        <v>9715</v>
      </c>
      <c r="F588" s="7" t="s">
        <v>11444</v>
      </c>
      <c r="G588" s="8" t="n">
        <v>6.4</v>
      </c>
      <c r="H588" s="8"/>
      <c r="I588" s="9" t="n">
        <v>61036</v>
      </c>
      <c r="J588" s="7"/>
      <c r="K588" s="7" t="s">
        <v>30</v>
      </c>
      <c r="L588" s="7" t="s">
        <v>54</v>
      </c>
      <c r="M588" s="10" t="s">
        <v>238</v>
      </c>
      <c r="N588" s="7"/>
      <c r="O588" s="8" t="n">
        <v>0</v>
      </c>
      <c r="P588" s="8" t="n">
        <v>0</v>
      </c>
      <c r="Q588" s="8" t="n">
        <v>0</v>
      </c>
      <c r="R588" s="7"/>
      <c r="S588" s="7" t="s">
        <v>11445</v>
      </c>
    </row>
    <row r="589" customFormat="false" ht="15.75" hidden="false" customHeight="true" outlineLevel="0" collapsed="false">
      <c r="A589" s="7" t="s">
        <v>11446</v>
      </c>
      <c r="B589" s="8" t="n">
        <v>1999</v>
      </c>
      <c r="C589" s="8" t="n">
        <v>2001</v>
      </c>
      <c r="D589" s="8" t="s">
        <v>26</v>
      </c>
      <c r="E589" s="8" t="s">
        <v>9685</v>
      </c>
      <c r="F589" s="7" t="s">
        <v>7269</v>
      </c>
      <c r="G589" s="8" t="n">
        <v>8.5</v>
      </c>
      <c r="H589" s="8"/>
      <c r="I589" s="9" t="n">
        <v>60974</v>
      </c>
      <c r="J589" s="7"/>
      <c r="K589" s="7" t="s">
        <v>30</v>
      </c>
      <c r="L589" s="7"/>
      <c r="M589" s="10"/>
      <c r="N589" s="7"/>
      <c r="O589" s="8" t="n">
        <v>0</v>
      </c>
      <c r="P589" s="8" t="n">
        <v>0</v>
      </c>
      <c r="Q589" s="8" t="n">
        <v>0</v>
      </c>
      <c r="R589" s="7"/>
      <c r="S589" s="7" t="s">
        <v>11447</v>
      </c>
    </row>
    <row r="590" customFormat="false" ht="15.75" hidden="false" customHeight="true" outlineLevel="0" collapsed="false">
      <c r="A590" s="7" t="s">
        <v>11448</v>
      </c>
      <c r="B590" s="8" t="n">
        <v>2009</v>
      </c>
      <c r="C590" s="8" t="n">
        <v>2023</v>
      </c>
      <c r="D590" s="8" t="s">
        <v>35</v>
      </c>
      <c r="E590" s="8" t="s">
        <v>9685</v>
      </c>
      <c r="F590" s="7" t="s">
        <v>10224</v>
      </c>
      <c r="G590" s="8" t="n">
        <v>6.8</v>
      </c>
      <c r="H590" s="8"/>
      <c r="I590" s="9" t="n">
        <v>60669</v>
      </c>
      <c r="J590" s="7"/>
      <c r="K590" s="7" t="s">
        <v>112</v>
      </c>
      <c r="L590" s="7" t="s">
        <v>39</v>
      </c>
      <c r="M590" s="10" t="s">
        <v>220</v>
      </c>
      <c r="N590" s="7"/>
      <c r="O590" s="8" t="n">
        <v>0</v>
      </c>
      <c r="P590" s="8" t="n">
        <v>0</v>
      </c>
      <c r="Q590" s="8" t="n">
        <v>1</v>
      </c>
      <c r="R590" s="7"/>
      <c r="S590" s="7" t="s">
        <v>11449</v>
      </c>
    </row>
    <row r="591" customFormat="false" ht="15.75" hidden="false" customHeight="true" outlineLevel="0" collapsed="false">
      <c r="A591" s="7" t="s">
        <v>11450</v>
      </c>
      <c r="B591" s="8" t="n">
        <v>2019</v>
      </c>
      <c r="C591" s="8"/>
      <c r="D591" s="8" t="s">
        <v>176</v>
      </c>
      <c r="E591" s="8" t="s">
        <v>9685</v>
      </c>
      <c r="F591" s="7" t="s">
        <v>11451</v>
      </c>
      <c r="G591" s="8" t="n">
        <v>8.5</v>
      </c>
      <c r="H591" s="8"/>
      <c r="I591" s="9" t="n">
        <v>60643</v>
      </c>
      <c r="J591" s="7"/>
      <c r="K591" s="7" t="s">
        <v>2730</v>
      </c>
      <c r="L591" s="7" t="s">
        <v>75</v>
      </c>
      <c r="M591" s="10" t="s">
        <v>238</v>
      </c>
      <c r="N591" s="7"/>
      <c r="O591" s="8" t="n">
        <v>0</v>
      </c>
      <c r="P591" s="8" t="n">
        <v>0</v>
      </c>
      <c r="Q591" s="8" t="n">
        <v>0</v>
      </c>
      <c r="R591" s="7"/>
      <c r="S591" s="7" t="s">
        <v>11452</v>
      </c>
    </row>
    <row r="592" customFormat="false" ht="15.75" hidden="false" customHeight="true" outlineLevel="0" collapsed="false">
      <c r="A592" s="7" t="s">
        <v>11453</v>
      </c>
      <c r="B592" s="8" t="n">
        <v>2015</v>
      </c>
      <c r="C592" s="8" t="n">
        <v>2020</v>
      </c>
      <c r="D592" s="8" t="s">
        <v>176</v>
      </c>
      <c r="E592" s="8" t="s">
        <v>9685</v>
      </c>
      <c r="F592" s="7" t="s">
        <v>11454</v>
      </c>
      <c r="G592" s="8" t="n">
        <v>7.6</v>
      </c>
      <c r="H592" s="8"/>
      <c r="I592" s="9" t="n">
        <v>60614</v>
      </c>
      <c r="J592" s="7"/>
      <c r="K592" s="7" t="s">
        <v>38</v>
      </c>
      <c r="L592" s="7" t="s">
        <v>125</v>
      </c>
      <c r="M592" s="10"/>
      <c r="N592" s="7"/>
      <c r="O592" s="8" t="n">
        <v>0</v>
      </c>
      <c r="P592" s="8" t="n">
        <v>0</v>
      </c>
      <c r="Q592" s="8" t="n">
        <v>0</v>
      </c>
      <c r="R592" s="7"/>
      <c r="S592" s="7" t="s">
        <v>11455</v>
      </c>
    </row>
    <row r="593" customFormat="false" ht="15.75" hidden="false" customHeight="true" outlineLevel="0" collapsed="false">
      <c r="A593" s="7" t="s">
        <v>11456</v>
      </c>
      <c r="B593" s="8" t="n">
        <v>2019</v>
      </c>
      <c r="C593" s="8" t="n">
        <v>2020</v>
      </c>
      <c r="D593" s="8" t="s">
        <v>176</v>
      </c>
      <c r="E593" s="8" t="s">
        <v>9715</v>
      </c>
      <c r="F593" s="7" t="s">
        <v>11457</v>
      </c>
      <c r="G593" s="8" t="n">
        <v>8.7</v>
      </c>
      <c r="H593" s="8"/>
      <c r="I593" s="9" t="n">
        <v>60397</v>
      </c>
      <c r="J593" s="7"/>
      <c r="K593" s="7" t="s">
        <v>39</v>
      </c>
      <c r="L593" s="7" t="s">
        <v>30</v>
      </c>
      <c r="M593" s="10" t="s">
        <v>238</v>
      </c>
      <c r="N593" s="7"/>
      <c r="O593" s="8" t="n">
        <v>0</v>
      </c>
      <c r="P593" s="8" t="n">
        <v>0</v>
      </c>
      <c r="Q593" s="8" t="n">
        <v>0</v>
      </c>
      <c r="R593" s="7"/>
      <c r="S593" s="7" t="s">
        <v>11458</v>
      </c>
    </row>
    <row r="594" customFormat="false" ht="15.75" hidden="false" customHeight="true" outlineLevel="0" collapsed="false">
      <c r="A594" s="7" t="s">
        <v>11459</v>
      </c>
      <c r="B594" s="8" t="n">
        <v>2019</v>
      </c>
      <c r="C594" s="8"/>
      <c r="D594" s="8" t="s">
        <v>176</v>
      </c>
      <c r="E594" s="8" t="s">
        <v>9685</v>
      </c>
      <c r="F594" s="7" t="s">
        <v>11115</v>
      </c>
      <c r="G594" s="8" t="n">
        <v>7.4</v>
      </c>
      <c r="H594" s="8"/>
      <c r="I594" s="9" t="n">
        <v>60376</v>
      </c>
      <c r="J594" s="7"/>
      <c r="K594" s="7" t="s">
        <v>29</v>
      </c>
      <c r="L594" s="7" t="s">
        <v>47</v>
      </c>
      <c r="M594" s="10" t="s">
        <v>238</v>
      </c>
      <c r="N594" s="7"/>
      <c r="O594" s="8" t="n">
        <v>0</v>
      </c>
      <c r="P594" s="8" t="n">
        <v>0</v>
      </c>
      <c r="Q594" s="8" t="n">
        <v>0</v>
      </c>
      <c r="R594" s="7"/>
      <c r="S594" s="7" t="s">
        <v>11460</v>
      </c>
    </row>
    <row r="595" customFormat="false" ht="15.75" hidden="false" customHeight="true" outlineLevel="0" collapsed="false">
      <c r="A595" s="7" t="s">
        <v>11461</v>
      </c>
      <c r="B595" s="8" t="n">
        <v>2011</v>
      </c>
      <c r="C595" s="8" t="n">
        <v>2015</v>
      </c>
      <c r="D595" s="8" t="s">
        <v>176</v>
      </c>
      <c r="E595" s="8" t="s">
        <v>9685</v>
      </c>
      <c r="F595" s="7" t="s">
        <v>11462</v>
      </c>
      <c r="G595" s="8" t="n">
        <v>7.7</v>
      </c>
      <c r="H595" s="8"/>
      <c r="I595" s="9" t="n">
        <v>60194</v>
      </c>
      <c r="J595" s="7"/>
      <c r="K595" s="7" t="s">
        <v>29</v>
      </c>
      <c r="L595" s="7" t="s">
        <v>30</v>
      </c>
      <c r="M595" s="10"/>
      <c r="N595" s="7"/>
      <c r="O595" s="8" t="n">
        <v>0</v>
      </c>
      <c r="P595" s="8" t="n">
        <v>0</v>
      </c>
      <c r="Q595" s="8" t="n">
        <v>0</v>
      </c>
      <c r="R595" s="7"/>
      <c r="S595" s="7" t="s">
        <v>11463</v>
      </c>
    </row>
    <row r="596" customFormat="false" ht="15.75" hidden="false" customHeight="true" outlineLevel="0" collapsed="false">
      <c r="A596" s="7" t="s">
        <v>11464</v>
      </c>
      <c r="B596" s="8" t="n">
        <v>2011</v>
      </c>
      <c r="C596" s="8" t="n">
        <v>2016</v>
      </c>
      <c r="D596" s="8" t="s">
        <v>176</v>
      </c>
      <c r="E596" s="8" t="s">
        <v>9685</v>
      </c>
      <c r="F596" s="7" t="s">
        <v>11465</v>
      </c>
      <c r="G596" s="8" t="n">
        <v>8.3</v>
      </c>
      <c r="H596" s="8"/>
      <c r="I596" s="9" t="n">
        <v>60187</v>
      </c>
      <c r="J596" s="7"/>
      <c r="K596" s="7" t="s">
        <v>268</v>
      </c>
      <c r="L596" s="7" t="s">
        <v>47</v>
      </c>
      <c r="M596" s="10"/>
      <c r="N596" s="7"/>
      <c r="O596" s="8" t="n">
        <v>0</v>
      </c>
      <c r="P596" s="8" t="n">
        <v>0</v>
      </c>
      <c r="Q596" s="8" t="n">
        <v>1</v>
      </c>
      <c r="R596" s="7"/>
      <c r="S596" s="7" t="s">
        <v>11466</v>
      </c>
    </row>
    <row r="597" customFormat="false" ht="15.75" hidden="false" customHeight="true" outlineLevel="0" collapsed="false">
      <c r="A597" s="7" t="s">
        <v>11467</v>
      </c>
      <c r="B597" s="8" t="n">
        <v>2012</v>
      </c>
      <c r="C597" s="8"/>
      <c r="D597" s="8" t="s">
        <v>176</v>
      </c>
      <c r="E597" s="8" t="s">
        <v>9685</v>
      </c>
      <c r="F597" s="7" t="s">
        <v>11468</v>
      </c>
      <c r="G597" s="8" t="n">
        <v>8.6</v>
      </c>
      <c r="H597" s="8"/>
      <c r="I597" s="9" t="n">
        <v>59754</v>
      </c>
      <c r="J597" s="7"/>
      <c r="K597" s="7" t="s">
        <v>579</v>
      </c>
      <c r="L597" s="7" t="s">
        <v>112</v>
      </c>
      <c r="M597" s="10" t="s">
        <v>3522</v>
      </c>
      <c r="N597" s="7"/>
      <c r="O597" s="8" t="n">
        <v>0</v>
      </c>
      <c r="P597" s="8" t="n">
        <v>0</v>
      </c>
      <c r="Q597" s="8" t="n">
        <v>0</v>
      </c>
      <c r="R597" s="7"/>
      <c r="S597" s="7" t="s">
        <v>11469</v>
      </c>
    </row>
    <row r="598" customFormat="false" ht="15.75" hidden="false" customHeight="true" outlineLevel="0" collapsed="false">
      <c r="A598" s="7" t="s">
        <v>11470</v>
      </c>
      <c r="B598" s="8" t="n">
        <v>1989</v>
      </c>
      <c r="C598" s="8" t="n">
        <v>2013</v>
      </c>
      <c r="D598" s="8" t="s">
        <v>109</v>
      </c>
      <c r="E598" s="8" t="s">
        <v>9685</v>
      </c>
      <c r="F598" s="7" t="s">
        <v>11471</v>
      </c>
      <c r="G598" s="8" t="n">
        <v>8.6</v>
      </c>
      <c r="H598" s="8"/>
      <c r="I598" s="9" t="n">
        <v>59682</v>
      </c>
      <c r="J598" s="7"/>
      <c r="K598" s="7" t="s">
        <v>47</v>
      </c>
      <c r="L598" s="7" t="s">
        <v>54</v>
      </c>
      <c r="M598" s="10" t="s">
        <v>11472</v>
      </c>
      <c r="N598" s="7"/>
      <c r="O598" s="8" t="n">
        <v>0</v>
      </c>
      <c r="P598" s="8" t="n">
        <v>0</v>
      </c>
      <c r="Q598" s="8" t="n">
        <v>6</v>
      </c>
      <c r="R598" s="7"/>
      <c r="S598" s="7" t="s">
        <v>11473</v>
      </c>
    </row>
    <row r="599" customFormat="false" ht="15.75" hidden="false" customHeight="true" outlineLevel="0" collapsed="false">
      <c r="A599" s="7" t="s">
        <v>11474</v>
      </c>
      <c r="B599" s="8" t="n">
        <v>2019</v>
      </c>
      <c r="C599" s="8" t="n">
        <v>2021</v>
      </c>
      <c r="D599" s="8" t="s">
        <v>176</v>
      </c>
      <c r="E599" s="8" t="s">
        <v>9685</v>
      </c>
      <c r="F599" s="7" t="s">
        <v>11475</v>
      </c>
      <c r="G599" s="8" t="n">
        <v>8.1</v>
      </c>
      <c r="H599" s="8"/>
      <c r="I599" s="9" t="n">
        <v>59662</v>
      </c>
      <c r="J599" s="7"/>
      <c r="K599" s="7" t="s">
        <v>579</v>
      </c>
      <c r="L599" s="7" t="s">
        <v>112</v>
      </c>
      <c r="M599" s="10" t="s">
        <v>3455</v>
      </c>
      <c r="N599" s="7"/>
      <c r="O599" s="8" t="n">
        <v>0</v>
      </c>
      <c r="P599" s="8" t="n">
        <v>0</v>
      </c>
      <c r="Q599" s="8" t="n">
        <v>0</v>
      </c>
      <c r="R599" s="7"/>
      <c r="S599" s="7" t="s">
        <v>11476</v>
      </c>
    </row>
    <row r="600" customFormat="false" ht="15.75" hidden="false" customHeight="true" outlineLevel="0" collapsed="false">
      <c r="A600" s="7" t="s">
        <v>11477</v>
      </c>
      <c r="B600" s="8" t="n">
        <v>2020</v>
      </c>
      <c r="C600" s="8" t="n">
        <v>2022</v>
      </c>
      <c r="D600" s="8" t="s">
        <v>378</v>
      </c>
      <c r="E600" s="8" t="s">
        <v>9685</v>
      </c>
      <c r="F600" s="7" t="s">
        <v>11478</v>
      </c>
      <c r="G600" s="8" t="n">
        <v>7</v>
      </c>
      <c r="H600" s="8"/>
      <c r="I600" s="9" t="n">
        <v>59605</v>
      </c>
      <c r="J600" s="7"/>
      <c r="K600" s="7" t="s">
        <v>38</v>
      </c>
      <c r="L600" s="7" t="s">
        <v>112</v>
      </c>
      <c r="M600" s="10" t="s">
        <v>238</v>
      </c>
      <c r="N600" s="7"/>
      <c r="O600" s="8" t="n">
        <v>0</v>
      </c>
      <c r="P600" s="8" t="n">
        <v>0</v>
      </c>
      <c r="Q600" s="8" t="n">
        <v>0</v>
      </c>
      <c r="R600" s="7"/>
      <c r="S600" s="7" t="s">
        <v>11479</v>
      </c>
    </row>
    <row r="601" customFormat="false" ht="15.75" hidden="false" customHeight="true" outlineLevel="0" collapsed="false">
      <c r="A601" s="7" t="s">
        <v>11480</v>
      </c>
      <c r="B601" s="8" t="n">
        <v>1996</v>
      </c>
      <c r="C601" s="8" t="n">
        <v>2001</v>
      </c>
      <c r="D601" s="8" t="s">
        <v>26</v>
      </c>
      <c r="E601" s="8" t="s">
        <v>9685</v>
      </c>
      <c r="F601" s="7" t="s">
        <v>11481</v>
      </c>
      <c r="G601" s="8" t="n">
        <v>7.8</v>
      </c>
      <c r="H601" s="8"/>
      <c r="I601" s="9" t="n">
        <v>59537</v>
      </c>
      <c r="J601" s="7"/>
      <c r="K601" s="7" t="s">
        <v>111</v>
      </c>
      <c r="L601" s="7" t="s">
        <v>259</v>
      </c>
      <c r="M601" s="7"/>
      <c r="N601" s="7"/>
      <c r="O601" s="8" t="n">
        <v>3</v>
      </c>
      <c r="P601" s="8" t="n">
        <v>0</v>
      </c>
      <c r="Q601" s="8" t="n">
        <v>10</v>
      </c>
      <c r="R601" s="7"/>
      <c r="S601" s="7"/>
    </row>
    <row r="602" customFormat="false" ht="15.75" hidden="false" customHeight="true" outlineLevel="0" collapsed="false">
      <c r="A602" s="7" t="s">
        <v>11482</v>
      </c>
      <c r="B602" s="8" t="n">
        <v>2014</v>
      </c>
      <c r="C602" s="8" t="n">
        <v>2020</v>
      </c>
      <c r="D602" s="8" t="s">
        <v>176</v>
      </c>
      <c r="E602" s="8" t="s">
        <v>9685</v>
      </c>
      <c r="F602" s="7" t="s">
        <v>11483</v>
      </c>
      <c r="G602" s="8" t="n">
        <v>8.1</v>
      </c>
      <c r="H602" s="8"/>
      <c r="I602" s="9" t="n">
        <v>59535</v>
      </c>
      <c r="J602" s="7"/>
      <c r="K602" s="7" t="s">
        <v>47</v>
      </c>
      <c r="L602" s="7" t="s">
        <v>54</v>
      </c>
      <c r="M602" s="10"/>
      <c r="N602" s="7"/>
      <c r="O602" s="8" t="n">
        <v>0</v>
      </c>
      <c r="P602" s="8" t="n">
        <v>0</v>
      </c>
      <c r="Q602" s="8" t="n">
        <v>0</v>
      </c>
      <c r="R602" s="7"/>
      <c r="S602" s="7" t="s">
        <v>11484</v>
      </c>
    </row>
    <row r="603" customFormat="false" ht="15.75" hidden="false" customHeight="true" outlineLevel="0" collapsed="false">
      <c r="A603" s="7" t="s">
        <v>11485</v>
      </c>
      <c r="B603" s="8" t="n">
        <v>2016</v>
      </c>
      <c r="C603" s="8" t="n">
        <v>2022</v>
      </c>
      <c r="D603" s="8" t="s">
        <v>176</v>
      </c>
      <c r="E603" s="8" t="s">
        <v>9685</v>
      </c>
      <c r="F603" s="7" t="s">
        <v>11486</v>
      </c>
      <c r="G603" s="8" t="n">
        <v>8.2</v>
      </c>
      <c r="H603" s="8"/>
      <c r="I603" s="9" t="n">
        <v>59478</v>
      </c>
      <c r="J603" s="7"/>
      <c r="K603" s="7" t="s">
        <v>47</v>
      </c>
      <c r="L603" s="7" t="s">
        <v>54</v>
      </c>
      <c r="M603" s="10" t="s">
        <v>238</v>
      </c>
      <c r="N603" s="7"/>
      <c r="O603" s="8" t="n">
        <v>0</v>
      </c>
      <c r="P603" s="8" t="n">
        <v>0</v>
      </c>
      <c r="Q603" s="8" t="n">
        <v>0</v>
      </c>
      <c r="R603" s="7"/>
      <c r="S603" s="7" t="s">
        <v>11487</v>
      </c>
    </row>
    <row r="604" customFormat="false" ht="15.75" hidden="false" customHeight="true" outlineLevel="0" collapsed="false">
      <c r="A604" s="7" t="s">
        <v>11488</v>
      </c>
      <c r="B604" s="8" t="n">
        <v>2011</v>
      </c>
      <c r="C604" s="8" t="n">
        <v>2017</v>
      </c>
      <c r="D604" s="8" t="s">
        <v>176</v>
      </c>
      <c r="E604" s="8" t="s">
        <v>9685</v>
      </c>
      <c r="F604" s="7" t="s">
        <v>11489</v>
      </c>
      <c r="G604" s="8" t="n">
        <v>8.1</v>
      </c>
      <c r="H604" s="8"/>
      <c r="I604" s="9" t="n">
        <v>59239</v>
      </c>
      <c r="J604" s="7"/>
      <c r="K604" s="7" t="s">
        <v>30</v>
      </c>
      <c r="L604" s="7"/>
      <c r="M604" s="10"/>
      <c r="N604" s="7"/>
      <c r="O604" s="8" t="n">
        <v>0</v>
      </c>
      <c r="P604" s="8" t="n">
        <v>0</v>
      </c>
      <c r="Q604" s="8" t="n">
        <v>1</v>
      </c>
      <c r="R604" s="7"/>
      <c r="S604" s="7" t="s">
        <v>11490</v>
      </c>
    </row>
    <row r="605" customFormat="false" ht="15.75" hidden="false" customHeight="true" outlineLevel="0" collapsed="false">
      <c r="A605" s="7" t="s">
        <v>11491</v>
      </c>
      <c r="B605" s="8" t="n">
        <v>2015</v>
      </c>
      <c r="C605" s="8" t="n">
        <v>2024</v>
      </c>
      <c r="D605" s="8" t="s">
        <v>176</v>
      </c>
      <c r="E605" s="8" t="s">
        <v>9685</v>
      </c>
      <c r="F605" s="7" t="s">
        <v>11492</v>
      </c>
      <c r="G605" s="8" t="n">
        <v>8.6</v>
      </c>
      <c r="H605" s="8"/>
      <c r="I605" s="9" t="n">
        <v>59175</v>
      </c>
      <c r="J605" s="7"/>
      <c r="K605" s="7" t="s">
        <v>2730</v>
      </c>
      <c r="L605" s="7" t="s">
        <v>54</v>
      </c>
      <c r="M605" s="10" t="s">
        <v>55</v>
      </c>
      <c r="N605" s="7"/>
      <c r="O605" s="8" t="n">
        <v>0</v>
      </c>
      <c r="P605" s="8" t="n">
        <v>0</v>
      </c>
      <c r="Q605" s="8" t="n">
        <v>0</v>
      </c>
      <c r="R605" s="7"/>
      <c r="S605" s="7" t="s">
        <v>11493</v>
      </c>
    </row>
    <row r="606" customFormat="false" ht="15.75" hidden="false" customHeight="true" outlineLevel="0" collapsed="false">
      <c r="A606" s="7" t="s">
        <v>11494</v>
      </c>
      <c r="B606" s="8" t="n">
        <v>2020</v>
      </c>
      <c r="C606" s="8"/>
      <c r="D606" s="8" t="s">
        <v>378</v>
      </c>
      <c r="E606" s="8" t="s">
        <v>9685</v>
      </c>
      <c r="F606" s="7" t="s">
        <v>11495</v>
      </c>
      <c r="G606" s="8" t="n">
        <v>6.6</v>
      </c>
      <c r="H606" s="8"/>
      <c r="I606" s="9" t="n">
        <v>59085</v>
      </c>
      <c r="J606" s="7"/>
      <c r="K606" s="7" t="s">
        <v>47</v>
      </c>
      <c r="L606" s="7" t="s">
        <v>54</v>
      </c>
      <c r="M606" s="10"/>
      <c r="N606" s="7"/>
      <c r="O606" s="8" t="n">
        <v>0</v>
      </c>
      <c r="P606" s="8" t="n">
        <v>0</v>
      </c>
      <c r="Q606" s="8" t="n">
        <v>0</v>
      </c>
      <c r="R606" s="7"/>
      <c r="S606" s="7" t="s">
        <v>11496</v>
      </c>
    </row>
    <row r="607" customFormat="false" ht="15.75" hidden="false" customHeight="true" outlineLevel="0" collapsed="false">
      <c r="A607" s="7" t="s">
        <v>5521</v>
      </c>
      <c r="B607" s="8" t="n">
        <v>2014</v>
      </c>
      <c r="C607" s="8" t="n">
        <v>2015</v>
      </c>
      <c r="D607" s="8" t="s">
        <v>176</v>
      </c>
      <c r="E607" s="8" t="s">
        <v>9685</v>
      </c>
      <c r="F607" s="7" t="s">
        <v>11497</v>
      </c>
      <c r="G607" s="8" t="n">
        <v>7.5</v>
      </c>
      <c r="H607" s="8"/>
      <c r="I607" s="9" t="n">
        <v>58890</v>
      </c>
      <c r="J607" s="7"/>
      <c r="K607" s="7" t="s">
        <v>38</v>
      </c>
      <c r="L607" s="7" t="s">
        <v>54</v>
      </c>
      <c r="M607" s="10"/>
      <c r="N607" s="7"/>
      <c r="O607" s="8" t="n">
        <v>0</v>
      </c>
      <c r="P607" s="8" t="n">
        <v>0</v>
      </c>
      <c r="Q607" s="8" t="n">
        <v>4</v>
      </c>
      <c r="R607" s="7"/>
      <c r="S607" s="7" t="s">
        <v>11498</v>
      </c>
    </row>
    <row r="608" customFormat="false" ht="15.75" hidden="false" customHeight="true" outlineLevel="0" collapsed="false">
      <c r="A608" s="7" t="s">
        <v>11499</v>
      </c>
      <c r="B608" s="8" t="n">
        <v>2024</v>
      </c>
      <c r="C608" s="8"/>
      <c r="D608" s="8" t="s">
        <v>378</v>
      </c>
      <c r="E608" s="8" t="s">
        <v>9685</v>
      </c>
      <c r="F608" s="7" t="s">
        <v>11500</v>
      </c>
      <c r="G608" s="8" t="n">
        <v>5</v>
      </c>
      <c r="H608" s="8"/>
      <c r="I608" s="9" t="n">
        <v>58862</v>
      </c>
      <c r="J608" s="7"/>
      <c r="K608" s="7" t="s">
        <v>112</v>
      </c>
      <c r="L608" s="7" t="s">
        <v>54</v>
      </c>
      <c r="M608" s="10" t="s">
        <v>113</v>
      </c>
      <c r="N608" s="7"/>
      <c r="O608" s="8" t="n">
        <v>0</v>
      </c>
      <c r="P608" s="8" t="n">
        <v>0</v>
      </c>
      <c r="Q608" s="8" t="n">
        <v>0</v>
      </c>
      <c r="R608" s="7"/>
      <c r="S608" s="7" t="s">
        <v>11501</v>
      </c>
    </row>
    <row r="609" customFormat="false" ht="15.75" hidden="false" customHeight="true" outlineLevel="0" collapsed="false">
      <c r="A609" s="7" t="s">
        <v>11502</v>
      </c>
      <c r="B609" s="8" t="n">
        <v>2020</v>
      </c>
      <c r="C609" s="8" t="n">
        <v>2020</v>
      </c>
      <c r="D609" s="8" t="s">
        <v>378</v>
      </c>
      <c r="E609" s="8" t="s">
        <v>9715</v>
      </c>
      <c r="F609" s="7" t="s">
        <v>2458</v>
      </c>
      <c r="G609" s="8" t="n">
        <v>7.6</v>
      </c>
      <c r="H609" s="8"/>
      <c r="I609" s="9" t="n">
        <v>58616</v>
      </c>
      <c r="J609" s="7"/>
      <c r="K609" s="7" t="s">
        <v>111</v>
      </c>
      <c r="L609" s="7" t="s">
        <v>125</v>
      </c>
      <c r="M609" s="10" t="s">
        <v>177</v>
      </c>
      <c r="N609" s="7"/>
      <c r="O609" s="8" t="n">
        <v>0</v>
      </c>
      <c r="P609" s="8" t="n">
        <v>0</v>
      </c>
      <c r="Q609" s="8" t="n">
        <v>26</v>
      </c>
      <c r="R609" s="7"/>
      <c r="S609" s="7" t="s">
        <v>11503</v>
      </c>
    </row>
    <row r="610" customFormat="false" ht="15.75" hidden="false" customHeight="true" outlineLevel="0" collapsed="false">
      <c r="A610" s="7" t="s">
        <v>11504</v>
      </c>
      <c r="B610" s="8" t="n">
        <v>1996</v>
      </c>
      <c r="C610" s="8" t="n">
        <v>2003</v>
      </c>
      <c r="D610" s="8" t="s">
        <v>26</v>
      </c>
      <c r="E610" s="8" t="s">
        <v>9685</v>
      </c>
      <c r="F610" s="7" t="s">
        <v>11505</v>
      </c>
      <c r="G610" s="8" t="n">
        <v>7.8</v>
      </c>
      <c r="H610" s="8" t="n">
        <v>6</v>
      </c>
      <c r="I610" s="9" t="n">
        <v>58549</v>
      </c>
      <c r="J610" s="7"/>
      <c r="K610" s="7" t="s">
        <v>579</v>
      </c>
      <c r="L610" s="7" t="s">
        <v>39</v>
      </c>
      <c r="M610" s="10" t="s">
        <v>55</v>
      </c>
      <c r="N610" s="7"/>
      <c r="O610" s="8" t="n">
        <v>0</v>
      </c>
      <c r="P610" s="8" t="n">
        <v>0</v>
      </c>
      <c r="Q610" s="8" t="n">
        <v>0</v>
      </c>
      <c r="R610" s="7"/>
      <c r="S610" s="7" t="s">
        <v>11506</v>
      </c>
    </row>
    <row r="611" customFormat="false" ht="15.75" hidden="false" customHeight="true" outlineLevel="0" collapsed="false">
      <c r="A611" s="7" t="s">
        <v>11507</v>
      </c>
      <c r="B611" s="8" t="n">
        <v>2018</v>
      </c>
      <c r="C611" s="8" t="n">
        <v>2019</v>
      </c>
      <c r="D611" s="8" t="s">
        <v>176</v>
      </c>
      <c r="E611" s="8" t="s">
        <v>9685</v>
      </c>
      <c r="F611" s="7" t="s">
        <v>11508</v>
      </c>
      <c r="G611" s="8" t="n">
        <v>7.5</v>
      </c>
      <c r="H611" s="8"/>
      <c r="I611" s="9" t="n">
        <v>58473</v>
      </c>
      <c r="J611" s="7"/>
      <c r="K611" s="7" t="s">
        <v>147</v>
      </c>
      <c r="L611" s="7" t="s">
        <v>38</v>
      </c>
      <c r="M611" s="10"/>
      <c r="N611" s="7"/>
      <c r="O611" s="8" t="n">
        <v>0</v>
      </c>
      <c r="P611" s="8" t="n">
        <v>0</v>
      </c>
      <c r="Q611" s="8" t="n">
        <v>1</v>
      </c>
      <c r="R611" s="7"/>
      <c r="S611" s="7" t="s">
        <v>11509</v>
      </c>
    </row>
    <row r="612" customFormat="false" ht="15.75" hidden="false" customHeight="true" outlineLevel="0" collapsed="false">
      <c r="A612" s="7" t="s">
        <v>11510</v>
      </c>
      <c r="B612" s="8" t="n">
        <v>2017</v>
      </c>
      <c r="C612" s="8" t="n">
        <v>2017</v>
      </c>
      <c r="D612" s="8" t="s">
        <v>176</v>
      </c>
      <c r="E612" s="8" t="s">
        <v>9715</v>
      </c>
      <c r="F612" s="7" t="s">
        <v>11511</v>
      </c>
      <c r="G612" s="8" t="n">
        <v>9.3</v>
      </c>
      <c r="H612" s="8"/>
      <c r="I612" s="9" t="n">
        <v>58389</v>
      </c>
      <c r="J612" s="7"/>
      <c r="K612" s="7" t="s">
        <v>2730</v>
      </c>
      <c r="L612" s="7" t="s">
        <v>259</v>
      </c>
      <c r="M612" s="10" t="s">
        <v>220</v>
      </c>
      <c r="N612" s="7"/>
      <c r="O612" s="8" t="n">
        <v>1</v>
      </c>
      <c r="P612" s="8" t="n">
        <v>0</v>
      </c>
      <c r="Q612" s="8" t="n">
        <v>9</v>
      </c>
      <c r="R612" s="7"/>
      <c r="S612" s="7" t="s">
        <v>11512</v>
      </c>
    </row>
    <row r="613" customFormat="false" ht="15.75" hidden="false" customHeight="true" outlineLevel="0" collapsed="false">
      <c r="A613" s="7" t="s">
        <v>11513</v>
      </c>
      <c r="B613" s="8" t="n">
        <v>2021</v>
      </c>
      <c r="C613" s="8" t="n">
        <v>2025</v>
      </c>
      <c r="D613" s="8" t="s">
        <v>378</v>
      </c>
      <c r="E613" s="8" t="s">
        <v>9685</v>
      </c>
      <c r="F613" s="7" t="s">
        <v>11514</v>
      </c>
      <c r="G613" s="8" t="n">
        <v>6.2</v>
      </c>
      <c r="H613" s="8"/>
      <c r="I613" s="9" t="n">
        <v>58258</v>
      </c>
      <c r="J613" s="7"/>
      <c r="K613" s="7" t="s">
        <v>111</v>
      </c>
      <c r="L613" s="7" t="s">
        <v>38</v>
      </c>
      <c r="M613" s="10" t="s">
        <v>1293</v>
      </c>
      <c r="N613" s="7"/>
      <c r="O613" s="8" t="n">
        <v>0</v>
      </c>
      <c r="P613" s="8" t="n">
        <v>0</v>
      </c>
      <c r="Q613" s="8" t="n">
        <v>0</v>
      </c>
      <c r="R613" s="7"/>
      <c r="S613" s="7" t="s">
        <v>11515</v>
      </c>
    </row>
    <row r="614" customFormat="false" ht="15.75" hidden="false" customHeight="true" outlineLevel="0" collapsed="false">
      <c r="A614" s="7" t="s">
        <v>11516</v>
      </c>
      <c r="B614" s="8" t="n">
        <v>2001</v>
      </c>
      <c r="C614" s="8" t="n">
        <v>2026</v>
      </c>
      <c r="D614" s="8" t="s">
        <v>35</v>
      </c>
      <c r="E614" s="8" t="s">
        <v>9685</v>
      </c>
      <c r="F614" s="7" t="s">
        <v>11517</v>
      </c>
      <c r="G614" s="8" t="n">
        <v>8.5</v>
      </c>
      <c r="H614" s="8"/>
      <c r="I614" s="9" t="n">
        <v>58240</v>
      </c>
      <c r="J614" s="7"/>
      <c r="K614" s="7" t="s">
        <v>30</v>
      </c>
      <c r="L614" s="7" t="s">
        <v>54</v>
      </c>
      <c r="M614" s="10" t="s">
        <v>238</v>
      </c>
      <c r="N614" s="7"/>
      <c r="O614" s="8" t="n">
        <v>0</v>
      </c>
      <c r="P614" s="8" t="n">
        <v>0</v>
      </c>
      <c r="Q614" s="8" t="n">
        <v>0</v>
      </c>
      <c r="R614" s="7"/>
      <c r="S614" s="7" t="s">
        <v>11518</v>
      </c>
    </row>
    <row r="615" customFormat="false" ht="15.75" hidden="false" customHeight="true" outlineLevel="0" collapsed="false">
      <c r="A615" s="7" t="s">
        <v>11519</v>
      </c>
      <c r="B615" s="8" t="n">
        <v>2013</v>
      </c>
      <c r="C615" s="8" t="n">
        <v>2017</v>
      </c>
      <c r="D615" s="8" t="s">
        <v>176</v>
      </c>
      <c r="E615" s="8" t="s">
        <v>9685</v>
      </c>
      <c r="F615" s="7" t="s">
        <v>11520</v>
      </c>
      <c r="G615" s="8" t="n">
        <v>7.4</v>
      </c>
      <c r="H615" s="8"/>
      <c r="I615" s="9" t="n">
        <v>58199</v>
      </c>
      <c r="J615" s="7"/>
      <c r="K615" s="7" t="s">
        <v>29</v>
      </c>
      <c r="L615" s="7" t="s">
        <v>453</v>
      </c>
      <c r="M615" s="10"/>
      <c r="N615" s="7"/>
      <c r="O615" s="8" t="n">
        <v>0</v>
      </c>
      <c r="P615" s="8" t="n">
        <v>0</v>
      </c>
      <c r="Q615" s="8" t="n">
        <v>0</v>
      </c>
      <c r="R615" s="7"/>
      <c r="S615" s="7" t="s">
        <v>11521</v>
      </c>
    </row>
    <row r="616" customFormat="false" ht="15.75" hidden="false" customHeight="true" outlineLevel="0" collapsed="false">
      <c r="A616" s="7" t="s">
        <v>11522</v>
      </c>
      <c r="B616" s="8" t="n">
        <v>2020</v>
      </c>
      <c r="C616" s="8" t="n">
        <v>2020</v>
      </c>
      <c r="D616" s="8" t="s">
        <v>378</v>
      </c>
      <c r="E616" s="8" t="s">
        <v>9715</v>
      </c>
      <c r="F616" s="7" t="s">
        <v>11523</v>
      </c>
      <c r="G616" s="8" t="n">
        <v>6.8</v>
      </c>
      <c r="H616" s="8"/>
      <c r="I616" s="9" t="n">
        <v>58177</v>
      </c>
      <c r="J616" s="7"/>
      <c r="K616" s="7" t="s">
        <v>38</v>
      </c>
      <c r="L616" s="7" t="s">
        <v>112</v>
      </c>
      <c r="M616" s="10" t="s">
        <v>238</v>
      </c>
      <c r="N616" s="7"/>
      <c r="O616" s="8" t="n">
        <v>0</v>
      </c>
      <c r="P616" s="8" t="n">
        <v>0</v>
      </c>
      <c r="Q616" s="8" t="n">
        <v>0</v>
      </c>
      <c r="R616" s="7"/>
      <c r="S616" s="7" t="s">
        <v>11524</v>
      </c>
    </row>
    <row r="617" customFormat="false" ht="15.75" hidden="false" customHeight="true" outlineLevel="0" collapsed="false">
      <c r="A617" s="7" t="s">
        <v>11525</v>
      </c>
      <c r="B617" s="8" t="n">
        <v>2019</v>
      </c>
      <c r="C617" s="8" t="n">
        <v>2019</v>
      </c>
      <c r="D617" s="8" t="s">
        <v>176</v>
      </c>
      <c r="E617" s="8" t="s">
        <v>9715</v>
      </c>
      <c r="F617" s="7" t="s">
        <v>11526</v>
      </c>
      <c r="G617" s="8" t="n">
        <v>7.9</v>
      </c>
      <c r="H617" s="8"/>
      <c r="I617" s="9" t="n">
        <v>58120</v>
      </c>
      <c r="J617" s="7"/>
      <c r="K617" s="7" t="s">
        <v>47</v>
      </c>
      <c r="L617" s="7" t="s">
        <v>48</v>
      </c>
      <c r="M617" s="10" t="s">
        <v>238</v>
      </c>
      <c r="N617" s="7"/>
      <c r="O617" s="8" t="n">
        <v>0</v>
      </c>
      <c r="P617" s="8" t="n">
        <v>0</v>
      </c>
      <c r="Q617" s="8" t="n">
        <v>0</v>
      </c>
      <c r="R617" s="7"/>
      <c r="S617" s="7" t="s">
        <v>11527</v>
      </c>
    </row>
    <row r="618" customFormat="false" ht="15.75" hidden="false" customHeight="true" outlineLevel="0" collapsed="false">
      <c r="A618" s="7" t="s">
        <v>11528</v>
      </c>
      <c r="B618" s="8" t="n">
        <v>1999</v>
      </c>
      <c r="C618" s="8" t="n">
        <v>2002</v>
      </c>
      <c r="D618" s="8" t="s">
        <v>26</v>
      </c>
      <c r="E618" s="8" t="s">
        <v>9685</v>
      </c>
      <c r="F618" s="7" t="s">
        <v>11529</v>
      </c>
      <c r="G618" s="8" t="n">
        <v>8.3</v>
      </c>
      <c r="H618" s="8"/>
      <c r="I618" s="9" t="n">
        <v>58119</v>
      </c>
      <c r="J618" s="7"/>
      <c r="K618" s="7" t="s">
        <v>579</v>
      </c>
      <c r="L618" s="7" t="s">
        <v>39</v>
      </c>
      <c r="M618" s="10" t="s">
        <v>55</v>
      </c>
      <c r="N618" s="7"/>
      <c r="O618" s="8" t="n">
        <v>0</v>
      </c>
      <c r="P618" s="8" t="n">
        <v>0</v>
      </c>
      <c r="Q618" s="8" t="n">
        <v>0</v>
      </c>
      <c r="R618" s="7"/>
      <c r="S618" s="7" t="s">
        <v>11530</v>
      </c>
    </row>
    <row r="619" customFormat="false" ht="15.75" hidden="false" customHeight="true" outlineLevel="0" collapsed="false">
      <c r="A619" s="7" t="s">
        <v>11531</v>
      </c>
      <c r="B619" s="8" t="n">
        <v>2001</v>
      </c>
      <c r="C619" s="8" t="n">
        <v>2006</v>
      </c>
      <c r="D619" s="8" t="s">
        <v>35</v>
      </c>
      <c r="E619" s="8" t="s">
        <v>9685</v>
      </c>
      <c r="F619" s="7" t="s">
        <v>11532</v>
      </c>
      <c r="G619" s="8" t="n">
        <v>7.6</v>
      </c>
      <c r="H619" s="8"/>
      <c r="I619" s="9" t="n">
        <v>58109</v>
      </c>
      <c r="J619" s="7"/>
      <c r="K619" s="7" t="s">
        <v>112</v>
      </c>
      <c r="L619" s="7" t="s">
        <v>125</v>
      </c>
      <c r="M619" s="10" t="s">
        <v>177</v>
      </c>
      <c r="N619" s="7"/>
      <c r="O619" s="8" t="n">
        <v>0</v>
      </c>
      <c r="P619" s="8" t="n">
        <v>0</v>
      </c>
      <c r="Q619" s="8" t="n">
        <v>5</v>
      </c>
      <c r="R619" s="7"/>
      <c r="S619" s="7" t="s">
        <v>11533</v>
      </c>
    </row>
    <row r="620" customFormat="false" ht="15.75" hidden="false" customHeight="true" outlineLevel="0" collapsed="false">
      <c r="A620" s="7" t="s">
        <v>11534</v>
      </c>
      <c r="B620" s="8" t="n">
        <v>1975</v>
      </c>
      <c r="C620" s="8"/>
      <c r="D620" s="8" t="s">
        <v>61</v>
      </c>
      <c r="E620" s="8" t="s">
        <v>9685</v>
      </c>
      <c r="F620" s="7" t="s">
        <v>11535</v>
      </c>
      <c r="G620" s="8" t="n">
        <v>8</v>
      </c>
      <c r="H620" s="8"/>
      <c r="I620" s="9" t="n">
        <v>58099</v>
      </c>
      <c r="J620" s="7"/>
      <c r="K620" s="7" t="s">
        <v>90</v>
      </c>
      <c r="L620" s="7" t="s">
        <v>30</v>
      </c>
      <c r="M620" s="10" t="s">
        <v>210</v>
      </c>
      <c r="N620" s="7"/>
      <c r="O620" s="8" t="n">
        <v>229</v>
      </c>
      <c r="P620" s="8" t="n">
        <v>0</v>
      </c>
      <c r="Q620" s="8" t="n">
        <v>879</v>
      </c>
      <c r="R620" s="7"/>
      <c r="S620" s="7" t="s">
        <v>11536</v>
      </c>
    </row>
    <row r="621" customFormat="false" ht="15.75" hidden="false" customHeight="true" outlineLevel="0" collapsed="false">
      <c r="A621" s="7" t="s">
        <v>11537</v>
      </c>
      <c r="B621" s="8" t="n">
        <v>2024</v>
      </c>
      <c r="C621" s="8"/>
      <c r="D621" s="8" t="s">
        <v>378</v>
      </c>
      <c r="E621" s="8" t="s">
        <v>9685</v>
      </c>
      <c r="F621" s="7" t="s">
        <v>11538</v>
      </c>
      <c r="G621" s="8" t="n">
        <v>8.7</v>
      </c>
      <c r="H621" s="8"/>
      <c r="I621" s="9" t="n">
        <v>58030</v>
      </c>
      <c r="J621" s="7"/>
      <c r="K621" s="7" t="s">
        <v>579</v>
      </c>
      <c r="L621" s="7" t="s">
        <v>112</v>
      </c>
      <c r="M621" s="10" t="s">
        <v>177</v>
      </c>
      <c r="N621" s="7"/>
      <c r="O621" s="8" t="n">
        <v>0</v>
      </c>
      <c r="P621" s="8" t="n">
        <v>0</v>
      </c>
      <c r="Q621" s="8" t="n">
        <v>0</v>
      </c>
      <c r="R621" s="7"/>
      <c r="S621" s="7" t="s">
        <v>11539</v>
      </c>
    </row>
    <row r="622" customFormat="false" ht="15.75" hidden="false" customHeight="true" outlineLevel="0" collapsed="false">
      <c r="A622" s="7" t="s">
        <v>11540</v>
      </c>
      <c r="B622" s="8" t="n">
        <v>2023</v>
      </c>
      <c r="C622" s="8"/>
      <c r="D622" s="8" t="s">
        <v>378</v>
      </c>
      <c r="E622" s="8" t="s">
        <v>9685</v>
      </c>
      <c r="F622" s="7" t="s">
        <v>10548</v>
      </c>
      <c r="G622" s="8" t="n">
        <v>8</v>
      </c>
      <c r="H622" s="8"/>
      <c r="I622" s="9" t="n">
        <v>57870</v>
      </c>
      <c r="J622" s="7"/>
      <c r="K622" s="7" t="s">
        <v>112</v>
      </c>
      <c r="L622" s="7" t="s">
        <v>30</v>
      </c>
      <c r="M622" s="10"/>
      <c r="N622" s="7"/>
      <c r="O622" s="8" t="n">
        <v>0</v>
      </c>
      <c r="P622" s="8" t="n">
        <v>0</v>
      </c>
      <c r="Q622" s="8" t="n">
        <v>0</v>
      </c>
      <c r="R622" s="7"/>
      <c r="S622" s="7" t="s">
        <v>11541</v>
      </c>
    </row>
    <row r="623" customFormat="false" ht="15.75" hidden="false" customHeight="true" outlineLevel="0" collapsed="false">
      <c r="A623" s="7" t="s">
        <v>11542</v>
      </c>
      <c r="B623" s="8" t="n">
        <v>2001</v>
      </c>
      <c r="C623" s="8" t="n">
        <v>2004</v>
      </c>
      <c r="D623" s="8" t="s">
        <v>35</v>
      </c>
      <c r="E623" s="8" t="s">
        <v>9685</v>
      </c>
      <c r="F623" s="7" t="s">
        <v>11543</v>
      </c>
      <c r="G623" s="8" t="n">
        <v>8.5</v>
      </c>
      <c r="H623" s="8"/>
      <c r="I623" s="9" t="n">
        <v>57772</v>
      </c>
      <c r="J623" s="7"/>
      <c r="K623" s="7" t="s">
        <v>579</v>
      </c>
      <c r="L623" s="7" t="s">
        <v>112</v>
      </c>
      <c r="M623" s="10"/>
      <c r="N623" s="7"/>
      <c r="O623" s="8" t="n">
        <v>0</v>
      </c>
      <c r="P623" s="8" t="n">
        <v>0</v>
      </c>
      <c r="Q623" s="8" t="n">
        <v>0</v>
      </c>
      <c r="R623" s="7"/>
      <c r="S623" s="7" t="s">
        <v>11544</v>
      </c>
    </row>
    <row r="624" customFormat="false" ht="15.75" hidden="false" customHeight="true" outlineLevel="0" collapsed="false">
      <c r="A624" s="7" t="s">
        <v>11545</v>
      </c>
      <c r="B624" s="8" t="n">
        <v>2024</v>
      </c>
      <c r="C624" s="8"/>
      <c r="D624" s="8" t="s">
        <v>378</v>
      </c>
      <c r="E624" s="8" t="s">
        <v>9685</v>
      </c>
      <c r="F624" s="7" t="s">
        <v>11546</v>
      </c>
      <c r="G624" s="8" t="n">
        <v>8.3</v>
      </c>
      <c r="H624" s="8"/>
      <c r="I624" s="9" t="n">
        <v>57722</v>
      </c>
      <c r="J624" s="7"/>
      <c r="K624" s="7" t="s">
        <v>579</v>
      </c>
      <c r="L624" s="7" t="s">
        <v>112</v>
      </c>
      <c r="M624" s="10" t="s">
        <v>3522</v>
      </c>
      <c r="N624" s="7"/>
      <c r="O624" s="8" t="n">
        <v>0</v>
      </c>
      <c r="P624" s="8" t="n">
        <v>0</v>
      </c>
      <c r="Q624" s="8" t="n">
        <v>0</v>
      </c>
      <c r="R624" s="7"/>
      <c r="S624" s="7" t="s">
        <v>11547</v>
      </c>
    </row>
    <row r="625" customFormat="false" ht="15.75" hidden="false" customHeight="true" outlineLevel="0" collapsed="false">
      <c r="A625" s="7" t="s">
        <v>11548</v>
      </c>
      <c r="B625" s="8" t="n">
        <v>2020</v>
      </c>
      <c r="C625" s="8" t="n">
        <v>2023</v>
      </c>
      <c r="D625" s="8" t="s">
        <v>378</v>
      </c>
      <c r="E625" s="8" t="s">
        <v>9685</v>
      </c>
      <c r="F625" s="7" t="s">
        <v>11549</v>
      </c>
      <c r="G625" s="8" t="n">
        <v>7.2</v>
      </c>
      <c r="H625" s="8"/>
      <c r="I625" s="9" t="n">
        <v>57507</v>
      </c>
      <c r="J625" s="7"/>
      <c r="K625" s="7" t="s">
        <v>47</v>
      </c>
      <c r="L625" s="7" t="s">
        <v>54</v>
      </c>
      <c r="M625" s="10" t="s">
        <v>636</v>
      </c>
      <c r="N625" s="7"/>
      <c r="O625" s="8" t="n">
        <v>0</v>
      </c>
      <c r="P625" s="8" t="n">
        <v>0</v>
      </c>
      <c r="Q625" s="8" t="n">
        <v>0</v>
      </c>
      <c r="R625" s="7"/>
      <c r="S625" s="7" t="s">
        <v>11550</v>
      </c>
    </row>
    <row r="626" customFormat="false" ht="15.75" hidden="false" customHeight="true" outlineLevel="0" collapsed="false">
      <c r="A626" s="7" t="s">
        <v>11551</v>
      </c>
      <c r="B626" s="8" t="n">
        <v>2014</v>
      </c>
      <c r="C626" s="8" t="n">
        <v>2015</v>
      </c>
      <c r="D626" s="8" t="s">
        <v>176</v>
      </c>
      <c r="E626" s="8" t="s">
        <v>9685</v>
      </c>
      <c r="F626" s="7" t="s">
        <v>489</v>
      </c>
      <c r="G626" s="8" t="n">
        <v>8.4</v>
      </c>
      <c r="H626" s="8"/>
      <c r="I626" s="9" t="n">
        <v>57407</v>
      </c>
      <c r="J626" s="7"/>
      <c r="K626" s="7" t="s">
        <v>47</v>
      </c>
      <c r="L626" s="7" t="s">
        <v>453</v>
      </c>
      <c r="M626" s="10" t="s">
        <v>55</v>
      </c>
      <c r="N626" s="7"/>
      <c r="O626" s="8" t="n">
        <v>3</v>
      </c>
      <c r="P626" s="8" t="n">
        <v>0</v>
      </c>
      <c r="Q626" s="8" t="n">
        <v>38</v>
      </c>
      <c r="R626" s="7"/>
      <c r="S626" s="7" t="s">
        <v>11552</v>
      </c>
    </row>
    <row r="627" customFormat="false" ht="15.75" hidden="false" customHeight="true" outlineLevel="0" collapsed="false">
      <c r="A627" s="7" t="s">
        <v>11553</v>
      </c>
      <c r="B627" s="8" t="n">
        <v>2023</v>
      </c>
      <c r="C627" s="8" t="n">
        <v>2026</v>
      </c>
      <c r="D627" s="8" t="s">
        <v>378</v>
      </c>
      <c r="E627" s="8" t="s">
        <v>9685</v>
      </c>
      <c r="F627" s="7" t="s">
        <v>11554</v>
      </c>
      <c r="G627" s="8" t="n">
        <v>8.2</v>
      </c>
      <c r="H627" s="8"/>
      <c r="I627" s="9" t="n">
        <v>57373</v>
      </c>
      <c r="J627" s="7"/>
      <c r="K627" s="7" t="s">
        <v>30</v>
      </c>
      <c r="L627" s="7"/>
      <c r="M627" s="10" t="s">
        <v>113</v>
      </c>
      <c r="N627" s="7"/>
      <c r="O627" s="8" t="n">
        <v>0</v>
      </c>
      <c r="P627" s="8" t="n">
        <v>0</v>
      </c>
      <c r="Q627" s="8" t="n">
        <v>0</v>
      </c>
      <c r="R627" s="7"/>
      <c r="S627" s="7" t="s">
        <v>11555</v>
      </c>
    </row>
    <row r="628" customFormat="false" ht="15.75" hidden="false" customHeight="true" outlineLevel="0" collapsed="false">
      <c r="A628" s="7" t="s">
        <v>11556</v>
      </c>
      <c r="B628" s="8" t="n">
        <v>2008</v>
      </c>
      <c r="C628" s="8" t="n">
        <v>2012</v>
      </c>
      <c r="D628" s="8" t="s">
        <v>35</v>
      </c>
      <c r="E628" s="8" t="s">
        <v>9685</v>
      </c>
      <c r="F628" s="7" t="s">
        <v>11557</v>
      </c>
      <c r="G628" s="8" t="n">
        <v>7.9</v>
      </c>
      <c r="H628" s="8"/>
      <c r="I628" s="9" t="n">
        <v>57335</v>
      </c>
      <c r="J628" s="7"/>
      <c r="K628" s="7" t="s">
        <v>131</v>
      </c>
      <c r="L628" s="7" t="s">
        <v>54</v>
      </c>
      <c r="M628" s="10" t="s">
        <v>8596</v>
      </c>
      <c r="N628" s="7"/>
      <c r="O628" s="8" t="n">
        <v>0</v>
      </c>
      <c r="P628" s="8" t="n">
        <v>0</v>
      </c>
      <c r="Q628" s="8" t="n">
        <v>0</v>
      </c>
      <c r="R628" s="7"/>
      <c r="S628" s="7" t="s">
        <v>11558</v>
      </c>
    </row>
    <row r="629" customFormat="false" ht="15.75" hidden="false" customHeight="true" outlineLevel="0" collapsed="false">
      <c r="A629" s="7" t="s">
        <v>11559</v>
      </c>
      <c r="B629" s="8" t="n">
        <v>2018</v>
      </c>
      <c r="C629" s="8" t="n">
        <v>2024</v>
      </c>
      <c r="D629" s="8" t="s">
        <v>176</v>
      </c>
      <c r="E629" s="8" t="s">
        <v>9685</v>
      </c>
      <c r="F629" s="7" t="s">
        <v>11560</v>
      </c>
      <c r="G629" s="8" t="n">
        <v>8.9</v>
      </c>
      <c r="H629" s="8"/>
      <c r="I629" s="9" t="n">
        <v>57012</v>
      </c>
      <c r="J629" s="7"/>
      <c r="K629" s="7" t="s">
        <v>47</v>
      </c>
      <c r="L629" s="7" t="s">
        <v>54</v>
      </c>
      <c r="M629" s="10"/>
      <c r="N629" s="7"/>
      <c r="O629" s="8" t="n">
        <v>0</v>
      </c>
      <c r="P629" s="8" t="n">
        <v>0</v>
      </c>
      <c r="Q629" s="8" t="n">
        <v>0</v>
      </c>
      <c r="R629" s="7"/>
      <c r="S629" s="7" t="s">
        <v>11561</v>
      </c>
    </row>
    <row r="630" customFormat="false" ht="15.75" hidden="false" customHeight="true" outlineLevel="0" collapsed="false">
      <c r="A630" s="7" t="s">
        <v>11562</v>
      </c>
      <c r="B630" s="8" t="n">
        <v>1997</v>
      </c>
      <c r="C630" s="8" t="n">
        <v>2023</v>
      </c>
      <c r="D630" s="8" t="s">
        <v>26</v>
      </c>
      <c r="E630" s="8" t="s">
        <v>9685</v>
      </c>
      <c r="F630" s="7" t="s">
        <v>11563</v>
      </c>
      <c r="G630" s="8" t="n">
        <v>7.6</v>
      </c>
      <c r="H630" s="8" t="n">
        <v>8</v>
      </c>
      <c r="I630" s="9" t="n">
        <v>57326</v>
      </c>
      <c r="J630" s="7"/>
      <c r="K630" s="7" t="s">
        <v>579</v>
      </c>
      <c r="L630" s="7" t="s">
        <v>112</v>
      </c>
      <c r="M630" s="10" t="s">
        <v>11564</v>
      </c>
      <c r="N630" s="7"/>
      <c r="O630" s="8" t="n">
        <v>0</v>
      </c>
      <c r="P630" s="8" t="n">
        <v>0</v>
      </c>
      <c r="Q630" s="8" t="n">
        <v>0</v>
      </c>
      <c r="R630" s="7"/>
      <c r="S630" s="7" t="s">
        <v>11565</v>
      </c>
    </row>
    <row r="631" customFormat="false" ht="15.75" hidden="false" customHeight="true" outlineLevel="0" collapsed="false">
      <c r="A631" s="7" t="s">
        <v>11566</v>
      </c>
      <c r="B631" s="8" t="n">
        <v>2003</v>
      </c>
      <c r="C631" s="8" t="n">
        <v>2018</v>
      </c>
      <c r="D631" s="8" t="s">
        <v>35</v>
      </c>
      <c r="E631" s="8" t="s">
        <v>9685</v>
      </c>
      <c r="F631" s="7" t="s">
        <v>11567</v>
      </c>
      <c r="G631" s="8" t="n">
        <v>8.3</v>
      </c>
      <c r="H631" s="8"/>
      <c r="I631" s="9" t="n">
        <v>56871</v>
      </c>
      <c r="J631" s="7"/>
      <c r="K631" s="7" t="s">
        <v>2730</v>
      </c>
      <c r="L631" s="7" t="s">
        <v>125</v>
      </c>
      <c r="M631" s="10"/>
      <c r="N631" s="7"/>
      <c r="O631" s="8" t="n">
        <v>0</v>
      </c>
      <c r="P631" s="8" t="n">
        <v>0</v>
      </c>
      <c r="Q631" s="8" t="n">
        <v>57</v>
      </c>
      <c r="R631" s="7"/>
      <c r="S631" s="7" t="s">
        <v>11568</v>
      </c>
    </row>
    <row r="632" customFormat="false" ht="15.75" hidden="false" customHeight="true" outlineLevel="0" collapsed="false">
      <c r="A632" s="7" t="s">
        <v>11569</v>
      </c>
      <c r="B632" s="8" t="n">
        <v>2011</v>
      </c>
      <c r="C632" s="8" t="n">
        <v>2013</v>
      </c>
      <c r="D632" s="8" t="s">
        <v>176</v>
      </c>
      <c r="E632" s="8" t="s">
        <v>9685</v>
      </c>
      <c r="F632" s="7" t="s">
        <v>11570</v>
      </c>
      <c r="G632" s="8" t="n">
        <v>7.9</v>
      </c>
      <c r="H632" s="8"/>
      <c r="I632" s="9" t="n">
        <v>56829</v>
      </c>
      <c r="J632" s="7"/>
      <c r="K632" s="7" t="s">
        <v>47</v>
      </c>
      <c r="L632" s="7" t="s">
        <v>54</v>
      </c>
      <c r="M632" s="10" t="s">
        <v>192</v>
      </c>
      <c r="N632" s="7"/>
      <c r="O632" s="8" t="n">
        <v>3</v>
      </c>
      <c r="P632" s="8" t="n">
        <v>0</v>
      </c>
      <c r="Q632" s="8" t="n">
        <v>48</v>
      </c>
      <c r="R632" s="7"/>
      <c r="S632" s="7" t="s">
        <v>11571</v>
      </c>
    </row>
    <row r="633" customFormat="false" ht="15.75" hidden="false" customHeight="true" outlineLevel="0" collapsed="false">
      <c r="A633" s="7" t="s">
        <v>792</v>
      </c>
      <c r="B633" s="8" t="n">
        <v>2023</v>
      </c>
      <c r="C633" s="8"/>
      <c r="D633" s="8" t="s">
        <v>378</v>
      </c>
      <c r="E633" s="8" t="s">
        <v>9685</v>
      </c>
      <c r="F633" s="7" t="s">
        <v>10668</v>
      </c>
      <c r="G633" s="8" t="n">
        <v>8.3</v>
      </c>
      <c r="H633" s="8"/>
      <c r="I633" s="9" t="n">
        <v>56797</v>
      </c>
      <c r="J633" s="7"/>
      <c r="K633" s="7" t="s">
        <v>30</v>
      </c>
      <c r="L633" s="7" t="s">
        <v>54</v>
      </c>
      <c r="M633" s="10" t="s">
        <v>113</v>
      </c>
      <c r="N633" s="7"/>
      <c r="O633" s="8" t="n">
        <v>0</v>
      </c>
      <c r="P633" s="8" t="n">
        <v>0</v>
      </c>
      <c r="Q633" s="8" t="n">
        <v>0</v>
      </c>
      <c r="R633" s="7"/>
      <c r="S633" s="7" t="s">
        <v>11572</v>
      </c>
    </row>
    <row r="634" customFormat="false" ht="15.75" hidden="false" customHeight="true" outlineLevel="0" collapsed="false">
      <c r="A634" s="7" t="s">
        <v>11573</v>
      </c>
      <c r="B634" s="8" t="n">
        <v>2026</v>
      </c>
      <c r="C634" s="8" t="n">
        <v>2026</v>
      </c>
      <c r="D634" s="8" t="s">
        <v>378</v>
      </c>
      <c r="E634" s="8" t="s">
        <v>9715</v>
      </c>
      <c r="F634" s="7" t="s">
        <v>11574</v>
      </c>
      <c r="G634" s="8" t="n">
        <v>7.1</v>
      </c>
      <c r="H634" s="8"/>
      <c r="I634" s="9" t="n">
        <v>56711</v>
      </c>
      <c r="J634" s="7"/>
      <c r="K634" s="7" t="s">
        <v>47</v>
      </c>
      <c r="L634" s="7" t="s">
        <v>54</v>
      </c>
      <c r="M634" s="10" t="s">
        <v>238</v>
      </c>
      <c r="N634" s="7"/>
      <c r="O634" s="8" t="n">
        <v>0</v>
      </c>
      <c r="P634" s="8" t="n">
        <v>0</v>
      </c>
      <c r="Q634" s="8" t="n">
        <v>0</v>
      </c>
      <c r="R634" s="7"/>
      <c r="S634" s="7" t="s">
        <v>11575</v>
      </c>
    </row>
    <row r="635" customFormat="false" ht="15.75" hidden="false" customHeight="true" outlineLevel="0" collapsed="false">
      <c r="A635" s="7" t="s">
        <v>11576</v>
      </c>
      <c r="B635" s="8" t="n">
        <v>2022</v>
      </c>
      <c r="C635" s="8" t="n">
        <v>2024</v>
      </c>
      <c r="D635" s="8" t="s">
        <v>378</v>
      </c>
      <c r="E635" s="8" t="s">
        <v>9685</v>
      </c>
      <c r="F635" s="7" t="s">
        <v>11577</v>
      </c>
      <c r="G635" s="8" t="n">
        <v>8.1</v>
      </c>
      <c r="H635" s="8"/>
      <c r="I635" s="9" t="n">
        <v>56512</v>
      </c>
      <c r="J635" s="7"/>
      <c r="K635" s="7" t="s">
        <v>131</v>
      </c>
      <c r="L635" s="7" t="s">
        <v>54</v>
      </c>
      <c r="M635" s="10" t="s">
        <v>55</v>
      </c>
      <c r="N635" s="7"/>
      <c r="O635" s="8" t="n">
        <v>0</v>
      </c>
      <c r="P635" s="8" t="n">
        <v>0</v>
      </c>
      <c r="Q635" s="8" t="n">
        <v>0</v>
      </c>
      <c r="R635" s="7"/>
      <c r="S635" s="7" t="s">
        <v>11578</v>
      </c>
    </row>
    <row r="636" customFormat="false" ht="15.75" hidden="false" customHeight="true" outlineLevel="0" collapsed="false">
      <c r="A636" s="7" t="s">
        <v>11579</v>
      </c>
      <c r="B636" s="8" t="n">
        <v>2022</v>
      </c>
      <c r="C636" s="8"/>
      <c r="D636" s="8" t="s">
        <v>378</v>
      </c>
      <c r="E636" s="8" t="s">
        <v>9685</v>
      </c>
      <c r="F636" s="7" t="s">
        <v>11580</v>
      </c>
      <c r="G636" s="8" t="n">
        <v>8.4</v>
      </c>
      <c r="H636" s="8"/>
      <c r="I636" s="9" t="n">
        <v>56460</v>
      </c>
      <c r="J636" s="7"/>
      <c r="K636" s="7" t="s">
        <v>579</v>
      </c>
      <c r="L636" s="7" t="s">
        <v>112</v>
      </c>
      <c r="M636" s="10" t="s">
        <v>113</v>
      </c>
      <c r="N636" s="7"/>
      <c r="O636" s="8" t="n">
        <v>0</v>
      </c>
      <c r="P636" s="8" t="n">
        <v>0</v>
      </c>
      <c r="Q636" s="8" t="n">
        <v>0</v>
      </c>
      <c r="R636" s="7"/>
      <c r="S636" s="7" t="s">
        <v>11581</v>
      </c>
    </row>
    <row r="637" customFormat="false" ht="15.75" hidden="false" customHeight="true" outlineLevel="0" collapsed="false">
      <c r="A637" s="7" t="s">
        <v>11582</v>
      </c>
      <c r="B637" s="8" t="n">
        <v>2010</v>
      </c>
      <c r="C637" s="8" t="n">
        <v>2013</v>
      </c>
      <c r="D637" s="8" t="s">
        <v>176</v>
      </c>
      <c r="E637" s="8" t="s">
        <v>9685</v>
      </c>
      <c r="F637" s="7" t="s">
        <v>11583</v>
      </c>
      <c r="G637" s="8" t="n">
        <v>7.7</v>
      </c>
      <c r="H637" s="8"/>
      <c r="I637" s="9" t="n">
        <v>56437</v>
      </c>
      <c r="J637" s="7"/>
      <c r="K637" s="7" t="s">
        <v>112</v>
      </c>
      <c r="L637" s="7" t="s">
        <v>54</v>
      </c>
      <c r="M637" s="10" t="s">
        <v>113</v>
      </c>
      <c r="N637" s="7"/>
      <c r="O637" s="8" t="n">
        <v>0</v>
      </c>
      <c r="P637" s="8" t="n">
        <v>0</v>
      </c>
      <c r="Q637" s="8" t="n">
        <v>15</v>
      </c>
      <c r="R637" s="7"/>
      <c r="S637" s="7" t="s">
        <v>11584</v>
      </c>
    </row>
    <row r="638" customFormat="false" ht="15.75" hidden="false" customHeight="true" outlineLevel="0" collapsed="false">
      <c r="A638" s="7" t="s">
        <v>11585</v>
      </c>
      <c r="B638" s="8" t="n">
        <v>2013</v>
      </c>
      <c r="C638" s="8" t="n">
        <v>2014</v>
      </c>
      <c r="D638" s="8" t="s">
        <v>176</v>
      </c>
      <c r="E638" s="8" t="s">
        <v>9685</v>
      </c>
      <c r="F638" s="7" t="s">
        <v>11586</v>
      </c>
      <c r="G638" s="8" t="n">
        <v>8.4</v>
      </c>
      <c r="H638" s="8"/>
      <c r="I638" s="9" t="n">
        <v>56234</v>
      </c>
      <c r="J638" s="7"/>
      <c r="K638" s="7" t="s">
        <v>111</v>
      </c>
      <c r="L638" s="7" t="s">
        <v>125</v>
      </c>
      <c r="M638" s="10"/>
      <c r="N638" s="7"/>
      <c r="O638" s="8" t="n">
        <v>0</v>
      </c>
      <c r="P638" s="8" t="n">
        <v>0</v>
      </c>
      <c r="Q638" s="8" t="n">
        <v>0</v>
      </c>
      <c r="R638" s="7"/>
      <c r="S638" s="7" t="s">
        <v>11587</v>
      </c>
    </row>
    <row r="639" customFormat="false" ht="15.75" hidden="false" customHeight="true" outlineLevel="0" collapsed="false">
      <c r="A639" s="7" t="s">
        <v>11588</v>
      </c>
      <c r="B639" s="8" t="n">
        <v>2018</v>
      </c>
      <c r="C639" s="8" t="n">
        <v>2022</v>
      </c>
      <c r="D639" s="8" t="s">
        <v>176</v>
      </c>
      <c r="E639" s="8" t="s">
        <v>9685</v>
      </c>
      <c r="F639" s="7" t="s">
        <v>11589</v>
      </c>
      <c r="G639" s="8" t="n">
        <v>7.9</v>
      </c>
      <c r="H639" s="8"/>
      <c r="I639" s="9" t="n">
        <v>56123</v>
      </c>
      <c r="J639" s="7"/>
      <c r="K639" s="7" t="s">
        <v>47</v>
      </c>
      <c r="L639" s="7"/>
      <c r="M639" s="10" t="s">
        <v>8466</v>
      </c>
      <c r="N639" s="7"/>
      <c r="O639" s="8" t="n">
        <v>0</v>
      </c>
      <c r="P639" s="8" t="n">
        <v>0</v>
      </c>
      <c r="Q639" s="8" t="n">
        <v>3</v>
      </c>
      <c r="R639" s="7"/>
      <c r="S639" s="7" t="s">
        <v>11590</v>
      </c>
    </row>
    <row r="640" customFormat="false" ht="15.75" hidden="false" customHeight="true" outlineLevel="0" collapsed="false">
      <c r="A640" s="7" t="s">
        <v>11591</v>
      </c>
      <c r="B640" s="8" t="n">
        <v>2009</v>
      </c>
      <c r="C640" s="8" t="n">
        <v>2011</v>
      </c>
      <c r="D640" s="8" t="s">
        <v>35</v>
      </c>
      <c r="E640" s="8" t="s">
        <v>9685</v>
      </c>
      <c r="F640" s="7" t="s">
        <v>11592</v>
      </c>
      <c r="G640" s="8" t="n">
        <v>7.6</v>
      </c>
      <c r="H640" s="8"/>
      <c r="I640" s="9" t="n">
        <v>55976</v>
      </c>
      <c r="J640" s="7"/>
      <c r="K640" s="7" t="s">
        <v>111</v>
      </c>
      <c r="L640" s="7" t="s">
        <v>47</v>
      </c>
      <c r="M640" s="10" t="s">
        <v>187</v>
      </c>
      <c r="N640" s="7"/>
      <c r="O640" s="8" t="n">
        <v>0</v>
      </c>
      <c r="P640" s="8" t="n">
        <v>0</v>
      </c>
      <c r="Q640" s="8" t="n">
        <v>25</v>
      </c>
      <c r="R640" s="7"/>
      <c r="S640" s="7" t="s">
        <v>11593</v>
      </c>
    </row>
    <row r="641" customFormat="false" ht="15.75" hidden="false" customHeight="true" outlineLevel="0" collapsed="false">
      <c r="A641" s="7" t="s">
        <v>11594</v>
      </c>
      <c r="B641" s="8" t="n">
        <v>2023</v>
      </c>
      <c r="C641" s="8" t="n">
        <v>2023</v>
      </c>
      <c r="D641" s="8" t="s">
        <v>378</v>
      </c>
      <c r="E641" s="8" t="s">
        <v>9715</v>
      </c>
      <c r="F641" s="7" t="s">
        <v>11595</v>
      </c>
      <c r="G641" s="8" t="n">
        <v>8.2</v>
      </c>
      <c r="H641" s="8"/>
      <c r="I641" s="9" t="n">
        <v>55857</v>
      </c>
      <c r="J641" s="7"/>
      <c r="K641" s="7" t="s">
        <v>47</v>
      </c>
      <c r="L641" s="7"/>
      <c r="M641" s="10" t="s">
        <v>1293</v>
      </c>
      <c r="N641" s="7"/>
      <c r="O641" s="8" t="n">
        <v>0</v>
      </c>
      <c r="P641" s="8" t="n">
        <v>0</v>
      </c>
      <c r="Q641" s="8" t="n">
        <v>0</v>
      </c>
      <c r="R641" s="7"/>
      <c r="S641" s="7" t="s">
        <v>11596</v>
      </c>
    </row>
    <row r="642" customFormat="false" ht="15.75" hidden="false" customHeight="true" outlineLevel="0" collapsed="false">
      <c r="A642" s="7" t="s">
        <v>11597</v>
      </c>
      <c r="B642" s="8" t="n">
        <v>2014</v>
      </c>
      <c r="C642" s="8" t="n">
        <v>2020</v>
      </c>
      <c r="D642" s="8" t="s">
        <v>176</v>
      </c>
      <c r="E642" s="8" t="s">
        <v>9685</v>
      </c>
      <c r="F642" s="7" t="s">
        <v>11598</v>
      </c>
      <c r="G642" s="8" t="n">
        <v>8.7</v>
      </c>
      <c r="H642" s="8"/>
      <c r="I642" s="9" t="n">
        <v>55805</v>
      </c>
      <c r="J642" s="7"/>
      <c r="K642" s="7" t="s">
        <v>579</v>
      </c>
      <c r="L642" s="7" t="s">
        <v>30</v>
      </c>
      <c r="M642" s="10" t="s">
        <v>9751</v>
      </c>
      <c r="N642" s="7"/>
      <c r="O642" s="8" t="n">
        <v>0</v>
      </c>
      <c r="P642" s="8" t="n">
        <v>0</v>
      </c>
      <c r="Q642" s="8" t="n">
        <v>0</v>
      </c>
      <c r="R642" s="7"/>
      <c r="S642" s="7" t="s">
        <v>11599</v>
      </c>
    </row>
    <row r="643" customFormat="false" ht="15.75" hidden="false" customHeight="true" outlineLevel="0" collapsed="false">
      <c r="A643" s="7" t="s">
        <v>11600</v>
      </c>
      <c r="B643" s="8" t="n">
        <v>1993</v>
      </c>
      <c r="C643" s="8" t="n">
        <v>1999</v>
      </c>
      <c r="D643" s="8" t="s">
        <v>26</v>
      </c>
      <c r="E643" s="8" t="s">
        <v>9685</v>
      </c>
      <c r="F643" s="7" t="s">
        <v>11601</v>
      </c>
      <c r="G643" s="8" t="n">
        <v>7.2</v>
      </c>
      <c r="H643" s="8"/>
      <c r="I643" s="9" t="n">
        <v>55492</v>
      </c>
      <c r="J643" s="7"/>
      <c r="K643" s="7" t="s">
        <v>29</v>
      </c>
      <c r="L643" s="7" t="s">
        <v>30</v>
      </c>
      <c r="M643" s="10" t="s">
        <v>113</v>
      </c>
      <c r="N643" s="7"/>
      <c r="O643" s="8" t="n">
        <v>0</v>
      </c>
      <c r="P643" s="8" t="n">
        <v>0</v>
      </c>
      <c r="Q643" s="8" t="n">
        <v>2</v>
      </c>
      <c r="R643" s="7"/>
      <c r="S643" s="7" t="s">
        <v>11602</v>
      </c>
    </row>
    <row r="644" customFormat="false" ht="15.75" hidden="false" customHeight="true" outlineLevel="0" collapsed="false">
      <c r="A644" s="7" t="s">
        <v>11603</v>
      </c>
      <c r="B644" s="8" t="n">
        <v>2011</v>
      </c>
      <c r="C644" s="8" t="n">
        <v>2019</v>
      </c>
      <c r="D644" s="8" t="s">
        <v>176</v>
      </c>
      <c r="E644" s="8" t="s">
        <v>9685</v>
      </c>
      <c r="F644" s="7" t="s">
        <v>11604</v>
      </c>
      <c r="G644" s="8" t="n">
        <v>8.4</v>
      </c>
      <c r="H644" s="8"/>
      <c r="I644" s="9" t="n">
        <v>55473</v>
      </c>
      <c r="J644" s="7"/>
      <c r="K644" s="7" t="s">
        <v>579</v>
      </c>
      <c r="L644" s="7" t="s">
        <v>39</v>
      </c>
      <c r="M644" s="10" t="s">
        <v>5649</v>
      </c>
      <c r="N644" s="7"/>
      <c r="O644" s="8" t="n">
        <v>0</v>
      </c>
      <c r="P644" s="8" t="n">
        <v>0</v>
      </c>
      <c r="Q644" s="8" t="n">
        <v>0</v>
      </c>
      <c r="R644" s="7"/>
      <c r="S644" s="7" t="s">
        <v>11605</v>
      </c>
    </row>
    <row r="645" customFormat="false" ht="15.75" hidden="false" customHeight="true" outlineLevel="0" collapsed="false">
      <c r="A645" s="7" t="s">
        <v>11606</v>
      </c>
      <c r="B645" s="8" t="n">
        <v>2019</v>
      </c>
      <c r="C645" s="8" t="n">
        <v>2025</v>
      </c>
      <c r="D645" s="8" t="s">
        <v>176</v>
      </c>
      <c r="E645" s="8" t="s">
        <v>9685</v>
      </c>
      <c r="F645" s="7" t="s">
        <v>11607</v>
      </c>
      <c r="G645" s="8" t="n">
        <v>5.5</v>
      </c>
      <c r="H645" s="8"/>
      <c r="I645" s="9" t="n">
        <v>55454</v>
      </c>
      <c r="J645" s="7"/>
      <c r="K645" s="7" t="s">
        <v>29</v>
      </c>
      <c r="L645" s="7" t="s">
        <v>30</v>
      </c>
      <c r="M645" s="10" t="s">
        <v>113</v>
      </c>
      <c r="N645" s="7"/>
      <c r="O645" s="8" t="n">
        <v>0</v>
      </c>
      <c r="P645" s="8" t="n">
        <v>0</v>
      </c>
      <c r="Q645" s="8" t="n">
        <v>0</v>
      </c>
      <c r="R645" s="7"/>
      <c r="S645" s="7" t="s">
        <v>11608</v>
      </c>
    </row>
    <row r="646" customFormat="false" ht="15.75" hidden="false" customHeight="true" outlineLevel="0" collapsed="false">
      <c r="A646" s="7" t="s">
        <v>11609</v>
      </c>
      <c r="B646" s="8" t="n">
        <v>2023</v>
      </c>
      <c r="C646" s="8"/>
      <c r="D646" s="8" t="s">
        <v>378</v>
      </c>
      <c r="E646" s="8" t="s">
        <v>9685</v>
      </c>
      <c r="F646" s="7" t="s">
        <v>11610</v>
      </c>
      <c r="G646" s="8" t="n">
        <v>6.7</v>
      </c>
      <c r="H646" s="8"/>
      <c r="I646" s="9" t="n">
        <v>55442</v>
      </c>
      <c r="J646" s="7"/>
      <c r="K646" s="7" t="s">
        <v>90</v>
      </c>
      <c r="L646" s="7" t="s">
        <v>54</v>
      </c>
      <c r="M646" s="10"/>
      <c r="N646" s="7"/>
      <c r="O646" s="8" t="n">
        <v>0</v>
      </c>
      <c r="P646" s="8" t="n">
        <v>0</v>
      </c>
      <c r="Q646" s="8" t="n">
        <v>0</v>
      </c>
      <c r="R646" s="7"/>
      <c r="S646" s="7" t="s">
        <v>11611</v>
      </c>
    </row>
    <row r="647" customFormat="false" ht="15.75" hidden="false" customHeight="true" outlineLevel="0" collapsed="false">
      <c r="A647" s="7" t="s">
        <v>11612</v>
      </c>
      <c r="B647" s="8" t="n">
        <v>2022</v>
      </c>
      <c r="C647" s="8"/>
      <c r="D647" s="8" t="s">
        <v>378</v>
      </c>
      <c r="E647" s="8" t="s">
        <v>9685</v>
      </c>
      <c r="F647" s="7" t="s">
        <v>11613</v>
      </c>
      <c r="G647" s="8" t="n">
        <v>8.2</v>
      </c>
      <c r="H647" s="8"/>
      <c r="I647" s="9" t="n">
        <v>55215</v>
      </c>
      <c r="J647" s="7"/>
      <c r="K647" s="7" t="s">
        <v>131</v>
      </c>
      <c r="L647" s="7" t="s">
        <v>30</v>
      </c>
      <c r="M647" s="10" t="s">
        <v>1293</v>
      </c>
      <c r="N647" s="7"/>
      <c r="O647" s="8" t="n">
        <v>0</v>
      </c>
      <c r="P647" s="8" t="n">
        <v>0</v>
      </c>
      <c r="Q647" s="8" t="n">
        <v>0</v>
      </c>
      <c r="R647" s="7"/>
      <c r="S647" s="7" t="s">
        <v>11614</v>
      </c>
    </row>
    <row r="648" customFormat="false" ht="15.75" hidden="false" customHeight="true" outlineLevel="0" collapsed="false">
      <c r="A648" s="7" t="s">
        <v>11615</v>
      </c>
      <c r="B648" s="8" t="n">
        <v>2021</v>
      </c>
      <c r="C648" s="8" t="n">
        <v>2021</v>
      </c>
      <c r="D648" s="8" t="s">
        <v>378</v>
      </c>
      <c r="E648" s="8" t="s">
        <v>9715</v>
      </c>
      <c r="F648" s="7" t="s">
        <v>11616</v>
      </c>
      <c r="G648" s="8" t="n">
        <v>7.6</v>
      </c>
      <c r="H648" s="8"/>
      <c r="I648" s="9" t="n">
        <v>55127</v>
      </c>
      <c r="J648" s="7"/>
      <c r="K648" s="7" t="s">
        <v>131</v>
      </c>
      <c r="L648" s="7" t="s">
        <v>54</v>
      </c>
      <c r="M648" s="10" t="s">
        <v>238</v>
      </c>
      <c r="N648" s="7"/>
      <c r="O648" s="8" t="n">
        <v>0</v>
      </c>
      <c r="P648" s="8" t="n">
        <v>0</v>
      </c>
      <c r="Q648" s="8" t="n">
        <v>0</v>
      </c>
      <c r="R648" s="7"/>
      <c r="S648" s="7" t="s">
        <v>11617</v>
      </c>
    </row>
    <row r="649" customFormat="false" ht="15.75" hidden="false" customHeight="true" outlineLevel="0" collapsed="false">
      <c r="A649" s="7" t="s">
        <v>11618</v>
      </c>
      <c r="B649" s="8" t="n">
        <v>2024</v>
      </c>
      <c r="C649" s="8"/>
      <c r="D649" s="8" t="s">
        <v>378</v>
      </c>
      <c r="E649" s="8" t="s">
        <v>9685</v>
      </c>
      <c r="F649" s="7" t="s">
        <v>11619</v>
      </c>
      <c r="G649" s="8" t="n">
        <v>7</v>
      </c>
      <c r="H649" s="8"/>
      <c r="I649" s="9" t="n">
        <v>55053</v>
      </c>
      <c r="J649" s="7"/>
      <c r="K649" s="7" t="s">
        <v>112</v>
      </c>
      <c r="L649" s="7" t="s">
        <v>54</v>
      </c>
      <c r="M649" s="10" t="s">
        <v>113</v>
      </c>
      <c r="N649" s="7"/>
      <c r="O649" s="8" t="n">
        <v>0</v>
      </c>
      <c r="P649" s="8" t="n">
        <v>0</v>
      </c>
      <c r="Q649" s="8" t="n">
        <v>0</v>
      </c>
      <c r="R649" s="7"/>
      <c r="S649" s="7" t="s">
        <v>11620</v>
      </c>
    </row>
    <row r="650" customFormat="false" ht="15.75" hidden="false" customHeight="true" outlineLevel="0" collapsed="false">
      <c r="A650" s="7" t="s">
        <v>11621</v>
      </c>
      <c r="B650" s="8" t="n">
        <v>2017</v>
      </c>
      <c r="C650" s="8" t="n">
        <v>2019</v>
      </c>
      <c r="D650" s="8" t="s">
        <v>176</v>
      </c>
      <c r="E650" s="8" t="s">
        <v>9685</v>
      </c>
      <c r="F650" s="7" t="s">
        <v>11622</v>
      </c>
      <c r="G650" s="8" t="n">
        <v>8</v>
      </c>
      <c r="H650" s="8"/>
      <c r="I650" s="9" t="n">
        <v>54968</v>
      </c>
      <c r="J650" s="7"/>
      <c r="K650" s="7" t="s">
        <v>30</v>
      </c>
      <c r="L650" s="7" t="s">
        <v>75</v>
      </c>
      <c r="M650" s="10" t="s">
        <v>238</v>
      </c>
      <c r="N650" s="7"/>
      <c r="O650" s="8" t="n">
        <v>5</v>
      </c>
      <c r="P650" s="8" t="n">
        <v>0</v>
      </c>
      <c r="Q650" s="8" t="n">
        <v>55</v>
      </c>
      <c r="R650" s="7"/>
      <c r="S650" s="7" t="s">
        <v>11623</v>
      </c>
    </row>
    <row r="651" customFormat="false" ht="15.75" hidden="false" customHeight="true" outlineLevel="0" collapsed="false">
      <c r="A651" s="7" t="s">
        <v>11624</v>
      </c>
      <c r="B651" s="8" t="n">
        <v>2023</v>
      </c>
      <c r="C651" s="8" t="n">
        <v>2023</v>
      </c>
      <c r="D651" s="8" t="s">
        <v>378</v>
      </c>
      <c r="E651" s="8" t="s">
        <v>9715</v>
      </c>
      <c r="F651" s="7" t="s">
        <v>11625</v>
      </c>
      <c r="G651" s="8" t="n">
        <v>7.5</v>
      </c>
      <c r="H651" s="8"/>
      <c r="I651" s="9" t="n">
        <v>54891</v>
      </c>
      <c r="J651" s="7"/>
      <c r="K651" s="7" t="s">
        <v>47</v>
      </c>
      <c r="L651" s="7" t="s">
        <v>54</v>
      </c>
      <c r="M651" s="10" t="s">
        <v>5649</v>
      </c>
      <c r="N651" s="7"/>
      <c r="O651" s="8" t="n">
        <v>0</v>
      </c>
      <c r="P651" s="8" t="n">
        <v>0</v>
      </c>
      <c r="Q651" s="8" t="n">
        <v>0</v>
      </c>
      <c r="R651" s="7"/>
      <c r="S651" s="7" t="s">
        <v>11626</v>
      </c>
    </row>
    <row r="652" customFormat="false" ht="15.75" hidden="false" customHeight="true" outlineLevel="0" collapsed="false">
      <c r="A652" s="7" t="s">
        <v>11627</v>
      </c>
      <c r="B652" s="8" t="n">
        <v>2020</v>
      </c>
      <c r="C652" s="8" t="n">
        <v>2023</v>
      </c>
      <c r="D652" s="8" t="s">
        <v>378</v>
      </c>
      <c r="E652" s="8" t="s">
        <v>9685</v>
      </c>
      <c r="F652" s="7" t="s">
        <v>11628</v>
      </c>
      <c r="G652" s="8" t="n">
        <v>7.3</v>
      </c>
      <c r="H652" s="8"/>
      <c r="I652" s="9" t="n">
        <v>54863</v>
      </c>
      <c r="J652" s="7"/>
      <c r="K652" s="7" t="s">
        <v>38</v>
      </c>
      <c r="L652" s="7" t="s">
        <v>112</v>
      </c>
      <c r="M652" s="10" t="s">
        <v>238</v>
      </c>
      <c r="N652" s="7"/>
      <c r="O652" s="8" t="n">
        <v>0</v>
      </c>
      <c r="P652" s="8" t="n">
        <v>0</v>
      </c>
      <c r="Q652" s="8" t="n">
        <v>0</v>
      </c>
      <c r="R652" s="7"/>
      <c r="S652" s="7" t="s">
        <v>11629</v>
      </c>
    </row>
    <row r="653" customFormat="false" ht="15.75" hidden="false" customHeight="true" outlineLevel="0" collapsed="false">
      <c r="A653" s="7" t="s">
        <v>6632</v>
      </c>
      <c r="B653" s="8" t="n">
        <v>1992</v>
      </c>
      <c r="C653" s="8" t="n">
        <v>1997</v>
      </c>
      <c r="D653" s="8" t="s">
        <v>26</v>
      </c>
      <c r="E653" s="8" t="s">
        <v>9685</v>
      </c>
      <c r="F653" s="7" t="s">
        <v>11630</v>
      </c>
      <c r="G653" s="8" t="n">
        <v>8.4</v>
      </c>
      <c r="H653" s="8"/>
      <c r="I653" s="9" t="n">
        <v>54816</v>
      </c>
      <c r="J653" s="7"/>
      <c r="K653" s="7" t="s">
        <v>579</v>
      </c>
      <c r="L653" s="7" t="s">
        <v>112</v>
      </c>
      <c r="M653" s="10" t="s">
        <v>177</v>
      </c>
      <c r="N653" s="7"/>
      <c r="O653" s="8" t="n">
        <v>0</v>
      </c>
      <c r="P653" s="8" t="n">
        <v>0</v>
      </c>
      <c r="Q653" s="8" t="n">
        <v>0</v>
      </c>
      <c r="R653" s="7"/>
      <c r="S653" s="7" t="s">
        <v>11631</v>
      </c>
    </row>
    <row r="654" customFormat="false" ht="15.75" hidden="false" customHeight="true" outlineLevel="0" collapsed="false">
      <c r="A654" s="7" t="s">
        <v>11632</v>
      </c>
      <c r="B654" s="8" t="n">
        <v>2009</v>
      </c>
      <c r="C654" s="8" t="n">
        <v>2015</v>
      </c>
      <c r="D654" s="8" t="s">
        <v>35</v>
      </c>
      <c r="E654" s="8" t="s">
        <v>9685</v>
      </c>
      <c r="F654" s="7" t="s">
        <v>11633</v>
      </c>
      <c r="G654" s="8" t="n">
        <v>8.2</v>
      </c>
      <c r="H654" s="8"/>
      <c r="I654" s="9" t="n">
        <v>54687</v>
      </c>
      <c r="J654" s="7"/>
      <c r="K654" s="7" t="s">
        <v>30</v>
      </c>
      <c r="L654" s="7" t="s">
        <v>75</v>
      </c>
      <c r="M654" s="10"/>
      <c r="N654" s="7"/>
      <c r="O654" s="8" t="n">
        <v>0</v>
      </c>
      <c r="P654" s="8" t="n">
        <v>0</v>
      </c>
      <c r="Q654" s="8" t="n">
        <v>0</v>
      </c>
      <c r="R654" s="7"/>
      <c r="S654" s="7" t="s">
        <v>11634</v>
      </c>
    </row>
    <row r="655" customFormat="false" ht="15.75" hidden="false" customHeight="true" outlineLevel="0" collapsed="false">
      <c r="A655" s="7" t="s">
        <v>11635</v>
      </c>
      <c r="B655" s="8" t="n">
        <v>2010</v>
      </c>
      <c r="C655" s="8" t="n">
        <v>2024</v>
      </c>
      <c r="D655" s="8" t="s">
        <v>176</v>
      </c>
      <c r="E655" s="8" t="s">
        <v>9685</v>
      </c>
      <c r="F655" s="7" t="s">
        <v>11636</v>
      </c>
      <c r="G655" s="8" t="n">
        <v>7.7</v>
      </c>
      <c r="H655" s="8"/>
      <c r="I655" s="9" t="n">
        <v>54676</v>
      </c>
      <c r="J655" s="7"/>
      <c r="K655" s="7" t="s">
        <v>47</v>
      </c>
      <c r="L655" s="7" t="s">
        <v>54</v>
      </c>
      <c r="M655" s="10" t="s">
        <v>220</v>
      </c>
      <c r="N655" s="7"/>
      <c r="O655" s="8" t="n">
        <v>0</v>
      </c>
      <c r="P655" s="8" t="n">
        <v>0</v>
      </c>
      <c r="Q655" s="8" t="n">
        <v>1</v>
      </c>
      <c r="R655" s="7"/>
      <c r="S655" s="7" t="s">
        <v>11637</v>
      </c>
    </row>
    <row r="656" customFormat="false" ht="15.75" hidden="false" customHeight="true" outlineLevel="0" collapsed="false">
      <c r="A656" s="7" t="s">
        <v>11638</v>
      </c>
      <c r="B656" s="8" t="n">
        <v>2021</v>
      </c>
      <c r="C656" s="8" t="n">
        <v>2026</v>
      </c>
      <c r="D656" s="8" t="s">
        <v>378</v>
      </c>
      <c r="E656" s="8" t="s">
        <v>9685</v>
      </c>
      <c r="F656" s="7" t="s">
        <v>11639</v>
      </c>
      <c r="G656" s="8" t="n">
        <v>8.2</v>
      </c>
      <c r="H656" s="8"/>
      <c r="I656" s="9" t="n">
        <v>54316</v>
      </c>
      <c r="J656" s="7"/>
      <c r="K656" s="7" t="s">
        <v>30</v>
      </c>
      <c r="L656" s="7"/>
      <c r="M656" s="10" t="s">
        <v>177</v>
      </c>
      <c r="N656" s="7"/>
      <c r="O656" s="8" t="n">
        <v>0</v>
      </c>
      <c r="P656" s="8" t="n">
        <v>0</v>
      </c>
      <c r="Q656" s="8" t="n">
        <v>0</v>
      </c>
      <c r="R656" s="7"/>
      <c r="S656" s="7" t="s">
        <v>11640</v>
      </c>
    </row>
    <row r="657" customFormat="false" ht="15.75" hidden="false" customHeight="true" outlineLevel="0" collapsed="false">
      <c r="A657" s="7" t="s">
        <v>11310</v>
      </c>
      <c r="B657" s="8" t="n">
        <v>1986</v>
      </c>
      <c r="C657" s="8" t="n">
        <v>1986</v>
      </c>
      <c r="D657" s="8" t="s">
        <v>109</v>
      </c>
      <c r="E657" s="8" t="s">
        <v>9685</v>
      </c>
      <c r="F657" s="7" t="s">
        <v>11641</v>
      </c>
      <c r="G657" s="8" t="n">
        <v>8.6</v>
      </c>
      <c r="H657" s="8"/>
      <c r="I657" s="9" t="n">
        <v>54206</v>
      </c>
      <c r="J657" s="7"/>
      <c r="K657" s="7" t="s">
        <v>30</v>
      </c>
      <c r="L657" s="7"/>
      <c r="M657" s="10"/>
      <c r="N657" s="7"/>
      <c r="O657" s="8" t="n">
        <v>0</v>
      </c>
      <c r="P657" s="8" t="n">
        <v>0</v>
      </c>
      <c r="Q657" s="8" t="n">
        <v>0</v>
      </c>
      <c r="R657" s="7"/>
      <c r="S657" s="7" t="s">
        <v>11312</v>
      </c>
    </row>
    <row r="658" customFormat="false" ht="15.75" hidden="false" customHeight="true" outlineLevel="0" collapsed="false">
      <c r="A658" s="7" t="s">
        <v>760</v>
      </c>
      <c r="B658" s="8" t="n">
        <v>2015</v>
      </c>
      <c r="C658" s="8" t="n">
        <v>2018</v>
      </c>
      <c r="D658" s="8" t="s">
        <v>176</v>
      </c>
      <c r="E658" s="8" t="s">
        <v>9685</v>
      </c>
      <c r="F658" s="7" t="s">
        <v>11642</v>
      </c>
      <c r="G658" s="8" t="n">
        <v>7.7</v>
      </c>
      <c r="H658" s="8"/>
      <c r="I658" s="9" t="n">
        <v>54172</v>
      </c>
      <c r="J658" s="7"/>
      <c r="K658" s="7" t="s">
        <v>39</v>
      </c>
      <c r="L658" s="7" t="s">
        <v>125</v>
      </c>
      <c r="M658" s="10" t="s">
        <v>192</v>
      </c>
      <c r="N658" s="7"/>
      <c r="O658" s="8" t="n">
        <v>0</v>
      </c>
      <c r="P658" s="8" t="n">
        <v>0</v>
      </c>
      <c r="Q658" s="8" t="n">
        <v>0</v>
      </c>
      <c r="R658" s="7"/>
      <c r="S658" s="7" t="s">
        <v>11643</v>
      </c>
    </row>
    <row r="659" customFormat="false" ht="15.75" hidden="false" customHeight="true" outlineLevel="0" collapsed="false">
      <c r="A659" s="7" t="s">
        <v>1135</v>
      </c>
      <c r="B659" s="8" t="n">
        <v>2019</v>
      </c>
      <c r="C659" s="8" t="n">
        <v>2023</v>
      </c>
      <c r="D659" s="8" t="s">
        <v>176</v>
      </c>
      <c r="E659" s="8" t="s">
        <v>9685</v>
      </c>
      <c r="F659" s="7" t="s">
        <v>11644</v>
      </c>
      <c r="G659" s="8" t="n">
        <v>8.4</v>
      </c>
      <c r="H659" s="8"/>
      <c r="I659" s="9" t="n">
        <v>54049</v>
      </c>
      <c r="J659" s="7"/>
      <c r="K659" s="7" t="s">
        <v>112</v>
      </c>
      <c r="L659" s="7" t="s">
        <v>54</v>
      </c>
      <c r="M659" s="10" t="s">
        <v>55</v>
      </c>
      <c r="N659" s="7"/>
      <c r="O659" s="8" t="n">
        <v>0</v>
      </c>
      <c r="P659" s="8" t="n">
        <v>0</v>
      </c>
      <c r="Q659" s="8" t="n">
        <v>4</v>
      </c>
      <c r="R659" s="7"/>
      <c r="S659" s="7" t="s">
        <v>11645</v>
      </c>
    </row>
    <row r="660" customFormat="false" ht="15.75" hidden="false" customHeight="true" outlineLevel="0" collapsed="false">
      <c r="A660" s="7" t="s">
        <v>11646</v>
      </c>
      <c r="B660" s="8" t="n">
        <v>2004</v>
      </c>
      <c r="C660" s="8" t="n">
        <v>2008</v>
      </c>
      <c r="D660" s="8" t="s">
        <v>35</v>
      </c>
      <c r="E660" s="8" t="s">
        <v>9685</v>
      </c>
      <c r="F660" s="7" t="s">
        <v>11647</v>
      </c>
      <c r="G660" s="8" t="n">
        <v>8.5</v>
      </c>
      <c r="H660" s="8"/>
      <c r="I660" s="9" t="n">
        <v>54028</v>
      </c>
      <c r="J660" s="7"/>
      <c r="K660" s="7" t="s">
        <v>30</v>
      </c>
      <c r="L660" s="7" t="s">
        <v>54</v>
      </c>
      <c r="M660" s="10"/>
      <c r="N660" s="7"/>
      <c r="O660" s="8" t="n">
        <v>3</v>
      </c>
      <c r="P660" s="8" t="n">
        <v>0</v>
      </c>
      <c r="Q660" s="8" t="n">
        <v>38</v>
      </c>
      <c r="R660" s="7"/>
      <c r="S660" s="7" t="s">
        <v>11648</v>
      </c>
    </row>
    <row r="661" customFormat="false" ht="15.75" hidden="false" customHeight="true" outlineLevel="0" collapsed="false">
      <c r="A661" s="7" t="s">
        <v>11649</v>
      </c>
      <c r="B661" s="8" t="n">
        <v>2022</v>
      </c>
      <c r="C661" s="8"/>
      <c r="D661" s="8" t="s">
        <v>378</v>
      </c>
      <c r="E661" s="8" t="s">
        <v>9685</v>
      </c>
      <c r="F661" s="7" t="s">
        <v>11650</v>
      </c>
      <c r="G661" s="8" t="n">
        <v>8.1</v>
      </c>
      <c r="H661" s="8"/>
      <c r="I661" s="9" t="n">
        <v>54021</v>
      </c>
      <c r="J661" s="7"/>
      <c r="K661" s="7" t="s">
        <v>47</v>
      </c>
      <c r="L661" s="7"/>
      <c r="M661" s="10" t="s">
        <v>55</v>
      </c>
      <c r="N661" s="7"/>
      <c r="O661" s="8" t="n">
        <v>0</v>
      </c>
      <c r="P661" s="8" t="n">
        <v>0</v>
      </c>
      <c r="Q661" s="8" t="n">
        <v>0</v>
      </c>
      <c r="R661" s="7"/>
      <c r="S661" s="7" t="s">
        <v>11651</v>
      </c>
    </row>
    <row r="662" customFormat="false" ht="15.75" hidden="false" customHeight="true" outlineLevel="0" collapsed="false">
      <c r="A662" s="7" t="s">
        <v>11652</v>
      </c>
      <c r="B662" s="8" t="n">
        <v>2013</v>
      </c>
      <c r="C662" s="8" t="n">
        <v>2014</v>
      </c>
      <c r="D662" s="8" t="s">
        <v>176</v>
      </c>
      <c r="E662" s="8" t="s">
        <v>9685</v>
      </c>
      <c r="F662" s="7" t="s">
        <v>11653</v>
      </c>
      <c r="G662" s="8" t="n">
        <v>7.9</v>
      </c>
      <c r="H662" s="8"/>
      <c r="I662" s="9" t="n">
        <v>53873</v>
      </c>
      <c r="J662" s="7"/>
      <c r="K662" s="7" t="s">
        <v>112</v>
      </c>
      <c r="L662" s="7" t="s">
        <v>54</v>
      </c>
      <c r="M662" s="10"/>
      <c r="N662" s="7"/>
      <c r="O662" s="8" t="n">
        <v>0</v>
      </c>
      <c r="P662" s="8" t="n">
        <v>0</v>
      </c>
      <c r="Q662" s="8" t="n">
        <v>0</v>
      </c>
      <c r="R662" s="7"/>
      <c r="S662" s="7" t="s">
        <v>11654</v>
      </c>
    </row>
    <row r="663" customFormat="false" ht="15.75" hidden="false" customHeight="true" outlineLevel="0" collapsed="false">
      <c r="A663" s="7" t="s">
        <v>11655</v>
      </c>
      <c r="B663" s="8" t="n">
        <v>2023</v>
      </c>
      <c r="C663" s="8" t="n">
        <v>2023</v>
      </c>
      <c r="D663" s="8" t="s">
        <v>378</v>
      </c>
      <c r="E663" s="8" t="s">
        <v>9715</v>
      </c>
      <c r="F663" s="7" t="s">
        <v>5498</v>
      </c>
      <c r="G663" s="8" t="n">
        <v>7.5</v>
      </c>
      <c r="H663" s="8"/>
      <c r="I663" s="9" t="n">
        <v>53866</v>
      </c>
      <c r="J663" s="7"/>
      <c r="K663" s="7" t="s">
        <v>154</v>
      </c>
      <c r="L663" s="7" t="s">
        <v>453</v>
      </c>
      <c r="M663" s="10" t="s">
        <v>238</v>
      </c>
      <c r="N663" s="7"/>
      <c r="O663" s="8" t="n">
        <v>0</v>
      </c>
      <c r="P663" s="8" t="n">
        <v>0</v>
      </c>
      <c r="Q663" s="8" t="n">
        <v>0</v>
      </c>
      <c r="R663" s="7"/>
      <c r="S663" s="7" t="s">
        <v>11656</v>
      </c>
    </row>
    <row r="664" customFormat="false" ht="15.75" hidden="false" customHeight="true" outlineLevel="0" collapsed="false">
      <c r="A664" s="7" t="s">
        <v>11657</v>
      </c>
      <c r="B664" s="8" t="n">
        <v>2009</v>
      </c>
      <c r="C664" s="8" t="n">
        <v>2010</v>
      </c>
      <c r="D664" s="8" t="s">
        <v>35</v>
      </c>
      <c r="E664" s="8" t="s">
        <v>9685</v>
      </c>
      <c r="F664" s="7" t="s">
        <v>11658</v>
      </c>
      <c r="G664" s="8" t="n">
        <v>7.7</v>
      </c>
      <c r="H664" s="8"/>
      <c r="I664" s="9" t="n">
        <v>53853</v>
      </c>
      <c r="J664" s="7"/>
      <c r="K664" s="7" t="s">
        <v>111</v>
      </c>
      <c r="L664" s="7" t="s">
        <v>125</v>
      </c>
      <c r="M664" s="10"/>
      <c r="N664" s="7"/>
      <c r="O664" s="8" t="n">
        <v>0</v>
      </c>
      <c r="P664" s="8" t="n">
        <v>0</v>
      </c>
      <c r="Q664" s="8" t="n">
        <v>0</v>
      </c>
      <c r="R664" s="7"/>
      <c r="S664" s="7" t="s">
        <v>11659</v>
      </c>
    </row>
    <row r="665" customFormat="false" ht="15.75" hidden="false" customHeight="true" outlineLevel="0" collapsed="false">
      <c r="A665" s="7" t="s">
        <v>11660</v>
      </c>
      <c r="B665" s="8" t="n">
        <v>2020</v>
      </c>
      <c r="C665" s="8"/>
      <c r="D665" s="8" t="s">
        <v>378</v>
      </c>
      <c r="E665" s="8" t="s">
        <v>9685</v>
      </c>
      <c r="F665" s="7" t="s">
        <v>11661</v>
      </c>
      <c r="G665" s="8" t="n">
        <v>8</v>
      </c>
      <c r="H665" s="8"/>
      <c r="I665" s="9" t="n">
        <v>53842</v>
      </c>
      <c r="J665" s="7"/>
      <c r="K665" s="7" t="s">
        <v>112</v>
      </c>
      <c r="L665" s="7" t="s">
        <v>54</v>
      </c>
      <c r="M665" s="10" t="s">
        <v>192</v>
      </c>
      <c r="N665" s="7"/>
      <c r="O665" s="8" t="n">
        <v>0</v>
      </c>
      <c r="P665" s="8" t="n">
        <v>0</v>
      </c>
      <c r="Q665" s="8" t="n">
        <v>1</v>
      </c>
      <c r="R665" s="7"/>
      <c r="S665" s="7" t="s">
        <v>11662</v>
      </c>
    </row>
    <row r="666" customFormat="false" ht="15.75" hidden="false" customHeight="true" outlineLevel="0" collapsed="false">
      <c r="A666" s="7" t="s">
        <v>11663</v>
      </c>
      <c r="B666" s="8" t="n">
        <v>1991</v>
      </c>
      <c r="C666" s="8" t="n">
        <v>1999</v>
      </c>
      <c r="D666" s="8" t="s">
        <v>26</v>
      </c>
      <c r="E666" s="8" t="s">
        <v>9685</v>
      </c>
      <c r="F666" s="7" t="s">
        <v>11664</v>
      </c>
      <c r="G666" s="8" t="n">
        <v>7.3</v>
      </c>
      <c r="H666" s="8"/>
      <c r="I666" s="9" t="n">
        <v>53767</v>
      </c>
      <c r="J666" s="7"/>
      <c r="K666" s="7" t="s">
        <v>30</v>
      </c>
      <c r="L666" s="7"/>
      <c r="M666" s="10" t="s">
        <v>177</v>
      </c>
      <c r="N666" s="7"/>
      <c r="O666" s="8" t="n">
        <v>0</v>
      </c>
      <c r="P666" s="8" t="n">
        <v>0</v>
      </c>
      <c r="Q666" s="8" t="n">
        <v>2</v>
      </c>
      <c r="R666" s="7"/>
      <c r="S666" s="7" t="s">
        <v>11665</v>
      </c>
    </row>
    <row r="667" customFormat="false" ht="15.75" hidden="false" customHeight="true" outlineLevel="0" collapsed="false">
      <c r="A667" s="7" t="s">
        <v>11666</v>
      </c>
      <c r="B667" s="8" t="n">
        <v>2019</v>
      </c>
      <c r="C667" s="8" t="n">
        <v>2023</v>
      </c>
      <c r="D667" s="8" t="s">
        <v>176</v>
      </c>
      <c r="E667" s="8" t="s">
        <v>9685</v>
      </c>
      <c r="F667" s="7" t="s">
        <v>11667</v>
      </c>
      <c r="G667" s="8" t="n">
        <v>7.4</v>
      </c>
      <c r="H667" s="8"/>
      <c r="I667" s="9" t="n">
        <v>53747</v>
      </c>
      <c r="J667" s="7"/>
      <c r="K667" s="7" t="s">
        <v>147</v>
      </c>
      <c r="L667" s="7" t="s">
        <v>125</v>
      </c>
      <c r="M667" s="10" t="s">
        <v>1293</v>
      </c>
      <c r="N667" s="7"/>
      <c r="O667" s="8" t="n">
        <v>0</v>
      </c>
      <c r="P667" s="8" t="n">
        <v>0</v>
      </c>
      <c r="Q667" s="8" t="n">
        <v>1</v>
      </c>
      <c r="R667" s="7"/>
      <c r="S667" s="7" t="s">
        <v>11668</v>
      </c>
    </row>
    <row r="668" customFormat="false" ht="15.75" hidden="false" customHeight="true" outlineLevel="0" collapsed="false">
      <c r="A668" s="7" t="s">
        <v>11669</v>
      </c>
      <c r="B668" s="8" t="n">
        <v>1980</v>
      </c>
      <c r="C668" s="8" t="n">
        <v>1980</v>
      </c>
      <c r="D668" s="8" t="s">
        <v>109</v>
      </c>
      <c r="E668" s="8" t="s">
        <v>9715</v>
      </c>
      <c r="F668" s="7" t="s">
        <v>11670</v>
      </c>
      <c r="G668" s="8" t="n">
        <v>9.3</v>
      </c>
      <c r="H668" s="8"/>
      <c r="I668" s="9" t="n">
        <v>53579</v>
      </c>
      <c r="J668" s="7"/>
      <c r="K668" s="7" t="s">
        <v>2730</v>
      </c>
      <c r="L668" s="7"/>
      <c r="M668" s="10"/>
      <c r="N668" s="7"/>
      <c r="O668" s="8" t="n">
        <v>0</v>
      </c>
      <c r="P668" s="8" t="n">
        <v>0</v>
      </c>
      <c r="Q668" s="8" t="n">
        <v>0</v>
      </c>
      <c r="R668" s="7"/>
      <c r="S668" s="7" t="s">
        <v>11671</v>
      </c>
    </row>
    <row r="669" customFormat="false" ht="15.75" hidden="false" customHeight="true" outlineLevel="0" collapsed="false">
      <c r="A669" s="7" t="s">
        <v>11672</v>
      </c>
      <c r="B669" s="8" t="n">
        <v>2023</v>
      </c>
      <c r="C669" s="8"/>
      <c r="D669" s="8" t="s">
        <v>378</v>
      </c>
      <c r="E669" s="8" t="s">
        <v>9685</v>
      </c>
      <c r="F669" s="7" t="s">
        <v>11673</v>
      </c>
      <c r="G669" s="8" t="n">
        <v>7</v>
      </c>
      <c r="H669" s="8"/>
      <c r="I669" s="9" t="n">
        <v>53556</v>
      </c>
      <c r="J669" s="7"/>
      <c r="K669" s="7" t="s">
        <v>112</v>
      </c>
      <c r="L669" s="7" t="s">
        <v>259</v>
      </c>
      <c r="M669" s="10" t="s">
        <v>177</v>
      </c>
      <c r="N669" s="7"/>
      <c r="O669" s="8" t="n">
        <v>0</v>
      </c>
      <c r="P669" s="8" t="n">
        <v>0</v>
      </c>
      <c r="Q669" s="8" t="n">
        <v>0</v>
      </c>
      <c r="R669" s="7"/>
      <c r="S669" s="7" t="s">
        <v>11674</v>
      </c>
    </row>
    <row r="670" customFormat="false" ht="15.75" hidden="false" customHeight="true" outlineLevel="0" collapsed="false">
      <c r="A670" s="7" t="s">
        <v>11675</v>
      </c>
      <c r="B670" s="8" t="n">
        <v>1985</v>
      </c>
      <c r="C670" s="8" t="n">
        <v>1992</v>
      </c>
      <c r="D670" s="8" t="s">
        <v>109</v>
      </c>
      <c r="E670" s="8" t="s">
        <v>9685</v>
      </c>
      <c r="F670" s="7" t="s">
        <v>11676</v>
      </c>
      <c r="G670" s="8" t="n">
        <v>8.2</v>
      </c>
      <c r="H670" s="8"/>
      <c r="I670" s="9" t="n">
        <v>53510</v>
      </c>
      <c r="J670" s="7"/>
      <c r="K670" s="7" t="s">
        <v>30</v>
      </c>
      <c r="L670" s="7" t="s">
        <v>47</v>
      </c>
      <c r="M670" s="10" t="s">
        <v>552</v>
      </c>
      <c r="N670" s="7"/>
      <c r="O670" s="8" t="n">
        <v>2</v>
      </c>
      <c r="P670" s="8" t="n">
        <v>0</v>
      </c>
      <c r="Q670" s="8" t="n">
        <v>18</v>
      </c>
      <c r="R670" s="7"/>
      <c r="S670" s="7" t="s">
        <v>11677</v>
      </c>
    </row>
    <row r="671" customFormat="false" ht="15.75" hidden="false" customHeight="true" outlineLevel="0" collapsed="false">
      <c r="A671" s="7" t="s">
        <v>11678</v>
      </c>
      <c r="B671" s="8" t="n">
        <v>2018</v>
      </c>
      <c r="C671" s="8" t="n">
        <v>2021</v>
      </c>
      <c r="D671" s="8" t="s">
        <v>176</v>
      </c>
      <c r="E671" s="8" t="s">
        <v>9685</v>
      </c>
      <c r="F671" s="7" t="s">
        <v>11679</v>
      </c>
      <c r="G671" s="8" t="n">
        <v>8.7</v>
      </c>
      <c r="H671" s="8"/>
      <c r="I671" s="9" t="n">
        <v>53353</v>
      </c>
      <c r="J671" s="7"/>
      <c r="K671" s="7" t="s">
        <v>30</v>
      </c>
      <c r="L671" s="7" t="s">
        <v>54</v>
      </c>
      <c r="M671" s="10" t="s">
        <v>177</v>
      </c>
      <c r="N671" s="7"/>
      <c r="O671" s="8" t="n">
        <v>0</v>
      </c>
      <c r="P671" s="8" t="n">
        <v>0</v>
      </c>
      <c r="Q671" s="8" t="n">
        <v>0</v>
      </c>
      <c r="R671" s="7"/>
      <c r="S671" s="7" t="s">
        <v>11680</v>
      </c>
    </row>
    <row r="672" customFormat="false" ht="15.75" hidden="false" customHeight="true" outlineLevel="0" collapsed="false">
      <c r="A672" s="7" t="s">
        <v>11681</v>
      </c>
      <c r="B672" s="8" t="n">
        <v>2024</v>
      </c>
      <c r="C672" s="8"/>
      <c r="D672" s="8" t="s">
        <v>378</v>
      </c>
      <c r="E672" s="8" t="s">
        <v>9685</v>
      </c>
      <c r="F672" s="7" t="s">
        <v>11682</v>
      </c>
      <c r="G672" s="8" t="n">
        <v>7.6</v>
      </c>
      <c r="H672" s="8"/>
      <c r="I672" s="9" t="n">
        <v>53314</v>
      </c>
      <c r="J672" s="7"/>
      <c r="K672" s="7" t="s">
        <v>30</v>
      </c>
      <c r="L672" s="7" t="s">
        <v>54</v>
      </c>
      <c r="M672" s="10" t="s">
        <v>177</v>
      </c>
      <c r="N672" s="7"/>
      <c r="O672" s="8" t="n">
        <v>0</v>
      </c>
      <c r="P672" s="8" t="n">
        <v>0</v>
      </c>
      <c r="Q672" s="8" t="n">
        <v>0</v>
      </c>
      <c r="R672" s="7"/>
      <c r="S672" s="7" t="s">
        <v>11683</v>
      </c>
    </row>
    <row r="673" customFormat="false" ht="15.75" hidden="false" customHeight="true" outlineLevel="0" collapsed="false">
      <c r="A673" s="7" t="s">
        <v>11684</v>
      </c>
      <c r="B673" s="8" t="n">
        <v>2019</v>
      </c>
      <c r="C673" s="8" t="n">
        <v>2024</v>
      </c>
      <c r="D673" s="8" t="s">
        <v>176</v>
      </c>
      <c r="E673" s="8" t="s">
        <v>9685</v>
      </c>
      <c r="F673" s="7" t="s">
        <v>11685</v>
      </c>
      <c r="G673" s="8" t="n">
        <v>7.7</v>
      </c>
      <c r="H673" s="8"/>
      <c r="I673" s="9" t="n">
        <v>53309</v>
      </c>
      <c r="J673" s="7"/>
      <c r="K673" s="7" t="s">
        <v>147</v>
      </c>
      <c r="L673" s="7" t="s">
        <v>54</v>
      </c>
      <c r="M673" s="10" t="s">
        <v>2666</v>
      </c>
      <c r="N673" s="7"/>
      <c r="O673" s="8" t="n">
        <v>0</v>
      </c>
      <c r="P673" s="8" t="n">
        <v>0</v>
      </c>
      <c r="Q673" s="8" t="n">
        <v>0</v>
      </c>
      <c r="R673" s="7"/>
      <c r="S673" s="7" t="s">
        <v>11686</v>
      </c>
    </row>
    <row r="674" customFormat="false" ht="15.75" hidden="false" customHeight="true" outlineLevel="0" collapsed="false">
      <c r="A674" s="7" t="s">
        <v>11687</v>
      </c>
      <c r="B674" s="8" t="n">
        <v>2015</v>
      </c>
      <c r="C674" s="8" t="n">
        <v>2019</v>
      </c>
      <c r="D674" s="8" t="s">
        <v>176</v>
      </c>
      <c r="E674" s="8" t="s">
        <v>9685</v>
      </c>
      <c r="F674" s="7" t="s">
        <v>11688</v>
      </c>
      <c r="G674" s="8" t="n">
        <v>7.9</v>
      </c>
      <c r="H674" s="8"/>
      <c r="I674" s="9" t="n">
        <v>53178</v>
      </c>
      <c r="J674" s="7"/>
      <c r="K674" s="7" t="s">
        <v>112</v>
      </c>
      <c r="L674" s="7" t="s">
        <v>39</v>
      </c>
      <c r="M674" s="10"/>
      <c r="N674" s="7"/>
      <c r="O674" s="8" t="n">
        <v>0</v>
      </c>
      <c r="P674" s="8" t="n">
        <v>0</v>
      </c>
      <c r="Q674" s="8" t="n">
        <v>0</v>
      </c>
      <c r="R674" s="7"/>
      <c r="S674" s="7" t="s">
        <v>11689</v>
      </c>
    </row>
    <row r="675" customFormat="false" ht="15.75" hidden="false" customHeight="true" outlineLevel="0" collapsed="false">
      <c r="A675" s="7" t="s">
        <v>11690</v>
      </c>
      <c r="B675" s="8" t="n">
        <v>2005</v>
      </c>
      <c r="C675" s="8" t="n">
        <v>2010</v>
      </c>
      <c r="D675" s="8" t="s">
        <v>35</v>
      </c>
      <c r="E675" s="8" t="s">
        <v>9685</v>
      </c>
      <c r="F675" s="7" t="s">
        <v>11691</v>
      </c>
      <c r="G675" s="8" t="n">
        <v>6.5</v>
      </c>
      <c r="H675" s="8"/>
      <c r="I675" s="9" t="n">
        <v>53139</v>
      </c>
      <c r="J675" s="7"/>
      <c r="K675" s="7" t="s">
        <v>38</v>
      </c>
      <c r="L675" s="7" t="s">
        <v>47</v>
      </c>
      <c r="M675" s="10" t="s">
        <v>177</v>
      </c>
      <c r="N675" s="7"/>
      <c r="O675" s="8" t="n">
        <v>0</v>
      </c>
      <c r="P675" s="8" t="n">
        <v>0</v>
      </c>
      <c r="Q675" s="8" t="n">
        <v>11</v>
      </c>
      <c r="R675" s="7"/>
      <c r="S675" s="7" t="s">
        <v>11692</v>
      </c>
    </row>
    <row r="676" customFormat="false" ht="15.75" hidden="false" customHeight="true" outlineLevel="0" collapsed="false">
      <c r="A676" s="7" t="s">
        <v>11693</v>
      </c>
      <c r="B676" s="8" t="n">
        <v>2014</v>
      </c>
      <c r="C676" s="8" t="n">
        <v>2015</v>
      </c>
      <c r="D676" s="8" t="s">
        <v>176</v>
      </c>
      <c r="E676" s="8" t="s">
        <v>9685</v>
      </c>
      <c r="F676" s="7" t="s">
        <v>11694</v>
      </c>
      <c r="G676" s="8" t="n">
        <v>8.6</v>
      </c>
      <c r="H676" s="8"/>
      <c r="I676" s="9" t="n">
        <v>53089</v>
      </c>
      <c r="J676" s="7"/>
      <c r="K676" s="7" t="s">
        <v>579</v>
      </c>
      <c r="L676" s="7" t="s">
        <v>30</v>
      </c>
      <c r="M676" s="10" t="s">
        <v>11104</v>
      </c>
      <c r="N676" s="7"/>
      <c r="O676" s="8" t="n">
        <v>0</v>
      </c>
      <c r="P676" s="8" t="n">
        <v>0</v>
      </c>
      <c r="Q676" s="8" t="n">
        <v>0</v>
      </c>
      <c r="R676" s="7"/>
      <c r="S676" s="7" t="s">
        <v>11695</v>
      </c>
    </row>
    <row r="677" customFormat="false" ht="15.75" hidden="false" customHeight="true" outlineLevel="0" collapsed="false">
      <c r="A677" s="7" t="s">
        <v>11696</v>
      </c>
      <c r="B677" s="8" t="n">
        <v>1998</v>
      </c>
      <c r="C677" s="8" t="n">
        <v>2004</v>
      </c>
      <c r="D677" s="8" t="s">
        <v>26</v>
      </c>
      <c r="E677" s="8" t="s">
        <v>9685</v>
      </c>
      <c r="F677" s="7" t="s">
        <v>11697</v>
      </c>
      <c r="G677" s="8" t="n">
        <v>7.3</v>
      </c>
      <c r="H677" s="8" t="n">
        <v>6</v>
      </c>
      <c r="I677" s="9" t="n">
        <v>53004</v>
      </c>
      <c r="J677" s="7"/>
      <c r="K677" s="7" t="s">
        <v>579</v>
      </c>
      <c r="L677" s="7" t="s">
        <v>112</v>
      </c>
      <c r="M677" s="10" t="s">
        <v>55</v>
      </c>
      <c r="N677" s="7"/>
      <c r="O677" s="8" t="n">
        <v>0</v>
      </c>
      <c r="P677" s="8" t="n">
        <v>0</v>
      </c>
      <c r="Q677" s="8" t="n">
        <v>14</v>
      </c>
      <c r="R677" s="7"/>
      <c r="S677" s="7" t="s">
        <v>11698</v>
      </c>
    </row>
    <row r="678" customFormat="false" ht="15.75" hidden="false" customHeight="true" outlineLevel="0" collapsed="false">
      <c r="A678" s="7" t="s">
        <v>11699</v>
      </c>
      <c r="B678" s="8" t="n">
        <v>2001</v>
      </c>
      <c r="C678" s="8" t="n">
        <v>2017</v>
      </c>
      <c r="D678" s="8" t="s">
        <v>35</v>
      </c>
      <c r="E678" s="8" t="s">
        <v>9685</v>
      </c>
      <c r="F678" s="7" t="s">
        <v>11700</v>
      </c>
      <c r="G678" s="8" t="n">
        <v>7.2</v>
      </c>
      <c r="H678" s="8"/>
      <c r="I678" s="9" t="n">
        <v>52756</v>
      </c>
      <c r="J678" s="7"/>
      <c r="K678" s="7" t="s">
        <v>579</v>
      </c>
      <c r="L678" s="7" t="s">
        <v>39</v>
      </c>
      <c r="M678" s="10" t="s">
        <v>11701</v>
      </c>
      <c r="N678" s="7"/>
      <c r="O678" s="8" t="n">
        <v>0</v>
      </c>
      <c r="P678" s="8" t="n">
        <v>0</v>
      </c>
      <c r="Q678" s="8" t="n">
        <v>0</v>
      </c>
      <c r="R678" s="7"/>
      <c r="S678" s="7" t="s">
        <v>11702</v>
      </c>
    </row>
    <row r="679" customFormat="false" ht="15.75" hidden="false" customHeight="true" outlineLevel="0" collapsed="false">
      <c r="A679" s="7" t="s">
        <v>11703</v>
      </c>
      <c r="B679" s="8" t="n">
        <v>2014</v>
      </c>
      <c r="C679" s="8"/>
      <c r="D679" s="8" t="s">
        <v>176</v>
      </c>
      <c r="E679" s="8" t="s">
        <v>9685</v>
      </c>
      <c r="F679" s="7" t="s">
        <v>11704</v>
      </c>
      <c r="G679" s="8" t="n">
        <v>8.1</v>
      </c>
      <c r="H679" s="8"/>
      <c r="I679" s="9" t="n">
        <v>52686</v>
      </c>
      <c r="J679" s="7"/>
      <c r="K679" s="7" t="s">
        <v>112</v>
      </c>
      <c r="L679" s="7" t="s">
        <v>54</v>
      </c>
      <c r="M679" s="10" t="s">
        <v>11705</v>
      </c>
      <c r="N679" s="7"/>
      <c r="O679" s="8" t="n">
        <v>0</v>
      </c>
      <c r="P679" s="8" t="n">
        <v>0</v>
      </c>
      <c r="Q679" s="8" t="n">
        <v>0</v>
      </c>
      <c r="R679" s="7"/>
      <c r="S679" s="7" t="s">
        <v>11706</v>
      </c>
    </row>
    <row r="680" customFormat="false" ht="15.75" hidden="false" customHeight="true" outlineLevel="0" collapsed="false">
      <c r="A680" s="7" t="s">
        <v>11707</v>
      </c>
      <c r="B680" s="8" t="n">
        <v>2021</v>
      </c>
      <c r="C680" s="8" t="n">
        <v>2024</v>
      </c>
      <c r="D680" s="8" t="s">
        <v>378</v>
      </c>
      <c r="E680" s="8" t="s">
        <v>9685</v>
      </c>
      <c r="F680" s="7" t="s">
        <v>11708</v>
      </c>
      <c r="G680" s="8" t="n">
        <v>8.2</v>
      </c>
      <c r="H680" s="8"/>
      <c r="I680" s="9" t="n">
        <v>52504</v>
      </c>
      <c r="J680" s="7"/>
      <c r="K680" s="7" t="s">
        <v>29</v>
      </c>
      <c r="L680" s="7" t="s">
        <v>47</v>
      </c>
      <c r="M680" s="10" t="s">
        <v>238</v>
      </c>
      <c r="N680" s="7"/>
      <c r="O680" s="8" t="n">
        <v>0</v>
      </c>
      <c r="P680" s="8" t="n">
        <v>0</v>
      </c>
      <c r="Q680" s="8" t="n">
        <v>0</v>
      </c>
      <c r="R680" s="7"/>
      <c r="S680" s="7" t="s">
        <v>11709</v>
      </c>
    </row>
    <row r="681" customFormat="false" ht="15.75" hidden="false" customHeight="true" outlineLevel="0" collapsed="false">
      <c r="A681" s="7" t="s">
        <v>11710</v>
      </c>
      <c r="B681" s="8" t="n">
        <v>1995</v>
      </c>
      <c r="C681" s="8" t="n">
        <v>2001</v>
      </c>
      <c r="D681" s="8" t="s">
        <v>26</v>
      </c>
      <c r="E681" s="8" t="s">
        <v>9685</v>
      </c>
      <c r="F681" s="7" t="s">
        <v>11711</v>
      </c>
      <c r="G681" s="8" t="n">
        <v>6.8</v>
      </c>
      <c r="H681" s="8"/>
      <c r="I681" s="9" t="n">
        <v>52441</v>
      </c>
      <c r="J681" s="7"/>
      <c r="K681" s="7" t="s">
        <v>112</v>
      </c>
      <c r="L681" s="7" t="s">
        <v>39</v>
      </c>
      <c r="M681" s="10"/>
      <c r="N681" s="7"/>
      <c r="O681" s="8" t="n">
        <v>0</v>
      </c>
      <c r="P681" s="8" t="n">
        <v>0</v>
      </c>
      <c r="Q681" s="8" t="n">
        <v>0</v>
      </c>
      <c r="R681" s="7"/>
      <c r="S681" s="7" t="s">
        <v>11712</v>
      </c>
    </row>
    <row r="682" customFormat="false" ht="15.75" hidden="false" customHeight="true" outlineLevel="0" collapsed="false">
      <c r="A682" s="7" t="s">
        <v>11713</v>
      </c>
      <c r="B682" s="8" t="n">
        <v>2011</v>
      </c>
      <c r="C682" s="8"/>
      <c r="D682" s="8" t="s">
        <v>176</v>
      </c>
      <c r="E682" s="8" t="s">
        <v>9685</v>
      </c>
      <c r="F682" s="7" t="s">
        <v>11714</v>
      </c>
      <c r="G682" s="8" t="n">
        <v>8.5</v>
      </c>
      <c r="H682" s="8"/>
      <c r="I682" s="9" t="n">
        <v>52362</v>
      </c>
      <c r="J682" s="7"/>
      <c r="K682" s="7" t="s">
        <v>30</v>
      </c>
      <c r="L682" s="7"/>
      <c r="M682" s="7"/>
      <c r="N682" s="7"/>
      <c r="O682" s="8" t="n">
        <v>0</v>
      </c>
      <c r="P682" s="8" t="n">
        <v>0</v>
      </c>
      <c r="Q682" s="8" t="n">
        <v>0</v>
      </c>
      <c r="R682" s="7"/>
      <c r="S682" s="7"/>
    </row>
    <row r="683" customFormat="false" ht="15.75" hidden="false" customHeight="true" outlineLevel="0" collapsed="false">
      <c r="A683" s="7" t="s">
        <v>11715</v>
      </c>
      <c r="B683" s="8" t="n">
        <v>2014</v>
      </c>
      <c r="C683" s="8" t="n">
        <v>2019</v>
      </c>
      <c r="D683" s="8" t="s">
        <v>176</v>
      </c>
      <c r="E683" s="8" t="s">
        <v>9685</v>
      </c>
      <c r="F683" s="7" t="s">
        <v>11716</v>
      </c>
      <c r="G683" s="8" t="n">
        <v>7.9</v>
      </c>
      <c r="H683" s="8"/>
      <c r="I683" s="9" t="n">
        <v>52310</v>
      </c>
      <c r="J683" s="7"/>
      <c r="K683" s="7" t="s">
        <v>47</v>
      </c>
      <c r="L683" s="7"/>
      <c r="M683" s="10" t="s">
        <v>238</v>
      </c>
      <c r="N683" s="7"/>
      <c r="O683" s="8" t="n">
        <v>0</v>
      </c>
      <c r="P683" s="8" t="n">
        <v>0</v>
      </c>
      <c r="Q683" s="8" t="n">
        <v>1</v>
      </c>
      <c r="R683" s="7"/>
      <c r="S683" s="7" t="s">
        <v>10306</v>
      </c>
    </row>
    <row r="684" customFormat="false" ht="15.75" hidden="false" customHeight="true" outlineLevel="0" collapsed="false">
      <c r="A684" s="7" t="s">
        <v>11717</v>
      </c>
      <c r="B684" s="8" t="n">
        <v>2016</v>
      </c>
      <c r="C684" s="8" t="n">
        <v>2016</v>
      </c>
      <c r="D684" s="8" t="s">
        <v>176</v>
      </c>
      <c r="E684" s="8" t="s">
        <v>9715</v>
      </c>
      <c r="F684" s="7" t="s">
        <v>1342</v>
      </c>
      <c r="G684" s="8" t="n">
        <v>8.3</v>
      </c>
      <c r="H684" s="8"/>
      <c r="I684" s="9" t="n">
        <v>52068</v>
      </c>
      <c r="J684" s="7"/>
      <c r="K684" s="7" t="s">
        <v>47</v>
      </c>
      <c r="L684" s="7"/>
      <c r="M684" s="10"/>
      <c r="N684" s="7"/>
      <c r="O684" s="8" t="n">
        <v>0</v>
      </c>
      <c r="P684" s="8" t="n">
        <v>0</v>
      </c>
      <c r="Q684" s="8" t="n">
        <v>4</v>
      </c>
      <c r="R684" s="7"/>
      <c r="S684" s="7" t="s">
        <v>11718</v>
      </c>
    </row>
    <row r="685" customFormat="false" ht="15.75" hidden="false" customHeight="true" outlineLevel="0" collapsed="false">
      <c r="A685" s="7" t="s">
        <v>11719</v>
      </c>
      <c r="B685" s="8" t="n">
        <v>2004</v>
      </c>
      <c r="C685" s="8" t="n">
        <v>2013</v>
      </c>
      <c r="D685" s="8" t="s">
        <v>35</v>
      </c>
      <c r="E685" s="8" t="s">
        <v>9685</v>
      </c>
      <c r="F685" s="7" t="s">
        <v>11720</v>
      </c>
      <c r="G685" s="8" t="n">
        <v>7</v>
      </c>
      <c r="H685" s="8"/>
      <c r="I685" s="9" t="n">
        <v>51923</v>
      </c>
      <c r="J685" s="7"/>
      <c r="K685" s="7" t="s">
        <v>112</v>
      </c>
      <c r="L685" s="7" t="s">
        <v>54</v>
      </c>
      <c r="M685" s="10" t="s">
        <v>220</v>
      </c>
      <c r="N685" s="7"/>
      <c r="O685" s="8" t="n">
        <v>0</v>
      </c>
      <c r="P685" s="8" t="n">
        <v>0</v>
      </c>
      <c r="Q685" s="8" t="n">
        <v>11</v>
      </c>
      <c r="R685" s="7"/>
      <c r="S685" s="7" t="s">
        <v>11721</v>
      </c>
    </row>
    <row r="686" customFormat="false" ht="15.75" hidden="false" customHeight="true" outlineLevel="0" collapsed="false">
      <c r="A686" s="7" t="s">
        <v>11722</v>
      </c>
      <c r="B686" s="8" t="n">
        <v>1990</v>
      </c>
      <c r="C686" s="8"/>
      <c r="D686" s="8" t="s">
        <v>26</v>
      </c>
      <c r="E686" s="8" t="s">
        <v>9685</v>
      </c>
      <c r="F686" s="7" t="s">
        <v>11723</v>
      </c>
      <c r="G686" s="8" t="n">
        <v>7.8</v>
      </c>
      <c r="H686" s="8"/>
      <c r="I686" s="9" t="n">
        <v>51800</v>
      </c>
      <c r="J686" s="7"/>
      <c r="K686" s="7" t="s">
        <v>47</v>
      </c>
      <c r="L686" s="7" t="s">
        <v>54</v>
      </c>
      <c r="M686" s="10" t="s">
        <v>5259</v>
      </c>
      <c r="N686" s="7"/>
      <c r="O686" s="8" t="n">
        <v>0</v>
      </c>
      <c r="P686" s="8" t="n">
        <v>0</v>
      </c>
      <c r="Q686" s="8" t="n">
        <v>3</v>
      </c>
      <c r="R686" s="7"/>
      <c r="S686" s="7" t="s">
        <v>11724</v>
      </c>
    </row>
    <row r="687" customFormat="false" ht="15.75" hidden="false" customHeight="true" outlineLevel="0" collapsed="false">
      <c r="A687" s="7" t="s">
        <v>11725</v>
      </c>
      <c r="B687" s="8" t="n">
        <v>2018</v>
      </c>
      <c r="C687" s="8" t="n">
        <v>2021</v>
      </c>
      <c r="D687" s="8" t="s">
        <v>176</v>
      </c>
      <c r="E687" s="8" t="s">
        <v>9685</v>
      </c>
      <c r="F687" s="7" t="s">
        <v>11726</v>
      </c>
      <c r="G687" s="8" t="n">
        <v>8.2</v>
      </c>
      <c r="H687" s="8"/>
      <c r="I687" s="9" t="n">
        <v>51588</v>
      </c>
      <c r="J687" s="7"/>
      <c r="K687" s="7" t="s">
        <v>579</v>
      </c>
      <c r="L687" s="7" t="s">
        <v>112</v>
      </c>
      <c r="M687" s="10"/>
      <c r="N687" s="7"/>
      <c r="O687" s="8" t="n">
        <v>0</v>
      </c>
      <c r="P687" s="8" t="n">
        <v>0</v>
      </c>
      <c r="Q687" s="8" t="n">
        <v>0</v>
      </c>
      <c r="R687" s="7"/>
      <c r="S687" s="7" t="s">
        <v>11727</v>
      </c>
    </row>
    <row r="688" customFormat="false" ht="15.75" hidden="false" customHeight="true" outlineLevel="0" collapsed="false">
      <c r="A688" s="7" t="s">
        <v>11728</v>
      </c>
      <c r="B688" s="8" t="n">
        <v>2010</v>
      </c>
      <c r="C688" s="8" t="n">
        <v>2022</v>
      </c>
      <c r="D688" s="8" t="s">
        <v>176</v>
      </c>
      <c r="E688" s="8" t="s">
        <v>9685</v>
      </c>
      <c r="F688" s="7" t="s">
        <v>11729</v>
      </c>
      <c r="G688" s="8" t="n">
        <v>8.6</v>
      </c>
      <c r="H688" s="8"/>
      <c r="I688" s="9" t="n">
        <v>51577</v>
      </c>
      <c r="J688" s="7"/>
      <c r="K688" s="7" t="s">
        <v>579</v>
      </c>
      <c r="L688" s="7" t="s">
        <v>112</v>
      </c>
      <c r="M688" s="10"/>
      <c r="N688" s="7"/>
      <c r="O688" s="8" t="n">
        <v>1</v>
      </c>
      <c r="P688" s="8" t="n">
        <v>0</v>
      </c>
      <c r="Q688" s="8" t="n">
        <v>1</v>
      </c>
      <c r="R688" s="7"/>
      <c r="S688" s="7" t="s">
        <v>11730</v>
      </c>
    </row>
    <row r="689" customFormat="false" ht="15.75" hidden="false" customHeight="true" outlineLevel="0" collapsed="false">
      <c r="A689" s="7" t="s">
        <v>11731</v>
      </c>
      <c r="B689" s="8" t="n">
        <v>2022</v>
      </c>
      <c r="C689" s="8" t="n">
        <v>2022</v>
      </c>
      <c r="D689" s="8" t="s">
        <v>378</v>
      </c>
      <c r="E689" s="8" t="s">
        <v>9715</v>
      </c>
      <c r="F689" s="7" t="s">
        <v>11732</v>
      </c>
      <c r="G689" s="8" t="n">
        <v>8.6</v>
      </c>
      <c r="H689" s="8"/>
      <c r="I689" s="9" t="n">
        <v>51543</v>
      </c>
      <c r="J689" s="7"/>
      <c r="K689" s="7" t="s">
        <v>47</v>
      </c>
      <c r="L689" s="7" t="s">
        <v>54</v>
      </c>
      <c r="M689" s="10" t="s">
        <v>192</v>
      </c>
      <c r="N689" s="7"/>
      <c r="O689" s="8" t="n">
        <v>0</v>
      </c>
      <c r="P689" s="8" t="n">
        <v>0</v>
      </c>
      <c r="Q689" s="8" t="n">
        <v>0</v>
      </c>
      <c r="R689" s="7"/>
      <c r="S689" s="7" t="s">
        <v>11733</v>
      </c>
    </row>
    <row r="690" customFormat="false" ht="15.75" hidden="false" customHeight="true" outlineLevel="0" collapsed="false">
      <c r="A690" s="7" t="s">
        <v>11734</v>
      </c>
      <c r="B690" s="8" t="n">
        <v>2016</v>
      </c>
      <c r="C690" s="8" t="n">
        <v>2018</v>
      </c>
      <c r="D690" s="8" t="s">
        <v>176</v>
      </c>
      <c r="E690" s="8" t="s">
        <v>9685</v>
      </c>
      <c r="F690" s="7" t="s">
        <v>11735</v>
      </c>
      <c r="G690" s="8" t="n">
        <v>7.6</v>
      </c>
      <c r="H690" s="8"/>
      <c r="I690" s="9" t="n">
        <v>51541</v>
      </c>
      <c r="J690" s="7"/>
      <c r="K690" s="7" t="s">
        <v>112</v>
      </c>
      <c r="L690" s="7" t="s">
        <v>39</v>
      </c>
      <c r="M690" s="10"/>
      <c r="N690" s="7"/>
      <c r="O690" s="8" t="n">
        <v>0</v>
      </c>
      <c r="P690" s="8" t="n">
        <v>0</v>
      </c>
      <c r="Q690" s="8" t="n">
        <v>0</v>
      </c>
      <c r="R690" s="7"/>
      <c r="S690" s="7" t="s">
        <v>11736</v>
      </c>
    </row>
    <row r="691" customFormat="false" ht="15.75" hidden="false" customHeight="true" outlineLevel="0" collapsed="false">
      <c r="A691" s="7" t="s">
        <v>11737</v>
      </c>
      <c r="B691" s="8" t="n">
        <v>2015</v>
      </c>
      <c r="C691" s="8" t="n">
        <v>2016</v>
      </c>
      <c r="D691" s="8" t="s">
        <v>176</v>
      </c>
      <c r="E691" s="8" t="s">
        <v>9685</v>
      </c>
      <c r="F691" s="7" t="s">
        <v>11738</v>
      </c>
      <c r="G691" s="8" t="n">
        <v>7.1</v>
      </c>
      <c r="H691" s="8"/>
      <c r="I691" s="9" t="n">
        <v>51447</v>
      </c>
      <c r="J691" s="7"/>
      <c r="K691" s="7" t="s">
        <v>147</v>
      </c>
      <c r="L691" s="7" t="s">
        <v>125</v>
      </c>
      <c r="M691" s="10" t="s">
        <v>177</v>
      </c>
      <c r="N691" s="7"/>
      <c r="O691" s="8" t="n">
        <v>0</v>
      </c>
      <c r="P691" s="8" t="n">
        <v>0</v>
      </c>
      <c r="Q691" s="8" t="n">
        <v>0</v>
      </c>
      <c r="R691" s="7"/>
      <c r="S691" s="7" t="s">
        <v>11739</v>
      </c>
    </row>
    <row r="692" customFormat="false" ht="15.75" hidden="false" customHeight="true" outlineLevel="0" collapsed="false">
      <c r="A692" s="7" t="s">
        <v>11740</v>
      </c>
      <c r="B692" s="8" t="n">
        <v>2020</v>
      </c>
      <c r="C692" s="8" t="n">
        <v>2020</v>
      </c>
      <c r="D692" s="8" t="s">
        <v>378</v>
      </c>
      <c r="E692" s="8" t="s">
        <v>9685</v>
      </c>
      <c r="F692" s="7" t="s">
        <v>11741</v>
      </c>
      <c r="G692" s="8" t="n">
        <v>7.1</v>
      </c>
      <c r="H692" s="8"/>
      <c r="I692" s="9" t="n">
        <v>51356</v>
      </c>
      <c r="J692" s="7"/>
      <c r="K692" s="7" t="s">
        <v>147</v>
      </c>
      <c r="L692" s="7" t="s">
        <v>38</v>
      </c>
      <c r="M692" s="10" t="s">
        <v>55</v>
      </c>
      <c r="N692" s="7"/>
      <c r="O692" s="8" t="n">
        <v>10</v>
      </c>
      <c r="P692" s="8" t="n">
        <v>0</v>
      </c>
      <c r="Q692" s="8" t="n">
        <v>53</v>
      </c>
      <c r="R692" s="7"/>
      <c r="S692" s="7" t="s">
        <v>11742</v>
      </c>
    </row>
    <row r="693" customFormat="false" ht="15.75" hidden="false" customHeight="true" outlineLevel="0" collapsed="false">
      <c r="A693" s="7" t="s">
        <v>11743</v>
      </c>
      <c r="B693" s="8" t="n">
        <v>2001</v>
      </c>
      <c r="C693" s="8" t="n">
        <v>2001</v>
      </c>
      <c r="D693" s="8" t="s">
        <v>35</v>
      </c>
      <c r="E693" s="8" t="s">
        <v>9715</v>
      </c>
      <c r="F693" s="7" t="s">
        <v>11744</v>
      </c>
      <c r="G693" s="8" t="n">
        <v>9</v>
      </c>
      <c r="H693" s="8"/>
      <c r="I693" s="9" t="n">
        <v>51183</v>
      </c>
      <c r="J693" s="7"/>
      <c r="K693" s="7" t="s">
        <v>2730</v>
      </c>
      <c r="L693" s="7" t="s">
        <v>259</v>
      </c>
      <c r="M693" s="7"/>
      <c r="N693" s="7"/>
      <c r="O693" s="8" t="n">
        <v>0</v>
      </c>
      <c r="P693" s="8" t="n">
        <v>0</v>
      </c>
      <c r="Q693" s="8" t="n">
        <v>0</v>
      </c>
      <c r="R693" s="7"/>
      <c r="S693" s="7" t="s">
        <v>11745</v>
      </c>
    </row>
    <row r="694" customFormat="false" ht="15.75" hidden="false" customHeight="true" outlineLevel="0" collapsed="false">
      <c r="A694" s="7" t="s">
        <v>11746</v>
      </c>
      <c r="B694" s="8" t="n">
        <v>2017</v>
      </c>
      <c r="C694" s="8" t="n">
        <v>2021</v>
      </c>
      <c r="D694" s="8" t="s">
        <v>176</v>
      </c>
      <c r="E694" s="8" t="s">
        <v>9685</v>
      </c>
      <c r="F694" s="7" t="s">
        <v>11747</v>
      </c>
      <c r="G694" s="8" t="n">
        <v>8.2</v>
      </c>
      <c r="H694" s="8"/>
      <c r="I694" s="9" t="n">
        <v>51017</v>
      </c>
      <c r="J694" s="7"/>
      <c r="K694" s="7" t="s">
        <v>579</v>
      </c>
      <c r="L694" s="7" t="s">
        <v>112</v>
      </c>
      <c r="M694" s="10"/>
      <c r="N694" s="7"/>
      <c r="O694" s="8" t="n">
        <v>0</v>
      </c>
      <c r="P694" s="8" t="n">
        <v>0</v>
      </c>
      <c r="Q694" s="8" t="n">
        <v>0</v>
      </c>
      <c r="R694" s="7"/>
      <c r="S694" s="7" t="s">
        <v>11748</v>
      </c>
    </row>
    <row r="695" customFormat="false" ht="15.75" hidden="false" customHeight="true" outlineLevel="0" collapsed="false">
      <c r="A695" s="7" t="s">
        <v>11749</v>
      </c>
      <c r="B695" s="8" t="n">
        <v>2006</v>
      </c>
      <c r="C695" s="8" t="n">
        <v>2010</v>
      </c>
      <c r="D695" s="8" t="s">
        <v>35</v>
      </c>
      <c r="E695" s="8" t="s">
        <v>9685</v>
      </c>
      <c r="F695" s="7" t="s">
        <v>11750</v>
      </c>
      <c r="G695" s="8" t="n">
        <v>6.8</v>
      </c>
      <c r="H695" s="8"/>
      <c r="I695" s="9" t="n">
        <v>50939</v>
      </c>
      <c r="J695" s="7"/>
      <c r="K695" s="7" t="s">
        <v>29</v>
      </c>
      <c r="L695" s="7" t="s">
        <v>30</v>
      </c>
      <c r="M695" s="10" t="s">
        <v>2616</v>
      </c>
      <c r="N695" s="7"/>
      <c r="O695" s="8" t="n">
        <v>4</v>
      </c>
      <c r="P695" s="8" t="n">
        <v>0</v>
      </c>
      <c r="Q695" s="8" t="n">
        <v>40</v>
      </c>
      <c r="R695" s="7"/>
      <c r="S695" s="7" t="s">
        <v>11751</v>
      </c>
    </row>
    <row r="696" customFormat="false" ht="15.75" hidden="false" customHeight="true" outlineLevel="0" collapsed="false">
      <c r="A696" s="7" t="s">
        <v>11752</v>
      </c>
      <c r="B696" s="8" t="n">
        <v>2021</v>
      </c>
      <c r="C696" s="8" t="n">
        <v>2024</v>
      </c>
      <c r="D696" s="8" t="s">
        <v>378</v>
      </c>
      <c r="E696" s="8" t="s">
        <v>9685</v>
      </c>
      <c r="F696" s="7" t="s">
        <v>11753</v>
      </c>
      <c r="G696" s="8" t="n">
        <v>7.8</v>
      </c>
      <c r="H696" s="8"/>
      <c r="I696" s="9" t="n">
        <v>50894</v>
      </c>
      <c r="J696" s="7"/>
      <c r="K696" s="7" t="s">
        <v>112</v>
      </c>
      <c r="L696" s="7" t="s">
        <v>39</v>
      </c>
      <c r="M696" s="10" t="s">
        <v>55</v>
      </c>
      <c r="N696" s="7"/>
      <c r="O696" s="8" t="n">
        <v>0</v>
      </c>
      <c r="P696" s="8" t="n">
        <v>0</v>
      </c>
      <c r="Q696" s="8" t="n">
        <v>0</v>
      </c>
      <c r="R696" s="7"/>
      <c r="S696" s="7" t="s">
        <v>11754</v>
      </c>
    </row>
    <row r="697" customFormat="false" ht="15.75" hidden="false" customHeight="true" outlineLevel="0" collapsed="false">
      <c r="A697" s="7" t="s">
        <v>11310</v>
      </c>
      <c r="B697" s="8" t="n">
        <v>1987</v>
      </c>
      <c r="C697" s="8" t="n">
        <v>1987</v>
      </c>
      <c r="D697" s="8" t="s">
        <v>109</v>
      </c>
      <c r="E697" s="8" t="s">
        <v>9685</v>
      </c>
      <c r="F697" s="7" t="s">
        <v>11641</v>
      </c>
      <c r="G697" s="8" t="n">
        <v>8.6</v>
      </c>
      <c r="H697" s="8"/>
      <c r="I697" s="9" t="n">
        <v>50889</v>
      </c>
      <c r="J697" s="7"/>
      <c r="K697" s="7" t="s">
        <v>30</v>
      </c>
      <c r="L697" s="7"/>
      <c r="M697" s="10"/>
      <c r="N697" s="7"/>
      <c r="O697" s="8" t="n">
        <v>0</v>
      </c>
      <c r="P697" s="8" t="n">
        <v>0</v>
      </c>
      <c r="Q697" s="8" t="n">
        <v>0</v>
      </c>
      <c r="R697" s="7"/>
      <c r="S697" s="7" t="s">
        <v>11312</v>
      </c>
    </row>
    <row r="698" customFormat="false" ht="15.75" hidden="false" customHeight="true" outlineLevel="0" collapsed="false">
      <c r="A698" s="7" t="s">
        <v>11755</v>
      </c>
      <c r="B698" s="8" t="n">
        <v>2021</v>
      </c>
      <c r="C698" s="8"/>
      <c r="D698" s="8" t="s">
        <v>378</v>
      </c>
      <c r="E698" s="8" t="s">
        <v>9685</v>
      </c>
      <c r="F698" s="7" t="s">
        <v>11756</v>
      </c>
      <c r="G698" s="8" t="n">
        <v>7.9</v>
      </c>
      <c r="H698" s="8"/>
      <c r="I698" s="9" t="n">
        <v>50787</v>
      </c>
      <c r="J698" s="7"/>
      <c r="K698" s="7" t="s">
        <v>38</v>
      </c>
      <c r="L698" s="7" t="s">
        <v>30</v>
      </c>
      <c r="M698" s="10" t="s">
        <v>238</v>
      </c>
      <c r="N698" s="7"/>
      <c r="O698" s="8" t="n">
        <v>0</v>
      </c>
      <c r="P698" s="8" t="n">
        <v>0</v>
      </c>
      <c r="Q698" s="8" t="n">
        <v>0</v>
      </c>
      <c r="R698" s="7"/>
      <c r="S698" s="7" t="s">
        <v>11757</v>
      </c>
    </row>
    <row r="699" customFormat="false" ht="15.75" hidden="false" customHeight="true" outlineLevel="0" collapsed="false">
      <c r="A699" s="7" t="s">
        <v>11758</v>
      </c>
      <c r="B699" s="8" t="n">
        <v>2016</v>
      </c>
      <c r="C699" s="8" t="n">
        <v>2016</v>
      </c>
      <c r="D699" s="8" t="s">
        <v>176</v>
      </c>
      <c r="E699" s="8" t="s">
        <v>9715</v>
      </c>
      <c r="F699" s="7" t="s">
        <v>11759</v>
      </c>
      <c r="G699" s="8" t="n">
        <v>7.4</v>
      </c>
      <c r="H699" s="8"/>
      <c r="I699" s="9" t="n">
        <v>50660</v>
      </c>
      <c r="J699" s="7"/>
      <c r="K699" s="7" t="s">
        <v>30</v>
      </c>
      <c r="L699" s="7" t="s">
        <v>47</v>
      </c>
      <c r="M699" s="10" t="s">
        <v>238</v>
      </c>
      <c r="N699" s="7"/>
      <c r="O699" s="8" t="n">
        <v>0</v>
      </c>
      <c r="P699" s="8" t="n">
        <v>0</v>
      </c>
      <c r="Q699" s="8" t="n">
        <v>0</v>
      </c>
      <c r="R699" s="7"/>
      <c r="S699" s="7" t="s">
        <v>11760</v>
      </c>
    </row>
    <row r="700" customFormat="false" ht="15.75" hidden="false" customHeight="true" outlineLevel="0" collapsed="false">
      <c r="A700" s="7" t="s">
        <v>11761</v>
      </c>
      <c r="B700" s="8" t="n">
        <v>2007</v>
      </c>
      <c r="C700" s="8" t="n">
        <v>2012</v>
      </c>
      <c r="D700" s="8" t="s">
        <v>35</v>
      </c>
      <c r="E700" s="8" t="s">
        <v>9685</v>
      </c>
      <c r="F700" s="7" t="s">
        <v>11762</v>
      </c>
      <c r="G700" s="8" t="n">
        <v>6.8</v>
      </c>
      <c r="H700" s="8"/>
      <c r="I700" s="9" t="n">
        <v>50657</v>
      </c>
      <c r="J700" s="7"/>
      <c r="K700" s="7" t="s">
        <v>29</v>
      </c>
      <c r="L700" s="7" t="s">
        <v>259</v>
      </c>
      <c r="M700" s="10" t="s">
        <v>192</v>
      </c>
      <c r="N700" s="7"/>
      <c r="O700" s="8" t="n">
        <v>0</v>
      </c>
      <c r="P700" s="8" t="n">
        <v>0</v>
      </c>
      <c r="Q700" s="8" t="n">
        <v>36</v>
      </c>
      <c r="R700" s="7"/>
      <c r="S700" s="7" t="s">
        <v>11763</v>
      </c>
    </row>
    <row r="701" customFormat="false" ht="15.75" hidden="false" customHeight="true" outlineLevel="0" collapsed="false">
      <c r="A701" s="7" t="s">
        <v>11764</v>
      </c>
      <c r="B701" s="8" t="n">
        <v>2017</v>
      </c>
      <c r="C701" s="8" t="n">
        <v>2023</v>
      </c>
      <c r="D701" s="8" t="s">
        <v>176</v>
      </c>
      <c r="E701" s="8" t="s">
        <v>9685</v>
      </c>
      <c r="F701" s="7" t="s">
        <v>11765</v>
      </c>
      <c r="G701" s="8" t="n">
        <v>8.5</v>
      </c>
      <c r="H701" s="8"/>
      <c r="I701" s="9" t="n">
        <v>50648</v>
      </c>
      <c r="J701" s="7"/>
      <c r="K701" s="7" t="s">
        <v>47</v>
      </c>
      <c r="L701" s="7" t="s">
        <v>54</v>
      </c>
      <c r="M701" s="10" t="s">
        <v>177</v>
      </c>
      <c r="N701" s="7"/>
      <c r="O701" s="8" t="n">
        <v>0</v>
      </c>
      <c r="P701" s="8" t="n">
        <v>0</v>
      </c>
      <c r="Q701" s="8" t="n">
        <v>0</v>
      </c>
      <c r="R701" s="7"/>
      <c r="S701" s="7" t="s">
        <v>11766</v>
      </c>
    </row>
    <row r="702" customFormat="false" ht="15.75" hidden="false" customHeight="true" outlineLevel="0" collapsed="false">
      <c r="A702" s="7" t="s">
        <v>11767</v>
      </c>
      <c r="B702" s="8" t="n">
        <v>2025</v>
      </c>
      <c r="C702" s="8" t="n">
        <v>2025</v>
      </c>
      <c r="D702" s="8" t="s">
        <v>378</v>
      </c>
      <c r="E702" s="8" t="s">
        <v>9715</v>
      </c>
      <c r="F702" s="7" t="s">
        <v>11768</v>
      </c>
      <c r="G702" s="8" t="n">
        <v>7.3</v>
      </c>
      <c r="H702" s="8"/>
      <c r="I702" s="9" t="n">
        <v>50609</v>
      </c>
      <c r="J702" s="7"/>
      <c r="K702" s="7" t="s">
        <v>47</v>
      </c>
      <c r="L702" s="7" t="s">
        <v>54</v>
      </c>
      <c r="M702" s="10" t="s">
        <v>238</v>
      </c>
      <c r="N702" s="7"/>
      <c r="O702" s="8" t="n">
        <v>0</v>
      </c>
      <c r="P702" s="8" t="n">
        <v>0</v>
      </c>
      <c r="Q702" s="8" t="n">
        <v>0</v>
      </c>
      <c r="R702" s="7"/>
      <c r="S702" s="7" t="s">
        <v>11769</v>
      </c>
    </row>
    <row r="703" customFormat="false" ht="15.75" hidden="false" customHeight="true" outlineLevel="0" collapsed="false">
      <c r="A703" s="7" t="s">
        <v>11770</v>
      </c>
      <c r="B703" s="8" t="n">
        <v>2009</v>
      </c>
      <c r="C703" s="8" t="n">
        <v>2009</v>
      </c>
      <c r="D703" s="8" t="s">
        <v>35</v>
      </c>
      <c r="E703" s="8" t="s">
        <v>9715</v>
      </c>
      <c r="F703" s="7" t="s">
        <v>11771</v>
      </c>
      <c r="G703" s="8" t="n">
        <v>9.1</v>
      </c>
      <c r="H703" s="8" t="n">
        <v>8</v>
      </c>
      <c r="I703" s="9" t="n">
        <v>50580</v>
      </c>
      <c r="J703" s="7"/>
      <c r="K703" s="7" t="s">
        <v>2730</v>
      </c>
      <c r="L703" s="7"/>
      <c r="M703" s="10"/>
      <c r="N703" s="7"/>
      <c r="O703" s="8" t="n">
        <v>0</v>
      </c>
      <c r="P703" s="8" t="n">
        <v>0</v>
      </c>
      <c r="Q703" s="8" t="n">
        <v>11</v>
      </c>
      <c r="R703" s="7"/>
      <c r="S703" s="7" t="s">
        <v>11772</v>
      </c>
    </row>
    <row r="704" customFormat="false" ht="15.75" hidden="false" customHeight="true" outlineLevel="0" collapsed="false">
      <c r="A704" s="7" t="s">
        <v>11773</v>
      </c>
      <c r="B704" s="8" t="n">
        <v>2013</v>
      </c>
      <c r="C704" s="8" t="n">
        <v>2017</v>
      </c>
      <c r="D704" s="8" t="s">
        <v>176</v>
      </c>
      <c r="E704" s="8" t="s">
        <v>9685</v>
      </c>
      <c r="F704" s="7" t="s">
        <v>11774</v>
      </c>
      <c r="G704" s="8" t="n">
        <v>8.9</v>
      </c>
      <c r="H704" s="8"/>
      <c r="I704" s="9" t="n">
        <v>50549</v>
      </c>
      <c r="J704" s="7"/>
      <c r="K704" s="7" t="s">
        <v>2730</v>
      </c>
      <c r="L704" s="7" t="s">
        <v>30</v>
      </c>
      <c r="M704" s="10"/>
      <c r="N704" s="7"/>
      <c r="O704" s="8" t="n">
        <v>0</v>
      </c>
      <c r="P704" s="8" t="n">
        <v>0</v>
      </c>
      <c r="Q704" s="8" t="n">
        <v>0</v>
      </c>
      <c r="R704" s="7"/>
      <c r="S704" s="7" t="s">
        <v>11775</v>
      </c>
    </row>
    <row r="705" customFormat="false" ht="15.75" hidden="false" customHeight="true" outlineLevel="0" collapsed="false">
      <c r="A705" s="7" t="s">
        <v>11776</v>
      </c>
      <c r="B705" s="8" t="n">
        <v>2000</v>
      </c>
      <c r="C705" s="8" t="n">
        <v>2004</v>
      </c>
      <c r="D705" s="8" t="s">
        <v>35</v>
      </c>
      <c r="E705" s="8" t="s">
        <v>9685</v>
      </c>
      <c r="F705" s="7" t="s">
        <v>11777</v>
      </c>
      <c r="G705" s="8" t="n">
        <v>8.5</v>
      </c>
      <c r="H705" s="8"/>
      <c r="I705" s="9" t="n">
        <v>50455</v>
      </c>
      <c r="J705" s="7"/>
      <c r="K705" s="7" t="s">
        <v>29</v>
      </c>
      <c r="L705" s="7" t="s">
        <v>30</v>
      </c>
      <c r="M705" s="10"/>
      <c r="N705" s="7"/>
      <c r="O705" s="8" t="n">
        <v>0</v>
      </c>
      <c r="P705" s="8" t="n">
        <v>0</v>
      </c>
      <c r="Q705" s="8" t="n">
        <v>0</v>
      </c>
      <c r="R705" s="7"/>
      <c r="S705" s="7" t="s">
        <v>11778</v>
      </c>
    </row>
    <row r="706" customFormat="false" ht="15.75" hidden="false" customHeight="true" outlineLevel="0" collapsed="false">
      <c r="A706" s="7" t="s">
        <v>11779</v>
      </c>
      <c r="B706" s="8" t="n">
        <v>2014</v>
      </c>
      <c r="C706" s="8" t="n">
        <v>2021</v>
      </c>
      <c r="D706" s="8" t="s">
        <v>176</v>
      </c>
      <c r="E706" s="8" t="s">
        <v>9685</v>
      </c>
      <c r="F706" s="7" t="s">
        <v>11780</v>
      </c>
      <c r="G706" s="8" t="n">
        <v>8.6</v>
      </c>
      <c r="H706" s="8"/>
      <c r="I706" s="9" t="n">
        <v>50454</v>
      </c>
      <c r="J706" s="7"/>
      <c r="K706" s="7" t="s">
        <v>131</v>
      </c>
      <c r="L706" s="7" t="s">
        <v>54</v>
      </c>
      <c r="M706" s="10" t="s">
        <v>192</v>
      </c>
      <c r="N706" s="7"/>
      <c r="O706" s="8" t="n">
        <v>0</v>
      </c>
      <c r="P706" s="8" t="n">
        <v>0</v>
      </c>
      <c r="Q706" s="8" t="n">
        <v>0</v>
      </c>
      <c r="R706" s="7"/>
      <c r="S706" s="7" t="s">
        <v>11781</v>
      </c>
    </row>
    <row r="707" customFormat="false" ht="15.75" hidden="false" customHeight="true" outlineLevel="0" collapsed="false">
      <c r="A707" s="7" t="s">
        <v>11782</v>
      </c>
      <c r="B707" s="8" t="n">
        <v>2024</v>
      </c>
      <c r="C707" s="8" t="n">
        <v>2024</v>
      </c>
      <c r="D707" s="8" t="s">
        <v>378</v>
      </c>
      <c r="E707" s="8" t="s">
        <v>9715</v>
      </c>
      <c r="F707" s="7" t="s">
        <v>11783</v>
      </c>
      <c r="G707" s="8" t="n">
        <v>7.7</v>
      </c>
      <c r="H707" s="8"/>
      <c r="I707" s="9" t="n">
        <v>50415</v>
      </c>
      <c r="J707" s="7"/>
      <c r="K707" s="7" t="s">
        <v>147</v>
      </c>
      <c r="L707" s="7" t="s">
        <v>131</v>
      </c>
      <c r="M707" s="10" t="s">
        <v>11408</v>
      </c>
      <c r="N707" s="7"/>
      <c r="O707" s="8" t="n">
        <v>0</v>
      </c>
      <c r="P707" s="8" t="n">
        <v>0</v>
      </c>
      <c r="Q707" s="8" t="n">
        <v>0</v>
      </c>
      <c r="R707" s="7"/>
      <c r="S707" s="7" t="s">
        <v>11784</v>
      </c>
    </row>
    <row r="708" customFormat="false" ht="15.75" hidden="false" customHeight="true" outlineLevel="0" collapsed="false">
      <c r="A708" s="7" t="s">
        <v>11785</v>
      </c>
      <c r="B708" s="8" t="n">
        <v>2023</v>
      </c>
      <c r="C708" s="8" t="n">
        <v>2024</v>
      </c>
      <c r="D708" s="8" t="s">
        <v>378</v>
      </c>
      <c r="E708" s="8" t="s">
        <v>9715</v>
      </c>
      <c r="F708" s="7" t="s">
        <v>11786</v>
      </c>
      <c r="G708" s="8" t="n">
        <v>5.9</v>
      </c>
      <c r="H708" s="8"/>
      <c r="I708" s="9" t="n">
        <v>50333</v>
      </c>
      <c r="J708" s="7"/>
      <c r="K708" s="7" t="s">
        <v>112</v>
      </c>
      <c r="L708" s="7" t="s">
        <v>54</v>
      </c>
      <c r="M708" s="10" t="s">
        <v>177</v>
      </c>
      <c r="N708" s="7"/>
      <c r="O708" s="8" t="n">
        <v>0</v>
      </c>
      <c r="P708" s="8" t="n">
        <v>0</v>
      </c>
      <c r="Q708" s="8" t="n">
        <v>0</v>
      </c>
      <c r="R708" s="7"/>
      <c r="S708" s="7" t="s">
        <v>11787</v>
      </c>
    </row>
    <row r="709" customFormat="false" ht="15.75" hidden="false" customHeight="true" outlineLevel="0" collapsed="false">
      <c r="A709" s="7" t="s">
        <v>11788</v>
      </c>
      <c r="B709" s="8" t="n">
        <v>1993</v>
      </c>
      <c r="C709" s="8" t="n">
        <v>2000</v>
      </c>
      <c r="D709" s="8" t="s">
        <v>26</v>
      </c>
      <c r="E709" s="8" t="s">
        <v>9685</v>
      </c>
      <c r="F709" s="7" t="s">
        <v>11789</v>
      </c>
      <c r="G709" s="8" t="n">
        <v>8.1</v>
      </c>
      <c r="H709" s="8"/>
      <c r="I709" s="9" t="n">
        <v>50268</v>
      </c>
      <c r="J709" s="7"/>
      <c r="K709" s="7" t="s">
        <v>30</v>
      </c>
      <c r="L709" s="7" t="s">
        <v>47</v>
      </c>
      <c r="M709" s="7"/>
      <c r="N709" s="7"/>
      <c r="O709" s="8" t="n">
        <v>0</v>
      </c>
      <c r="P709" s="8" t="n">
        <v>0</v>
      </c>
      <c r="Q709" s="8" t="n">
        <v>0</v>
      </c>
      <c r="R709" s="7"/>
      <c r="S709" s="7"/>
    </row>
    <row r="710" customFormat="false" ht="15.75" hidden="false" customHeight="true" outlineLevel="0" collapsed="false">
      <c r="A710" s="7" t="s">
        <v>11790</v>
      </c>
      <c r="B710" s="8" t="n">
        <v>2011</v>
      </c>
      <c r="C710" s="8" t="n">
        <v>2012</v>
      </c>
      <c r="D710" s="8" t="s">
        <v>176</v>
      </c>
      <c r="E710" s="8" t="s">
        <v>9685</v>
      </c>
      <c r="F710" s="7" t="s">
        <v>11791</v>
      </c>
      <c r="G710" s="8" t="n">
        <v>7.3</v>
      </c>
      <c r="H710" s="8"/>
      <c r="I710" s="9" t="n">
        <v>50184</v>
      </c>
      <c r="J710" s="7"/>
      <c r="K710" s="7" t="s">
        <v>147</v>
      </c>
      <c r="L710" s="7" t="s">
        <v>38</v>
      </c>
      <c r="M710" s="10"/>
      <c r="N710" s="7"/>
      <c r="O710" s="8" t="n">
        <v>0</v>
      </c>
      <c r="P710" s="8" t="n">
        <v>0</v>
      </c>
      <c r="Q710" s="8" t="n">
        <v>0</v>
      </c>
      <c r="R710" s="7"/>
      <c r="S710" s="7" t="s">
        <v>11792</v>
      </c>
    </row>
    <row r="711" customFormat="false" ht="15.75" hidden="false" customHeight="true" outlineLevel="0" collapsed="false">
      <c r="A711" s="7" t="s">
        <v>11793</v>
      </c>
      <c r="B711" s="8" t="n">
        <v>2024</v>
      </c>
      <c r="C711" s="8" t="n">
        <v>2024</v>
      </c>
      <c r="D711" s="8" t="s">
        <v>378</v>
      </c>
      <c r="E711" s="8" t="s">
        <v>9715</v>
      </c>
      <c r="F711" s="7" t="s">
        <v>11794</v>
      </c>
      <c r="G711" s="8" t="n">
        <v>7.2</v>
      </c>
      <c r="H711" s="8"/>
      <c r="I711" s="9" t="n">
        <v>50168</v>
      </c>
      <c r="J711" s="7"/>
      <c r="K711" s="7" t="s">
        <v>47</v>
      </c>
      <c r="L711" s="7" t="s">
        <v>54</v>
      </c>
      <c r="M711" s="10" t="s">
        <v>238</v>
      </c>
      <c r="N711" s="7"/>
      <c r="O711" s="8" t="n">
        <v>0</v>
      </c>
      <c r="P711" s="8" t="n">
        <v>0</v>
      </c>
      <c r="Q711" s="8" t="n">
        <v>0</v>
      </c>
      <c r="R711" s="7"/>
      <c r="S711" s="7" t="s">
        <v>11795</v>
      </c>
    </row>
    <row r="712" customFormat="false" ht="15.75" hidden="false" customHeight="true" outlineLevel="0" collapsed="false">
      <c r="A712" s="7" t="s">
        <v>8298</v>
      </c>
      <c r="B712" s="8" t="n">
        <v>2022</v>
      </c>
      <c r="C712" s="8" t="n">
        <v>2022</v>
      </c>
      <c r="D712" s="8" t="s">
        <v>378</v>
      </c>
      <c r="E712" s="8" t="s">
        <v>9685</v>
      </c>
      <c r="F712" s="7" t="s">
        <v>11796</v>
      </c>
      <c r="G712" s="8" t="n">
        <v>4.2</v>
      </c>
      <c r="H712" s="8"/>
      <c r="I712" s="9" t="n">
        <v>50070</v>
      </c>
      <c r="J712" s="7"/>
      <c r="K712" s="7" t="s">
        <v>147</v>
      </c>
      <c r="L712" s="7" t="s">
        <v>111</v>
      </c>
      <c r="M712" s="10" t="s">
        <v>238</v>
      </c>
      <c r="N712" s="7"/>
      <c r="O712" s="8" t="n">
        <v>0</v>
      </c>
      <c r="P712" s="8" t="n">
        <v>0</v>
      </c>
      <c r="Q712" s="8" t="n">
        <v>0</v>
      </c>
      <c r="R712" s="7"/>
      <c r="S712" s="7" t="s">
        <v>11797</v>
      </c>
    </row>
    <row r="713" customFormat="false" ht="15.75" hidden="false" customHeight="true" outlineLevel="0" collapsed="false">
      <c r="A713" s="7" t="s">
        <v>5372</v>
      </c>
      <c r="B713" s="8" t="n">
        <v>2021</v>
      </c>
      <c r="C713" s="8" t="n">
        <v>2021</v>
      </c>
      <c r="D713" s="8" t="s">
        <v>378</v>
      </c>
      <c r="E713" s="8" t="s">
        <v>9715</v>
      </c>
      <c r="F713" s="7" t="s">
        <v>11798</v>
      </c>
      <c r="G713" s="8" t="n">
        <v>7.8</v>
      </c>
      <c r="H713" s="8" t="n">
        <v>5</v>
      </c>
      <c r="I713" s="9" t="n">
        <v>44413</v>
      </c>
      <c r="J713" s="7"/>
      <c r="K713" s="7" t="s">
        <v>47</v>
      </c>
      <c r="L713" s="7" t="s">
        <v>54</v>
      </c>
      <c r="M713" s="10" t="s">
        <v>238</v>
      </c>
      <c r="N713" s="7"/>
      <c r="O713" s="8" t="n">
        <v>0</v>
      </c>
      <c r="P713" s="8" t="n">
        <v>0</v>
      </c>
      <c r="Q713" s="8" t="n">
        <v>0</v>
      </c>
      <c r="R713" s="7"/>
      <c r="S713" s="7" t="s">
        <v>11799</v>
      </c>
    </row>
    <row r="714" customFormat="false" ht="15.75" hidden="false" customHeight="true" outlineLevel="0" collapsed="false">
      <c r="A714" s="7" t="s">
        <v>11800</v>
      </c>
      <c r="B714" s="8" t="n">
        <v>1997</v>
      </c>
      <c r="C714" s="8" t="n">
        <v>2001</v>
      </c>
      <c r="D714" s="8" t="s">
        <v>26</v>
      </c>
      <c r="E714" s="8" t="s">
        <v>9685</v>
      </c>
      <c r="F714" s="7" t="s">
        <v>11801</v>
      </c>
      <c r="G714" s="8" t="n">
        <v>7.8</v>
      </c>
      <c r="H714" s="8" t="n">
        <v>7</v>
      </c>
      <c r="I714" s="9" t="n">
        <v>30805</v>
      </c>
      <c r="J714" s="7"/>
      <c r="K714" s="7" t="s">
        <v>579</v>
      </c>
      <c r="L714" s="7" t="s">
        <v>39</v>
      </c>
      <c r="M714" s="10" t="s">
        <v>177</v>
      </c>
      <c r="N714" s="7"/>
      <c r="O714" s="8" t="n">
        <v>0</v>
      </c>
      <c r="P714" s="8" t="n">
        <v>0</v>
      </c>
      <c r="Q714" s="8" t="n">
        <v>0</v>
      </c>
      <c r="R714" s="7"/>
      <c r="S714" s="7" t="s">
        <v>11802</v>
      </c>
    </row>
    <row r="715" customFormat="false" ht="15.75" hidden="false" customHeight="true" outlineLevel="0" collapsed="false">
      <c r="A715" s="7" t="s">
        <v>11803</v>
      </c>
      <c r="B715" s="8" t="n">
        <v>2007</v>
      </c>
      <c r="C715" s="8" t="n">
        <v>2007</v>
      </c>
      <c r="D715" s="8" t="s">
        <v>35</v>
      </c>
      <c r="E715" s="8" t="s">
        <v>9685</v>
      </c>
      <c r="F715" s="7" t="s">
        <v>11804</v>
      </c>
      <c r="G715" s="8" t="n">
        <v>8.1</v>
      </c>
      <c r="H715" s="8" t="n">
        <v>8</v>
      </c>
      <c r="I715" s="9" t="n">
        <v>14772</v>
      </c>
      <c r="J715" s="7"/>
      <c r="K715" s="7" t="s">
        <v>47</v>
      </c>
      <c r="L715" s="7" t="s">
        <v>54</v>
      </c>
      <c r="M715" s="10"/>
      <c r="N715" s="7"/>
      <c r="O715" s="8" t="n">
        <v>0</v>
      </c>
      <c r="P715" s="8" t="n">
        <v>0</v>
      </c>
      <c r="Q715" s="8" t="n">
        <v>0</v>
      </c>
      <c r="R715" s="7"/>
      <c r="S715" s="7" t="s">
        <v>11805</v>
      </c>
    </row>
    <row r="716" customFormat="false" ht="15.75" hidden="false" customHeight="true" outlineLevel="0" collapsed="false">
      <c r="A716" s="7" t="s">
        <v>11806</v>
      </c>
      <c r="B716" s="8" t="n">
        <v>2020</v>
      </c>
      <c r="C716" s="8" t="n">
        <v>2023</v>
      </c>
      <c r="D716" s="8" t="s">
        <v>378</v>
      </c>
      <c r="E716" s="8" t="s">
        <v>9685</v>
      </c>
      <c r="F716" s="7" t="s">
        <v>6983</v>
      </c>
      <c r="G716" s="8" t="n">
        <v>7</v>
      </c>
      <c r="H716" s="8" t="n">
        <v>4</v>
      </c>
      <c r="I716" s="9" t="n">
        <v>12332</v>
      </c>
      <c r="J716" s="7"/>
      <c r="K716" s="7" t="s">
        <v>147</v>
      </c>
      <c r="L716" s="7" t="s">
        <v>38</v>
      </c>
      <c r="M716" s="10" t="s">
        <v>4902</v>
      </c>
      <c r="N716" s="7"/>
      <c r="O716" s="8" t="n">
        <v>0</v>
      </c>
      <c r="P716" s="8" t="n">
        <v>0</v>
      </c>
      <c r="Q716" s="8" t="n">
        <v>0</v>
      </c>
      <c r="R716" s="7"/>
      <c r="S716" s="7" t="s">
        <v>11807</v>
      </c>
    </row>
    <row r="717" customFormat="false" ht="15.75" hidden="false" customHeight="true" outlineLevel="0" collapsed="false">
      <c r="A717" s="7" t="s">
        <v>11808</v>
      </c>
      <c r="B717" s="8" t="n">
        <v>2020</v>
      </c>
      <c r="C717" s="8" t="n">
        <v>2025</v>
      </c>
      <c r="D717" s="8" t="s">
        <v>378</v>
      </c>
      <c r="E717" s="8" t="s">
        <v>9685</v>
      </c>
      <c r="F717" s="7" t="s">
        <v>11809</v>
      </c>
      <c r="G717" s="8" t="n">
        <v>6.7</v>
      </c>
      <c r="H717" s="8" t="n">
        <v>4</v>
      </c>
      <c r="I717" s="9" t="n">
        <v>9688</v>
      </c>
      <c r="J717" s="7"/>
      <c r="K717" s="7" t="s">
        <v>29</v>
      </c>
      <c r="L717" s="7" t="s">
        <v>30</v>
      </c>
      <c r="M717" s="10" t="s">
        <v>238</v>
      </c>
      <c r="N717" s="7"/>
      <c r="O717" s="8" t="n">
        <v>0</v>
      </c>
      <c r="P717" s="8" t="n">
        <v>0</v>
      </c>
      <c r="Q717" s="8" t="n">
        <v>0</v>
      </c>
      <c r="R717" s="7"/>
      <c r="S717" s="7" t="s">
        <v>11810</v>
      </c>
    </row>
    <row r="718" customFormat="false" ht="15.75" hidden="false" customHeight="true" outlineLevel="0" collapsed="false">
      <c r="A718" s="7" t="s">
        <v>11811</v>
      </c>
      <c r="B718" s="8" t="n">
        <v>2003</v>
      </c>
      <c r="C718" s="8" t="n">
        <v>2006</v>
      </c>
      <c r="D718" s="8" t="s">
        <v>35</v>
      </c>
      <c r="E718" s="8" t="s">
        <v>9685</v>
      </c>
      <c r="F718" s="7" t="s">
        <v>11812</v>
      </c>
      <c r="G718" s="8" t="n">
        <v>8.2</v>
      </c>
      <c r="H718" s="8" t="n">
        <v>8</v>
      </c>
      <c r="I718" s="9" t="n">
        <v>5979</v>
      </c>
      <c r="J718" s="7"/>
      <c r="K718" s="7" t="s">
        <v>29</v>
      </c>
      <c r="L718" s="7" t="s">
        <v>30</v>
      </c>
      <c r="M718" s="10" t="s">
        <v>11813</v>
      </c>
      <c r="N718" s="7"/>
      <c r="O718" s="8" t="n">
        <v>0</v>
      </c>
      <c r="P718" s="8" t="n">
        <v>0</v>
      </c>
      <c r="Q718" s="8" t="n">
        <v>0</v>
      </c>
      <c r="R718" s="7"/>
      <c r="S718" s="7" t="s">
        <v>11814</v>
      </c>
    </row>
    <row r="719" customFormat="false" ht="15.75" hidden="false" customHeight="true" outlineLevel="0" collapsed="false">
      <c r="A719" s="7" t="s">
        <v>11815</v>
      </c>
      <c r="B719" s="8" t="n">
        <v>2007</v>
      </c>
      <c r="C719" s="8"/>
      <c r="D719" s="8" t="s">
        <v>35</v>
      </c>
      <c r="E719" s="8" t="s">
        <v>9685</v>
      </c>
      <c r="F719" s="7" t="s">
        <v>11816</v>
      </c>
      <c r="G719" s="8" t="n">
        <v>7.6</v>
      </c>
      <c r="H719" s="8" t="n">
        <v>9</v>
      </c>
      <c r="I719" s="9" t="n">
        <v>5726</v>
      </c>
      <c r="J719" s="7"/>
      <c r="K719" s="7" t="s">
        <v>30</v>
      </c>
      <c r="L719" s="7"/>
      <c r="M719" s="10" t="s">
        <v>1890</v>
      </c>
      <c r="N719" s="7"/>
      <c r="O719" s="8" t="n">
        <v>0</v>
      </c>
      <c r="P719" s="8" t="n">
        <v>0</v>
      </c>
      <c r="Q719" s="8" t="n">
        <v>0</v>
      </c>
      <c r="R719" s="7"/>
      <c r="S719" s="7" t="s">
        <v>11817</v>
      </c>
    </row>
    <row r="720" customFormat="false" ht="15.75" hidden="false" customHeight="true" outlineLevel="0" collapsed="false">
      <c r="A720" s="7" t="s">
        <v>10852</v>
      </c>
      <c r="B720" s="8" t="n">
        <v>2023</v>
      </c>
      <c r="C720" s="8" t="n">
        <v>2023</v>
      </c>
      <c r="D720" s="8" t="s">
        <v>378</v>
      </c>
      <c r="E720" s="8" t="s">
        <v>9685</v>
      </c>
      <c r="F720" s="7" t="s">
        <v>11818</v>
      </c>
      <c r="G720" s="8" t="n">
        <v>7.7</v>
      </c>
      <c r="H720" s="8" t="n">
        <v>7</v>
      </c>
      <c r="I720" s="9" t="n">
        <v>5221</v>
      </c>
      <c r="J720" s="7"/>
      <c r="K720" s="7" t="s">
        <v>112</v>
      </c>
      <c r="L720" s="7" t="s">
        <v>54</v>
      </c>
      <c r="M720" s="10" t="s">
        <v>238</v>
      </c>
      <c r="N720" s="7"/>
      <c r="O720" s="8" t="n">
        <v>0</v>
      </c>
      <c r="P720" s="8" t="n">
        <v>0</v>
      </c>
      <c r="Q720" s="8" t="n">
        <v>0</v>
      </c>
      <c r="R720" s="7"/>
      <c r="S720" s="7" t="s">
        <v>10854</v>
      </c>
    </row>
    <row r="721" customFormat="false" ht="15.75" hidden="false" customHeight="true" outlineLevel="0" collapsed="false">
      <c r="A721" s="7" t="s">
        <v>5982</v>
      </c>
      <c r="B721" s="8" t="n">
        <v>1996</v>
      </c>
      <c r="C721" s="8" t="n">
        <v>1996</v>
      </c>
      <c r="D721" s="8" t="s">
        <v>26</v>
      </c>
      <c r="E721" s="8" t="s">
        <v>9715</v>
      </c>
      <c r="F721" s="7" t="s">
        <v>11819</v>
      </c>
      <c r="G721" s="8" t="n">
        <v>5.8</v>
      </c>
      <c r="H721" s="8" t="n">
        <v>8</v>
      </c>
      <c r="I721" s="9" t="n">
        <v>4922</v>
      </c>
      <c r="J721" s="7"/>
      <c r="K721" s="7" t="s">
        <v>112</v>
      </c>
      <c r="L721" s="7" t="s">
        <v>453</v>
      </c>
      <c r="M721" s="10"/>
      <c r="N721" s="7"/>
      <c r="O721" s="8" t="n">
        <v>0</v>
      </c>
      <c r="P721" s="8" t="n">
        <v>0</v>
      </c>
      <c r="Q721" s="8" t="n">
        <v>0</v>
      </c>
      <c r="R721" s="7"/>
      <c r="S721" s="7" t="s">
        <v>11820</v>
      </c>
    </row>
    <row r="722" customFormat="false" ht="15.75" hidden="false" customHeight="true" outlineLevel="0" collapsed="false">
      <c r="A722" s="7" t="s">
        <v>11821</v>
      </c>
      <c r="B722" s="8" t="n">
        <v>2026</v>
      </c>
      <c r="C722" s="8" t="n">
        <v>2026</v>
      </c>
      <c r="D722" s="8" t="s">
        <v>378</v>
      </c>
      <c r="E722" s="8" t="s">
        <v>9685</v>
      </c>
      <c r="F722" s="7" t="s">
        <v>11822</v>
      </c>
      <c r="G722" s="8" t="n">
        <v>8.5</v>
      </c>
      <c r="H722" s="8" t="n">
        <v>8</v>
      </c>
      <c r="I722" s="9" t="n">
        <v>4525</v>
      </c>
      <c r="J722" s="7"/>
      <c r="K722" s="7" t="s">
        <v>2730</v>
      </c>
      <c r="L722" s="7" t="s">
        <v>48</v>
      </c>
      <c r="M722" s="10" t="s">
        <v>238</v>
      </c>
      <c r="N722" s="7"/>
      <c r="O722" s="8" t="n">
        <v>0</v>
      </c>
      <c r="P722" s="8" t="n">
        <v>0</v>
      </c>
      <c r="Q722" s="8" t="n">
        <v>0</v>
      </c>
      <c r="R722" s="7"/>
      <c r="S722" s="7" t="s">
        <v>11823</v>
      </c>
    </row>
    <row r="723" customFormat="false" ht="15.75" hidden="false" customHeight="true" outlineLevel="0" collapsed="false">
      <c r="A723" s="7" t="s">
        <v>11824</v>
      </c>
      <c r="B723" s="8" t="n">
        <v>2003</v>
      </c>
      <c r="C723" s="8" t="n">
        <v>2008</v>
      </c>
      <c r="D723" s="8" t="s">
        <v>35</v>
      </c>
      <c r="E723" s="8" t="s">
        <v>9685</v>
      </c>
      <c r="F723" s="7" t="s">
        <v>11825</v>
      </c>
      <c r="G723" s="8" t="n">
        <v>7.5</v>
      </c>
      <c r="H723" s="8" t="n">
        <v>6</v>
      </c>
      <c r="I723" s="9" t="n">
        <v>4502</v>
      </c>
      <c r="J723" s="7"/>
      <c r="K723" s="7" t="s">
        <v>30</v>
      </c>
      <c r="L723" s="7" t="s">
        <v>259</v>
      </c>
      <c r="M723" s="10" t="s">
        <v>113</v>
      </c>
      <c r="N723" s="7"/>
      <c r="O723" s="8" t="n">
        <v>0</v>
      </c>
      <c r="P723" s="8" t="n">
        <v>0</v>
      </c>
      <c r="Q723" s="8" t="n">
        <v>0</v>
      </c>
      <c r="R723" s="7"/>
      <c r="S723" s="7" t="s">
        <v>11826</v>
      </c>
    </row>
    <row r="724" customFormat="false" ht="15.75" hidden="false" customHeight="true" outlineLevel="0" collapsed="false">
      <c r="A724" s="7" t="s">
        <v>11827</v>
      </c>
      <c r="B724" s="8" t="n">
        <v>2007</v>
      </c>
      <c r="C724" s="8" t="n">
        <v>2007</v>
      </c>
      <c r="D724" s="8" t="s">
        <v>35</v>
      </c>
      <c r="E724" s="8" t="s">
        <v>9715</v>
      </c>
      <c r="F724" s="7" t="s">
        <v>11828</v>
      </c>
      <c r="G724" s="8" t="n">
        <v>8.5</v>
      </c>
      <c r="H724" s="8" t="n">
        <v>9</v>
      </c>
      <c r="I724" s="9" t="n">
        <v>4160</v>
      </c>
      <c r="J724" s="7"/>
      <c r="K724" s="7" t="s">
        <v>47</v>
      </c>
      <c r="L724" s="7" t="s">
        <v>54</v>
      </c>
      <c r="M724" s="10"/>
      <c r="N724" s="7"/>
      <c r="O724" s="8" t="n">
        <v>0</v>
      </c>
      <c r="P724" s="8" t="n">
        <v>0</v>
      </c>
      <c r="Q724" s="8" t="n">
        <v>0</v>
      </c>
      <c r="R724" s="7"/>
      <c r="S724" s="7" t="s">
        <v>11829</v>
      </c>
    </row>
    <row r="725" customFormat="false" ht="15.75" hidden="false" customHeight="true" outlineLevel="0" collapsed="false">
      <c r="A725" s="7" t="s">
        <v>11830</v>
      </c>
      <c r="B725" s="8" t="n">
        <v>2004</v>
      </c>
      <c r="C725" s="8" t="n">
        <v>2005</v>
      </c>
      <c r="D725" s="8" t="s">
        <v>35</v>
      </c>
      <c r="E725" s="8" t="s">
        <v>9685</v>
      </c>
      <c r="F725" s="7" t="s">
        <v>11831</v>
      </c>
      <c r="G725" s="8" t="n">
        <v>7</v>
      </c>
      <c r="H725" s="8" t="n">
        <v>6</v>
      </c>
      <c r="I725" s="9" t="n">
        <v>3839</v>
      </c>
      <c r="J725" s="7"/>
      <c r="K725" s="7" t="s">
        <v>579</v>
      </c>
      <c r="L725" s="7" t="s">
        <v>39</v>
      </c>
      <c r="M725" s="10"/>
      <c r="N725" s="7"/>
      <c r="O725" s="8" t="n">
        <v>0</v>
      </c>
      <c r="P725" s="8" t="n">
        <v>0</v>
      </c>
      <c r="Q725" s="8" t="n">
        <v>0</v>
      </c>
      <c r="R725" s="7"/>
      <c r="S725" s="7" t="s">
        <v>11832</v>
      </c>
    </row>
    <row r="726" customFormat="false" ht="15.75" hidden="false" customHeight="true" outlineLevel="0" collapsed="false">
      <c r="A726" s="7" t="s">
        <v>11833</v>
      </c>
      <c r="B726" s="8" t="n">
        <v>2011</v>
      </c>
      <c r="C726" s="8" t="n">
        <v>2011</v>
      </c>
      <c r="D726" s="8" t="s">
        <v>176</v>
      </c>
      <c r="E726" s="8" t="s">
        <v>9715</v>
      </c>
      <c r="F726" s="7" t="s">
        <v>11834</v>
      </c>
      <c r="G726" s="8" t="n">
        <v>8.4</v>
      </c>
      <c r="H726" s="8" t="n">
        <v>8</v>
      </c>
      <c r="I726" s="9" t="n">
        <v>3599</v>
      </c>
      <c r="J726" s="7"/>
      <c r="K726" s="7" t="s">
        <v>112</v>
      </c>
      <c r="L726" s="7" t="s">
        <v>48</v>
      </c>
      <c r="M726" s="7"/>
      <c r="N726" s="7"/>
      <c r="O726" s="8" t="n">
        <v>0</v>
      </c>
      <c r="P726" s="8" t="n">
        <v>0</v>
      </c>
      <c r="Q726" s="8" t="n">
        <v>1</v>
      </c>
      <c r="R726" s="7"/>
      <c r="S726" s="7" t="s">
        <v>11835</v>
      </c>
    </row>
    <row r="727" customFormat="false" ht="15.75" hidden="false" customHeight="true" outlineLevel="0" collapsed="false">
      <c r="A727" s="7" t="s">
        <v>6108</v>
      </c>
      <c r="B727" s="8" t="n">
        <v>1996</v>
      </c>
      <c r="C727" s="8" t="n">
        <v>1999</v>
      </c>
      <c r="D727" s="8" t="s">
        <v>26</v>
      </c>
      <c r="E727" s="8" t="s">
        <v>9685</v>
      </c>
      <c r="F727" s="7" t="s">
        <v>11836</v>
      </c>
      <c r="G727" s="8" t="n">
        <v>6.4</v>
      </c>
      <c r="H727" s="8" t="n">
        <v>7</v>
      </c>
      <c r="I727" s="9" t="n">
        <v>2370</v>
      </c>
      <c r="J727" s="7"/>
      <c r="K727" s="7" t="s">
        <v>579</v>
      </c>
      <c r="L727" s="7" t="s">
        <v>112</v>
      </c>
      <c r="M727" s="10"/>
      <c r="N727" s="7"/>
      <c r="O727" s="8" t="n">
        <v>0</v>
      </c>
      <c r="P727" s="8" t="n">
        <v>0</v>
      </c>
      <c r="Q727" s="8" t="n">
        <v>0</v>
      </c>
      <c r="R727" s="7"/>
      <c r="S727" s="7" t="s">
        <v>11837</v>
      </c>
    </row>
    <row r="728" customFormat="false" ht="15.75" hidden="false" customHeight="true" outlineLevel="0" collapsed="false">
      <c r="A728" s="7" t="s">
        <v>2554</v>
      </c>
      <c r="B728" s="8" t="n">
        <v>2019</v>
      </c>
      <c r="C728" s="8" t="n">
        <v>2025</v>
      </c>
      <c r="D728" s="8" t="s">
        <v>176</v>
      </c>
      <c r="E728" s="8" t="s">
        <v>9685</v>
      </c>
      <c r="F728" s="7" t="s">
        <v>11838</v>
      </c>
      <c r="G728" s="8" t="n">
        <v>7.2</v>
      </c>
      <c r="H728" s="8" t="n">
        <v>6</v>
      </c>
      <c r="I728" s="9" t="n">
        <v>1909</v>
      </c>
      <c r="J728" s="7"/>
      <c r="K728" s="7" t="s">
        <v>47</v>
      </c>
      <c r="L728" s="7"/>
      <c r="M728" s="10" t="s">
        <v>11839</v>
      </c>
      <c r="N728" s="7"/>
      <c r="O728" s="8" t="n">
        <v>0</v>
      </c>
      <c r="P728" s="8" t="n">
        <v>0</v>
      </c>
      <c r="Q728" s="8" t="n">
        <v>0</v>
      </c>
      <c r="R728" s="7"/>
      <c r="S728" s="7" t="s">
        <v>11840</v>
      </c>
    </row>
    <row r="729" customFormat="false" ht="15.75" hidden="false" customHeight="true" outlineLevel="0" collapsed="false">
      <c r="A729" s="7" t="s">
        <v>11841</v>
      </c>
      <c r="B729" s="8" t="n">
        <v>2002</v>
      </c>
      <c r="C729" s="8" t="n">
        <v>2005</v>
      </c>
      <c r="D729" s="8" t="s">
        <v>35</v>
      </c>
      <c r="E729" s="8" t="s">
        <v>9685</v>
      </c>
      <c r="F729" s="7" t="s">
        <v>11842</v>
      </c>
      <c r="G729" s="8" t="n">
        <v>6.3</v>
      </c>
      <c r="H729" s="8" t="n">
        <v>6</v>
      </c>
      <c r="I729" s="9" t="n">
        <v>1744</v>
      </c>
      <c r="J729" s="7"/>
      <c r="K729" s="7" t="s">
        <v>90</v>
      </c>
      <c r="L729" s="7" t="s">
        <v>30</v>
      </c>
      <c r="M729" s="10" t="s">
        <v>8596</v>
      </c>
      <c r="N729" s="7"/>
      <c r="O729" s="8" t="n">
        <v>0</v>
      </c>
      <c r="P729" s="8" t="n">
        <v>0</v>
      </c>
      <c r="Q729" s="8" t="n">
        <v>0</v>
      </c>
      <c r="R729" s="7"/>
      <c r="S729" s="7" t="s">
        <v>11843</v>
      </c>
    </row>
    <row r="730" customFormat="false" ht="15.75" hidden="false" customHeight="true" outlineLevel="0" collapsed="false">
      <c r="A730" s="7" t="s">
        <v>7822</v>
      </c>
      <c r="B730" s="8" t="n">
        <v>2014</v>
      </c>
      <c r="C730" s="8" t="n">
        <v>2015</v>
      </c>
      <c r="D730" s="8" t="s">
        <v>176</v>
      </c>
      <c r="E730" s="8" t="s">
        <v>9685</v>
      </c>
      <c r="F730" s="7" t="s">
        <v>11844</v>
      </c>
      <c r="G730" s="8" t="n">
        <v>4.5</v>
      </c>
      <c r="H730" s="8" t="n">
        <v>6</v>
      </c>
      <c r="I730" s="9" t="n">
        <v>724</v>
      </c>
      <c r="J730" s="7"/>
      <c r="K730" s="7" t="s">
        <v>39</v>
      </c>
      <c r="L730" s="7" t="s">
        <v>47</v>
      </c>
      <c r="M730" s="10"/>
      <c r="N730" s="7"/>
      <c r="O730" s="8" t="n">
        <v>0</v>
      </c>
      <c r="P730" s="8" t="n">
        <v>0</v>
      </c>
      <c r="Q730" s="8" t="n">
        <v>0</v>
      </c>
      <c r="R730" s="7"/>
      <c r="S730" s="7" t="s">
        <v>11845</v>
      </c>
    </row>
    <row r="731" customFormat="false" ht="15.75" hidden="false" customHeight="true" outlineLevel="0" collapsed="false">
      <c r="A731" s="7" t="s">
        <v>11846</v>
      </c>
      <c r="B731" s="8" t="n">
        <v>2006</v>
      </c>
      <c r="C731" s="8" t="n">
        <v>2006</v>
      </c>
      <c r="D731" s="8" t="s">
        <v>35</v>
      </c>
      <c r="E731" s="8" t="s">
        <v>9685</v>
      </c>
      <c r="F731" s="7" t="s">
        <v>11847</v>
      </c>
      <c r="G731" s="8" t="n">
        <v>6.9</v>
      </c>
      <c r="H731" s="8" t="n">
        <v>8</v>
      </c>
      <c r="I731" s="9" t="n">
        <v>371</v>
      </c>
      <c r="J731" s="7"/>
      <c r="K731" s="7" t="s">
        <v>579</v>
      </c>
      <c r="L731" s="7" t="s">
        <v>29</v>
      </c>
      <c r="M731" s="10"/>
      <c r="N731" s="7"/>
      <c r="O731" s="8" t="n">
        <v>0</v>
      </c>
      <c r="P731" s="8" t="n">
        <v>0</v>
      </c>
      <c r="Q731" s="8" t="n">
        <v>0</v>
      </c>
      <c r="R731" s="7"/>
      <c r="S731" s="7" t="s">
        <v>11848</v>
      </c>
    </row>
    <row r="732" customFormat="false" ht="15.75" hidden="false" customHeight="true" outlineLevel="0" collapsed="false">
      <c r="A732" s="7" t="s">
        <v>2283</v>
      </c>
      <c r="B732" s="8" t="n">
        <v>2006</v>
      </c>
      <c r="C732" s="8" t="n">
        <v>2009</v>
      </c>
      <c r="D732" s="8" t="s">
        <v>35</v>
      </c>
      <c r="E732" s="8" t="s">
        <v>9685</v>
      </c>
      <c r="F732" s="7" t="s">
        <v>11849</v>
      </c>
      <c r="G732" s="8" t="n">
        <v>7.7</v>
      </c>
      <c r="H732" s="8" t="n">
        <v>9</v>
      </c>
      <c r="I732" s="9" t="n">
        <v>363</v>
      </c>
      <c r="J732" s="7"/>
      <c r="K732" s="7" t="s">
        <v>2730</v>
      </c>
      <c r="L732" s="7"/>
      <c r="M732" s="10"/>
      <c r="N732" s="7"/>
      <c r="O732" s="8" t="n">
        <v>0</v>
      </c>
      <c r="P732" s="8" t="n">
        <v>0</v>
      </c>
      <c r="Q732" s="8" t="n">
        <v>0</v>
      </c>
      <c r="R732" s="7"/>
      <c r="S732" s="7" t="s">
        <v>11850</v>
      </c>
    </row>
    <row r="733" customFormat="false" ht="15.75" hidden="false" customHeight="true" outlineLevel="0" collapsed="false">
      <c r="A733" s="7" t="s">
        <v>11851</v>
      </c>
      <c r="B733" s="8" t="n">
        <v>2017</v>
      </c>
      <c r="C733" s="8" t="n">
        <v>2017</v>
      </c>
      <c r="D733" s="8" t="s">
        <v>176</v>
      </c>
      <c r="E733" s="8" t="s">
        <v>9715</v>
      </c>
      <c r="F733" s="7" t="s">
        <v>11852</v>
      </c>
      <c r="G733" s="8" t="n">
        <v>7.8</v>
      </c>
      <c r="H733" s="8" t="n">
        <v>7</v>
      </c>
      <c r="I733" s="9" t="n">
        <v>206</v>
      </c>
      <c r="J733" s="7"/>
      <c r="K733" s="7" t="s">
        <v>2730</v>
      </c>
      <c r="L733" s="7"/>
      <c r="M733" s="10"/>
      <c r="N733" s="7"/>
      <c r="O733" s="8" t="n">
        <v>0</v>
      </c>
      <c r="P733" s="8" t="n">
        <v>0</v>
      </c>
      <c r="Q733" s="8" t="n">
        <v>0</v>
      </c>
      <c r="R733" s="7"/>
      <c r="S733" s="7" t="s">
        <v>11853</v>
      </c>
    </row>
    <row r="734" customFormat="false" ht="15.75" hidden="false" customHeight="true" outlineLevel="0" collapsed="false">
      <c r="A734" s="7" t="s">
        <v>6197</v>
      </c>
      <c r="B734" s="8" t="n">
        <v>2005</v>
      </c>
      <c r="C734" s="8" t="n">
        <v>2005</v>
      </c>
      <c r="D734" s="8" t="s">
        <v>35</v>
      </c>
      <c r="E734" s="8" t="s">
        <v>9715</v>
      </c>
      <c r="F734" s="7" t="s">
        <v>11854</v>
      </c>
      <c r="G734" s="8" t="n">
        <v>7</v>
      </c>
      <c r="H734" s="8" t="n">
        <v>4</v>
      </c>
      <c r="I734" s="9" t="n">
        <v>49</v>
      </c>
      <c r="J734" s="7"/>
      <c r="K734" s="7" t="s">
        <v>131</v>
      </c>
      <c r="L734" s="7" t="s">
        <v>54</v>
      </c>
      <c r="M734" s="7"/>
      <c r="N734" s="7"/>
      <c r="O734" s="8" t="n">
        <v>0</v>
      </c>
      <c r="P734" s="8" t="n">
        <v>0</v>
      </c>
      <c r="Q734" s="8" t="n">
        <v>0</v>
      </c>
      <c r="R734" s="7"/>
      <c r="S734" s="7" t="s">
        <v>11855</v>
      </c>
    </row>
    <row r="735" customFormat="false" ht="15.75" hidden="false" customHeight="true" outlineLevel="0" collapsed="false">
      <c r="A735" s="7" t="s">
        <v>11856</v>
      </c>
      <c r="B735" s="8" t="n">
        <v>2014</v>
      </c>
      <c r="C735" s="8" t="n">
        <v>2014</v>
      </c>
      <c r="D735" s="8" t="s">
        <v>176</v>
      </c>
      <c r="E735" s="8" t="s">
        <v>9715</v>
      </c>
      <c r="F735" s="7" t="s">
        <v>11857</v>
      </c>
      <c r="G735" s="8" t="n">
        <v>8</v>
      </c>
      <c r="H735" s="8" t="n">
        <v>3</v>
      </c>
      <c r="I735" s="9" t="n">
        <v>28</v>
      </c>
      <c r="J735" s="7"/>
      <c r="K735" s="7" t="s">
        <v>47</v>
      </c>
      <c r="L735" s="7"/>
      <c r="M735" s="10"/>
      <c r="N735" s="7"/>
      <c r="O735" s="8" t="n">
        <v>0</v>
      </c>
      <c r="P735" s="8" t="n">
        <v>0</v>
      </c>
      <c r="Q735" s="8" t="n">
        <v>1</v>
      </c>
      <c r="R735" s="7"/>
      <c r="S735" s="7" t="s">
        <v>11858</v>
      </c>
    </row>
    <row r="736" customFormat="false" ht="15.75" hidden="false" customHeight="true" outlineLevel="0" collapsed="false">
      <c r="A736" s="7" t="s">
        <v>11859</v>
      </c>
      <c r="B736" s="8" t="n">
        <v>2007</v>
      </c>
      <c r="C736" s="8" t="n">
        <v>2020</v>
      </c>
      <c r="D736" s="8" t="s">
        <v>35</v>
      </c>
      <c r="E736" s="8" t="s">
        <v>9685</v>
      </c>
      <c r="F736" s="7" t="s">
        <v>11860</v>
      </c>
      <c r="G736" s="8" t="n">
        <v>8.5</v>
      </c>
      <c r="H736" s="8" t="n">
        <v>7</v>
      </c>
      <c r="I736" s="9" t="n">
        <v>24</v>
      </c>
      <c r="J736" s="7"/>
      <c r="K736" s="7" t="s">
        <v>2730</v>
      </c>
      <c r="L736" s="7"/>
      <c r="M736" s="10" t="s">
        <v>210</v>
      </c>
      <c r="N736" s="7"/>
      <c r="O736" s="8" t="n">
        <v>0</v>
      </c>
      <c r="P736" s="8" t="n">
        <v>0</v>
      </c>
      <c r="Q736" s="8" t="n">
        <v>0</v>
      </c>
      <c r="R736" s="7"/>
      <c r="S736" s="7" t="s">
        <v>11861</v>
      </c>
    </row>
    <row r="737" customFormat="false" ht="15.75" hidden="false" customHeight="true" outlineLevel="0" collapsed="false">
      <c r="A737" s="7" t="s">
        <v>11862</v>
      </c>
      <c r="B737" s="8" t="n">
        <v>2011</v>
      </c>
      <c r="C737" s="8" t="n">
        <v>2012</v>
      </c>
      <c r="D737" s="8" t="s">
        <v>176</v>
      </c>
      <c r="E737" s="8" t="s">
        <v>9685</v>
      </c>
      <c r="F737" s="7" t="s">
        <v>11863</v>
      </c>
      <c r="G737" s="8" t="n">
        <v>5.2</v>
      </c>
      <c r="H737" s="8" t="n">
        <v>6</v>
      </c>
      <c r="I737" s="9" t="n">
        <v>21</v>
      </c>
      <c r="J737" s="7"/>
      <c r="K737" s="7" t="s">
        <v>30</v>
      </c>
      <c r="L737" s="7"/>
      <c r="M737" s="7"/>
      <c r="N737" s="7"/>
      <c r="O737" s="8" t="n">
        <v>0</v>
      </c>
      <c r="P737" s="8" t="n">
        <v>0</v>
      </c>
      <c r="Q737" s="8" t="n">
        <v>0</v>
      </c>
      <c r="R737" s="7"/>
      <c r="S737" s="7" t="s">
        <v>11864</v>
      </c>
    </row>
    <row r="738" customFormat="false" ht="15.75" hidden="false" customHeight="true" outlineLevel="0" collapsed="false">
      <c r="A738" s="7" t="s">
        <v>6404</v>
      </c>
      <c r="B738" s="8" t="n">
        <v>2013</v>
      </c>
      <c r="C738" s="8"/>
      <c r="D738" s="8" t="s">
        <v>176</v>
      </c>
      <c r="E738" s="8" t="s">
        <v>9685</v>
      </c>
      <c r="F738" s="7" t="s">
        <v>11865</v>
      </c>
      <c r="G738" s="8" t="n">
        <v>6</v>
      </c>
      <c r="H738" s="8" t="n">
        <v>7</v>
      </c>
      <c r="I738" s="9" t="n">
        <v>16</v>
      </c>
      <c r="J738" s="7"/>
      <c r="K738" s="7" t="s">
        <v>147</v>
      </c>
      <c r="L738" s="7" t="s">
        <v>125</v>
      </c>
      <c r="M738" s="7"/>
      <c r="N738" s="7"/>
      <c r="O738" s="8" t="n">
        <v>0</v>
      </c>
      <c r="P738" s="8" t="n">
        <v>0</v>
      </c>
      <c r="Q738" s="8" t="n">
        <v>0</v>
      </c>
      <c r="R738" s="7"/>
      <c r="S738" s="7" t="s">
        <v>11866</v>
      </c>
    </row>
    <row r="739" customFormat="false" ht="15.75" hidden="false" customHeight="true" outlineLevel="0" collapsed="false">
      <c r="A739" s="7" t="s">
        <v>2100</v>
      </c>
      <c r="B739" s="8" t="n">
        <v>2006</v>
      </c>
      <c r="C739" s="8" t="n">
        <v>2006</v>
      </c>
      <c r="D739" s="8" t="s">
        <v>35</v>
      </c>
      <c r="E739" s="8" t="s">
        <v>9685</v>
      </c>
      <c r="F739" s="7"/>
      <c r="G739" s="8" t="n">
        <v>8</v>
      </c>
      <c r="H739" s="8" t="n">
        <v>8</v>
      </c>
      <c r="I739" s="9" t="n">
        <v>13</v>
      </c>
      <c r="J739" s="7"/>
      <c r="K739" s="7" t="s">
        <v>30</v>
      </c>
      <c r="L739" s="7"/>
      <c r="M739" s="7"/>
      <c r="N739" s="7"/>
      <c r="O739" s="8" t="n">
        <v>0</v>
      </c>
      <c r="P739" s="8" t="n">
        <v>0</v>
      </c>
      <c r="Q739" s="8" t="n">
        <v>0</v>
      </c>
      <c r="R739" s="7"/>
      <c r="S739" s="7" t="s">
        <v>11867</v>
      </c>
    </row>
    <row r="740" customFormat="false" ht="15.75" hidden="false" customHeight="true" outlineLevel="0" collapsed="false">
      <c r="A740" s="7" t="s">
        <v>8579</v>
      </c>
      <c r="B740" s="8" t="n">
        <v>2018</v>
      </c>
      <c r="C740" s="8"/>
      <c r="D740" s="8" t="s">
        <v>176</v>
      </c>
      <c r="E740" s="8" t="s">
        <v>9685</v>
      </c>
      <c r="F740" s="7" t="s">
        <v>11868</v>
      </c>
      <c r="G740" s="8" t="n">
        <v>7.9</v>
      </c>
      <c r="H740" s="8" t="n">
        <v>4</v>
      </c>
      <c r="I740" s="9" t="n">
        <v>12</v>
      </c>
      <c r="J740" s="7"/>
      <c r="K740" s="7" t="s">
        <v>47</v>
      </c>
      <c r="L740" s="7"/>
      <c r="M740" s="10"/>
      <c r="N740" s="7"/>
      <c r="O740" s="8" t="n">
        <v>0</v>
      </c>
      <c r="P740" s="8" t="n">
        <v>0</v>
      </c>
      <c r="Q740" s="8" t="n">
        <v>0</v>
      </c>
      <c r="R740" s="7"/>
      <c r="S740" s="7" t="s">
        <v>11869</v>
      </c>
    </row>
    <row r="741" customFormat="false" ht="15.75" hidden="false" customHeight="true" outlineLevel="0" collapsed="false">
      <c r="A741" s="7" t="s">
        <v>11870</v>
      </c>
      <c r="B741" s="8" t="n">
        <v>2023</v>
      </c>
      <c r="C741" s="8"/>
      <c r="D741" s="8" t="s">
        <v>378</v>
      </c>
      <c r="E741" s="8" t="s">
        <v>9685</v>
      </c>
      <c r="F741" s="7" t="s">
        <v>11871</v>
      </c>
      <c r="G741" s="8" t="n">
        <v>8.4</v>
      </c>
      <c r="H741" s="8" t="n">
        <v>8</v>
      </c>
      <c r="I741" s="9" t="n">
        <v>750934</v>
      </c>
      <c r="J741" s="7" t="s">
        <v>46</v>
      </c>
      <c r="K741" s="7" t="s">
        <v>47</v>
      </c>
      <c r="L741" s="7"/>
      <c r="M741" s="10" t="s">
        <v>55</v>
      </c>
      <c r="N741" s="7" t="s">
        <v>11872</v>
      </c>
      <c r="O741" s="8" t="n">
        <v>0</v>
      </c>
      <c r="P741" s="8" t="n">
        <v>0</v>
      </c>
      <c r="Q741" s="8" t="n">
        <v>0</v>
      </c>
      <c r="R741" s="7"/>
      <c r="S741" s="7" t="s">
        <v>11873</v>
      </c>
    </row>
  </sheetData>
  <autoFilter ref="A1:R2000"/>
  <conditionalFormatting sqref="H2:H2000">
    <cfRule type="colorScale" priority="2">
      <colorScale>
        <cfvo type="num" val="1"/>
        <cfvo type="num" val="6"/>
        <cfvo type="num" val="10"/>
        <color rgb="FFF8696B"/>
        <color rgb="FFFFEB84"/>
        <color rgb="FF63BE7B"/>
      </colorScale>
    </cfRule>
  </conditionalFormatting>
  <conditionalFormatting sqref="G2:G2000">
    <cfRule type="colorScale" priority="3">
      <colorScale>
        <cfvo type="num" val="1"/>
        <cfvo type="num" val="7"/>
        <cfvo type="num" val="10"/>
        <color rgb="FFF8696B"/>
        <color rgb="FFFFEB84"/>
        <color rgb="FF63BE7B"/>
      </colorScale>
    </cfRule>
  </conditionalFormatting>
  <conditionalFormatting sqref="I2:I2000">
    <cfRule type="dataBar" priority="4">
      <dataBar showValue="1" minLength="10" maxLength="90">
        <cfvo type="min" val="0"/>
        <cfvo type="max" val="0"/>
        <color rgb="FF8EA9DB"/>
      </dataBar>
      <extLst>
        <ext xmlns:x14="http://schemas.microsoft.com/office/spreadsheetml/2009/9/main" uri="{B025F937-C7B1-47D3-B67F-A62EFF666E3E}">
          <x14:id>{2F87BFBF-20EF-40C6-AE27-49E7E77F3121}</x14:id>
        </ext>
      </extLst>
    </cfRule>
  </conditionalFormatting>
  <conditionalFormatting sqref="O2:O2000">
    <cfRule type="dataBar" priority="5">
      <dataBar showValue="1" minLength="10" maxLength="90">
        <cfvo type="min" val="0"/>
        <cfvo type="max" val="0"/>
        <color rgb="FFC00000"/>
      </dataBar>
      <extLst>
        <ext xmlns:x14="http://schemas.microsoft.com/office/spreadsheetml/2009/9/main" uri="{B025F937-C7B1-47D3-B67F-A62EFF666E3E}">
          <x14:id>{87E652DB-81D3-47DE-B2D1-1063B0D85979}</x14:id>
        </ext>
      </extLst>
    </cfRule>
  </conditionalFormatting>
  <conditionalFormatting sqref="A2:A2000">
    <cfRule type="expression" priority="6" aboveAverage="0" equalAverage="0" bottom="0" percent="0" rank="0" text="" dxfId="74">
      <formula>AND($H2="",$P2=1)</formula>
    </cfRule>
    <cfRule type="expression" priority="7" aboveAverage="0" equalAverage="0" bottom="0" percent="0" rank="0" text="" dxfId="76">
      <formula>$H2&lt;&gt;""</formula>
    </cfRule>
  </conditionalFormatting>
  <conditionalFormatting sqref="E2:E2000">
    <cfRule type="expression" priority="8" aboveAverage="0" equalAverage="0" bottom="0" percent="0" rank="0" text="" dxfId="113">
      <formula>$E2="Miniserie"</formula>
    </cfRule>
  </conditionalFormatting>
  <conditionalFormatting sqref="F2:F2000">
    <cfRule type="expression" priority="9" aboveAverage="0" equalAverage="0" bottom="0" percent="0" rank="0" text="" dxfId="76">
      <formula>$H2&lt;&gt;""</formula>
    </cfRule>
  </conditionalFormatting>
  <conditionalFormatting sqref="N2:N2000">
    <cfRule type="expression" priority="10" aboveAverage="0" equalAverage="0" bottom="0" percent="0" rank="0" text="" dxfId="76">
      <formula>$H2&lt;&gt;""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7BFBF-20EF-40C6-AE27-49E7E77F3121}">
            <x14:dataBar minLength="10" maxLength="90" axisPosition="none" gradient="true">
              <x14:cfvo type="min"/>
              <x14:cfvo type="max"/>
              <x14:negativeFillColor rgb="FF8EA9DB"/>
              <x14:axisColor rgb="FF000000"/>
            </x14:dataBar>
          </x14:cfRule>
          <xm:sqref>I2:I2000</xm:sqref>
        </x14:conditionalFormatting>
        <x14:conditionalFormatting xmlns:xm="http://schemas.microsoft.com/office/excel/2006/main">
          <x14:cfRule type="dataBar" id="{87E652DB-81D3-47DE-B2D1-1063B0D85979}">
            <x14:dataBar minLength="10" maxLength="90" axisPosition="none" gradient="true">
              <x14:cfvo type="min"/>
              <x14:cfvo type="max"/>
              <x14:negativeFillColor rgb="FFC00000"/>
              <x14:axisColor rgb="FF000000"/>
            </x14:dataBar>
          </x14:cfRule>
          <xm:sqref>O2:O2000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0"/>
    <col collapsed="false" customWidth="true" hidden="false" outlineLevel="0" max="6" min="6" style="1" width="24"/>
    <col collapsed="false" customWidth="true" hidden="false" outlineLevel="0" max="9" min="7" style="1" width="10"/>
    <col collapsed="false" customWidth="true" hidden="false" outlineLevel="0" max="11" min="11" style="1" width="8"/>
    <col collapsed="false" customWidth="true" hidden="false" outlineLevel="0" max="12" min="12" style="1" width="10"/>
  </cols>
  <sheetData>
    <row r="1" customFormat="false" ht="15" hidden="false" customHeight="true" outlineLevel="0" collapsed="false">
      <c r="A1" s="15" t="s">
        <v>11874</v>
      </c>
    </row>
    <row r="2" customFormat="false" ht="15" hidden="false" customHeight="true" outlineLevel="0" collapsed="false">
      <c r="A2" s="16" t="s">
        <v>11875</v>
      </c>
      <c r="B2" s="17" t="n">
        <f aca="false">COUNTA('Movie Data Base by Keizar'!A2:A4000)</f>
        <v>2382</v>
      </c>
    </row>
    <row r="3" customFormat="false" ht="15" hidden="false" customHeight="true" outlineLevel="0" collapsed="false">
      <c r="A3" s="16" t="s">
        <v>11876</v>
      </c>
      <c r="B3" s="17" t="n">
        <f aca="false">COUNT('Movie Data Base by Keizar'!G2:G4000)</f>
        <v>1285</v>
      </c>
    </row>
    <row r="4" customFormat="false" ht="15" hidden="false" customHeight="true" outlineLevel="0" collapsed="false">
      <c r="A4" s="16" t="s">
        <v>11877</v>
      </c>
      <c r="B4" s="17" t="n">
        <f aca="false">ROUND(AVERAGE('Movie Data Base by Keizar'!G2:G4000),2)</f>
        <v>6.26</v>
      </c>
    </row>
    <row r="5" customFormat="false" ht="15" hidden="false" customHeight="true" outlineLevel="0" collapsed="false">
      <c r="A5" s="16" t="s">
        <v>11878</v>
      </c>
      <c r="B5" s="17" t="n">
        <f aca="false">ROUND(AVERAGEIF('Movie Data Base by Keizar'!G2:G4000,"&gt;0",'Movie Data Base by Keizar'!F2:F4000),2)</f>
        <v>6.9</v>
      </c>
    </row>
    <row r="6" customFormat="false" ht="15" hidden="false" customHeight="true" outlineLevel="0" collapsed="false">
      <c r="A6" s="16" t="s">
        <v>11879</v>
      </c>
      <c r="B6" s="17" t="n">
        <f aca="false">ROUND(SUMIF('Movie Data Base by Keizar'!G2:G4000,"&gt;0",'Movie Data Base by Keizar'!D2:D4000)/60,0)</f>
        <v>2457</v>
      </c>
    </row>
    <row r="7" customFormat="false" ht="15" hidden="false" customHeight="true" outlineLevel="0" collapsed="false">
      <c r="A7" s="16" t="s">
        <v>11880</v>
      </c>
      <c r="B7" s="17" t="n">
        <f aca="false">ROUND(AVERAGE('Movie Data Base by Keizar'!D2:D4000),0)</f>
        <v>117</v>
      </c>
    </row>
    <row r="10" customFormat="false" ht="15" hidden="false" customHeight="true" outlineLevel="0" collapsed="false">
      <c r="A10" s="15" t="s">
        <v>11881</v>
      </c>
      <c r="F10" s="15" t="s">
        <v>11882</v>
      </c>
      <c r="K10" s="15" t="s">
        <v>11883</v>
      </c>
    </row>
    <row r="11" customFormat="false" ht="15" hidden="false" customHeight="true" outlineLevel="0" collapsed="false">
      <c r="A11" s="18" t="s">
        <v>9</v>
      </c>
      <c r="B11" s="18" t="s">
        <v>11884</v>
      </c>
      <c r="C11" s="18" t="s">
        <v>11885</v>
      </c>
      <c r="D11" s="18" t="s">
        <v>11886</v>
      </c>
      <c r="F11" s="18" t="s">
        <v>2</v>
      </c>
      <c r="G11" s="18" t="s">
        <v>11884</v>
      </c>
      <c r="H11" s="18" t="s">
        <v>11885</v>
      </c>
      <c r="I11" s="18" t="s">
        <v>11886</v>
      </c>
      <c r="K11" s="18" t="s">
        <v>11887</v>
      </c>
      <c r="L11" s="18" t="s">
        <v>11888</v>
      </c>
    </row>
    <row r="12" customFormat="false" ht="15" hidden="false" customHeight="true" outlineLevel="0" collapsed="false">
      <c r="A12" s="1" t="s">
        <v>47</v>
      </c>
      <c r="B12" s="1" t="n">
        <f aca="false">COUNTIF('Movie Data Base by Keizar'!J:J,A12)</f>
        <v>428</v>
      </c>
      <c r="C12" s="1" t="n">
        <f aca="false">COUNTIFS('Movie Data Base by Keizar'!J:J,A12,'Movie Data Base by Keizar'!G:G,"&gt;0")</f>
        <v>117</v>
      </c>
      <c r="D12" s="1" t="n">
        <f aca="false">IFERROR(ROUND(AVERAGEIFS('Movie Data Base by Keizar'!G:G,'Movie Data Base by Keizar'!J:J,A12,'Movie Data Base by Keizar'!G:G,"&gt;0"),2),"")</f>
        <v>6.93</v>
      </c>
      <c r="F12" s="1" t="s">
        <v>851</v>
      </c>
      <c r="G12" s="1" t="n">
        <f aca="false">COUNTIF('Movie Data Base by Keizar'!C:C,F12)</f>
        <v>15</v>
      </c>
      <c r="H12" s="1" t="n">
        <f aca="false">COUNTIFS('Movie Data Base by Keizar'!C:C,F12,'Movie Data Base by Keizar'!G:G,"&gt;0")</f>
        <v>1</v>
      </c>
      <c r="I12" s="1" t="n">
        <f aca="false">IFERROR(ROUND(AVERAGEIFS('Movie Data Base by Keizar'!G:G,'Movie Data Base by Keizar'!C:C,F12,'Movie Data Base by Keizar'!G:G,"&gt;0"),2),"")</f>
        <v>6</v>
      </c>
      <c r="K12" s="1" t="n">
        <v>10</v>
      </c>
      <c r="L12" s="1" t="n">
        <f aca="false">COUNTIF('Movie Data Base by Keizar'!G:G,K12)</f>
        <v>7</v>
      </c>
    </row>
    <row r="13" customFormat="false" ht="15" hidden="false" customHeight="true" outlineLevel="0" collapsed="false">
      <c r="A13" s="1" t="s">
        <v>131</v>
      </c>
      <c r="B13" s="1" t="n">
        <f aca="false">COUNTIF('Movie Data Base by Keizar'!J:J,A13)</f>
        <v>279</v>
      </c>
      <c r="C13" s="1" t="n">
        <f aca="false">COUNTIFS('Movie Data Base by Keizar'!J:J,A13,'Movie Data Base by Keizar'!G:G,"&gt;0")</f>
        <v>194</v>
      </c>
      <c r="D13" s="1" t="n">
        <f aca="false">IFERROR(ROUND(AVERAGEIFS('Movie Data Base by Keizar'!G:G,'Movie Data Base by Keizar'!J:J,A13,'Movie Data Base by Keizar'!G:G,"&gt;0"),2),"")</f>
        <v>6.43</v>
      </c>
      <c r="F13" s="1" t="s">
        <v>96</v>
      </c>
      <c r="G13" s="1" t="n">
        <f aca="false">COUNTIF('Movie Data Base by Keizar'!C:C,F13)</f>
        <v>17</v>
      </c>
      <c r="H13" s="1" t="n">
        <f aca="false">COUNTIFS('Movie Data Base by Keizar'!C:C,F13,'Movie Data Base by Keizar'!G:G,"&gt;0")</f>
        <v>0</v>
      </c>
      <c r="I13" s="1" t="str">
        <f aca="false">IFERROR(ROUND(AVERAGEIFS('Movie Data Base by Keizar'!G:G,'Movie Data Base by Keizar'!C:C,F13,'Movie Data Base by Keizar'!G:G,"&gt;0"),2),"")</f>
        <v/>
      </c>
      <c r="K13" s="1" t="n">
        <v>9</v>
      </c>
      <c r="L13" s="1" t="n">
        <f aca="false">COUNTIF('Movie Data Base by Keizar'!G:G,K13)</f>
        <v>56</v>
      </c>
    </row>
    <row r="14" customFormat="false" ht="15" hidden="false" customHeight="true" outlineLevel="0" collapsed="false">
      <c r="A14" s="1" t="s">
        <v>29</v>
      </c>
      <c r="B14" s="1" t="n">
        <f aca="false">COUNTIF('Movie Data Base by Keizar'!J:J,A14)</f>
        <v>236</v>
      </c>
      <c r="C14" s="1" t="n">
        <f aca="false">COUNTIFS('Movie Data Base by Keizar'!J:J,A14,'Movie Data Base by Keizar'!G:G,"&gt;0")</f>
        <v>68</v>
      </c>
      <c r="D14" s="1" t="n">
        <f aca="false">IFERROR(ROUND(AVERAGEIFS('Movie Data Base by Keizar'!G:G,'Movie Data Base by Keizar'!J:J,A14,'Movie Data Base by Keizar'!G:G,"&gt;0"),2),"")</f>
        <v>5.96</v>
      </c>
      <c r="F14" s="1" t="s">
        <v>243</v>
      </c>
      <c r="G14" s="1" t="n">
        <f aca="false">COUNTIF('Movie Data Base by Keizar'!C:C,F14)</f>
        <v>31</v>
      </c>
      <c r="H14" s="1" t="n">
        <f aca="false">COUNTIFS('Movie Data Base by Keizar'!C:C,F14,'Movie Data Base by Keizar'!G:G,"&gt;0")</f>
        <v>1</v>
      </c>
      <c r="I14" s="1" t="n">
        <f aca="false">IFERROR(ROUND(AVERAGEIFS('Movie Data Base by Keizar'!G:G,'Movie Data Base by Keizar'!C:C,F14,'Movie Data Base by Keizar'!G:G,"&gt;0"),2),"")</f>
        <v>7</v>
      </c>
      <c r="K14" s="1" t="n">
        <v>8</v>
      </c>
      <c r="L14" s="1" t="n">
        <f aca="false">COUNTIF('Movie Data Base by Keizar'!G:G,K14)</f>
        <v>196</v>
      </c>
    </row>
    <row r="15" customFormat="false" ht="15" hidden="false" customHeight="true" outlineLevel="0" collapsed="false">
      <c r="A15" s="1" t="s">
        <v>112</v>
      </c>
      <c r="B15" s="1" t="n">
        <f aca="false">COUNTIF('Movie Data Base by Keizar'!J:J,A15)</f>
        <v>214</v>
      </c>
      <c r="C15" s="1" t="n">
        <f aca="false">COUNTIFS('Movie Data Base by Keizar'!J:J,A15,'Movie Data Base by Keizar'!G:G,"&gt;0")</f>
        <v>182</v>
      </c>
      <c r="D15" s="1" t="n">
        <f aca="false">IFERROR(ROUND(AVERAGEIFS('Movie Data Base by Keizar'!G:G,'Movie Data Base by Keizar'!J:J,A15,'Movie Data Base by Keizar'!G:G,"&gt;0"),2),"")</f>
        <v>5.97</v>
      </c>
      <c r="F15" s="1" t="s">
        <v>196</v>
      </c>
      <c r="G15" s="1" t="n">
        <f aca="false">COUNTIF('Movie Data Base by Keizar'!C:C,F15)</f>
        <v>44</v>
      </c>
      <c r="H15" s="1" t="n">
        <f aca="false">COUNTIFS('Movie Data Base by Keizar'!C:C,F15,'Movie Data Base by Keizar'!G:G,"&gt;0")</f>
        <v>3</v>
      </c>
      <c r="I15" s="1" t="n">
        <f aca="false">IFERROR(ROUND(AVERAGEIFS('Movie Data Base by Keizar'!G:G,'Movie Data Base by Keizar'!C:C,F15,'Movie Data Base by Keizar'!G:G,"&gt;0"),2),"")</f>
        <v>7.33</v>
      </c>
      <c r="K15" s="1" t="n">
        <v>7</v>
      </c>
      <c r="L15" s="1" t="n">
        <f aca="false">COUNTIF('Movie Data Base by Keizar'!G:G,K15)</f>
        <v>333</v>
      </c>
    </row>
    <row r="16" customFormat="false" ht="15" hidden="false" customHeight="true" outlineLevel="0" collapsed="false">
      <c r="A16" s="1" t="s">
        <v>147</v>
      </c>
      <c r="B16" s="1" t="n">
        <f aca="false">COUNTIF('Movie Data Base by Keizar'!J:J,A16)</f>
        <v>203</v>
      </c>
      <c r="C16" s="1" t="n">
        <f aca="false">COUNTIFS('Movie Data Base by Keizar'!J:J,A16,'Movie Data Base by Keizar'!G:G,"&gt;0")</f>
        <v>176</v>
      </c>
      <c r="D16" s="1" t="n">
        <f aca="false">IFERROR(ROUND(AVERAGEIFS('Movie Data Base by Keizar'!G:G,'Movie Data Base by Keizar'!J:J,A16,'Movie Data Base by Keizar'!G:G,"&gt;0"),2),"")</f>
        <v>5.89</v>
      </c>
      <c r="F16" s="1" t="s">
        <v>122</v>
      </c>
      <c r="G16" s="1" t="n">
        <f aca="false">COUNTIF('Movie Data Base by Keizar'!C:C,F16)</f>
        <v>57</v>
      </c>
      <c r="H16" s="1" t="n">
        <f aca="false">COUNTIFS('Movie Data Base by Keizar'!C:C,F16,'Movie Data Base by Keizar'!G:G,"&gt;0")</f>
        <v>6</v>
      </c>
      <c r="I16" s="1" t="n">
        <f aca="false">IFERROR(ROUND(AVERAGEIFS('Movie Data Base by Keizar'!G:G,'Movie Data Base by Keizar'!C:C,F16,'Movie Data Base by Keizar'!G:G,"&gt;0"),2),"")</f>
        <v>7</v>
      </c>
      <c r="K16" s="1" t="n">
        <v>6</v>
      </c>
      <c r="L16" s="1" t="n">
        <f aca="false">COUNTIF('Movie Data Base by Keizar'!G:G,K16)</f>
        <v>362</v>
      </c>
    </row>
    <row r="17" customFormat="false" ht="15" hidden="false" customHeight="true" outlineLevel="0" collapsed="false">
      <c r="A17" s="1" t="s">
        <v>30</v>
      </c>
      <c r="B17" s="1" t="n">
        <f aca="false">COUNTIF('Movie Data Base by Keizar'!J:J,A17)</f>
        <v>199</v>
      </c>
      <c r="C17" s="1" t="n">
        <f aca="false">COUNTIFS('Movie Data Base by Keizar'!J:J,A17,'Movie Data Base by Keizar'!G:G,"&gt;0")</f>
        <v>101</v>
      </c>
      <c r="D17" s="1" t="n">
        <f aca="false">IFERROR(ROUND(AVERAGEIFS('Movie Data Base by Keizar'!G:G,'Movie Data Base by Keizar'!J:J,A17,'Movie Data Base by Keizar'!G:G,"&gt;0"),2),"")</f>
        <v>6.28</v>
      </c>
      <c r="F17" s="1" t="s">
        <v>61</v>
      </c>
      <c r="G17" s="1" t="n">
        <f aca="false">COUNTIF('Movie Data Base by Keizar'!C:C,F17)</f>
        <v>82</v>
      </c>
      <c r="H17" s="1" t="n">
        <f aca="false">COUNTIFS('Movie Data Base by Keizar'!C:C,F17,'Movie Data Base by Keizar'!G:G,"&gt;0")</f>
        <v>21</v>
      </c>
      <c r="I17" s="1" t="n">
        <f aca="false">IFERROR(ROUND(AVERAGEIFS('Movie Data Base by Keizar'!G:G,'Movie Data Base by Keizar'!C:C,F17,'Movie Data Base by Keizar'!G:G,"&gt;0"),2),"")</f>
        <v>7.52</v>
      </c>
      <c r="K17" s="1" t="n">
        <v>5</v>
      </c>
      <c r="L17" s="1" t="n">
        <f aca="false">COUNTIF('Movie Data Base by Keizar'!G:G,K17)</f>
        <v>172</v>
      </c>
    </row>
    <row r="18" customFormat="false" ht="15" hidden="false" customHeight="true" outlineLevel="0" collapsed="false">
      <c r="A18" s="1" t="s">
        <v>579</v>
      </c>
      <c r="B18" s="1" t="n">
        <f aca="false">COUNTIF('Movie Data Base by Keizar'!J:J,A18)</f>
        <v>182</v>
      </c>
      <c r="C18" s="1" t="n">
        <f aca="false">COUNTIFS('Movie Data Base by Keizar'!J:J,A18,'Movie Data Base by Keizar'!G:G,"&gt;0")</f>
        <v>92</v>
      </c>
      <c r="D18" s="1" t="n">
        <f aca="false">IFERROR(ROUND(AVERAGEIFS('Movie Data Base by Keizar'!G:G,'Movie Data Base by Keizar'!J:J,A18,'Movie Data Base by Keizar'!G:G,"&gt;0"),2),"")</f>
        <v>6.24</v>
      </c>
      <c r="F18" s="1" t="s">
        <v>109</v>
      </c>
      <c r="G18" s="1" t="n">
        <f aca="false">COUNTIF('Movie Data Base by Keizar'!C:C,F18)</f>
        <v>130</v>
      </c>
      <c r="H18" s="1" t="n">
        <f aca="false">COUNTIFS('Movie Data Base by Keizar'!C:C,F18,'Movie Data Base by Keizar'!G:G,"&gt;0")</f>
        <v>40</v>
      </c>
      <c r="I18" s="1" t="n">
        <f aca="false">IFERROR(ROUND(AVERAGEIFS('Movie Data Base by Keizar'!G:G,'Movie Data Base by Keizar'!C:C,F18,'Movie Data Base by Keizar'!G:G,"&gt;0"),2),"")</f>
        <v>6.55</v>
      </c>
      <c r="K18" s="1" t="n">
        <v>4</v>
      </c>
      <c r="L18" s="1" t="n">
        <f aca="false">COUNTIF('Movie Data Base by Keizar'!G:G,K18)</f>
        <v>85</v>
      </c>
    </row>
    <row r="19" customFormat="false" ht="15" hidden="false" customHeight="true" outlineLevel="0" collapsed="false">
      <c r="A19" s="1" t="s">
        <v>111</v>
      </c>
      <c r="B19" s="1" t="n">
        <f aca="false">COUNTIF('Movie Data Base by Keizar'!J:J,A19)</f>
        <v>161</v>
      </c>
      <c r="C19" s="1" t="n">
        <f aca="false">COUNTIFS('Movie Data Base by Keizar'!J:J,A19,'Movie Data Base by Keizar'!G:G,"&gt;0")</f>
        <v>144</v>
      </c>
      <c r="D19" s="1" t="n">
        <f aca="false">IFERROR(ROUND(AVERAGEIFS('Movie Data Base by Keizar'!G:G,'Movie Data Base by Keizar'!J:J,A19,'Movie Data Base by Keizar'!G:G,"&gt;0"),2),"")</f>
        <v>6.25</v>
      </c>
      <c r="F19" s="1" t="s">
        <v>26</v>
      </c>
      <c r="G19" s="1" t="n">
        <f aca="false">COUNTIF('Movie Data Base by Keizar'!C:C,F19)</f>
        <v>263</v>
      </c>
      <c r="H19" s="1" t="n">
        <f aca="false">COUNTIFS('Movie Data Base by Keizar'!C:C,F19,'Movie Data Base by Keizar'!G:G,"&gt;0")</f>
        <v>134</v>
      </c>
      <c r="I19" s="1" t="n">
        <f aca="false">IFERROR(ROUND(AVERAGEIFS('Movie Data Base by Keizar'!G:G,'Movie Data Base by Keizar'!C:C,F19,'Movie Data Base by Keizar'!G:G,"&gt;0"),2),"")</f>
        <v>6.93</v>
      </c>
      <c r="K19" s="1" t="n">
        <v>3</v>
      </c>
      <c r="L19" s="1" t="n">
        <f aca="false">COUNTIF('Movie Data Base by Keizar'!G:G,K19)</f>
        <v>53</v>
      </c>
    </row>
    <row r="20" customFormat="false" ht="15" hidden="false" customHeight="true" outlineLevel="0" collapsed="false">
      <c r="A20" s="1" t="s">
        <v>38</v>
      </c>
      <c r="B20" s="1" t="n">
        <f aca="false">COUNTIF('Movie Data Base by Keizar'!J:J,A20)</f>
        <v>140</v>
      </c>
      <c r="C20" s="1" t="n">
        <f aca="false">COUNTIFS('Movie Data Base by Keizar'!J:J,A20,'Movie Data Base by Keizar'!G:G,"&gt;0")</f>
        <v>100</v>
      </c>
      <c r="D20" s="1" t="n">
        <f aca="false">IFERROR(ROUND(AVERAGEIFS('Movie Data Base by Keizar'!G:G,'Movie Data Base by Keizar'!J:J,A20,'Movie Data Base by Keizar'!G:G,"&gt;0"),2),"")</f>
        <v>6.19</v>
      </c>
      <c r="F20" s="1" t="s">
        <v>35</v>
      </c>
      <c r="G20" s="1" t="n">
        <f aca="false">COUNTIF('Movie Data Base by Keizar'!C:C,F20)</f>
        <v>744</v>
      </c>
      <c r="H20" s="1" t="n">
        <f aca="false">COUNTIFS('Movie Data Base by Keizar'!C:C,F20,'Movie Data Base by Keizar'!G:G,"&gt;0")</f>
        <v>434</v>
      </c>
      <c r="I20" s="1" t="n">
        <f aca="false">IFERROR(ROUND(AVERAGEIFS('Movie Data Base by Keizar'!G:G,'Movie Data Base by Keizar'!C:C,F20,'Movie Data Base by Keizar'!G:G,"&gt;0"),2),"")</f>
        <v>6.38</v>
      </c>
      <c r="K20" s="1" t="n">
        <v>2</v>
      </c>
      <c r="L20" s="1" t="n">
        <f aca="false">COUNTIF('Movie Data Base by Keizar'!G:G,K20)</f>
        <v>16</v>
      </c>
    </row>
    <row r="21" customFormat="false" ht="15" hidden="false" customHeight="true" outlineLevel="0" collapsed="false">
      <c r="A21" s="1" t="s">
        <v>154</v>
      </c>
      <c r="B21" s="1" t="n">
        <f aca="false">COUNTIF('Movie Data Base by Keizar'!J:J,A21)</f>
        <v>81</v>
      </c>
      <c r="C21" s="1" t="n">
        <f aca="false">COUNTIFS('Movie Data Base by Keizar'!J:J,A21,'Movie Data Base by Keizar'!G:G,"&gt;0")</f>
        <v>22</v>
      </c>
      <c r="D21" s="1" t="n">
        <f aca="false">IFERROR(ROUND(AVERAGEIFS('Movie Data Base by Keizar'!G:G,'Movie Data Base by Keizar'!J:J,A21,'Movie Data Base by Keizar'!G:G,"&gt;0"),2),"")</f>
        <v>7.14</v>
      </c>
      <c r="F21" s="1" t="s">
        <v>176</v>
      </c>
      <c r="G21" s="1" t="n">
        <f aca="false">COUNTIF('Movie Data Base by Keizar'!C:C,F21)</f>
        <v>759</v>
      </c>
      <c r="H21" s="1" t="n">
        <f aca="false">COUNTIFS('Movie Data Base by Keizar'!C:C,F21,'Movie Data Base by Keizar'!G:G,"&gt;0")</f>
        <v>522</v>
      </c>
      <c r="I21" s="1" t="n">
        <f aca="false">IFERROR(ROUND(AVERAGEIFS('Movie Data Base by Keizar'!G:G,'Movie Data Base by Keizar'!C:C,F21,'Movie Data Base by Keizar'!G:G,"&gt;0"),2),"")</f>
        <v>5.92</v>
      </c>
      <c r="K21" s="1" t="n">
        <v>1</v>
      </c>
      <c r="L21" s="1" t="n">
        <f aca="false">COUNTIF('Movie Data Base by Keizar'!G:G,K21)</f>
        <v>5</v>
      </c>
    </row>
    <row r="22" customFormat="false" ht="15" hidden="false" customHeight="true" outlineLevel="0" collapsed="false">
      <c r="A22" s="1" t="s">
        <v>90</v>
      </c>
      <c r="B22" s="1" t="n">
        <f aca="false">COUNTIF('Movie Data Base by Keizar'!J:J,A22)</f>
        <v>79</v>
      </c>
      <c r="C22" s="1" t="n">
        <f aca="false">COUNTIFS('Movie Data Base by Keizar'!J:J,A22,'Movie Data Base by Keizar'!G:G,"&gt;0")</f>
        <v>26</v>
      </c>
      <c r="D22" s="1" t="n">
        <f aca="false">IFERROR(ROUND(AVERAGEIFS('Movie Data Base by Keizar'!G:G,'Movie Data Base by Keizar'!J:J,A22,'Movie Data Base by Keizar'!G:G,"&gt;0"),2),"")</f>
        <v>6.15</v>
      </c>
      <c r="F22" s="1" t="s">
        <v>378</v>
      </c>
      <c r="G22" s="1" t="n">
        <f aca="false">COUNTIF('Movie Data Base by Keizar'!C:C,F22)</f>
        <v>239</v>
      </c>
      <c r="H22" s="1" t="n">
        <f aca="false">COUNTIFS('Movie Data Base by Keizar'!C:C,F22,'Movie Data Base by Keizar'!G:G,"&gt;0")</f>
        <v>123</v>
      </c>
      <c r="I22" s="1" t="n">
        <f aca="false">IFERROR(ROUND(AVERAGEIFS('Movie Data Base by Keizar'!G:G,'Movie Data Base by Keizar'!C:C,F22,'Movie Data Base by Keizar'!G:G,"&gt;0"),2),"")</f>
        <v>6.14</v>
      </c>
    </row>
    <row r="23" customFormat="false" ht="15" hidden="false" customHeight="true" outlineLevel="0" collapsed="false">
      <c r="A23" s="1" t="s">
        <v>39</v>
      </c>
      <c r="B23" s="1" t="n">
        <f aca="false">COUNTIF('Movie Data Base by Keizar'!J:J,A23)</f>
        <v>58</v>
      </c>
      <c r="C23" s="1" t="n">
        <f aca="false">COUNTIFS('Movie Data Base by Keizar'!J:J,A23,'Movie Data Base by Keizar'!G:G,"&gt;0")</f>
        <v>29</v>
      </c>
      <c r="D23" s="1" t="n">
        <f aca="false">IFERROR(ROUND(AVERAGEIFS('Movie Data Base by Keizar'!G:G,'Movie Data Base by Keizar'!J:J,A23,'Movie Data Base by Keizar'!G:G,"&gt;0"),2),"")</f>
        <v>6.17</v>
      </c>
    </row>
    <row r="24" customFormat="false" ht="15" hidden="false" customHeight="true" outlineLevel="0" collapsed="false">
      <c r="A24" s="1" t="s">
        <v>2730</v>
      </c>
      <c r="B24" s="1" t="n">
        <f aca="false">COUNTIF('Movie Data Base by Keizar'!J:J,A24)</f>
        <v>33</v>
      </c>
      <c r="C24" s="1" t="n">
        <f aca="false">COUNTIFS('Movie Data Base by Keizar'!J:J,A24,'Movie Data Base by Keizar'!G:G,"&gt;0")</f>
        <v>14</v>
      </c>
      <c r="D24" s="1" t="n">
        <f aca="false">IFERROR(ROUND(AVERAGEIFS('Movie Data Base by Keizar'!G:G,'Movie Data Base by Keizar'!J:J,A24,'Movie Data Base by Keizar'!G:G,"&gt;0"),2),"")</f>
        <v>6.57</v>
      </c>
    </row>
    <row r="25" customFormat="false" ht="15" hidden="false" customHeight="true" outlineLevel="0" collapsed="false">
      <c r="A25" s="1" t="s">
        <v>268</v>
      </c>
      <c r="B25" s="1" t="n">
        <f aca="false">COUNTIF('Movie Data Base by Keizar'!J:J,A25)</f>
        <v>19</v>
      </c>
      <c r="C25" s="1" t="n">
        <f aca="false">COUNTIFS('Movie Data Base by Keizar'!J:J,A25,'Movie Data Base by Keizar'!G:G,"&gt;0")</f>
        <v>6</v>
      </c>
      <c r="D25" s="1" t="n">
        <f aca="false">IFERROR(ROUND(AVERAGEIFS('Movie Data Base by Keizar'!G:G,'Movie Data Base by Keizar'!J:J,A25,'Movie Data Base by Keizar'!G:G,"&gt;0"),2),"")</f>
        <v>7.5</v>
      </c>
    </row>
    <row r="30" customFormat="false" ht="15" hidden="false" customHeight="true" outlineLevel="0" collapsed="false">
      <c r="A30" s="15" t="s">
        <v>11889</v>
      </c>
      <c r="F30" s="15" t="s">
        <v>11890</v>
      </c>
    </row>
    <row r="31" customFormat="false" ht="15" hidden="false" customHeight="true" outlineLevel="0" collapsed="false">
      <c r="A31" s="18" t="s">
        <v>8</v>
      </c>
      <c r="B31" s="18" t="s">
        <v>11884</v>
      </c>
      <c r="C31" s="18" t="s">
        <v>11885</v>
      </c>
      <c r="F31" s="16" t="s">
        <v>11891</v>
      </c>
      <c r="G31" s="1" t="n">
        <f aca="false">COUNT('Movie Data Base by Keizar'!T2:T4000)</f>
        <v>253</v>
      </c>
    </row>
    <row r="32" customFormat="false" ht="15" hidden="false" customHeight="true" outlineLevel="0" collapsed="false">
      <c r="A32" s="1" t="s">
        <v>46</v>
      </c>
      <c r="B32" s="1" t="n">
        <f aca="false">COUNTIF('Movie Data Base by Keizar'!I:I,"*"&amp;A32&amp;"*")</f>
        <v>1415</v>
      </c>
      <c r="C32" s="1" t="n">
        <f aca="false">COUNTIFS('Movie Data Base by Keizar'!I:I,"*"&amp;A32&amp;"*",'Movie Data Base by Keizar'!G:G,"&gt;0")</f>
        <v>1047</v>
      </c>
      <c r="F32" s="16" t="s">
        <v>11892</v>
      </c>
      <c r="G32" s="1" t="n">
        <f aca="false">COUNTIFS('Movie Data Base by Keizar'!T2:T4000,"&gt;0",'Movie Data Base by Keizar'!G2:G4000,"&gt;0")</f>
        <v>29</v>
      </c>
    </row>
    <row r="33" customFormat="false" ht="15" hidden="false" customHeight="true" outlineLevel="0" collapsed="false">
      <c r="A33" s="1" t="s">
        <v>280</v>
      </c>
      <c r="B33" s="1" t="n">
        <f aca="false">COUNTIF('Movie Data Base by Keizar'!I:I,"*"&amp;A33&amp;"*")</f>
        <v>297</v>
      </c>
      <c r="C33" s="1" t="n">
        <f aca="false">COUNTIFS('Movie Data Base by Keizar'!I:I,"*"&amp;A33&amp;"*",'Movie Data Base by Keizar'!G:G,"&gt;0")</f>
        <v>174</v>
      </c>
      <c r="F33" s="16" t="s">
        <v>11893</v>
      </c>
      <c r="G33" s="1" t="n">
        <f aca="false">COUNTA('Movie Data Base by Keizar'!V2:V4000)</f>
        <v>449</v>
      </c>
    </row>
    <row r="34" customFormat="false" ht="15" hidden="false" customHeight="true" outlineLevel="0" collapsed="false">
      <c r="A34" s="1" t="s">
        <v>219</v>
      </c>
      <c r="B34" s="1" t="n">
        <f aca="false">COUNTIF('Movie Data Base by Keizar'!I:I,"*"&amp;A34&amp;"*")</f>
        <v>299</v>
      </c>
      <c r="C34" s="1" t="n">
        <f aca="false">COUNTIFS('Movie Data Base by Keizar'!I:I,"*"&amp;A34&amp;"*",'Movie Data Base by Keizar'!G:G,"&gt;0")</f>
        <v>73</v>
      </c>
      <c r="F34" s="16" t="s">
        <v>11894</v>
      </c>
      <c r="G34" s="1" t="n">
        <f aca="false">COUNTIFS('Movie Data Base by Keizar'!V2:V4000,"&lt;&gt;",'Movie Data Base by Keizar'!G2:G4000,"&gt;0")</f>
        <v>100</v>
      </c>
    </row>
    <row r="35" customFormat="false" ht="15" hidden="false" customHeight="true" outlineLevel="0" collapsed="false">
      <c r="A35" s="1" t="s">
        <v>232</v>
      </c>
      <c r="B35" s="1" t="n">
        <f aca="false">COUNTIF('Movie Data Base by Keizar'!I:I,"*"&amp;A35&amp;"*")</f>
        <v>195</v>
      </c>
      <c r="C35" s="1" t="n">
        <f aca="false">COUNTIFS('Movie Data Base by Keizar'!I:I,"*"&amp;A35&amp;"*",'Movie Data Base by Keizar'!G:G,"&gt;0")</f>
        <v>110</v>
      </c>
      <c r="F35" s="16" t="s">
        <v>11895</v>
      </c>
      <c r="G35" s="1" t="n">
        <f aca="false">COUNTIFS('Movie Data Base by Keizar'!W2:W4000,"&gt;0",'Movie Data Base by Keizar'!G2:G4000,"&gt;0")</f>
        <v>0</v>
      </c>
    </row>
    <row r="36" customFormat="false" ht="15" hidden="false" customHeight="true" outlineLevel="0" collapsed="false">
      <c r="A36" s="1" t="s">
        <v>258</v>
      </c>
      <c r="B36" s="1" t="n">
        <f aca="false">COUNTIF('Movie Data Base by Keizar'!I:I,"*"&amp;A36&amp;"*")</f>
        <v>186</v>
      </c>
      <c r="C36" s="1" t="n">
        <f aca="false">COUNTIFS('Movie Data Base by Keizar'!I:I,"*"&amp;A36&amp;"*",'Movie Data Base by Keizar'!G:G,"&gt;0")</f>
        <v>91</v>
      </c>
    </row>
    <row r="37" customFormat="false" ht="15" hidden="false" customHeight="true" outlineLevel="0" collapsed="false">
      <c r="A37" s="1" t="s">
        <v>124</v>
      </c>
      <c r="B37" s="1" t="n">
        <f aca="false">COUNTIF('Movie Data Base by Keizar'!I:I,"*"&amp;A37&amp;"*")</f>
        <v>112</v>
      </c>
      <c r="C37" s="1" t="n">
        <f aca="false">COUNTIFS('Movie Data Base by Keizar'!I:I,"*"&amp;A37&amp;"*",'Movie Data Base by Keizar'!G:G,"&gt;0")</f>
        <v>21</v>
      </c>
    </row>
    <row r="38" customFormat="false" ht="15" hidden="false" customHeight="true" outlineLevel="0" collapsed="false">
      <c r="A38" s="1" t="s">
        <v>28</v>
      </c>
      <c r="B38" s="1" t="n">
        <f aca="false">COUNTIF('Movie Data Base by Keizar'!I:I,"*"&amp;A38&amp;"*")</f>
        <v>97</v>
      </c>
      <c r="C38" s="1" t="n">
        <f aca="false">COUNTIFS('Movie Data Base by Keizar'!I:I,"*"&amp;A38&amp;"*",'Movie Data Base by Keizar'!G:G,"&gt;0")</f>
        <v>25</v>
      </c>
    </row>
    <row r="39" customFormat="false" ht="15" hidden="false" customHeight="true" outlineLevel="0" collapsed="false">
      <c r="A39" s="1" t="s">
        <v>1111</v>
      </c>
      <c r="B39" s="1" t="n">
        <f aca="false">COUNTIF('Movie Data Base by Keizar'!I:I,"*"&amp;A39&amp;"*")</f>
        <v>89</v>
      </c>
      <c r="C39" s="1" t="n">
        <f aca="false">COUNTIFS('Movie Data Base by Keizar'!I:I,"*"&amp;A39&amp;"*",'Movie Data Base by Keizar'!G:G,"&gt;0")</f>
        <v>62</v>
      </c>
    </row>
    <row r="40" customFormat="false" ht="15" hidden="false" customHeight="true" outlineLevel="0" collapsed="false">
      <c r="A40" s="1" t="s">
        <v>430</v>
      </c>
      <c r="B40" s="1" t="n">
        <f aca="false">COUNTIF('Movie Data Base by Keizar'!I:I,"*"&amp;A40&amp;"*")</f>
        <v>36</v>
      </c>
      <c r="C40" s="1" t="n">
        <f aca="false">COUNTIFS('Movie Data Base by Keizar'!I:I,"*"&amp;A40&amp;"*",'Movie Data Base by Keizar'!G:G,"&gt;0")</f>
        <v>8</v>
      </c>
    </row>
    <row r="41" customFormat="false" ht="15" hidden="false" customHeight="true" outlineLevel="0" collapsed="false">
      <c r="A41" s="1" t="s">
        <v>967</v>
      </c>
      <c r="B41" s="1" t="n">
        <f aca="false">COUNTIF('Movie Data Base by Keizar'!I:I,"*"&amp;A41&amp;"*")</f>
        <v>42</v>
      </c>
      <c r="C41" s="1" t="n">
        <f aca="false">COUNTIFS('Movie Data Base by Keizar'!I:I,"*"&amp;A41&amp;"*",'Movie Data Base by Keizar'!G:G,"&gt;0")</f>
        <v>23</v>
      </c>
    </row>
    <row r="42" customFormat="false" ht="15" hidden="false" customHeight="true" outlineLevel="0" collapsed="false">
      <c r="A42" s="1" t="s">
        <v>292</v>
      </c>
      <c r="B42" s="1" t="n">
        <f aca="false">COUNTIF('Movie Data Base by Keizar'!I:I,"*"&amp;A42&amp;"*")</f>
        <v>44</v>
      </c>
      <c r="C42" s="1" t="n">
        <f aca="false">COUNTIFS('Movie Data Base by Keizar'!I:I,"*"&amp;A42&amp;"*",'Movie Data Base by Keizar'!G:G,"&gt;0")</f>
        <v>10</v>
      </c>
    </row>
    <row r="43" customFormat="false" ht="15" hidden="false" customHeight="true" outlineLevel="0" collapsed="false">
      <c r="A43" s="1" t="s">
        <v>437</v>
      </c>
      <c r="B43" s="1" t="n">
        <f aca="false">COUNTIF('Movie Data Base by Keizar'!I:I,"*"&amp;A43&amp;"*")</f>
        <v>35</v>
      </c>
      <c r="C43" s="1" t="n">
        <f aca="false">COUNTIFS('Movie Data Base by Keizar'!I:I,"*"&amp;A43&amp;"*",'Movie Data Base by Keizar'!G:G,"&gt;0")</f>
        <v>3</v>
      </c>
    </row>
    <row r="44" customFormat="false" ht="15" hidden="false" customHeight="true" outlineLevel="0" collapsed="false">
      <c r="A44" s="1" t="s">
        <v>1231</v>
      </c>
      <c r="B44" s="1" t="n">
        <f aca="false">COUNTIF('Movie Data Base by Keizar'!I:I,"*"&amp;A44&amp;"*")</f>
        <v>30</v>
      </c>
      <c r="C44" s="1" t="n">
        <f aca="false">COUNTIFS('Movie Data Base by Keizar'!I:I,"*"&amp;A44&amp;"*",'Movie Data Base by Keizar'!G:G,"&gt;0")</f>
        <v>24</v>
      </c>
    </row>
    <row r="45" customFormat="false" ht="15" hidden="false" customHeight="true" outlineLevel="0" collapsed="false">
      <c r="A45" s="1" t="s">
        <v>373</v>
      </c>
      <c r="B45" s="1" t="n">
        <f aca="false">COUNTIF('Movie Data Base by Keizar'!I:I,"*"&amp;A45&amp;"*")</f>
        <v>22</v>
      </c>
      <c r="C45" s="1" t="n">
        <f aca="false">COUNTIFS('Movie Data Base by Keizar'!I:I,"*"&amp;A45&amp;"*",'Movie Data Base by Keizar'!G:G,"&gt;0")</f>
        <v>7</v>
      </c>
    </row>
    <row r="60" customFormat="false" ht="15" hidden="false" customHeight="true" outlineLevel="0" collapsed="false">
      <c r="A60" s="15" t="s">
        <v>11896</v>
      </c>
    </row>
    <row r="61" customFormat="false" ht="15" hidden="false" customHeight="true" outlineLevel="0" collapsed="false">
      <c r="A61" s="19" t="s">
        <v>11897</v>
      </c>
      <c r="B61" s="20" t="s">
        <v>11898</v>
      </c>
    </row>
    <row r="62" customFormat="false" ht="15" hidden="false" customHeight="true" outlineLevel="0" collapsed="false">
      <c r="A62" s="16" t="s">
        <v>11899</v>
      </c>
      <c r="B62" s="20" t="s">
        <v>11900</v>
      </c>
    </row>
    <row r="63" customFormat="false" ht="15" hidden="false" customHeight="true" outlineLevel="0" collapsed="false">
      <c r="A63" s="21" t="s">
        <v>11901</v>
      </c>
      <c r="B63" s="20" t="s">
        <v>11902</v>
      </c>
    </row>
    <row r="64" customFormat="false" ht="15" hidden="false" customHeight="true" outlineLevel="0" collapsed="false">
      <c r="A64" s="22" t="s">
        <v>11903</v>
      </c>
      <c r="B64" s="20" t="s">
        <v>11904</v>
      </c>
    </row>
    <row r="65" customFormat="false" ht="15" hidden="false" customHeight="true" outlineLevel="0" collapsed="false">
      <c r="A65" s="23" t="s">
        <v>11905</v>
      </c>
      <c r="B65" s="20" t="s">
        <v>11906</v>
      </c>
    </row>
    <row r="66" customFormat="false" ht="15" hidden="false" customHeight="true" outlineLevel="0" collapsed="false">
      <c r="A66" s="24" t="s">
        <v>11907</v>
      </c>
      <c r="B66" s="20" t="s">
        <v>11908</v>
      </c>
    </row>
    <row r="67" customFormat="false" ht="15" hidden="false" customHeight="true" outlineLevel="0" collapsed="false">
      <c r="A67" s="25" t="s">
        <v>11909</v>
      </c>
      <c r="B67" s="17" t="s">
        <v>11910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2025-11-19T23:17:12Z</dcterms:created>
  <dc:creator>openpyxl</dc:creator>
  <dc:description/>
  <dc:language>en-US</dc:language>
  <cp:lastModifiedBy/>
  <dcterms:modified xsi:type="dcterms:W3CDTF">2026-10-04T10:45:09Z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